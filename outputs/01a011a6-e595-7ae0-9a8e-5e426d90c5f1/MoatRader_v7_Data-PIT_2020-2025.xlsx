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cbc0f965e748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be229ab045420b"/>
    <x:sheet xmlns:r="http://schemas.openxmlformats.org/officeDocument/2006/relationships" name="Quarterly Results" sheetId="2" r:id="R7d3e313f804c48e4"/>
    <x:sheet xmlns:r="http://schemas.openxmlformats.org/officeDocument/2006/relationships" name="Coverage" sheetId="3" r:id="Rd9735f5ea8c4451e"/>
    <x:sheet xmlns:r="http://schemas.openxmlformats.org/officeDocument/2006/relationships" name="Signals" sheetId="4" r:id="R281f092565ee489f"/>
    <x:sheet xmlns:r="http://schemas.openxmlformats.org/officeDocument/2006/relationships" name="Methodology" sheetId="5" r:id="R8e5ef3745e384970"/>
    <x:sheet xmlns:r="http://schemas.openxmlformats.org/officeDocument/2006/relationships" name="Sources &amp; Audit" sheetId="6" r:id="Rf70f33b225fb4118"/>
    <x:sheet xmlns:r="http://schemas.openxmlformats.org/officeDocument/2006/relationships" name="Checks" sheetId="7" r:id="R4c397004bb5144d0"/>
    <x:sheet xmlns:r="http://schemas.openxmlformats.org/officeDocument/2006/relationships" name="Ablation" sheetId="8" r:id="R234612830d4d45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%;[Red](0.00%);-"/>
    <x:numFmt numFmtId="201" formatCode="0.00;[Red](0.00);-"/>
    <x:numFmt numFmtId="202" formatCode="0.0%;[Red](0.0%);-"/>
    <x:numFmt numFmtId="203" formatCode="yyyy-mm-dd"/>
    <x:numFmt numFmtId="204" formatCode="#,##0;[Red](#,##0);-"/>
    <x:numFmt numFmtId="205" formatCode="0.00x"/>
    <x:numFmt numFmtId="206" formatCode="#,##0.00;[Red](#,##0.00);-"/>
    <x:numFmt numFmtId="207" formatCode="0.000000"/>
  </x:numFmts>
  <x:fonts count="1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B7791F"/>
      <x:name val="Carlito"/>
    </x:font>
    <x:font>
      <x:b/>
      <x:sz val="11"/>
      <x:color rgb="FF52606D"/>
      <x:name val="Carlito"/>
    </x:font>
    <x:font>
      <x:b/>
      <x:sz val="15"/>
      <x:color rgb="FF102A43"/>
      <x:name val="Carlito"/>
    </x:font>
    <x:font>
      <x:b/>
      <x:sz val="11"/>
      <x:color rgb="FFFFFFFF"/>
      <x:name val="Carlito"/>
    </x:font>
    <x:font>
      <x:b/>
      <x:sz val="11"/>
      <x:color rgb="FF16835A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B7791F"/>
      <x:name val="Aptos"/>
    </x:font>
    <x:font>
      <x:b/>
      <x:sz val="11"/>
      <x:color rgb="FF52606D"/>
      <x:name val="Aptos"/>
    </x:font>
    <x:font>
      <x:b/>
      <x:sz val="15"/>
      <x:color rgb="FF102A43"/>
      <x:name val="Aptos"/>
    </x:font>
    <x:font>
      <x:b/>
      <x:sz val="11"/>
      <x:color rgb="FFFFFFFF"/>
      <x:name val="Aptos"/>
    </x:font>
    <x:font>
      <x:b/>
      <x:sz val="11"/>
      <x:color rgb="FF16835A"/>
      <x:name val="Aptos"/>
    </x:font>
    <x:font>
      <x:b/>
      <x:sz val="11"/>
      <x:name val="Carlito"/>
    </x:font>
    <x:font>
      <x:sz val="11"/>
      <x:color rgb="FF16835A"/>
      <x:name val="Carlito"/>
    </x:font>
    <x:font>
      <x:sz val="11"/>
      <x:color rgb="FFC0392B"/>
      <x:name val="Carlito"/>
    </x:font>
    <x:font>
      <x:b/>
      <x:sz val="11"/>
      <x:color rgb="FF102A4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FF7E6"/>
      </x:patternFill>
    </x:fill>
    <x:fill>
      <x:patternFill patternType="solid">
        <x:fgColor rgb="FFEAF4FB"/>
      </x:patternFill>
    </x:fill>
    <x:fill>
      <x:patternFill patternType="solid">
        <x:fgColor rgb="FFE8F5EE"/>
      </x:patternFill>
    </x:fill>
    <x:fill>
      <x:patternFill patternType="solid">
        <x:fgColor rgb="FF1677B8"/>
      </x:patternFill>
    </x:fill>
  </x:fills>
  <x:borders count="12">
    <x:border/>
    <x:border>
      <x:left style="thin">
        <x:color rgb="FFE4E7EB"/>
      </x:left>
      <x:top style="thin">
        <x:color rgb="FFE4E7EB"/>
      </x:top>
    </x:border>
    <x:border>
      <x:right style="thin">
        <x:color rgb="FFE4E7EB"/>
      </x:right>
      <x:top style="thin">
        <x:color rgb="FFE4E7EB"/>
      </x:top>
    </x:border>
    <x:border>
      <x:left style="thin">
        <x:color rgb="FFE4E7EB"/>
      </x:left>
      <x:bottom style="thin">
        <x:color rgb="FFE4E7EB"/>
      </x:bottom>
    </x:border>
    <x:border>
      <x:right style="thin">
        <x:color rgb="FFE4E7EB"/>
      </x:right>
      <x:bottom style="thin">
        <x:color rgb="FFE4E7EB"/>
      </x:bottom>
    </x:border>
    <x:border>
      <x:left style="thin">
        <x:color rgb="FF102A43"/>
      </x:left>
      <x:top style="thin">
        <x:color rgb="FF102A43"/>
      </x:top>
      <x:bottom style="thin">
        <x:color rgb="FF102A43"/>
      </x:bottom>
    </x:border>
    <x:border>
      <x:top style="thin">
        <x:color rgb="FF102A43"/>
      </x:top>
      <x:bottom style="thin">
        <x:color rgb="FF102A43"/>
      </x:bottom>
    </x:border>
    <x:border>
      <x:right style="thin">
        <x:color rgb="FF102A43"/>
      </x:right>
      <x:top style="thin">
        <x:color rgb="FF102A43"/>
      </x:top>
      <x:bottom style="thin">
        <x:color rgb="FF102A43"/>
      </x:bottom>
    </x:border>
    <x:border>
      <x:top style="double">
        <x:color rgb="FF102A43"/>
      </x:top>
    </x:border>
    <x:border>
      <x:left style="thin">
        <x:color rgb="FFE4E7EB"/>
      </x:left>
      <x:top style="thin">
        <x:color rgb="FFE4E7EB"/>
      </x:top>
      <x:bottom style="thin">
        <x:color rgb="FFE4E7EB"/>
      </x:bottom>
    </x:border>
    <x:border>
      <x:top style="thin">
        <x:color rgb="FFE4E7EB"/>
      </x:top>
      <x:bottom style="thin">
        <x:color rgb="FFE4E7EB"/>
      </x:bottom>
    </x:border>
    <x:border>
      <x:right style="thin">
        <x:color rgb="FFE4E7EB"/>
      </x:right>
      <x:top style="thin">
        <x:color rgb="FFE4E7EB"/>
      </x:top>
      <x:bottom style="thin">
        <x:color rgb="FFE4E7EB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3" fillId="4" borderId="1" xfId="0" applyNumberFormat="1" applyFont="1" applyFill="1" applyBorder="1"/>
    <x:xf numFmtId="0" fontId="4" fillId="4" borderId="3" xfId="0" applyNumberFormat="1" applyFont="1" applyFill="1" applyBorder="1"/>
    <x:xf numFmtId="200" fontId="4" fillId="4" borderId="3" xfId="0" applyNumberFormat="1" applyFont="1" applyFill="1" applyBorder="1"/>
    <x:xf numFmtId="201" fontId="4" fillId="4" borderId="3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horizontal="center" wrapText="1"/>
    </x:xf>
    <x:xf numFmtId="0" fontId="5" fillId="6" borderId="6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/>
    <x:xf numFmtId="0" fontId="8" fillId="4" borderId="2" xfId="0" applyNumberFormat="1" applyFont="1" applyFill="1" applyBorder="1"/>
    <x:xf numFmtId="200" fontId="11" fillId="4" borderId="3" xfId="0" applyNumberFormat="1" applyFont="1" applyFill="1" applyBorder="1"/>
    <x:xf numFmtId="0" fontId="8" fillId="4" borderId="4" xfId="0" applyNumberFormat="1" applyFont="1" applyFill="1" applyBorder="1"/>
    <x:xf numFmtId="201" fontId="11" fillId="4" borderId="3" xfId="0" applyNumberFormat="1" applyFont="1" applyFill="1" applyBorder="1"/>
    <x:xf numFmtId="0" fontId="12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13" fillId="5" borderId="0" xfId="0" applyNumberFormat="1" applyFont="1" applyFill="1" applyBorder="1" applyAlignment="1">
      <x:alignment vertical="center" wrapText="1"/>
    </x:xf>
    <x:xf numFmtId="0" fontId="12" fillId="6" borderId="5" xfId="0" applyNumberFormat="1" applyFont="1" applyFill="1" applyBorder="1" applyAlignment="1">
      <x:alignment horizontal="center" vertical="center" wrapText="1"/>
    </x:xf>
    <x:xf numFmtId="0" fontId="12" fillId="6" borderId="6" xfId="0" applyNumberFormat="1" applyFont="1" applyFill="1" applyBorder="1" applyAlignment="1">
      <x:alignment horizontal="center" vertical="center" wrapText="1"/>
    </x:xf>
    <x:xf numFmtId="0" fontId="12" fillId="6" borderId="7" xfId="0" applyNumberFormat="1" applyFont="1" applyFill="1" applyBorder="1" applyAlignment="1">
      <x:alignment horizontal="center" vertical="center" wrapText="1"/>
    </x:xf>
    <x:xf numFmtId="202" fontId="8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0" fontId="14" fillId="0" borderId="0" xfId="0" applyNumberFormat="1" applyFont="1" applyFill="1" applyBorder="1"/>
    <x:xf numFmtId="0" fontId="14" fillId="0" borderId="8" xfId="0" applyNumberFormat="1" applyFont="1" applyFill="1" applyBorder="1"/>
    <x:xf numFmtId="204" fontId="14" fillId="0" borderId="8" xfId="0" applyNumberFormat="1" applyFont="1" applyFill="1" applyBorder="1"/>
    <x:xf numFmtId="0" fontId="5" fillId="6" borderId="5" xfId="0" applyNumberFormat="1" applyFont="1" applyFill="1" applyBorder="1" applyAlignment="1">
      <x:alignment horizontal="center" vertical="top" wrapText="1"/>
    </x:xf>
    <x:xf numFmtId="0" fontId="5" fillId="6" borderId="6" xfId="0" applyNumberFormat="1" applyFont="1" applyFill="1" applyBorder="1" applyAlignment="1">
      <x:alignment horizontal="center" vertical="top" wrapText="1"/>
    </x:xf>
    <x:xf numFmtId="0" fontId="5" fillId="6" borderId="7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0" borderId="0" xfId="0" applyNumberFormat="1" applyFont="1" applyFill="1" applyBorder="1" applyAlignment="1">
      <x:alignment vertical="top" wrapText="1"/>
    </x:xf>
    <x:xf numFmtId="0" fontId="16" fillId="0" borderId="0" xfId="0" applyNumberFormat="1" applyFont="1" applyFill="1" applyBorder="1" applyAlignment="1">
      <x:alignment vertical="top" wrapText="1"/>
    </x:xf>
    <x:xf numFmtId="0" fontId="15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4" borderId="0" xfId="0" applyNumberFormat="1" applyFont="1" applyFill="1" applyBorder="1"/>
    <x:xf numFmtId="0" fontId="17" fillId="4" borderId="9" xfId="0" applyNumberFormat="1" applyFont="1" applyFill="1" applyBorder="1"/>
    <x:xf numFmtId="0" fontId="17" fillId="4" borderId="10" xfId="0" applyNumberFormat="1" applyFont="1" applyFill="1" applyBorder="1"/>
    <x:xf numFmtId="0" fontId="17" fillId="4" borderId="11" xfId="0" applyNumberFormat="1" applyFont="1" applyFill="1" applyBorder="1"/>
    <x:xf numFmtId="207" fontId="0" fillId="0" borderId="0" xfId="0" applyNumberFormat="1" applyFont="1" applyFill="1" applyBorder="1"/>
    <x:xf numFmtId="0" fontId="0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16835A"/>
      </x:font>
      <x:fill>
        <x:patternFill patternType="solid">
          <x:bgColor rgb="FFE8F5EE"/>
        </x:patternFill>
      </x:fill>
    </x:dxf>
    <x:dxf>
      <x:font>
        <x:b/>
        <x:color rgb="FFC0392B"/>
      </x:font>
      <x:fill>
        <x:patternFill patternType="solid">
          <x:bgColor rgb="FFFC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54cc15e83348bb" /><Relationship Type="http://schemas.openxmlformats.org/officeDocument/2006/relationships/theme" Target="/xl/theme/theme1.xml" Id="R3069b1d6b6da4717" /><Relationship Type="http://schemas.microsoft.com/office/2022/11/relationships/FeaturePropertyBag" Target="/xl/featurePropertyBag/featurePropertyBag.xml" Id="Rd60b837a5497470a" /><Relationship Type="http://schemas.openxmlformats.org/officeDocument/2006/relationships/sharedStrings" Target="/xl/sharedStrings.xml" Id="Rebb6fb59c6f44416" /><Relationship Type="http://schemas.openxmlformats.org/officeDocument/2006/relationships/worksheet" Target="/xl/worksheets/sheet1.xml" Id="Radbe229ab045420b" /><Relationship Type="http://schemas.openxmlformats.org/officeDocument/2006/relationships/worksheet" Target="/xl/worksheets/sheet2.xml" Id="R7d3e313f804c48e4" /><Relationship Type="http://schemas.openxmlformats.org/officeDocument/2006/relationships/worksheet" Target="/xl/worksheets/sheet3.xml" Id="Rd9735f5ea8c4451e" /><Relationship Type="http://schemas.openxmlformats.org/officeDocument/2006/relationships/worksheet" Target="/xl/worksheets/sheet4.xml" Id="R281f092565ee489f" /><Relationship Type="http://schemas.openxmlformats.org/officeDocument/2006/relationships/worksheet" Target="/xl/worksheets/sheet5.xml" Id="R8e5ef3745e384970" /><Relationship Type="http://schemas.openxmlformats.org/officeDocument/2006/relationships/worksheet" Target="/xl/worksheets/sheet6.xml" Id="Rf70f33b225fb4118" /><Relationship Type="http://schemas.openxmlformats.org/officeDocument/2006/relationships/worksheet" Target="/xl/worksheets/sheet7.xml" Id="R4c397004bb5144d0" /><Relationship Type="http://schemas.openxmlformats.org/officeDocument/2006/relationships/worksheet" Target="/xl/worksheets/sheet8.xml" Id="R234612830d4d453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e60cf948e78494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77일 수익률: Cheap 상위 15 vs 유니버스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Cheap 상위 15</c:v>
          </c:tx>
          <c:marker>
            <c:symbol val="none"/>
          </c:marker>
          <c:cat>
            <c:strRef>
              <c:f>'Summary'!$A$17:$A$39</c:f>
              <c:strCache>
                <c:ptCount val="0"/>
              </c:strCache>
            </c:strRef>
          </c:cat>
          <c:val>
            <c:numRef>
              <c:f>'Summary'!$B$17:$B$39</c:f>
              <c:numCache>
                <c:formatCode>0.0%;[Red](0.0%);-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유니버스</c:v>
          </c:tx>
          <c:marker>
            <c:symbol val="none"/>
          </c:marker>
          <c:cat>
            <c:strRef>
              <c:f>'Summary'!$A$17:$A$39</c:f>
              <c:strCache>
                <c:ptCount val="0"/>
              </c:strCache>
            </c:strRef>
          </c:cat>
          <c:val>
            <c:numRef>
              <c:f>'Summary'!$C$17:$C$39</c:f>
              <c:numCache>
                <c:formatCode>0.0%;[Red](0.0%);-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15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60cf948e784947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QuarterlyResultsTable" displayName="QuarterlyResultsTable" ref="A4:T27" headerRowCount="1" totalsRowCount="0" totalsRowShown="0">
  <x:tableColumns count="20">
    <x:tableColumn id="1" name="signal_date"/>
    <x:tableColumn id="2" name="horizon_days"/>
    <x:tableColumn id="3" name="max_exit_date"/>
    <x:tableColumn id="4" name="eligible_count"/>
    <x:tableColumn id="5" name="return_observation_count"/>
    <x:tableColumn id="6" name="top_count"/>
    <x:tableColumn id="7" name="bottom_count"/>
    <x:tableColumn id="8" name="universe_return_count"/>
    <x:tableColumn id="9" name="top15_mean_return"/>
    <x:tableColumn id="10" name="bottom15_mean_return"/>
    <x:tableColumn id="11" name="cheap_spread"/>
    <x:tableColumn id="12" name="universe_equal_weight_return"/>
    <x:tableColumn id="13" name="top15_excess_return"/>
    <x:tableColumn id="14" name="cheap_quintile_1_return"/>
    <x:tableColumn id="15" name="cheap_quintile_2_return"/>
    <x:tableColumn id="16" name="cheap_quintile_3_return"/>
    <x:tableColumn id="17" name="cheap_quintile_4_return"/>
    <x:tableColumn id="18" name="cheap_quintile_5_return"/>
    <x:tableColumn id="19" name="Cumulative Top 15"/>
    <x:tableColumn id="20" name="Cumulative Univer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CoverageTable" displayName="CoverageTable" ref="A4:I27" headerRowCount="1" totalsRowCount="0" totalsRowShown="0">
  <x:tableColumns count="9">
    <x:tableColumn id="1" name="Signal Date"/>
    <x:tableColumn id="2" name="ELIGIBLE"/>
    <x:tableColumn id="3" name="DCF_SCREENING_EXCLUSION"/>
    <x:tableColumn id="4" name="EXCLUDED_ARCHETYPE"/>
    <x:tableColumn id="5" name="NOT_LISTED_OR_NO_PRICE"/>
    <x:tableColumn id="6" name="NO_PIT_FINANCIALS"/>
    <x:tableColumn id="7" name="INSUFFICIENT_FINANCIAL_COVERAGE"/>
    <x:tableColumn id="8" name="FINANCIAL_DISCONTINUITY"/>
    <x:tableColumn id="9" name="Tot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HistoricalSignalsTable" displayName="HistoricalSignalsTable" ref="A1:AA3451" headerRowCount="1" totalsRowCount="0" totalsRowShown="0">
  <x:tableColumns count="27">
    <x:tableColumn id="1" name="signal_date"/>
    <x:tableColumn id="2" name="cutoff"/>
    <x:tableColumn id="3" name="ticker"/>
    <x:tableColumn id="4" name="name"/>
    <x:tableColumn id="5" name="market"/>
    <x:tableColumn id="6" name="size_bucket"/>
    <x:tableColumn id="7" name="status"/>
    <x:tableColumn id="8" name="status_detail"/>
    <x:tableColumn id="9" name="price_date"/>
    <x:tableColumn id="10" name="price"/>
    <x:tableColumn id="11" name="market_cap"/>
    <x:tableColumn id="12" name="listed_shares"/>
    <x:tableColumn id="13" name="latest_rcept_no"/>
    <x:tableColumn id="14" name="latest_available_at"/>
    <x:tableColumn id="15" name="latest_fiscal_period_end"/>
    <x:tableColumn id="16" name="latest_is_amendment"/>
    <x:tableColumn id="17" name="original_archive_sha256"/>
    <x:tableColumn id="18" name="xbrl_archive_sha256"/>
    <x:tableColumn id="19" name="metric_coverage_count"/>
    <x:tableColumn id="20" name="history_periods"/>
    <x:tableColumn id="21" name="fair_value_per_share"/>
    <x:tableColumn id="22" name="cheap"/>
    <x:tableColumn id="23" name="cheap_rank"/>
    <x:tableColumn id="24" name="cheap_quintile"/>
    <x:tableColumn id="25" name="assumption_confidence"/>
    <x:tableColumn id="26" name="terminal_value_share"/>
    <x:tableColumn id="27" name="screening_exclusion_reason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AuditTable" displayName="SourceAuditTable" ref="A4:F13" headerRowCount="1" totalsRowCount="0" totalsRowShown="0">
  <x:tableColumns count="6">
    <x:tableColumn id="1" name="Item"/>
    <x:tableColumn id="2" name="Value / Hash"/>
    <x:tableColumn id="3" name="Units"/>
    <x:tableColumn id="4" name="Period / As-of"/>
    <x:tableColumn id="5" name="Source"/>
    <x:tableColumn id="6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ecksTable" displayName="ChecksTable" ref="A4:G11" headerRowCount="1" totalsRowCount="0" totalsRowShown="0">
  <x:tableColumns count="7">
    <x:tableColumn id="1" name="Check"/>
    <x:tableColumn id="2" name="Actual"/>
    <x:tableColumn id="3" name="Expected"/>
    <x:tableColumn id="4" name="Difference"/>
    <x:tableColumn id="5" name="Tolerance"/>
    <x:tableColumn id="6" name="Status"/>
    <x:tableColumn id="7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blationTable" displayName="AblationTable" ref="A4:E6" headerRowCount="1" totalsRowCount="0" totalsRowShown="0">
  <x:tableColumns count="5">
    <x:tableColumn id="1" name="track"/>
    <x:tableColumn id="2" name="status"/>
    <x:tableColumn id="3" name="validation_grade"/>
    <x:tableColumn id="4" name="rank_control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202dde4cd3446b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ee2dde71894d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4992979bd647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329c740b5b4b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da8c305af9644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5c7af12e2db4a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dc96ef2d68b40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4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22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2" customHeight="1">
      <x:c r="A1" s="39" t="str">
        <x:v>MoatRader 2020–2025 Data-PIT Historical Validation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</x:row>
    <x:row r="2" ht="32" customHeight="1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</x:row>
    <x:row r="3" ht="34" customHeight="1">
      <x:c r="A3" s="41" t="str">
        <x:v>결론: Cheap 상위 15의 평균 초과수익은 +0.23%p에 그쳤고 t=0.26으로 강한 통계적 증거가 아닙니다. 현대 LLM 평가는 실행하지 않았습니다.</x:v>
      </x:c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</x:row>
    <x:row r="4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</x:row>
    <x:row r="5">
      <x:c r="A5" s="42" t="str">
        <x:v>Cheap 상위 15 평균</x:v>
      </x:c>
      <x:c r="B5" s="43"/>
      <x:c r="C5" s="42" t="str">
        <x:v>유니버스 평균</x:v>
      </x:c>
      <x:c r="D5" s="43"/>
      <x:c r="E5" s="42" t="str">
        <x:v>평균 초과수익</x:v>
      </x:c>
      <x:c r="F5" s="43"/>
      <x:c r="G5" s="40"/>
      <x:c r="H5" s="40"/>
      <x:c r="I5" s="40"/>
      <x:c r="J5" s="40"/>
      <x:c r="K5" s="40"/>
      <x:c r="L5" s="40"/>
    </x:row>
    <x:row r="6">
      <x:c r="A6" s="44" t="n">
        <x:f>AVERAGE('Quarterly Results'!$I$5:$I$27)</x:f>
        <x:v>0.06430270092023158</x:v>
      </x:c>
      <x:c r="B6" s="45"/>
      <x:c r="C6" s="44" t="n">
        <x:f>AVERAGE('Quarterly Results'!$L$5:$L$27)</x:f>
        <x:v>0.061960334543051256</x:v>
      </x:c>
      <x:c r="D6" s="45"/>
      <x:c r="E6" s="44" t="n">
        <x:f>A6-C6</x:f>
        <x:v>0.00234236637718032</x:v>
      </x:c>
      <x:c r="F6" s="45"/>
      <x:c r="G6" s="40"/>
      <x:c r="H6" s="40"/>
      <x:c r="I6" s="40"/>
      <x:c r="J6" s="40"/>
      <x:c r="K6" s="40"/>
      <x:c r="L6" s="40"/>
    </x:row>
    <x:row r="7">
      <x:c r="A7" s="42" t="str">
        <x:v>상·하위 15 스프레드</x:v>
      </x:c>
      <x:c r="B7" s="43"/>
      <x:c r="C7" s="42" t="str">
        <x:v>스프레드 양(+) 비율</x:v>
      </x:c>
      <x:c r="D7" s="43"/>
      <x:c r="E7" s="42" t="str">
        <x:v>스프레드 t-stat</x:v>
      </x:c>
      <x:c r="F7" s="43"/>
      <x:c r="G7" s="40"/>
      <x:c r="H7" s="40"/>
      <x:c r="I7" s="40"/>
      <x:c r="J7" s="40"/>
      <x:c r="K7" s="40"/>
      <x:c r="L7" s="40"/>
    </x:row>
    <x:row r="8">
      <x:c r="A8" s="44" t="n">
        <x:f>AVERAGE('Quarterly Results'!$K$5:$K$27)</x:f>
        <x:v>0.016964659739019828</x:v>
      </x:c>
      <x:c r="B8" s="45"/>
      <x:c r="C8" s="44" t="n">
        <x:f>COUNTIF('Quarterly Results'!$K$5:$K$27,"&gt;0")/COUNT('Quarterly Results'!$K$5:$K$27)</x:f>
        <x:v>0.6521739130434783</x:v>
      </x:c>
      <x:c r="D8" s="45"/>
      <x:c r="E8" s="46" t="n">
        <x:f>AVERAGE('Quarterly Results'!$K$5:$K$27)/(STDEV.S('Quarterly Results'!$K$5:$K$27)/SQRT(COUNT('Quarterly Results'!$K$5:$K$27)))</x:f>
        <x:v>0.9737424264454665</x:v>
      </x:c>
      <x:c r="F8" s="45"/>
      <x:c r="G8" s="40"/>
      <x:c r="H8" s="40"/>
      <x:c r="I8" s="40"/>
      <x:c r="J8" s="40"/>
      <x:c r="K8" s="40"/>
      <x:c r="L8" s="40"/>
    </x:row>
    <x:row r="9">
      <x:c r="A9" s="40"/>
      <x:c r="B9" s="40"/>
      <x:c r="C9" s="40"/>
      <x:c r="D9" s="40"/>
      <x:c r="E9" s="40"/>
      <x:c r="F9" s="40"/>
      <x:c r="G9" s="40"/>
      <x:c r="H9" s="40"/>
      <x:c r="I9" s="40"/>
      <x:c r="J9" s="40"/>
      <x:c r="K9" s="40"/>
      <x:c r="L9" s="40"/>
    </x:row>
    <x:row r="10">
      <x:c r="A10" s="47" t="str">
        <x:v>검증 등급과 주요 한계</x:v>
      </x:c>
      <x:c r="B10" s="40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</x:row>
    <x:row r="11">
      <x:c r="A11" s="48" t="str">
        <x:v>Deterministic Cheap</x:v>
      </x:c>
      <x:c r="B11" s="49" t="str">
        <x:v>DATA_PIT_HISTORICAL</x:v>
      </x:c>
      <x:c r="C11" s="48" t="str">
        <x:v>완료</x:v>
      </x:c>
      <x:c r="D11" s="48" t="str">
        <x:v>OpenDART 원본 + 고정 marcap</x:v>
      </x:c>
      <x:c r="E11" s="48"/>
      <x:c r="F11" s="48"/>
      <x:c r="G11" s="48" t="str">
        <x:v>현대 LLM overlay</x:v>
      </x:c>
      <x:c r="H11" s="41" t="str">
        <x:v>LLM_PIT_PSEUDO_OOS</x:v>
      </x:c>
      <x:c r="I11" s="48" t="str">
        <x:v>미실행</x:v>
      </x:c>
      <x:c r="J11" s="48" t="str">
        <x:v>순위 변경 금지</x:v>
      </x:c>
      <x:c r="K11" s="48"/>
      <x:c r="L11" s="48"/>
    </x:row>
    <x:row r="12">
      <x:c r="A12" s="48" t="str">
        <x:v>유니버스</x:v>
      </x:c>
      <x:c r="B12" s="48" t="str">
        <x:v>2025-08-01 선정 150종목</x:v>
      </x:c>
      <x:c r="C12" s="48" t="str">
        <x:v>과거 소급</x:v>
      </x:c>
      <x:c r="D12" s="48" t="str">
        <x:v>생존·편입 편향 존재</x:v>
      </x:c>
      <x:c r="E12" s="48"/>
      <x:c r="F12" s="48"/>
      <x:c r="G12" s="48" t="str">
        <x:v>수익률</x:v>
      </x:c>
      <x:c r="H12" s="48" t="str">
        <x:v>KRX ChangesRatio</x:v>
      </x:c>
      <x:c r="I12" s="48" t="str">
        <x:v>77일</x:v>
      </x:c>
      <x:c r="J12" s="48" t="str">
        <x:v>현금배당 제외</x:v>
      </x:c>
      <x:c r="K12" s="48"/>
      <x:c r="L12" s="48"/>
    </x:row>
    <x:row r="13">
      <x:c r="A13" s="48" t="str">
        <x:v>해석</x:v>
      </x:c>
      <x:c r="B13" s="48" t="str">
        <x:v>탐색적 이벤트 연구</x:v>
      </x:c>
      <x:c r="C13" s="48" t="str">
        <x:v>23개 분기</x:v>
      </x:c>
      <x:c r="D13" s="48" t="str">
        <x:v>투자전략 확정 근거 아님</x:v>
      </x:c>
      <x:c r="E13" s="48"/>
      <x:c r="F13" s="48"/>
      <x:c r="G13" s="48" t="str">
        <x:v>v6 보호</x:v>
      </x:c>
      <x:c r="H13" s="49" t="str">
        <x:v>UNCHANGED</x:v>
      </x:c>
      <x:c r="I13" s="48" t="str">
        <x:v>Git/contract 경계</x:v>
      </x:c>
      <x:c r="J13" s="48" t="str">
        <x:v>v7 데이터만 신규</x:v>
      </x:c>
      <x:c r="K13" s="48"/>
      <x:c r="L13" s="48"/>
    </x:row>
    <x:row r="14">
      <x:c r="A14" s="40"/>
      <x:c r="B14" s="40"/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</x:row>
    <x:row r="15">
      <x:c r="A15" s="47" t="str">
        <x:v>분기별 상위 15 vs 유니버스 동일가중 수익률</x:v>
      </x:c>
      <x:c r="B15" s="40"/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</x:row>
    <x:row r="16">
      <x:c r="A16" s="50" t="str">
        <x:v>분기</x:v>
      </x:c>
      <x:c r="B16" s="51" t="str">
        <x:v>Cheap 상위 15</x:v>
      </x:c>
      <x:c r="C16" s="52" t="str">
        <x:v>유니버스</x:v>
      </x:c>
      <x:c r="D16" s="40"/>
      <x:c r="E16" s="40"/>
      <x:c r="F16" s="40"/>
      <x:c r="G16" s="40"/>
      <x:c r="H16" s="40"/>
      <x:c r="I16" s="40"/>
      <x:c r="J16" s="40"/>
      <x:c r="K16" s="40"/>
      <x:c r="L16" s="40"/>
    </x:row>
    <x:row r="17">
      <x:c r="A17" s="40" t="str">
        <x:f>TEXT('Quarterly Results'!A5,"yyyy-mm")</x:f>
        <x:v>2020-03</x:v>
      </x:c>
      <x:c r="B17" s="53" t="n">
        <x:f>'Quarterly Results'!I5</x:f>
        <x:v>0.29358129976387826</x:v>
      </x:c>
      <x:c r="C17" s="53" t="n">
        <x:f>'Quarterly Results'!L5</x:f>
        <x:v>0.3209243119202711</x:v>
      </x:c>
      <x:c r="D17" s="40"/>
      <x:c r="E17" s="40"/>
      <x:c r="F17" s="40"/>
      <x:c r="G17" s="40"/>
      <x:c r="H17" s="40"/>
      <x:c r="I17" s="40"/>
      <x:c r="J17" s="40"/>
      <x:c r="K17" s="40"/>
      <x:c r="L17" s="40"/>
    </x:row>
    <x:row r="18">
      <x:c r="A18" s="40" t="str">
        <x:f>TEXT('Quarterly Results'!A6,"yyyy-mm")</x:f>
        <x:v>2020-06</x:v>
      </x:c>
      <x:c r="B18" s="53" t="n">
        <x:f>'Quarterly Results'!I6</x:f>
        <x:v>0.1848691197229582</x:v>
      </x:c>
      <x:c r="C18" s="53" t="n">
        <x:f>'Quarterly Results'!L6</x:f>
        <x:v>0.21183703604085846</x:v>
      </x:c>
      <x:c r="D18" s="40"/>
      <x:c r="E18" s="40"/>
      <x:c r="F18" s="40"/>
      <x:c r="G18" s="40"/>
      <x:c r="H18" s="40"/>
      <x:c r="I18" s="40"/>
      <x:c r="J18" s="40"/>
      <x:c r="K18" s="40"/>
      <x:c r="L18" s="40"/>
    </x:row>
    <x:row r="19">
      <x:c r="A19" s="40" t="str">
        <x:f>TEXT('Quarterly Results'!A7,"yyyy-mm")</x:f>
        <x:v>2020-09</x:v>
      </x:c>
      <x:c r="B19" s="53" t="n">
        <x:f>'Quarterly Results'!I7</x:f>
        <x:v>0.1292312932597908</x:v>
      </x:c>
      <x:c r="C19" s="53" t="n">
        <x:f>'Quarterly Results'!L7</x:f>
        <x:v>0.11783705679974454</x:v>
      </x:c>
      <x:c r="D19" s="40"/>
      <x:c r="E19" s="40"/>
      <x:c r="F19" s="40"/>
      <x:c r="G19" s="40"/>
      <x:c r="H19" s="40"/>
      <x:c r="I19" s="40"/>
      <x:c r="J19" s="40"/>
      <x:c r="K19" s="40"/>
      <x:c r="L19" s="40"/>
    </x:row>
    <x:row r="20">
      <x:c r="A20" s="40" t="str">
        <x:f>TEXT('Quarterly Results'!A8,"yyyy-mm")</x:f>
        <x:v>2020-12</x:v>
      </x:c>
      <x:c r="B20" s="53" t="n">
        <x:f>'Quarterly Results'!I8</x:f>
        <x:v>0.0916458090741665</x:v>
      </x:c>
      <x:c r="C20" s="53" t="n">
        <x:f>'Quarterly Results'!L8</x:f>
        <x:v>0.10380601201792956</x:v>
      </x:c>
      <x:c r="D20" s="40"/>
      <x:c r="E20" s="40"/>
      <x:c r="F20" s="40"/>
      <x:c r="G20" s="40"/>
      <x:c r="H20" s="40"/>
      <x:c r="I20" s="40"/>
      <x:c r="J20" s="40"/>
      <x:c r="K20" s="40"/>
      <x:c r="L20" s="40"/>
    </x:row>
    <x:row r="21">
      <x:c r="A21" s="40" t="str">
        <x:f>TEXT('Quarterly Results'!A9,"yyyy-mm")</x:f>
        <x:v>2021-03</x:v>
      </x:c>
      <x:c r="B21" s="53" t="n">
        <x:f>'Quarterly Results'!I9</x:f>
        <x:v>0.2134503379820725</x:v>
      </x:c>
      <x:c r="C21" s="53" t="n">
        <x:f>'Quarterly Results'!L9</x:f>
        <x:v>0.1923691541382092</x:v>
      </x:c>
      <x:c r="D21" s="40"/>
      <x:c r="E21" s="40"/>
      <x:c r="F21" s="40"/>
      <x:c r="G21" s="40"/>
      <x:c r="H21" s="40"/>
      <x:c r="I21" s="40"/>
      <x:c r="J21" s="40"/>
      <x:c r="K21" s="40"/>
      <x:c r="L21" s="40"/>
    </x:row>
    <x:row r="22">
      <x:c r="A22" s="40" t="str">
        <x:f>TEXT('Quarterly Results'!A10,"yyyy-mm")</x:f>
        <x:v>2021-06</x:v>
      </x:c>
      <x:c r="B22" s="53" t="n">
        <x:f>'Quarterly Results'!I10</x:f>
        <x:v>-0.0394963579758579</x:v>
      </x:c>
      <x:c r="C22" s="53" t="n">
        <x:f>'Quarterly Results'!L10</x:f>
        <x:v>-0.005607510663005009</x:v>
      </x:c>
      <x:c r="D22" s="40"/>
      <x:c r="E22" s="40"/>
      <x:c r="F22" s="40"/>
      <x:c r="G22" s="40"/>
      <x:c r="H22" s="40"/>
      <x:c r="I22" s="40"/>
      <x:c r="J22" s="40"/>
      <x:c r="K22" s="40"/>
      <x:c r="L22" s="40"/>
    </x:row>
    <x:row r="23">
      <x:c r="A23" s="40" t="str">
        <x:f>TEXT('Quarterly Results'!A11,"yyyy-mm")</x:f>
        <x:v>2021-09</x:v>
      </x:c>
      <x:c r="B23" s="53" t="n">
        <x:f>'Quarterly Results'!I11</x:f>
        <x:v>-0.015554079001610177</x:v>
      </x:c>
      <x:c r="C23" s="53" t="n">
        <x:f>'Quarterly Results'!L11</x:f>
        <x:v>-0.052034867444059704</x:v>
      </x:c>
      <x:c r="D23" s="40"/>
      <x:c r="E23" s="40"/>
      <x:c r="F23" s="40"/>
      <x:c r="G23" s="40"/>
      <x:c r="H23" s="40"/>
      <x:c r="I23" s="40"/>
      <x:c r="J23" s="40"/>
      <x:c r="K23" s="40"/>
      <x:c r="L23" s="40"/>
    </x:row>
    <x:row r="24">
      <x:c r="A24" s="40" t="str">
        <x:f>TEXT('Quarterly Results'!A12,"yyyy-mm")</x:f>
        <x:v>2021-12</x:v>
      </x:c>
      <x:c r="B24" s="53" t="n">
        <x:f>'Quarterly Results'!I12</x:f>
        <x:v>0.021186450572373908</x:v>
      </x:c>
      <x:c r="C24" s="53" t="n">
        <x:f>'Quarterly Results'!L12</x:f>
        <x:v>-0.036271451697716055</x:v>
      </x:c>
      <x:c r="D24" s="40"/>
      <x:c r="E24" s="40"/>
      <x:c r="F24" s="40"/>
      <x:c r="G24" s="40"/>
      <x:c r="H24" s="40"/>
      <x:c r="I24" s="40"/>
      <x:c r="J24" s="40"/>
      <x:c r="K24" s="40"/>
      <x:c r="L24" s="40"/>
    </x:row>
    <x:row r="25">
      <x:c r="A25" s="40" t="str">
        <x:f>TEXT('Quarterly Results'!A13,"yyyy-mm")</x:f>
        <x:v>2022-03</x:v>
      </x:c>
      <x:c r="B25" s="53" t="n">
        <x:f>'Quarterly Results'!I13</x:f>
        <x:v>-0.1628245530066578</x:v>
      </x:c>
      <x:c r="C25" s="53" t="n">
        <x:f>'Quarterly Results'!L13</x:f>
        <x:v>-0.13061493973447408</x:v>
      </x:c>
      <x:c r="D25" s="40"/>
      <x:c r="E25" s="40"/>
      <x:c r="F25" s="40"/>
      <x:c r="G25" s="40"/>
      <x:c r="H25" s="40"/>
      <x:c r="I25" s="40"/>
      <x:c r="J25" s="40"/>
      <x:c r="K25" s="40"/>
      <x:c r="L25" s="40"/>
    </x:row>
    <x:row r="26">
      <x:c r="A26" s="40" t="str">
        <x:f>TEXT('Quarterly Results'!A14,"yyyy-mm")</x:f>
        <x:v>2022-06</x:v>
      </x:c>
      <x:c r="B26" s="53" t="n">
        <x:f>'Quarterly Results'!I14</x:f>
        <x:v>0.12287116024358813</x:v>
      </x:c>
      <x:c r="C26" s="53" t="n">
        <x:f>'Quarterly Results'!L14</x:f>
        <x:v>0.07532329589307608</x:v>
      </x:c>
      <x:c r="D26" s="40"/>
      <x:c r="E26" s="40"/>
      <x:c r="F26" s="40"/>
      <x:c r="G26" s="40"/>
      <x:c r="H26" s="40"/>
      <x:c r="I26" s="40"/>
      <x:c r="J26" s="40"/>
      <x:c r="K26" s="40"/>
      <x:c r="L26" s="40"/>
    </x:row>
    <x:row r="27">
      <x:c r="A27" s="40" t="str">
        <x:f>TEXT('Quarterly Results'!A15,"yyyy-mm")</x:f>
        <x:v>2022-09</x:v>
      </x:c>
      <x:c r="B27" s="53" t="n">
        <x:f>'Quarterly Results'!I15</x:f>
        <x:v>0.11534065299762551</x:v>
      </x:c>
      <x:c r="C27" s="53" t="n">
        <x:f>'Quarterly Results'!L15</x:f>
        <x:v>0.0903490016936557</x:v>
      </x:c>
      <x:c r="D27" s="40"/>
      <x:c r="E27" s="40"/>
      <x:c r="F27" s="40"/>
      <x:c r="G27" s="40"/>
      <x:c r="H27" s="40"/>
      <x:c r="I27" s="40"/>
      <x:c r="J27" s="40"/>
      <x:c r="K27" s="40"/>
      <x:c r="L27" s="40"/>
    </x:row>
    <x:row r="28">
      <x:c r="A28" s="40" t="str">
        <x:f>TEXT('Quarterly Results'!A16,"yyyy-mm")</x:f>
        <x:v>2022-12</x:v>
      </x:c>
      <x:c r="B28" s="53" t="n">
        <x:f>'Quarterly Results'!I16</x:f>
        <x:v>0.04083894539759565</x:v>
      </x:c>
      <x:c r="C28" s="53" t="n">
        <x:f>'Quarterly Results'!L16</x:f>
        <x:v>0.09853650426100762</x:v>
      </x:c>
      <x:c r="D28" s="40"/>
      <x:c r="E28" s="40"/>
      <x:c r="F28" s="40"/>
      <x:c r="G28" s="40"/>
      <x:c r="H28" s="40"/>
      <x:c r="I28" s="40"/>
      <x:c r="J28" s="40"/>
      <x:c r="K28" s="40"/>
      <x:c r="L28" s="40"/>
    </x:row>
    <x:row r="29">
      <x:c r="A29" s="40" t="str">
        <x:f>TEXT('Quarterly Results'!A17,"yyyy-mm")</x:f>
        <x:v>2023-03</x:v>
      </x:c>
      <x:c r="B29" s="53" t="n">
        <x:f>'Quarterly Results'!I17</x:f>
        <x:v>-0.006326839405809384</x:v>
      </x:c>
      <x:c r="C29" s="53" t="n">
        <x:f>'Quarterly Results'!L17</x:f>
        <x:v>0.09520849415998243</x:v>
      </x:c>
      <x:c r="D29" s="40"/>
      <x:c r="E29" s="40"/>
      <x:c r="F29" s="40"/>
      <x:c r="G29" s="40"/>
      <x:c r="H29" s="40"/>
      <x:c r="I29" s="40"/>
      <x:c r="J29" s="40"/>
      <x:c r="K29" s="40"/>
      <x:c r="L29" s="40"/>
    </x:row>
    <x:row r="30">
      <x:c r="A30" s="40" t="str">
        <x:f>TEXT('Quarterly Results'!A18,"yyyy-mm")</x:f>
        <x:v>2023-06</x:v>
      </x:c>
      <x:c r="B30" s="53" t="n">
        <x:f>'Quarterly Results'!I18</x:f>
        <x:v>0.0033353585521819717</x:v>
      </x:c>
      <x:c r="C30" s="53" t="n">
        <x:f>'Quarterly Results'!L18</x:f>
        <x:v>-0.0002924065363315821</x:v>
      </x:c>
      <x:c r="D30" s="40"/>
      <x:c r="E30" s="40"/>
      <x:c r="F30" s="40"/>
      <x:c r="G30" s="40"/>
      <x:c r="H30" s="40"/>
      <x:c r="I30" s="40"/>
      <x:c r="J30" s="40"/>
      <x:c r="K30" s="40"/>
      <x:c r="L30" s="40"/>
    </x:row>
    <x:row r="31">
      <x:c r="A31" s="40" t="str">
        <x:f>TEXT('Quarterly Results'!A19,"yyyy-mm")</x:f>
        <x:v>2023-09</x:v>
      </x:c>
      <x:c r="B31" s="53" t="n">
        <x:f>'Quarterly Results'!I19</x:f>
        <x:v>0.03494776806781227</x:v>
      </x:c>
      <x:c r="C31" s="53" t="n">
        <x:f>'Quarterly Results'!L19</x:f>
        <x:v>-0.0030691165499973807</x:v>
      </x:c>
      <x:c r="D31" s="40"/>
      <x:c r="E31" s="40"/>
      <x:c r="F31" s="40"/>
      <x:c r="G31" s="40"/>
      <x:c r="H31" s="40"/>
      <x:c r="I31" s="40"/>
      <x:c r="J31" s="40"/>
      <x:c r="K31" s="40"/>
      <x:c r="L31" s="40"/>
    </x:row>
    <x:row r="32">
      <x:c r="A32" s="40" t="str">
        <x:f>TEXT('Quarterly Results'!A20,"yyyy-mm")</x:f>
        <x:v>2023-12</x:v>
      </x:c>
      <x:c r="B32" s="53" t="n">
        <x:f>'Quarterly Results'!I20</x:f>
        <x:v>0.011131930840929023</x:v>
      </x:c>
      <x:c r="C32" s="53" t="n">
        <x:f>'Quarterly Results'!L20</x:f>
        <x:v>0.017112123151795142</x:v>
      </x:c>
      <x:c r="D32" s="40"/>
      <x:c r="E32" s="40"/>
      <x:c r="F32" s="40"/>
      <x:c r="G32" s="40"/>
      <x:c r="H32" s="40"/>
      <x:c r="I32" s="40"/>
      <x:c r="J32" s="40"/>
      <x:c r="K32" s="40"/>
      <x:c r="L32" s="40"/>
    </x:row>
    <x:row r="33">
      <x:c r="A33" s="40" t="str">
        <x:f>TEXT('Quarterly Results'!A21,"yyyy-mm")</x:f>
        <x:v>2024-03</x:v>
      </x:c>
      <x:c r="B33" s="53" t="n">
        <x:f>'Quarterly Results'!I21</x:f>
        <x:v>-0.004785307790849598</x:v>
      </x:c>
      <x:c r="C33" s="53" t="n">
        <x:f>'Quarterly Results'!L21</x:f>
        <x:v>0.016347170026080153</x:v>
      </x:c>
      <x:c r="D33" s="40"/>
      <x:c r="E33" s="40"/>
      <x:c r="F33" s="40"/>
      <x:c r="G33" s="40"/>
      <x:c r="H33" s="40"/>
      <x:c r="I33" s="40"/>
      <x:c r="J33" s="40"/>
      <x:c r="K33" s="40"/>
      <x:c r="L33" s="40"/>
    </x:row>
    <x:row r="34">
      <x:c r="A34" s="40" t="str">
        <x:f>TEXT('Quarterly Results'!A22,"yyyy-mm")</x:f>
        <x:v>2024-06</x:v>
      </x:c>
      <x:c r="B34" s="53" t="n">
        <x:f>'Quarterly Results'!I22</x:f>
        <x:v>0.010202258979246577</x:v>
      </x:c>
      <x:c r="C34" s="53" t="n">
        <x:f>'Quarterly Results'!L22</x:f>
        <x:v>-0.06887962123279355</x:v>
      </x:c>
      <x:c r="D34" s="40"/>
      <x:c r="E34" s="40"/>
      <x:c r="F34" s="40"/>
      <x:c r="G34" s="40"/>
      <x:c r="H34" s="40"/>
      <x:c r="I34" s="40"/>
      <x:c r="J34" s="40"/>
      <x:c r="K34" s="40"/>
      <x:c r="L34" s="40"/>
    </x:row>
    <x:row r="35">
      <x:c r="A35" s="40" t="str">
        <x:f>TEXT('Quarterly Results'!A23,"yyyy-mm")</x:f>
        <x:v>2024-09</x:v>
      </x:c>
      <x:c r="B35" s="53" t="n">
        <x:f>'Quarterly Results'!I23</x:f>
        <x:v>-0.023375483871995614</x:v>
      </x:c>
      <x:c r="C35" s="53" t="n">
        <x:f>'Quarterly Results'!L23</x:f>
        <x:v>0.005101600441128762</x:v>
      </x:c>
      <x:c r="D35" s="40"/>
      <x:c r="E35" s="40"/>
      <x:c r="F35" s="40"/>
      <x:c r="G35" s="40"/>
      <x:c r="H35" s="40"/>
      <x:c r="I35" s="40"/>
      <x:c r="J35" s="40"/>
      <x:c r="K35" s="40"/>
      <x:c r="L35" s="40"/>
    </x:row>
    <x:row r="36">
      <x:c r="A36" s="40" t="str">
        <x:f>TEXT('Quarterly Results'!A24,"yyyy-mm")</x:f>
        <x:v>2024-12</x:v>
      </x:c>
      <x:c r="B36" s="53" t="n">
        <x:f>'Quarterly Results'!I24</x:f>
        <x:v>0.08419522355939153</x:v>
      </x:c>
      <x:c r="C36" s="53" t="n">
        <x:f>'Quarterly Results'!L24</x:f>
        <x:v>0.10953149170264126</x:v>
      </x:c>
      <x:c r="D36" s="40"/>
      <x:c r="E36" s="40"/>
      <x:c r="F36" s="40"/>
      <x:c r="G36" s="40"/>
      <x:c r="H36" s="40"/>
      <x:c r="I36" s="40"/>
      <x:c r="J36" s="40"/>
      <x:c r="K36" s="40"/>
      <x:c r="L36" s="40"/>
    </x:row>
    <x:row r="37">
      <x:c r="A37" s="40" t="str">
        <x:f>TEXT('Quarterly Results'!A25,"yyyy-mm")</x:f>
        <x:v>2025-03</x:v>
      </x:c>
      <x:c r="B37" s="53" t="n">
        <x:f>'Quarterly Results'!I25</x:f>
        <x:v>0.23912519043862138</x:v>
      </x:c>
      <x:c r="C37" s="53" t="n">
        <x:f>'Quarterly Results'!L25</x:f>
        <x:v>0.17986545866519296</x:v>
      </x:c>
      <x:c r="D37" s="40"/>
      <x:c r="E37" s="40"/>
      <x:c r="F37" s="40"/>
      <x:c r="G37" s="40"/>
      <x:c r="H37" s="40"/>
      <x:c r="I37" s="40"/>
      <x:c r="J37" s="40"/>
      <x:c r="K37" s="40"/>
      <x:c r="L37" s="40"/>
    </x:row>
    <x:row r="38">
      <x:c r="A38" s="40" t="str">
        <x:f>TEXT('Quarterly Results'!A26,"yyyy-mm")</x:f>
        <x:v>2025-06</x:v>
      </x:c>
      <x:c r="B38" s="53" t="n">
        <x:f>'Quarterly Results'!I26</x:f>
        <x:v>0.09454780447850744</x:v>
      </x:c>
      <x:c r="C38" s="53" t="n">
        <x:f>'Quarterly Results'!L26</x:f>
        <x:v>0.03941580759071553</x:v>
      </x:c>
      <x:c r="D38" s="40"/>
      <x:c r="E38" s="40"/>
      <x:c r="F38" s="40"/>
      <x:c r="G38" s="40"/>
      <x:c r="H38" s="40"/>
      <x:c r="I38" s="40"/>
      <x:c r="J38" s="40"/>
      <x:c r="K38" s="40"/>
      <x:c r="L38" s="40"/>
    </x:row>
    <x:row r="39">
      <x:c r="A39" s="40" t="str">
        <x:f>TEXT('Quarterly Results'!A27,"yyyy-mm")</x:f>
        <x:v>2025-09</x:v>
      </x:c>
      <x:c r="B39" s="53" t="n">
        <x:f>'Quarterly Results'!I27</x:f>
        <x:v>0.04082413828736682</x:v>
      </x:c>
      <x:c r="C39" s="53" t="n">
        <x:f>'Quarterly Results'!L27</x:f>
        <x:v>0.04829308984626764</x:v>
      </x:c>
      <x:c r="D39" s="40"/>
      <x:c r="E39" s="40"/>
      <x:c r="F39" s="40"/>
      <x:c r="G39" s="40"/>
      <x:c r="H39" s="40"/>
      <x:c r="I39" s="40"/>
      <x:c r="J39" s="40"/>
      <x:c r="K39" s="40"/>
      <x:c r="L39" s="40"/>
    </x:row>
  </x:sheetData>
  <x:mergeCells>
    <x:mergeCell ref="A1:L2"/>
    <x:mergeCell ref="A3:L3"/>
    <x:mergeCell ref="A10:L10"/>
    <x:mergeCell ref="A15:L15"/>
  </x:mergeCells>
  <x:pageMargins left="0.7" right="0.7" top="0.75" bottom="0.75" header="0.3" footer="0.3"/>
  <x:drawing xmlns:r="http://schemas.openxmlformats.org/officeDocument/2006/relationships" r:id="Rf202dde4cd3446b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</x:cols>
  <x:sheetData>
    <x:row r="1" ht="32" customHeight="1">
      <x:c r="A1" s="3" t="str">
        <x:v>Quarterly Event Results (77 calendar days)</x:v>
      </x:c>
    </x:row>
    <x:row r="2" ht="32" customHeight="1"/>
    <x:row r="4">
      <x:c r="A4" s="35" t="str">
        <x:v>signal_date</x:v>
      </x:c>
      <x:c r="B4" s="36" t="str">
        <x:v>horizon_days</x:v>
      </x:c>
      <x:c r="C4" s="36" t="str">
        <x:v>max_exit_date</x:v>
      </x:c>
      <x:c r="D4" s="36" t="str">
        <x:v>eligible_count</x:v>
      </x:c>
      <x:c r="E4" s="36" t="str">
        <x:v>return_observation_count</x:v>
      </x:c>
      <x:c r="F4" s="36" t="str">
        <x:v>top_count</x:v>
      </x:c>
      <x:c r="G4" s="36" t="str">
        <x:v>bottom_count</x:v>
      </x:c>
      <x:c r="H4" s="36" t="str">
        <x:v>universe_return_count</x:v>
      </x:c>
      <x:c r="I4" s="36" t="str">
        <x:v>top15_mean_return</x:v>
      </x:c>
      <x:c r="J4" s="36" t="str">
        <x:v>bottom15_mean_return</x:v>
      </x:c>
      <x:c r="K4" s="36" t="str">
        <x:v>cheap_spread</x:v>
      </x:c>
      <x:c r="L4" s="36" t="str">
        <x:v>universe_equal_weight_return</x:v>
      </x:c>
      <x:c r="M4" s="36" t="str">
        <x:v>top15_excess_return</x:v>
      </x:c>
      <x:c r="N4" s="36" t="str">
        <x:v>cheap_quintile_1_return</x:v>
      </x:c>
      <x:c r="O4" s="36" t="str">
        <x:v>cheap_quintile_2_return</x:v>
      </x:c>
      <x:c r="P4" s="36" t="str">
        <x:v>cheap_quintile_3_return</x:v>
      </x:c>
      <x:c r="Q4" s="36" t="str">
        <x:v>cheap_quintile_4_return</x:v>
      </x:c>
      <x:c r="R4" s="37" t="str">
        <x:v>cheap_quintile_5_return</x:v>
      </x:c>
      <x:c r="S4" s="35" t="str">
        <x:v>Cumulative Top 15</x:v>
      </x:c>
      <x:c r="T4" s="37" t="str">
        <x:v>Cumulative Universe</x:v>
      </x:c>
    </x:row>
    <x:row r="5">
      <x:c r="A5" s="54" t="n">
        <x:v>43921</x:v>
      </x:c>
      <x:c r="B5" t="n">
        <x:v>77</x:v>
      </x:c>
      <x:c r="C5" s="54" t="n">
        <x:v>43998</x:v>
      </x:c>
      <x:c r="D5" s="55" t="n">
        <x:v>62</x:v>
      </x:c>
      <x:c r="E5" s="55" t="n">
        <x:v>62</x:v>
      </x:c>
      <x:c r="F5" s="55" t="n">
        <x:v>15</x:v>
      </x:c>
      <x:c r="G5" s="55" t="n">
        <x:v>15</x:v>
      </x:c>
      <x:c r="H5" s="55" t="n">
        <x:v>130</x:v>
      </x:c>
      <x:c r="I5" s="38" t="n">
        <x:v>0.29358129976387826</x:v>
      </x:c>
      <x:c r="J5" s="38" t="n">
        <x:v>0.27505954200254734</x:v>
      </x:c>
      <x:c r="K5" s="38" t="n">
        <x:v>0.018521757761330915</x:v>
      </x:c>
      <x:c r="L5" s="38" t="n">
        <x:v>0.3209243119202711</x:v>
      </x:c>
      <x:c r="M5" s="38" t="n">
        <x:v>-0.027343012156392843</x:v>
      </x:c>
      <x:c r="N5" s="38" t="n">
        <x:v>0.2593462982879447</x:v>
      </x:c>
      <x:c r="O5" s="38" t="n">
        <x:v>0.3191424334070823</x:v>
      </x:c>
      <x:c r="P5" s="38" t="n">
        <x:v>0.34265335498372274</x:v>
      </x:c>
      <x:c r="Q5" s="38" t="n">
        <x:v>0.352419280758595</x:v>
      </x:c>
      <x:c r="R5" s="38" t="n">
        <x:v>0.32132415056080077</x:v>
      </x:c>
      <x:c r="S5" s="56" t="n">
        <x:f>1+I5</x:f>
        <x:v>1.2935812997638783</x:v>
      </x:c>
      <x:c r="T5" s="56" t="n">
        <x:f>1+L5</x:f>
        <x:v>1.3209243119202712</x:v>
      </x:c>
    </x:row>
    <x:row r="6">
      <x:c r="A6" s="54" t="n">
        <x:v>44012</x:v>
      </x:c>
      <x:c r="B6" t="n">
        <x:v>77</x:v>
      </x:c>
      <x:c r="C6" s="54" t="n">
        <x:v>44089</x:v>
      </x:c>
      <x:c r="D6" s="55" t="n">
        <x:v>63</x:v>
      </x:c>
      <x:c r="E6" s="55" t="n">
        <x:v>63</x:v>
      </x:c>
      <x:c r="F6" s="55" t="n">
        <x:v>15</x:v>
      </x:c>
      <x:c r="G6" s="55" t="n">
        <x:v>15</x:v>
      </x:c>
      <x:c r="H6" s="55" t="n">
        <x:v>131</x:v>
      </x:c>
      <x:c r="I6" s="38" t="n">
        <x:v>0.1848691197229582</x:v>
      </x:c>
      <x:c r="J6" s="38" t="n">
        <x:v>0.23444708890792662</x:v>
      </x:c>
      <x:c r="K6" s="38" t="n">
        <x:v>-0.04957796918496843</x:v>
      </x:c>
      <x:c r="L6" s="38" t="n">
        <x:v>0.21183703604085846</x:v>
      </x:c>
      <x:c r="M6" s="38" t="n">
        <x:v>-0.02696791631790027</x:v>
      </x:c>
      <x:c r="N6" s="38" t="n">
        <x:v>0.18663792592473896</x:v>
      </x:c>
      <x:c r="O6" s="38" t="n">
        <x:v>0.2237234484177886</x:v>
      </x:c>
      <x:c r="P6" s="38" t="n">
        <x:v>0.3943695080880356</x:v>
      </x:c>
      <x:c r="Q6" s="38" t="n">
        <x:v>0.14338022513780047</x:v>
      </x:c>
      <x:c r="R6" s="38" t="n">
        <x:v>0.25590248687350164</x:v>
      </x:c>
      <x:c r="S6" s="56" t="n">
        <x:f>S5*(1+I6)</x:f>
        <x:v>1.5327245359413064</x:v>
      </x:c>
      <x:c r="T6" s="56" t="n">
        <x:f>T5*(1+L6)</x:f>
        <x:v>1.6007450029917716</x:v>
      </x:c>
    </x:row>
    <x:row r="7">
      <x:c r="A7" s="54" t="n">
        <x:v>44104</x:v>
      </x:c>
      <x:c r="B7" t="n">
        <x:v>77</x:v>
      </x:c>
      <x:c r="C7" s="54" t="n">
        <x:v>44180</x:v>
      </x:c>
      <x:c r="D7" s="55" t="n">
        <x:v>63</x:v>
      </x:c>
      <x:c r="E7" s="55" t="n">
        <x:v>63</x:v>
      </x:c>
      <x:c r="F7" s="55" t="n">
        <x:v>15</x:v>
      </x:c>
      <x:c r="G7" s="55" t="n">
        <x:v>15</x:v>
      </x:c>
      <x:c r="H7" s="55" t="n">
        <x:v>131</x:v>
      </x:c>
      <x:c r="I7" s="38" t="n">
        <x:v>0.1292312932597908</x:v>
      </x:c>
      <x:c r="J7" s="38" t="n">
        <x:v>0.09154244611739919</x:v>
      </x:c>
      <x:c r="K7" s="38" t="n">
        <x:v>0.03768884714239161</x:v>
      </x:c>
      <x:c r="L7" s="38" t="n">
        <x:v>0.11783705679974454</x:v>
      </x:c>
      <x:c r="M7" s="38" t="n">
        <x:v>0.011394236460046253</x:v>
      </x:c>
      <x:c r="N7" s="38" t="n">
        <x:v>0.11540091577489317</x:v>
      </x:c>
      <x:c r="O7" s="38" t="n">
        <x:v>0.17587669080481927</x:v>
      </x:c>
      <x:c r="P7" s="38" t="n">
        <x:v>0.07356560257799642</x:v>
      </x:c>
      <x:c r="Q7" s="38" t="n">
        <x:v>0.1058949424150868</x:v>
      </x:c>
      <x:c r="R7" s="38" t="n">
        <x:v>0.12497090389596453</x:v>
      </x:c>
      <x:c r="S7" s="56" t="n">
        <x:f>S6*(1+I7)</x:f>
        <x:v>1.730800509932014</x:v>
      </x:c>
      <x:c r="T7" s="56" t="n">
        <x:f>T6*(1+L7)</x:f>
        <x:v>1.7893720828312203</x:v>
      </x:c>
    </x:row>
    <x:row r="8">
      <x:c r="A8" s="54" t="n">
        <x:v>44196</x:v>
      </x:c>
      <x:c r="B8" t="n">
        <x:v>77</x:v>
      </x:c>
      <x:c r="C8" s="54" t="n">
        <x:v>44272</x:v>
      </x:c>
      <x:c r="D8" s="55" t="n">
        <x:v>63</x:v>
      </x:c>
      <x:c r="E8" s="55" t="n">
        <x:v>63</x:v>
      </x:c>
      <x:c r="F8" s="55" t="n">
        <x:v>15</x:v>
      </x:c>
      <x:c r="G8" s="55" t="n">
        <x:v>15</x:v>
      </x:c>
      <x:c r="H8" s="55" t="n">
        <x:v>132</x:v>
      </x:c>
      <x:c r="I8" s="38" t="n">
        <x:v>0.0916458090741665</x:v>
      </x:c>
      <x:c r="J8" s="38" t="n">
        <x:v>-0.0020706127757510054</x:v>
      </x:c>
      <x:c r="K8" s="38" t="n">
        <x:v>0.0937164218499175</x:v>
      </x:c>
      <x:c r="L8" s="38" t="n">
        <x:v>0.10380601201792956</x:v>
      </x:c>
      <x:c r="M8" s="38" t="n">
        <x:v>-0.012160202943763063</x:v>
      </x:c>
      <x:c r="N8" s="38" t="n">
        <x:v>0.07104879617384371</x:v>
      </x:c>
      <x:c r="O8" s="38" t="n">
        <x:v>0.12699455802562884</x:v>
      </x:c>
      <x:c r="P8" s="38" t="n">
        <x:v>0.07547095648083461</x:v>
      </x:c>
      <x:c r="Q8" s="38" t="n">
        <x:v>0.2342347605586535</x:v>
      </x:c>
      <x:c r="R8" s="38" t="n">
        <x:v>-0.03785802279854851</x:v>
      </x:c>
      <x:c r="S8" s="56" t="n">
        <x:f>S7*(1+I8)</x:f>
        <x:v>1.8894211230107134</x:v>
      </x:c>
      <x:c r="T8" s="56" t="n">
        <x:f>T7*(1+L8)</x:f>
        <x:v>1.9751196627661456</x:v>
      </x:c>
    </x:row>
    <x:row r="9">
      <x:c r="A9" s="54" t="n">
        <x:v>44286</x:v>
      </x:c>
      <x:c r="B9" t="n">
        <x:v>77</x:v>
      </x:c>
      <x:c r="C9" s="54" t="n">
        <x:v>44363</x:v>
      </x:c>
      <x:c r="D9" s="55" t="n">
        <x:v>59</x:v>
      </x:c>
      <x:c r="E9" s="55" t="n">
        <x:v>59</x:v>
      </x:c>
      <x:c r="F9" s="55" t="n">
        <x:v>15</x:v>
      </x:c>
      <x:c r="G9" s="55" t="n">
        <x:v>15</x:v>
      </x:c>
      <x:c r="H9" s="55" t="n">
        <x:v>135</x:v>
      </x:c>
      <x:c r="I9" s="38" t="n">
        <x:v>0.2134503379820725</x:v>
      </x:c>
      <x:c r="J9" s="38" t="n">
        <x:v>0.451793813016279</x:v>
      </x:c>
      <x:c r="K9" s="38" t="n">
        <x:v>-0.23834347503420653</x:v>
      </x:c>
      <x:c r="L9" s="38" t="n">
        <x:v>0.1923691541382092</x:v>
      </x:c>
      <x:c r="M9" s="38" t="n">
        <x:v>0.021081183843863288</x:v>
      </x:c>
      <x:c r="N9" s="38" t="n">
        <x:v>0.2497786681249646</x:v>
      </x:c>
      <x:c r="O9" s="38" t="n">
        <x:v>0.10801544854782948</x:v>
      </x:c>
      <x:c r="P9" s="38" t="n">
        <x:v>0.14693727133329956</x:v>
      </x:c>
      <x:c r="Q9" s="38" t="n">
        <x:v>0.13203016065954962</x:v>
      </x:c>
      <x:c r="R9" s="38" t="n">
        <x:v>0.5535629778418404</x:v>
      </x:c>
      <x:c r="S9" s="56" t="n">
        <x:f>S8*(1+I9)</x:f>
        <x:v>2.2927187003078173</x:v>
      </x:c>
      <x:c r="T9" s="56" t="n">
        <x:f>T8*(1+L9)</x:f>
        <x:v>2.3550717616142136</x:v>
      </x:c>
    </x:row>
    <x:row r="10">
      <x:c r="A10" s="54" t="n">
        <x:v>44377</x:v>
      </x:c>
      <x:c r="B10" t="n">
        <x:v>77</x:v>
      </x:c>
      <x:c r="C10" s="54" t="n">
        <x:v>44454</x:v>
      </x:c>
      <x:c r="D10" s="55" t="n">
        <x:v>60</x:v>
      </x:c>
      <x:c r="E10" s="55" t="n">
        <x:v>60</x:v>
      </x:c>
      <x:c r="F10" s="55" t="n">
        <x:v>15</x:v>
      </x:c>
      <x:c r="G10" s="55" t="n">
        <x:v>15</x:v>
      </x:c>
      <x:c r="H10" s="55" t="n">
        <x:v>136</x:v>
      </x:c>
      <x:c r="I10" s="38" t="n">
        <x:v>-0.0394963579758579</x:v>
      </x:c>
      <x:c r="J10" s="38" t="n">
        <x:v>-0.042615899203158995</x:v>
      </x:c>
      <x:c r="K10" s="38" t="n">
        <x:v>0.003119541227301098</x:v>
      </x:c>
      <x:c r="L10" s="38" t="n">
        <x:v>-0.005607510663005009</x:v>
      </x:c>
      <x:c r="M10" s="38" t="n">
        <x:v>-0.03388884731285289</x:v>
      </x:c>
      <x:c r="N10" s="38" t="n">
        <x:v>-0.053215339466944955</x:v>
      </x:c>
      <x:c r="O10" s="38" t="n">
        <x:v>-0.020168832979502144</x:v>
      </x:c>
      <x:c r="P10" s="38" t="n">
        <x:v>0.019459017623491556</x:v>
      </x:c>
      <x:c r="Q10" s="38" t="n">
        <x:v>-0.0026308583473537085</x:v>
      </x:c>
      <x:c r="R10" s="38" t="n">
        <x:v>-0.09318245409782176</x:v>
      </x:c>
      <x:c r="S10" s="56" t="n">
        <x:f>S9*(1+I10)</x:f>
        <x:v>2.202164661782516</x:v>
      </x:c>
      <x:c r="T10" s="56" t="n">
        <x:f>T9*(1+L10)</x:f>
        <x:v>2.34186567159882</x:v>
      </x:c>
    </x:row>
    <x:row r="11">
      <x:c r="A11" s="54" t="n">
        <x:v>44469</x:v>
      </x:c>
      <x:c r="B11" t="n">
        <x:v>77</x:v>
      </x:c>
      <x:c r="C11" s="54" t="n">
        <x:v>44546</x:v>
      </x:c>
      <x:c r="D11" s="55" t="n">
        <x:v>59</x:v>
      </x:c>
      <x:c r="E11" s="55" t="n">
        <x:v>59</x:v>
      </x:c>
      <x:c r="F11" s="55" t="n">
        <x:v>15</x:v>
      </x:c>
      <x:c r="G11" s="55" t="n">
        <x:v>15</x:v>
      </x:c>
      <x:c r="H11" s="55" t="n">
        <x:v>137</x:v>
      </x:c>
      <x:c r="I11" s="38" t="n">
        <x:v>-0.015554079001610177</x:v>
      </x:c>
      <x:c r="J11" s="38" t="n">
        <x:v>-0.04489355604499937</x:v>
      </x:c>
      <x:c r="K11" s="38" t="n">
        <x:v>0.029339477043389198</x:v>
      </x:c>
      <x:c r="L11" s="38" t="n">
        <x:v>-0.052034867444059704</x:v>
      </x:c>
      <x:c r="M11" s="38" t="n">
        <x:v>0.03648078844244953</x:v>
      </x:c>
      <x:c r="N11" s="38" t="n">
        <x:v>-0.027474650351845653</x:v>
      </x:c>
      <x:c r="O11" s="38" t="n">
        <x:v>-0.02237121507602277</x:v>
      </x:c>
      <x:c r="P11" s="38" t="n">
        <x:v>-0.03751289320010028</x:v>
      </x:c>
      <x:c r="Q11" s="38" t="n">
        <x:v>-0.03503923279400515</x:v>
      </x:c>
      <x:c r="R11" s="38" t="n">
        <x:v>-0.04111695750672679</x:v>
      </x:c>
      <x:c r="S11" s="56" t="n">
        <x:f>S10*(1+I11)</x:f>
        <x:v>2.1679120186585967</x:v>
      </x:c>
      <x:c r="T11" s="56" t="n">
        <x:f>T10*(1+L11)</x:f>
        <x:v>2.2200070018053815</x:v>
      </x:c>
    </x:row>
    <x:row r="12">
      <x:c r="A12" s="54" t="n">
        <x:v>44561</x:v>
      </x:c>
      <x:c r="B12" t="n">
        <x:v>77</x:v>
      </x:c>
      <x:c r="C12" s="54" t="n">
        <x:v>44637</x:v>
      </x:c>
      <x:c r="D12" s="55" t="n">
        <x:v>59</x:v>
      </x:c>
      <x:c r="E12" s="55" t="n">
        <x:v>59</x:v>
      </x:c>
      <x:c r="F12" s="55" t="n">
        <x:v>15</x:v>
      </x:c>
      <x:c r="G12" s="55" t="n">
        <x:v>15</x:v>
      </x:c>
      <x:c r="H12" s="55" t="n">
        <x:v>138</x:v>
      </x:c>
      <x:c r="I12" s="38" t="n">
        <x:v>0.021186450572373908</x:v>
      </x:c>
      <x:c r="J12" s="38" t="n">
        <x:v>-0.1495921296480431</x:v>
      </x:c>
      <x:c r="K12" s="38" t="n">
        <x:v>0.17077858022041703</x:v>
      </x:c>
      <x:c r="L12" s="38" t="n">
        <x:v>-0.036271451697716055</x:v>
      </x:c>
      <x:c r="M12" s="38" t="n">
        <x:v>0.05745790227008996</x:v>
      </x:c>
      <x:c r="N12" s="38" t="n">
        <x:v>-0.0108688905825284</x:v>
      </x:c>
      <x:c r="O12" s="38" t="n">
        <x:v>-0.01118338642832628</x:v>
      </x:c>
      <x:c r="P12" s="38" t="n">
        <x:v>0.07000380407359563</x:v>
      </x:c>
      <x:c r="Q12" s="38" t="n">
        <x:v>-0.05221206533562358</x:v>
      </x:c>
      <x:c r="R12" s="38" t="n">
        <x:v>-0.15203409437386345</x:v>
      </x:c>
      <x:c r="S12" s="56" t="n">
        <x:f>S11*(1+I12)</x:f>
        <x:v>2.2138423794871627</x:v>
      </x:c>
      <x:c r="T12" s="56" t="n">
        <x:f>T11*(1+L12)</x:f>
        <x:v>2.139484125070806</x:v>
      </x:c>
    </x:row>
    <x:row r="13">
      <x:c r="A13" s="54" t="n">
        <x:v>44651</x:v>
      </x:c>
      <x:c r="B13" t="n">
        <x:v>77</x:v>
      </x:c>
      <x:c r="C13" s="54" t="n">
        <x:v>44728</x:v>
      </x:c>
      <x:c r="D13" s="55" t="n">
        <x:v>66</x:v>
      </x:c>
      <x:c r="E13" s="55" t="n">
        <x:v>66</x:v>
      </x:c>
      <x:c r="F13" s="55" t="n">
        <x:v>15</x:v>
      </x:c>
      <x:c r="G13" s="55" t="n">
        <x:v>15</x:v>
      </x:c>
      <x:c r="H13" s="55" t="n">
        <x:v>139</x:v>
      </x:c>
      <x:c r="I13" s="38" t="n">
        <x:v>-0.1628245530066578</x:v>
      </x:c>
      <x:c r="J13" s="38" t="n">
        <x:v>-0.15250602947547706</x:v>
      </x:c>
      <x:c r="K13" s="38" t="n">
        <x:v>-0.010318523531180734</x:v>
      </x:c>
      <x:c r="L13" s="38" t="n">
        <x:v>-0.13061493973447408</x:v>
      </x:c>
      <x:c r="M13" s="38" t="n">
        <x:v>-0.03220961327218372</x:v>
      </x:c>
      <x:c r="N13" s="38" t="n">
        <x:v>-0.17265566362101556</x:v>
      </x:c>
      <x:c r="O13" s="38" t="n">
        <x:v>-0.08816006653220579</x:v>
      </x:c>
      <x:c r="P13" s="38" t="n">
        <x:v>-0.11077733589940196</x:v>
      </x:c>
      <x:c r="Q13" s="38" t="n">
        <x:v>-0.14228825542532983</x:v>
      </x:c>
      <x:c r="R13" s="38" t="n">
        <x:v>-0.1703215081452443</x:v>
      </x:c>
      <x:c r="S13" s="56" t="n">
        <x:f>S12*(1+I13)</x:f>
        <x:v>1.8533744836199697</x:v>
      </x:c>
      <x:c r="T13" s="56" t="n">
        <x:f>T12*(1+L13)</x:f>
        <x:v>1.860035535011819</x:v>
      </x:c>
    </x:row>
    <x:row r="14">
      <x:c r="A14" s="54" t="n">
        <x:v>44742</x:v>
      </x:c>
      <x:c r="B14" t="n">
        <x:v>77</x:v>
      </x:c>
      <x:c r="C14" s="54" t="n">
        <x:v>44819</x:v>
      </x:c>
      <x:c r="D14" s="55" t="n">
        <x:v>66</x:v>
      </x:c>
      <x:c r="E14" s="55" t="n">
        <x:v>66</x:v>
      </x:c>
      <x:c r="F14" s="55" t="n">
        <x:v>15</x:v>
      </x:c>
      <x:c r="G14" s="55" t="n">
        <x:v>15</x:v>
      </x:c>
      <x:c r="H14" s="55" t="n">
        <x:v>140</x:v>
      </x:c>
      <x:c r="I14" s="38" t="n">
        <x:v>0.12287116024358813</x:v>
      </x:c>
      <x:c r="J14" s="38" t="n">
        <x:v>0.06317375966609586</x:v>
      </x:c>
      <x:c r="K14" s="38" t="n">
        <x:v>0.059697400577492274</x:v>
      </x:c>
      <x:c r="L14" s="38" t="n">
        <x:v>0.07532329589307608</x:v>
      </x:c>
      <x:c r="M14" s="38" t="n">
        <x:v>0.047547864350512045</x:v>
      </x:c>
      <x:c r="N14" s="38" t="n">
        <x:v>0.11748983058149688</x:v>
      </x:c>
      <x:c r="O14" s="38" t="n">
        <x:v>0.11005972575978919</x:v>
      </x:c>
      <x:c r="P14" s="38" t="n">
        <x:v>0.03169832034690657</x:v>
      </x:c>
      <x:c r="Q14" s="38" t="n">
        <x:v>0.0796417386011418</x:v>
      </x:c>
      <x:c r="R14" s="38" t="n">
        <x:v>0.05623376387549268</x:v>
      </x:c>
      <x:c r="S14" s="56" t="n">
        <x:f>S13*(1+I14)</x:f>
        <x:v>2.0811007567882163</x:v>
      </x:c>
      <x:c r="T14" s="56" t="n">
        <x:f>T13*(1+L14)</x:f>
        <x:v>2.00013954198715</x:v>
      </x:c>
    </x:row>
    <x:row r="15">
      <x:c r="A15" s="54" t="n">
        <x:v>44834</x:v>
      </x:c>
      <x:c r="B15" t="n">
        <x:v>77</x:v>
      </x:c>
      <x:c r="C15" s="54" t="n">
        <x:v>44911</x:v>
      </x:c>
      <x:c r="D15" s="55" t="n">
        <x:v>66</x:v>
      </x:c>
      <x:c r="E15" s="55" t="n">
        <x:v>66</x:v>
      </x:c>
      <x:c r="F15" s="55" t="n">
        <x:v>15</x:v>
      </x:c>
      <x:c r="G15" s="55" t="n">
        <x:v>15</x:v>
      </x:c>
      <x:c r="H15" s="55" t="n">
        <x:v>141</x:v>
      </x:c>
      <x:c r="I15" s="38" t="n">
        <x:v>0.11534065299762551</x:v>
      </x:c>
      <x:c r="J15" s="38" t="n">
        <x:v>0.12816191186115974</x:v>
      </x:c>
      <x:c r="K15" s="38" t="n">
        <x:v>-0.012821258863534232</x:v>
      </x:c>
      <x:c r="L15" s="38" t="n">
        <x:v>0.0903490016936557</x:v>
      </x:c>
      <x:c r="M15" s="38" t="n">
        <x:v>0.02499165130396981</x:v>
      </x:c>
      <x:c r="N15" s="38" t="n">
        <x:v>0.11826103453643819</x:v>
      </x:c>
      <x:c r="O15" s="38" t="n">
        <x:v>0.06134367600829359</x:v>
      </x:c>
      <x:c r="P15" s="38" t="n">
        <x:v>0.11379574418086273</x:v>
      </x:c>
      <x:c r="Q15" s="38" t="n">
        <x:v>0.07172482920037969</x:v>
      </x:c>
      <x:c r="R15" s="38" t="n">
        <x:v>0.1378622474077293</x:v>
      </x:c>
      <x:c r="S15" s="56" t="n">
        <x:f>S14*(1+I15)</x:f>
        <x:v>2.3211362770300217</x:v>
      </x:c>
      <x:c r="T15" s="56" t="n">
        <x:f>T14*(1+L15)</x:f>
        <x:v>2.180850152853695</x:v>
      </x:c>
    </x:row>
    <x:row r="16">
      <x:c r="A16" s="54" t="n">
        <x:v>44926</x:v>
      </x:c>
      <x:c r="B16" t="n">
        <x:v>77</x:v>
      </x:c>
      <x:c r="C16" s="54" t="n">
        <x:v>45001</x:v>
      </x:c>
      <x:c r="D16" s="55" t="n">
        <x:v>66</x:v>
      </x:c>
      <x:c r="E16" s="55" t="n">
        <x:v>66</x:v>
      </x:c>
      <x:c r="F16" s="55" t="n">
        <x:v>15</x:v>
      </x:c>
      <x:c r="G16" s="55" t="n">
        <x:v>15</x:v>
      </x:c>
      <x:c r="H16" s="55" t="n">
        <x:v>141</x:v>
      </x:c>
      <x:c r="I16" s="38" t="n">
        <x:v>0.04083894539759565</x:v>
      </x:c>
      <x:c r="J16" s="38" t="n">
        <x:v>0.01102182860016171</x:v>
      </x:c>
      <x:c r="K16" s="38" t="n">
        <x:v>0.029817116797433943</x:v>
      </x:c>
      <x:c r="L16" s="38" t="n">
        <x:v>0.09853650426100762</x:v>
      </x:c>
      <x:c r="M16" s="38" t="n">
        <x:v>-0.05769755886341196</x:v>
      </x:c>
      <x:c r="N16" s="38" t="n">
        <x:v>0.04337440623770017</x:v>
      </x:c>
      <x:c r="O16" s="38" t="n">
        <x:v>-0.014308673685328918</x:v>
      </x:c>
      <x:c r="P16" s="38" t="n">
        <x:v>0.1537961516970912</x:v>
      </x:c>
      <x:c r="Q16" s="38" t="n">
        <x:v>0.08692638273593031</x:v>
      </x:c>
      <x:c r="R16" s="38" t="n">
        <x:v>0.023241389103722712</x:v>
      </x:c>
      <x:c r="S16" s="56" t="n">
        <x:f>S15*(1+I16)</x:f>
        <x:v>2.415929034708029</x:v>
      </x:c>
      <x:c r="T16" s="56" t="n">
        <x:f>T15*(1+L16)</x:f>
        <x:v>2.395743503232982</x:v>
      </x:c>
    </x:row>
    <x:row r="17">
      <x:c r="A17" s="54" t="n">
        <x:v>45016</x:v>
      </x:c>
      <x:c r="B17" t="n">
        <x:v>77</x:v>
      </x:c>
      <x:c r="C17" s="54" t="n">
        <x:v>45093</x:v>
      </x:c>
      <x:c r="D17" s="55" t="n">
        <x:v>69</x:v>
      </x:c>
      <x:c r="E17" s="55" t="n">
        <x:v>69</x:v>
      </x:c>
      <x:c r="F17" s="55" t="n">
        <x:v>15</x:v>
      </x:c>
      <x:c r="G17" s="55" t="n">
        <x:v>15</x:v>
      </x:c>
      <x:c r="H17" s="55" t="n">
        <x:v>142</x:v>
      </x:c>
      <x:c r="I17" s="38" t="n">
        <x:v>-0.006326839405809384</x:v>
      </x:c>
      <x:c r="J17" s="38" t="n">
        <x:v>0.10193533292912835</x:v>
      </x:c>
      <x:c r="K17" s="38" t="n">
        <x:v>-0.10826217233493773</x:v>
      </x:c>
      <x:c r="L17" s="38" t="n">
        <x:v>0.09520849415998243</x:v>
      </x:c>
      <x:c r="M17" s="38" t="n">
        <x:v>-0.10153533356579182</x:v>
      </x:c>
      <x:c r="N17" s="38" t="n">
        <x:v>-0.003744846711854597</x:v>
      </x:c>
      <x:c r="O17" s="38" t="n">
        <x:v>0.13315070997117687</x:v>
      </x:c>
      <x:c r="P17" s="38" t="n">
        <x:v>0.07870738116699312</x:v>
      </x:c>
      <x:c r="Q17" s="38" t="n">
        <x:v>0.21972769438500045</x:v>
      </x:c>
      <x:c r="R17" s="38" t="n">
        <x:v>0.09735466017231527</x:v>
      </x:c>
      <x:c r="S17" s="56" t="n">
        <x:f>S16*(1+I17)</x:f>
        <x:v>2.4006438396895993</x:v>
      </x:c>
      <x:c r="T17" s="56" t="n">
        <x:f>T16*(1+L17)</x:f>
        <x:v>2.623838634569355</x:v>
      </x:c>
    </x:row>
    <x:row r="18">
      <x:c r="A18" s="54" t="n">
        <x:v>45107</x:v>
      </x:c>
      <x:c r="B18" t="n">
        <x:v>77</x:v>
      </x:c>
      <x:c r="C18" s="54" t="n">
        <x:v>45184</x:v>
      </x:c>
      <x:c r="D18" s="55" t="n">
        <x:v>69</x:v>
      </x:c>
      <x:c r="E18" s="55" t="n">
        <x:v>69</x:v>
      </x:c>
      <x:c r="F18" s="55" t="n">
        <x:v>15</x:v>
      </x:c>
      <x:c r="G18" s="55" t="n">
        <x:v>15</x:v>
      </x:c>
      <x:c r="H18" s="55" t="n">
        <x:v>143</x:v>
      </x:c>
      <x:c r="I18" s="38" t="n">
        <x:v>0.0033353585521819717</x:v>
      </x:c>
      <x:c r="J18" s="38" t="n">
        <x:v>0.029838911016354455</x:v>
      </x:c>
      <x:c r="K18" s="38" t="n">
        <x:v>-0.026503552464172485</x:v>
      </x:c>
      <x:c r="L18" s="38" t="n">
        <x:v>-0.0002924065363315821</x:v>
      </x:c>
      <x:c r="M18" s="38" t="n">
        <x:v>0.003627765088513554</x:v>
      </x:c>
      <x:c r="N18" s="38" t="n">
        <x:v>0.0058052543735229705</x:v>
      </x:c>
      <x:c r="O18" s="38" t="n">
        <x:v>-0.008154159815532044</x:v>
      </x:c>
      <x:c r="P18" s="38" t="n">
        <x:v>0.059889546445801474</x:v>
      </x:c>
      <x:c r="Q18" s="38" t="n">
        <x:v>-0.013254735942444642</x:v>
      </x:c>
      <x:c r="R18" s="38" t="n">
        <x:v>0.05538383233525292</x:v>
      </x:c>
      <x:c r="S18" s="56" t="n">
        <x:f>S17*(1+I18)</x:f>
        <x:v>2.4086508476510513</x:v>
      </x:c>
      <x:c r="T18" s="56" t="n">
        <x:f>T17*(1+L18)</x:f>
        <x:v>2.6230714070023278</x:v>
      </x:c>
    </x:row>
    <x:row r="19">
      <x:c r="A19" s="54" t="n">
        <x:v>45199</x:v>
      </x:c>
      <x:c r="B19" t="n">
        <x:v>77</x:v>
      </x:c>
      <x:c r="C19" s="54" t="n">
        <x:v>45273</x:v>
      </x:c>
      <x:c r="D19" s="55" t="n">
        <x:v>69</x:v>
      </x:c>
      <x:c r="E19" s="55" t="n">
        <x:v>69</x:v>
      </x:c>
      <x:c r="F19" s="55" t="n">
        <x:v>15</x:v>
      </x:c>
      <x:c r="G19" s="55" t="n">
        <x:v>15</x:v>
      </x:c>
      <x:c r="H19" s="55" t="n">
        <x:v>144</x:v>
      </x:c>
      <x:c r="I19" s="38" t="n">
        <x:v>0.03494776806781227</x:v>
      </x:c>
      <x:c r="J19" s="38" t="n">
        <x:v>-0.009878855075974068</x:v>
      </x:c>
      <x:c r="K19" s="38" t="n">
        <x:v>0.04482662314378633</x:v>
      </x:c>
      <x:c r="L19" s="38" t="n">
        <x:v>-0.0030691165499973807</x:v>
      </x:c>
      <x:c r="M19" s="38" t="n">
        <x:v>0.038016884617809645</x:v>
      </x:c>
      <x:c r="N19" s="38" t="n">
        <x:v>0.018026461419903803</x:v>
      </x:c>
      <x:c r="O19" s="38" t="n">
        <x:v>0.03699552415990963</x:v>
      </x:c>
      <x:c r="P19" s="38" t="n">
        <x:v>0.005884534321790776</x:v>
      </x:c>
      <x:c r="Q19" s="38" t="n">
        <x:v>0.042712742592078426</x:v>
      </x:c>
      <x:c r="R19" s="38" t="n">
        <x:v>-0.0007429342841979799</x:v>
      </x:c>
      <x:c r="S19" s="56" t="n">
        <x:f>S18*(1+I19)</x:f>
        <x:v>2.4928278188311</x:v>
      </x:c>
      <x:c r="T19" s="56" t="n">
        <x:f>T18*(1+L19)</x:f>
        <x:v>2.615020895135272</x:v>
      </x:c>
    </x:row>
    <x:row r="20">
      <x:c r="A20" s="54" t="n">
        <x:v>45291</x:v>
      </x:c>
      <x:c r="B20" t="n">
        <x:v>77</x:v>
      </x:c>
      <x:c r="C20" s="54" t="n">
        <x:v>45365</x:v>
      </x:c>
      <x:c r="D20" s="55" t="n">
        <x:v>69</x:v>
      </x:c>
      <x:c r="E20" s="55" t="n">
        <x:v>69</x:v>
      </x:c>
      <x:c r="F20" s="55" t="n">
        <x:v>15</x:v>
      </x:c>
      <x:c r="G20" s="55" t="n">
        <x:v>15</x:v>
      </x:c>
      <x:c r="H20" s="55" t="n">
        <x:v>148</x:v>
      </x:c>
      <x:c r="I20" s="38" t="n">
        <x:v>0.011131930840929023</x:v>
      </x:c>
      <x:c r="J20" s="38" t="n">
        <x:v>-0.045103511585197785</x:v>
      </x:c>
      <x:c r="K20" s="38" t="n">
        <x:v>0.05623544242612681</x:v>
      </x:c>
      <x:c r="L20" s="38" t="n">
        <x:v>0.017112123151795142</x:v>
      </x:c>
      <x:c r="M20" s="38" t="n">
        <x:v>-0.00598019231086612</x:v>
      </x:c>
      <x:c r="N20" s="38" t="n">
        <x:v>0.0033042434673956167</x:v>
      </x:c>
      <x:c r="O20" s="38" t="n">
        <x:v>0.05368318275683918</x:v>
      </x:c>
      <x:c r="P20" s="38" t="n">
        <x:v>0.03130653664085811</x:v>
      </x:c>
      <x:c r="Q20" s="38" t="n">
        <x:v>-0.04058564655733295</x:v>
      </x:c>
      <x:c r="R20" s="38" t="n">
        <x:v>-0.03466087010298005</x:v>
      </x:c>
      <x:c r="S20" s="56" t="n">
        <x:f>S19*(1+I20)</x:f>
        <x:v>2.5205778057086716</x:v>
      </x:c>
      <x:c r="T20" s="56" t="n">
        <x:f>T19*(1+L20)</x:f>
        <x:v>2.6597694547373445</x:v>
      </x:c>
    </x:row>
    <x:row r="21">
      <x:c r="A21" s="54" t="n">
        <x:v>45382</x:v>
      </x:c>
      <x:c r="B21" t="n">
        <x:v>77</x:v>
      </x:c>
      <x:c r="C21" s="54" t="n">
        <x:v>45457</x:v>
      </x:c>
      <x:c r="D21" s="55" t="n">
        <x:v>67</x:v>
      </x:c>
      <x:c r="E21" s="55" t="n">
        <x:v>67</x:v>
      </x:c>
      <x:c r="F21" s="55" t="n">
        <x:v>15</x:v>
      </x:c>
      <x:c r="G21" s="55" t="n">
        <x:v>15</x:v>
      </x:c>
      <x:c r="H21" s="55" t="n">
        <x:v>149</x:v>
      </x:c>
      <x:c r="I21" s="38" t="n">
        <x:v>-0.004785307790849598</x:v>
      </x:c>
      <x:c r="J21" s="38" t="n">
        <x:v>0.005836847658952434</x:v>
      </x:c>
      <x:c r="K21" s="38" t="n">
        <x:v>-0.010622155449802034</x:v>
      </x:c>
      <x:c r="L21" s="38" t="n">
        <x:v>0.016347170026080153</x:v>
      </x:c>
      <x:c r="M21" s="38" t="n">
        <x:v>-0.02113247781692975</x:v>
      </x:c>
      <x:c r="N21" s="38" t="n">
        <x:v>0.00534610466298648</x:v>
      </x:c>
      <x:c r="O21" s="38" t="n">
        <x:v>0.0486062553220461</x:v>
      </x:c>
      <x:c r="P21" s="38" t="n">
        <x:v>-0.020360374303306727</x:v>
      </x:c>
      <x:c r="Q21" s="38" t="n">
        <x:v>0.10136271547253413</x:v>
      </x:c>
      <x:c r="R21" s="38" t="n">
        <x:v>-0.04822345367187912</x:v>
      </x:c>
      <x:c r="S21" s="56" t="n">
        <x:f>S20*(1+I21)</x:f>
        <x:v>2.508516065097571</x:v>
      </x:c>
      <x:c r="T21" s="56" t="n">
        <x:f>T20*(1+L21)</x:f>
        <x:v>2.7032491582441107</x:v>
      </x:c>
    </x:row>
    <x:row r="22">
      <x:c r="A22" s="54" t="n">
        <x:v>45473</x:v>
      </x:c>
      <x:c r="B22" t="n">
        <x:v>77</x:v>
      </x:c>
      <x:c r="C22" s="54" t="n">
        <x:v>45548</x:v>
      </x:c>
      <x:c r="D22" s="55" t="n">
        <x:v>68</x:v>
      </x:c>
      <x:c r="E22" s="55" t="n">
        <x:v>68</x:v>
      </x:c>
      <x:c r="F22" s="55" t="n">
        <x:v>15</x:v>
      </x:c>
      <x:c r="G22" s="55" t="n">
        <x:v>15</x:v>
      </x:c>
      <x:c r="H22" s="55" t="n">
        <x:v>150</x:v>
      </x:c>
      <x:c r="I22" s="38" t="n">
        <x:v>0.010202258979246577</x:v>
      </x:c>
      <x:c r="J22" s="38" t="n">
        <x:v>-0.09738299669286091</x:v>
      </x:c>
      <x:c r="K22" s="38" t="n">
        <x:v>0.10758525567210749</x:v>
      </x:c>
      <x:c r="L22" s="38" t="n">
        <x:v>-0.06887962123279355</x:v>
      </x:c>
      <x:c r="M22" s="38" t="n">
        <x:v>0.07908188021204013</x:v>
      </x:c>
      <x:c r="N22" s="38" t="n">
        <x:v>0.02777587508664788</x:v>
      </x:c>
      <x:c r="O22" s="38" t="n">
        <x:v>-0.0852233701430659</x:v>
      </x:c>
      <x:c r="P22" s="38" t="n">
        <x:v>-0.05797439870047451</x:v>
      </x:c>
      <x:c r="Q22" s="38" t="n">
        <x:v>-0.1075388823249679</x:v>
      </x:c>
      <x:c r="R22" s="38" t="n">
        <x:v>-0.11776001176579429</x:v>
      </x:c>
      <x:c r="S22" s="56" t="n">
        <x:f>S21*(1+I22)</x:f>
        <x:v>2.534108595647297</x:v>
      </x:c>
      <x:c r="T22" s="56" t="n">
        <x:f>T21*(1+L22)</x:f>
        <x:v>2.5170503801263884</x:v>
      </x:c>
    </x:row>
    <x:row r="23">
      <x:c r="A23" s="54" t="n">
        <x:v>45565</x:v>
      </x:c>
      <x:c r="B23" t="n">
        <x:v>77</x:v>
      </x:c>
      <x:c r="C23" s="54" t="n">
        <x:v>45642</x:v>
      </x:c>
      <x:c r="D23" s="55" t="n">
        <x:v>68</x:v>
      </x:c>
      <x:c r="E23" s="55" t="n">
        <x:v>68</x:v>
      </x:c>
      <x:c r="F23" s="55" t="n">
        <x:v>15</x:v>
      </x:c>
      <x:c r="G23" s="55" t="n">
        <x:v>15</x:v>
      </x:c>
      <x:c r="H23" s="55" t="n">
        <x:v>150</x:v>
      </x:c>
      <x:c r="I23" s="38" t="n">
        <x:v>-0.023375483871995614</x:v>
      </x:c>
      <x:c r="J23" s="38" t="n">
        <x:v>0.03135386756873557</x:v>
      </x:c>
      <x:c r="K23" s="38" t="n">
        <x:v>-0.05472935144073118</x:v>
      </x:c>
      <x:c r="L23" s="38" t="n">
        <x:v>0.005101600441128762</x:v>
      </x:c>
      <x:c r="M23" s="38" t="n">
        <x:v>-0.028477084313124377</x:v>
      </x:c>
      <x:c r="N23" s="38" t="n">
        <x:v>-0.04020898044601223</x:v>
      </x:c>
      <x:c r="O23" s="38" t="n">
        <x:v>0.05218516627437148</x:v>
      </x:c>
      <x:c r="P23" s="38" t="n">
        <x:v>0.019872516795486458</x:v>
      </x:c>
      <x:c r="Q23" s="38" t="n">
        <x:v>0.17442202815279167</x:v>
      </x:c>
      <x:c r="R23" s="38" t="n">
        <x:v>0.05061300899411419</x:v>
      </x:c>
      <x:c r="S23" s="56" t="n">
        <x:f>S22*(1+I23)</x:f>
        <x:v>2.4748725810398584</x:v>
      </x:c>
      <x:c r="T23" s="56" t="n">
        <x:f>T22*(1+L23)</x:f>
        <x:v>2.5298913654559847</x:v>
      </x:c>
    </x:row>
    <x:row r="24">
      <x:c r="A24" s="54" t="n">
        <x:v>45657</x:v>
      </x:c>
      <x:c r="B24" t="n">
        <x:v>77</x:v>
      </x:c>
      <x:c r="C24" s="54" t="n">
        <x:v>45733</x:v>
      </x:c>
      <x:c r="D24" s="55" t="n">
        <x:v>68</x:v>
      </x:c>
      <x:c r="E24" s="55" t="n">
        <x:v>68</x:v>
      </x:c>
      <x:c r="F24" s="55" t="n">
        <x:v>15</x:v>
      </x:c>
      <x:c r="G24" s="55" t="n">
        <x:v>15</x:v>
      </x:c>
      <x:c r="H24" s="55" t="n">
        <x:v>150</x:v>
      </x:c>
      <x:c r="I24" s="38" t="n">
        <x:v>0.08419522355939153</x:v>
      </x:c>
      <x:c r="J24" s="38" t="n">
        <x:v>0.0821338659343676</x:v>
      </x:c>
      <x:c r="K24" s="38" t="n">
        <x:v>0.002061357625023935</x:v>
      </x:c>
      <x:c r="L24" s="38" t="n">
        <x:v>0.10953149170264126</x:v>
      </x:c>
      <x:c r="M24" s="38" t="n">
        <x:v>-0.025336268143249727</x:v>
      </x:c>
      <x:c r="N24" s="38" t="n">
        <x:v>0.08736088509745879</x:v>
      </x:c>
      <x:c r="O24" s="38" t="n">
        <x:v>0.06999488794249446</x:v>
      </x:c>
      <x:c r="P24" s="38" t="n">
        <x:v>0.15259023056724555</x:v>
      </x:c>
      <x:c r="Q24" s="38" t="n">
        <x:v>0.10033259463131985</x:v>
      </x:c>
      <x:c r="R24" s="38" t="n">
        <x:v>0.031196244076886395</x:v>
      </x:c>
      <x:c r="S24" s="56" t="n">
        <x:f>S23*(1+I24)</x:f>
        <x:v>2.6832450312815173</x:v>
      </x:c>
      <x:c r="T24" s="56" t="n">
        <x:f>T23*(1+L24)</x:f>
        <x:v>2.8069941405600107</x:v>
      </x:c>
    </x:row>
    <x:row r="25">
      <x:c r="A25" s="54" t="n">
        <x:v>45747</x:v>
      </x:c>
      <x:c r="B25" t="n">
        <x:v>77</x:v>
      </x:c>
      <x:c r="C25" s="54" t="n">
        <x:v>45824</x:v>
      </x:c>
      <x:c r="D25" s="55" t="n">
        <x:v>66</x:v>
      </x:c>
      <x:c r="E25" s="55" t="n">
        <x:v>66</x:v>
      </x:c>
      <x:c r="F25" s="55" t="n">
        <x:v>15</x:v>
      </x:c>
      <x:c r="G25" s="55" t="n">
        <x:v>15</x:v>
      </x:c>
      <x:c r="H25" s="55" t="n">
        <x:v>150</x:v>
      </x:c>
      <x:c r="I25" s="38" t="n">
        <x:v>0.23912519043862138</x:v>
      </x:c>
      <x:c r="J25" s="38" t="n">
        <x:v>0.13195302659664127</x:v>
      </x:c>
      <x:c r="K25" s="38" t="n">
        <x:v>0.10717216384198011</x:v>
      </x:c>
      <x:c r="L25" s="38" t="n">
        <x:v>0.17986545866519296</x:v>
      </x:c>
      <x:c r="M25" s="38" t="n">
        <x:v>0.059259731773428415</x:v>
      </x:c>
      <x:c r="N25" s="38" t="n">
        <x:v>0.2425904694546205</x:v>
      </x:c>
      <x:c r="O25" s="38" t="n">
        <x:v>0.15668143205830604</x:v>
      </x:c>
      <x:c r="P25" s="38" t="n">
        <x:v>0.19111448435953798</x:v>
      </x:c>
      <x:c r="Q25" s="38" t="n">
        <x:v>0.15856864325257147</x:v>
      </x:c>
      <x:c r="R25" s="38" t="n">
        <x:v>0.14261556000174552</x:v>
      </x:c>
      <x:c r="S25" s="56" t="n">
        <x:f>S24*(1+I25)</x:f>
        <x:v>3.3248765103801947</x:v>
      </x:c>
      <x:c r="T25" s="56" t="n">
        <x:f>T24*(1+L25)</x:f>
        <x:v>3.311875429122346</x:v>
      </x:c>
    </x:row>
    <x:row r="26">
      <x:c r="A26" s="54" t="n">
        <x:v>45838</x:v>
      </x:c>
      <x:c r="B26" t="n">
        <x:v>77</x:v>
      </x:c>
      <x:c r="C26" s="54" t="n">
        <x:v>45915</x:v>
      </x:c>
      <x:c r="D26" s="55" t="n">
        <x:v>66</x:v>
      </x:c>
      <x:c r="E26" s="55" t="n">
        <x:v>66</x:v>
      </x:c>
      <x:c r="F26" s="55" t="n">
        <x:v>15</x:v>
      </x:c>
      <x:c r="G26" s="55" t="n">
        <x:v>15</x:v>
      </x:c>
      <x:c r="H26" s="55" t="n">
        <x:v>150</x:v>
      </x:c>
      <x:c r="I26" s="38" t="n">
        <x:v>0.09454780447850744</x:v>
      </x:c>
      <x:c r="J26" s="38" t="n">
        <x:v>0.05539709533140098</x:v>
      </x:c>
      <x:c r="K26" s="38" t="n">
        <x:v>0.03915070914710646</x:v>
      </x:c>
      <x:c r="L26" s="38" t="n">
        <x:v>0.03941580759071553</x:v>
      </x:c>
      <x:c r="M26" s="38" t="n">
        <x:v>0.05513199688779191</x:v>
      </x:c>
      <x:c r="N26" s="38" t="n">
        <x:v>0.11032080162166306</x:v>
      </x:c>
      <x:c r="O26" s="38" t="n">
        <x:v>0.07655478547725511</x:v>
      </x:c>
      <x:c r="P26" s="38" t="n">
        <x:v>0.16902840238506361</x:v>
      </x:c>
      <x:c r="Q26" s="38" t="n">
        <x:v>-0.04536697520108383</x:v>
      </x:c>
      <x:c r="R26" s="38" t="n">
        <x:v>0.061893469487416176</x:v>
      </x:c>
      <x:c r="S26" s="56" t="n">
        <x:f>S25*(1+I26)</x:f>
        <x:v>3.6392362845988036</x:v>
      </x:c>
      <x:c r="T26" s="56" t="n">
        <x:f>T25*(1+L26)</x:f>
        <x:v>3.442415673801051</x:v>
      </x:c>
    </x:row>
    <x:row r="27">
      <x:c r="A27" s="54" t="n">
        <x:v>45930</x:v>
      </x:c>
      <x:c r="B27" t="n">
        <x:v>77</x:v>
      </x:c>
      <x:c r="C27" s="54" t="n">
        <x:v>46007</x:v>
      </x:c>
      <x:c r="D27" s="55" t="n">
        <x:v>66</x:v>
      </x:c>
      <x:c r="E27" s="55" t="n">
        <x:v>66</x:v>
      </x:c>
      <x:c r="F27" s="55" t="n">
        <x:v>15</x:v>
      </x:c>
      <x:c r="G27" s="55" t="n">
        <x:v>15</x:v>
      </x:c>
      <x:c r="H27" s="55" t="n">
        <x:v>150</x:v>
      </x:c>
      <x:c r="I27" s="38" t="n">
        <x:v>0.04082413828736682</x:v>
      </x:c>
      <x:c r="J27" s="38" t="n">
        <x:v>-0.06083079953781781</x:v>
      </x:c>
      <x:c r="K27" s="38" t="n">
        <x:v>0.10165493782518463</x:v>
      </x:c>
      <x:c r="L27" s="38" t="n">
        <x:v>0.04829308984626764</x:v>
      </x:c>
      <x:c r="M27" s="38" t="n">
        <x:v>-0.007468951558900816</x:v>
      </x:c>
      <x:c r="N27" s="38" t="n">
        <x:v>0.04799308281479699</x:v>
      </x:c>
      <x:c r="O27" s="38" t="n">
        <x:v>-0.011235654628714103</x:v>
      </x:c>
      <x:c r="P27" s="38" t="n">
        <x:v>-0.02073284675192386</x:v>
      </x:c>
      <x:c r="Q27" s="38" t="n">
        <x:v>-0.0016263913669964415</x:v>
      </x:c>
      <x:c r="R27" s="38" t="n">
        <x:v>-0.0734577230906261</x:v>
      </x:c>
      <x:c r="S27" s="56" t="n">
        <x:f>S26*(1+I27)</x:f>
        <x:v>3.7878049699416683</x:v>
      </x:c>
      <x:c r="T27" s="56" t="n">
        <x:f>T26*(1+L27)</x:f>
        <x:v>3.608660563224125</x:v>
      </x:c>
    </x:row>
  </x:sheetData>
  <x:mergeCells>
    <x:mergeCell ref="A1:T2"/>
  </x:mergeCells>
  <x:conditionalFormatting sqref="K5:K27">
    <x:cfRule type="colorScale" priority="1">
      <x:colorScale>
        <x:cfvo type="min"/>
        <x:cfvo type="percentile" val="50"/>
        <x:cfvo type="max"/>
        <x:color rgb="FFFCECEC"/>
        <x:color rgb="FFFFF7E6"/>
        <x:color rgb="FFE8F5EE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dee2dde71894d4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6" hidden="0" customWidth="1"/>
    <x:col min="7" max="7" width="26" hidden="0" customWidth="1"/>
    <x:col min="8" max="8" width="26" hidden="0" customWidth="1"/>
    <x:col min="9" max="9" width="18" hidden="0" customWidth="1"/>
  </x:cols>
  <x:sheetData>
    <x:row r="1" ht="32" customHeight="1">
      <x:c r="A1" s="3" t="str">
        <x:v>Signal Coverage by Quarter</x:v>
      </x:c>
    </x:row>
    <x:row r="2" ht="32" customHeight="1"/>
    <x:row r="4">
      <x:c r="A4" s="35" t="str">
        <x:v>Signal Date</x:v>
      </x:c>
      <x:c r="B4" s="36" t="str">
        <x:v>ELIGIBLE</x:v>
      </x:c>
      <x:c r="C4" s="36" t="str">
        <x:v>DCF_SCREENING_EXCLUSION</x:v>
      </x:c>
      <x:c r="D4" s="36" t="str">
        <x:v>EXCLUDED_ARCHETYPE</x:v>
      </x:c>
      <x:c r="E4" s="36" t="str">
        <x:v>NOT_LISTED_OR_NO_PRICE</x:v>
      </x:c>
      <x:c r="F4" s="36" t="str">
        <x:v>NO_PIT_FINANCIALS</x:v>
      </x:c>
      <x:c r="G4" s="36" t="str">
        <x:v>INSUFFICIENT_FINANCIAL_COVERAGE</x:v>
      </x:c>
      <x:c r="H4" s="36" t="str">
        <x:v>FINANCIAL_DISCONTINUITY</x:v>
      </x:c>
      <x:c r="I4" s="37" t="str">
        <x:v>Total</x:v>
      </x:c>
    </x:row>
    <x:row r="5">
      <x:c r="A5" s="54" t="n">
        <x:f>'Quarterly Results'!A5</x:f>
        <x:v>43921</x:v>
      </x:c>
      <x:c r="B5" s="55" t="n">
        <x:f>COUNTIFS(Signals!$A$2:$A$3451,$A5,Signals!$G$2:$G$3451,B$4)</x:f>
        <x:v>62</x:v>
      </x:c>
      <x:c r="C5" s="55" t="n">
        <x:f>COUNTIFS(Signals!$A$2:$A$3451,$A5,Signals!$G$2:$G$3451,C$4)</x:f>
        <x:v>49</x:v>
      </x:c>
      <x:c r="D5" s="55" t="n">
        <x:f>COUNTIFS(Signals!$A$2:$A$3451,$A5,Signals!$G$2:$G$3451,D$4)</x:f>
        <x:v>13</x:v>
      </x:c>
      <x:c r="E5" s="55" t="n">
        <x:f>COUNTIFS(Signals!$A$2:$A$3451,$A5,Signals!$G$2:$G$3451,E$4)</x:f>
        <x:v>20</x:v>
      </x:c>
      <x:c r="F5" s="55" t="n">
        <x:f>COUNTIFS(Signals!$A$2:$A$3451,$A5,Signals!$G$2:$G$3451,F$4)</x:f>
        <x:v>5</x:v>
      </x:c>
      <x:c r="G5" s="55" t="n">
        <x:f>COUNTIFS(Signals!$A$2:$A$3451,$A5,Signals!$G$2:$G$3451,G$4)</x:f>
        <x:v>0</x:v>
      </x:c>
      <x:c r="H5" s="55" t="n">
        <x:f>COUNTIFS(Signals!$A$2:$A$3451,$A5,Signals!$G$2:$G$3451,H$4)</x:f>
        <x:v>1</x:v>
      </x:c>
      <x:c r="I5" s="55" t="n">
        <x:f>SUM(B5:H5)</x:f>
        <x:v>150</x:v>
      </x:c>
    </x:row>
    <x:row r="6">
      <x:c r="A6" s="54" t="n">
        <x:f>'Quarterly Results'!A6</x:f>
        <x:v>44012</x:v>
      </x:c>
      <x:c r="B6" s="55" t="n">
        <x:f>COUNTIFS(Signals!$A$2:$A$3451,$A6,Signals!$G$2:$G$3451,B$4)</x:f>
        <x:v>63</x:v>
      </x:c>
      <x:c r="C6" s="55" t="n">
        <x:f>COUNTIFS(Signals!$A$2:$A$3451,$A6,Signals!$G$2:$G$3451,C$4)</x:f>
        <x:v>49</x:v>
      </x:c>
      <x:c r="D6" s="55" t="n">
        <x:f>COUNTIFS(Signals!$A$2:$A$3451,$A6,Signals!$G$2:$G$3451,D$4)</x:f>
        <x:v>13</x:v>
      </x:c>
      <x:c r="E6" s="55" t="n">
        <x:f>COUNTIFS(Signals!$A$2:$A$3451,$A6,Signals!$G$2:$G$3451,E$4)</x:f>
        <x:v>19</x:v>
      </x:c>
      <x:c r="F6" s="55" t="n">
        <x:f>COUNTIFS(Signals!$A$2:$A$3451,$A6,Signals!$G$2:$G$3451,F$4)</x:f>
        <x:v>6</x:v>
      </x:c>
      <x:c r="G6" s="55" t="n">
        <x:f>COUNTIFS(Signals!$A$2:$A$3451,$A6,Signals!$G$2:$G$3451,G$4)</x:f>
        <x:v>0</x:v>
      </x:c>
      <x:c r="H6" s="55" t="n">
        <x:f>COUNTIFS(Signals!$A$2:$A$3451,$A6,Signals!$G$2:$G$3451,H$4)</x:f>
        <x:v>0</x:v>
      </x:c>
      <x:c r="I6" s="55" t="n">
        <x:f>SUM(B6:H6)</x:f>
        <x:v>150</x:v>
      </x:c>
    </x:row>
    <x:row r="7">
      <x:c r="A7" s="54" t="n">
        <x:f>'Quarterly Results'!A7</x:f>
        <x:v>44104</x:v>
      </x:c>
      <x:c r="B7" s="55" t="n">
        <x:f>COUNTIFS(Signals!$A$2:$A$3451,$A7,Signals!$G$2:$G$3451,B$4)</x:f>
        <x:v>63</x:v>
      </x:c>
      <x:c r="C7" s="55" t="n">
        <x:f>COUNTIFS(Signals!$A$2:$A$3451,$A7,Signals!$G$2:$G$3451,C$4)</x:f>
        <x:v>49</x:v>
      </x:c>
      <x:c r="D7" s="55" t="n">
        <x:f>COUNTIFS(Signals!$A$2:$A$3451,$A7,Signals!$G$2:$G$3451,D$4)</x:f>
        <x:v>13</x:v>
      </x:c>
      <x:c r="E7" s="55" t="n">
        <x:f>COUNTIFS(Signals!$A$2:$A$3451,$A7,Signals!$G$2:$G$3451,E$4)</x:f>
        <x:v>19</x:v>
      </x:c>
      <x:c r="F7" s="55" t="n">
        <x:f>COUNTIFS(Signals!$A$2:$A$3451,$A7,Signals!$G$2:$G$3451,F$4)</x:f>
        <x:v>6</x:v>
      </x:c>
      <x:c r="G7" s="55" t="n">
        <x:f>COUNTIFS(Signals!$A$2:$A$3451,$A7,Signals!$G$2:$G$3451,G$4)</x:f>
        <x:v>0</x:v>
      </x:c>
      <x:c r="H7" s="55" t="n">
        <x:f>COUNTIFS(Signals!$A$2:$A$3451,$A7,Signals!$G$2:$G$3451,H$4)</x:f>
        <x:v>0</x:v>
      </x:c>
      <x:c r="I7" s="55" t="n">
        <x:f>SUM(B7:H7)</x:f>
        <x:v>150</x:v>
      </x:c>
    </x:row>
    <x:row r="8">
      <x:c r="A8" s="54" t="n">
        <x:f>'Quarterly Results'!A8</x:f>
        <x:v>44196</x:v>
      </x:c>
      <x:c r="B8" s="55" t="n">
        <x:f>COUNTIFS(Signals!$A$2:$A$3451,$A8,Signals!$G$2:$G$3451,B$4)</x:f>
        <x:v>63</x:v>
      </x:c>
      <x:c r="C8" s="55" t="n">
        <x:f>COUNTIFS(Signals!$A$2:$A$3451,$A8,Signals!$G$2:$G$3451,C$4)</x:f>
        <x:v>49</x:v>
      </x:c>
      <x:c r="D8" s="55" t="n">
        <x:f>COUNTIFS(Signals!$A$2:$A$3451,$A8,Signals!$G$2:$G$3451,D$4)</x:f>
        <x:v>13</x:v>
      </x:c>
      <x:c r="E8" s="55" t="n">
        <x:f>COUNTIFS(Signals!$A$2:$A$3451,$A8,Signals!$G$2:$G$3451,E$4)</x:f>
        <x:v>18</x:v>
      </x:c>
      <x:c r="F8" s="55" t="n">
        <x:f>COUNTIFS(Signals!$A$2:$A$3451,$A8,Signals!$G$2:$G$3451,F$4)</x:f>
        <x:v>7</x:v>
      </x:c>
      <x:c r="G8" s="55" t="n">
        <x:f>COUNTIFS(Signals!$A$2:$A$3451,$A8,Signals!$G$2:$G$3451,G$4)</x:f>
        <x:v>0</x:v>
      </x:c>
      <x:c r="H8" s="55" t="n">
        <x:f>COUNTIFS(Signals!$A$2:$A$3451,$A8,Signals!$G$2:$G$3451,H$4)</x:f>
        <x:v>0</x:v>
      </x:c>
      <x:c r="I8" s="55" t="n">
        <x:f>SUM(B8:H8)</x:f>
        <x:v>150</x:v>
      </x:c>
    </x:row>
    <x:row r="9">
      <x:c r="A9" s="54" t="n">
        <x:f>'Quarterly Results'!A9</x:f>
        <x:v>44286</x:v>
      </x:c>
      <x:c r="B9" s="55" t="n">
        <x:f>COUNTIFS(Signals!$A$2:$A$3451,$A9,Signals!$G$2:$G$3451,B$4)</x:f>
        <x:v>59</x:v>
      </x:c>
      <x:c r="C9" s="55" t="n">
        <x:f>COUNTIFS(Signals!$A$2:$A$3451,$A9,Signals!$G$2:$G$3451,C$4)</x:f>
        <x:v>57</x:v>
      </x:c>
      <x:c r="D9" s="55" t="n">
        <x:f>COUNTIFS(Signals!$A$2:$A$3451,$A9,Signals!$G$2:$G$3451,D$4)</x:f>
        <x:v>13</x:v>
      </x:c>
      <x:c r="E9" s="55" t="n">
        <x:f>COUNTIFS(Signals!$A$2:$A$3451,$A9,Signals!$G$2:$G$3451,E$4)</x:f>
        <x:v>15</x:v>
      </x:c>
      <x:c r="F9" s="55" t="n">
        <x:f>COUNTIFS(Signals!$A$2:$A$3451,$A9,Signals!$G$2:$G$3451,F$4)</x:f>
        <x:v>6</x:v>
      </x:c>
      <x:c r="G9" s="55" t="n">
        <x:f>COUNTIFS(Signals!$A$2:$A$3451,$A9,Signals!$G$2:$G$3451,G$4)</x:f>
        <x:v>0</x:v>
      </x:c>
      <x:c r="H9" s="55" t="n">
        <x:f>COUNTIFS(Signals!$A$2:$A$3451,$A9,Signals!$G$2:$G$3451,H$4)</x:f>
        <x:v>0</x:v>
      </x:c>
      <x:c r="I9" s="55" t="n">
        <x:f>SUM(B9:H9)</x:f>
        <x:v>150</x:v>
      </x:c>
    </x:row>
    <x:row r="10">
      <x:c r="A10" s="54" t="n">
        <x:f>'Quarterly Results'!A10</x:f>
        <x:v>44377</x:v>
      </x:c>
      <x:c r="B10" s="55" t="n">
        <x:f>COUNTIFS(Signals!$A$2:$A$3451,$A10,Signals!$G$2:$G$3451,B$4)</x:f>
        <x:v>60</x:v>
      </x:c>
      <x:c r="C10" s="55" t="n">
        <x:f>COUNTIFS(Signals!$A$2:$A$3451,$A10,Signals!$G$2:$G$3451,C$4)</x:f>
        <x:v>58</x:v>
      </x:c>
      <x:c r="D10" s="55" t="n">
        <x:f>COUNTIFS(Signals!$A$2:$A$3451,$A10,Signals!$G$2:$G$3451,D$4)</x:f>
        <x:v>13</x:v>
      </x:c>
      <x:c r="E10" s="55" t="n">
        <x:f>COUNTIFS(Signals!$A$2:$A$3451,$A10,Signals!$G$2:$G$3451,E$4)</x:f>
        <x:v>14</x:v>
      </x:c>
      <x:c r="F10" s="55" t="n">
        <x:f>COUNTIFS(Signals!$A$2:$A$3451,$A10,Signals!$G$2:$G$3451,F$4)</x:f>
        <x:v>5</x:v>
      </x:c>
      <x:c r="G10" s="55" t="n">
        <x:f>COUNTIFS(Signals!$A$2:$A$3451,$A10,Signals!$G$2:$G$3451,G$4)</x:f>
        <x:v>0</x:v>
      </x:c>
      <x:c r="H10" s="55" t="n">
        <x:f>COUNTIFS(Signals!$A$2:$A$3451,$A10,Signals!$G$2:$G$3451,H$4)</x:f>
        <x:v>0</x:v>
      </x:c>
      <x:c r="I10" s="55" t="n">
        <x:f>SUM(B10:H10)</x:f>
        <x:v>150</x:v>
      </x:c>
    </x:row>
    <x:row r="11">
      <x:c r="A11" s="54" t="n">
        <x:f>'Quarterly Results'!A11</x:f>
        <x:v>44469</x:v>
      </x:c>
      <x:c r="B11" s="55" t="n">
        <x:f>COUNTIFS(Signals!$A$2:$A$3451,$A11,Signals!$G$2:$G$3451,B$4)</x:f>
        <x:v>59</x:v>
      </x:c>
      <x:c r="C11" s="55" t="n">
        <x:f>COUNTIFS(Signals!$A$2:$A$3451,$A11,Signals!$G$2:$G$3451,C$4)</x:f>
        <x:v>59</x:v>
      </x:c>
      <x:c r="D11" s="55" t="n">
        <x:f>COUNTIFS(Signals!$A$2:$A$3451,$A11,Signals!$G$2:$G$3451,D$4)</x:f>
        <x:v>13</x:v>
      </x:c>
      <x:c r="E11" s="55" t="n">
        <x:f>COUNTIFS(Signals!$A$2:$A$3451,$A11,Signals!$G$2:$G$3451,E$4)</x:f>
        <x:v>13</x:v>
      </x:c>
      <x:c r="F11" s="55" t="n">
        <x:f>COUNTIFS(Signals!$A$2:$A$3451,$A11,Signals!$G$2:$G$3451,F$4)</x:f>
        <x:v>6</x:v>
      </x:c>
      <x:c r="G11" s="55" t="n">
        <x:f>COUNTIFS(Signals!$A$2:$A$3451,$A11,Signals!$G$2:$G$3451,G$4)</x:f>
        <x:v>0</x:v>
      </x:c>
      <x:c r="H11" s="55" t="n">
        <x:f>COUNTIFS(Signals!$A$2:$A$3451,$A11,Signals!$G$2:$G$3451,H$4)</x:f>
        <x:v>0</x:v>
      </x:c>
      <x:c r="I11" s="55" t="n">
        <x:f>SUM(B11:H11)</x:f>
        <x:v>150</x:v>
      </x:c>
    </x:row>
    <x:row r="12">
      <x:c r="A12" s="54" t="n">
        <x:f>'Quarterly Results'!A12</x:f>
        <x:v>44561</x:v>
      </x:c>
      <x:c r="B12" s="55" t="n">
        <x:f>COUNTIFS(Signals!$A$2:$A$3451,$A12,Signals!$G$2:$G$3451,B$4)</x:f>
        <x:v>59</x:v>
      </x:c>
      <x:c r="C12" s="55" t="n">
        <x:f>COUNTIFS(Signals!$A$2:$A$3451,$A12,Signals!$G$2:$G$3451,C$4)</x:f>
        <x:v>59</x:v>
      </x:c>
      <x:c r="D12" s="55" t="n">
        <x:f>COUNTIFS(Signals!$A$2:$A$3451,$A12,Signals!$G$2:$G$3451,D$4)</x:f>
        <x:v>13</x:v>
      </x:c>
      <x:c r="E12" s="55" t="n">
        <x:f>COUNTIFS(Signals!$A$2:$A$3451,$A12,Signals!$G$2:$G$3451,E$4)</x:f>
        <x:v>12</x:v>
      </x:c>
      <x:c r="F12" s="55" t="n">
        <x:f>COUNTIFS(Signals!$A$2:$A$3451,$A12,Signals!$G$2:$G$3451,F$4)</x:f>
        <x:v>7</x:v>
      </x:c>
      <x:c r="G12" s="55" t="n">
        <x:f>COUNTIFS(Signals!$A$2:$A$3451,$A12,Signals!$G$2:$G$3451,G$4)</x:f>
        <x:v>0</x:v>
      </x:c>
      <x:c r="H12" s="55" t="n">
        <x:f>COUNTIFS(Signals!$A$2:$A$3451,$A12,Signals!$G$2:$G$3451,H$4)</x:f>
        <x:v>0</x:v>
      </x:c>
      <x:c r="I12" s="55" t="n">
        <x:f>SUM(B12:H12)</x:f>
        <x:v>150</x:v>
      </x:c>
    </x:row>
    <x:row r="13">
      <x:c r="A13" s="54" t="n">
        <x:f>'Quarterly Results'!A13</x:f>
        <x:v>44651</x:v>
      </x:c>
      <x:c r="B13" s="55" t="n">
        <x:f>COUNTIFS(Signals!$A$2:$A$3451,$A13,Signals!$G$2:$G$3451,B$4)</x:f>
        <x:v>66</x:v>
      </x:c>
      <x:c r="C13" s="55" t="n">
        <x:f>COUNTIFS(Signals!$A$2:$A$3451,$A13,Signals!$G$2:$G$3451,C$4)</x:f>
        <x:v>56</x:v>
      </x:c>
      <x:c r="D13" s="55" t="n">
        <x:f>COUNTIFS(Signals!$A$2:$A$3451,$A13,Signals!$G$2:$G$3451,D$4)</x:f>
        <x:v>13</x:v>
      </x:c>
      <x:c r="E13" s="55" t="n">
        <x:f>COUNTIFS(Signals!$A$2:$A$3451,$A13,Signals!$G$2:$G$3451,E$4)</x:f>
        <x:v>11</x:v>
      </x:c>
      <x:c r="F13" s="55" t="n">
        <x:f>COUNTIFS(Signals!$A$2:$A$3451,$A13,Signals!$G$2:$G$3451,F$4)</x:f>
        <x:v>3</x:v>
      </x:c>
      <x:c r="G13" s="55" t="n">
        <x:f>COUNTIFS(Signals!$A$2:$A$3451,$A13,Signals!$G$2:$G$3451,G$4)</x:f>
        <x:v>0</x:v>
      </x:c>
      <x:c r="H13" s="55" t="n">
        <x:f>COUNTIFS(Signals!$A$2:$A$3451,$A13,Signals!$G$2:$G$3451,H$4)</x:f>
        <x:v>1</x:v>
      </x:c>
      <x:c r="I13" s="55" t="n">
        <x:f>SUM(B13:H13)</x:f>
        <x:v>150</x:v>
      </x:c>
    </x:row>
    <x:row r="14">
      <x:c r="A14" s="54" t="n">
        <x:f>'Quarterly Results'!A14</x:f>
        <x:v>44742</x:v>
      </x:c>
      <x:c r="B14" s="55" t="n">
        <x:f>COUNTIFS(Signals!$A$2:$A$3451,$A14,Signals!$G$2:$G$3451,B$4)</x:f>
        <x:v>66</x:v>
      </x:c>
      <x:c r="C14" s="55" t="n">
        <x:f>COUNTIFS(Signals!$A$2:$A$3451,$A14,Signals!$G$2:$G$3451,C$4)</x:f>
        <x:v>56</x:v>
      </x:c>
      <x:c r="D14" s="55" t="n">
        <x:f>COUNTIFS(Signals!$A$2:$A$3451,$A14,Signals!$G$2:$G$3451,D$4)</x:f>
        <x:v>13</x:v>
      </x:c>
      <x:c r="E14" s="55" t="n">
        <x:f>COUNTIFS(Signals!$A$2:$A$3451,$A14,Signals!$G$2:$G$3451,E$4)</x:f>
        <x:v>10</x:v>
      </x:c>
      <x:c r="F14" s="55" t="n">
        <x:f>COUNTIFS(Signals!$A$2:$A$3451,$A14,Signals!$G$2:$G$3451,F$4)</x:f>
        <x:v>4</x:v>
      </x:c>
      <x:c r="G14" s="55" t="n">
        <x:f>COUNTIFS(Signals!$A$2:$A$3451,$A14,Signals!$G$2:$G$3451,G$4)</x:f>
        <x:v>0</x:v>
      </x:c>
      <x:c r="H14" s="55" t="n">
        <x:f>COUNTIFS(Signals!$A$2:$A$3451,$A14,Signals!$G$2:$G$3451,H$4)</x:f>
        <x:v>1</x:v>
      </x:c>
      <x:c r="I14" s="55" t="n">
        <x:f>SUM(B14:H14)</x:f>
        <x:v>150</x:v>
      </x:c>
    </x:row>
    <x:row r="15">
      <x:c r="A15" s="54" t="n">
        <x:f>'Quarterly Results'!A15</x:f>
        <x:v>44834</x:v>
      </x:c>
      <x:c r="B15" s="55" t="n">
        <x:f>COUNTIFS(Signals!$A$2:$A$3451,$A15,Signals!$G$2:$G$3451,B$4)</x:f>
        <x:v>66</x:v>
      </x:c>
      <x:c r="C15" s="55" t="n">
        <x:f>COUNTIFS(Signals!$A$2:$A$3451,$A15,Signals!$G$2:$G$3451,C$4)</x:f>
        <x:v>56</x:v>
      </x:c>
      <x:c r="D15" s="55" t="n">
        <x:f>COUNTIFS(Signals!$A$2:$A$3451,$A15,Signals!$G$2:$G$3451,D$4)</x:f>
        <x:v>13</x:v>
      </x:c>
      <x:c r="E15" s="55" t="n">
        <x:f>COUNTIFS(Signals!$A$2:$A$3451,$A15,Signals!$G$2:$G$3451,E$4)</x:f>
        <x:v>9</x:v>
      </x:c>
      <x:c r="F15" s="55" t="n">
        <x:f>COUNTIFS(Signals!$A$2:$A$3451,$A15,Signals!$G$2:$G$3451,F$4)</x:f>
        <x:v>5</x:v>
      </x:c>
      <x:c r="G15" s="55" t="n">
        <x:f>COUNTIFS(Signals!$A$2:$A$3451,$A15,Signals!$G$2:$G$3451,G$4)</x:f>
        <x:v>0</x:v>
      </x:c>
      <x:c r="H15" s="55" t="n">
        <x:f>COUNTIFS(Signals!$A$2:$A$3451,$A15,Signals!$G$2:$G$3451,H$4)</x:f>
        <x:v>1</x:v>
      </x:c>
      <x:c r="I15" s="55" t="n">
        <x:f>SUM(B15:H15)</x:f>
        <x:v>150</x:v>
      </x:c>
    </x:row>
    <x:row r="16">
      <x:c r="A16" s="54" t="n">
        <x:f>'Quarterly Results'!A16</x:f>
        <x:v>44926</x:v>
      </x:c>
      <x:c r="B16" s="55" t="n">
        <x:f>COUNTIFS(Signals!$A$2:$A$3451,$A16,Signals!$G$2:$G$3451,B$4)</x:f>
        <x:v>66</x:v>
      </x:c>
      <x:c r="C16" s="55" t="n">
        <x:f>COUNTIFS(Signals!$A$2:$A$3451,$A16,Signals!$G$2:$G$3451,C$4)</x:f>
        <x:v>56</x:v>
      </x:c>
      <x:c r="D16" s="55" t="n">
        <x:f>COUNTIFS(Signals!$A$2:$A$3451,$A16,Signals!$G$2:$G$3451,D$4)</x:f>
        <x:v>13</x:v>
      </x:c>
      <x:c r="E16" s="55" t="n">
        <x:f>COUNTIFS(Signals!$A$2:$A$3451,$A16,Signals!$G$2:$G$3451,E$4)</x:f>
        <x:v>9</x:v>
      </x:c>
      <x:c r="F16" s="55" t="n">
        <x:f>COUNTIFS(Signals!$A$2:$A$3451,$A16,Signals!$G$2:$G$3451,F$4)</x:f>
        <x:v>5</x:v>
      </x:c>
      <x:c r="G16" s="55" t="n">
        <x:f>COUNTIFS(Signals!$A$2:$A$3451,$A16,Signals!$G$2:$G$3451,G$4)</x:f>
        <x:v>0</x:v>
      </x:c>
      <x:c r="H16" s="55" t="n">
        <x:f>COUNTIFS(Signals!$A$2:$A$3451,$A16,Signals!$G$2:$G$3451,H$4)</x:f>
        <x:v>1</x:v>
      </x:c>
      <x:c r="I16" s="55" t="n">
        <x:f>SUM(B16:H16)</x:f>
        <x:v>150</x:v>
      </x:c>
    </x:row>
    <x:row r="17">
      <x:c r="A17" s="54" t="n">
        <x:f>'Quarterly Results'!A17</x:f>
        <x:v>45016</x:v>
      </x:c>
      <x:c r="B17" s="55" t="n">
        <x:f>COUNTIFS(Signals!$A$2:$A$3451,$A17,Signals!$G$2:$G$3451,B$4)</x:f>
        <x:v>69</x:v>
      </x:c>
      <x:c r="C17" s="55" t="n">
        <x:f>COUNTIFS(Signals!$A$2:$A$3451,$A17,Signals!$G$2:$G$3451,C$4)</x:f>
        <x:v>58</x:v>
      </x:c>
      <x:c r="D17" s="55" t="n">
        <x:f>COUNTIFS(Signals!$A$2:$A$3451,$A17,Signals!$G$2:$G$3451,D$4)</x:f>
        <x:v>13</x:v>
      </x:c>
      <x:c r="E17" s="55" t="n">
        <x:f>COUNTIFS(Signals!$A$2:$A$3451,$A17,Signals!$G$2:$G$3451,E$4)</x:f>
        <x:v>8</x:v>
      </x:c>
      <x:c r="F17" s="55" t="n">
        <x:f>COUNTIFS(Signals!$A$2:$A$3451,$A17,Signals!$G$2:$G$3451,F$4)</x:f>
        <x:v>2</x:v>
      </x:c>
      <x:c r="G17" s="55" t="n">
        <x:f>COUNTIFS(Signals!$A$2:$A$3451,$A17,Signals!$G$2:$G$3451,G$4)</x:f>
        <x:v>0</x:v>
      </x:c>
      <x:c r="H17" s="55" t="n">
        <x:f>COUNTIFS(Signals!$A$2:$A$3451,$A17,Signals!$G$2:$G$3451,H$4)</x:f>
        <x:v>0</x:v>
      </x:c>
      <x:c r="I17" s="55" t="n">
        <x:f>SUM(B17:H17)</x:f>
        <x:v>150</x:v>
      </x:c>
    </x:row>
    <x:row r="18">
      <x:c r="A18" s="54" t="n">
        <x:f>'Quarterly Results'!A18</x:f>
        <x:v>45107</x:v>
      </x:c>
      <x:c r="B18" s="55" t="n">
        <x:f>COUNTIFS(Signals!$A$2:$A$3451,$A18,Signals!$G$2:$G$3451,B$4)</x:f>
        <x:v>69</x:v>
      </x:c>
      <x:c r="C18" s="55" t="n">
        <x:f>COUNTIFS(Signals!$A$2:$A$3451,$A18,Signals!$G$2:$G$3451,C$4)</x:f>
        <x:v>58</x:v>
      </x:c>
      <x:c r="D18" s="55" t="n">
        <x:f>COUNTIFS(Signals!$A$2:$A$3451,$A18,Signals!$G$2:$G$3451,D$4)</x:f>
        <x:v>13</x:v>
      </x:c>
      <x:c r="E18" s="55" t="n">
        <x:f>COUNTIFS(Signals!$A$2:$A$3451,$A18,Signals!$G$2:$G$3451,E$4)</x:f>
        <x:v>7</x:v>
      </x:c>
      <x:c r="F18" s="55" t="n">
        <x:f>COUNTIFS(Signals!$A$2:$A$3451,$A18,Signals!$G$2:$G$3451,F$4)</x:f>
        <x:v>3</x:v>
      </x:c>
      <x:c r="G18" s="55" t="n">
        <x:f>COUNTIFS(Signals!$A$2:$A$3451,$A18,Signals!$G$2:$G$3451,G$4)</x:f>
        <x:v>0</x:v>
      </x:c>
      <x:c r="H18" s="55" t="n">
        <x:f>COUNTIFS(Signals!$A$2:$A$3451,$A18,Signals!$G$2:$G$3451,H$4)</x:f>
        <x:v>0</x:v>
      </x:c>
      <x:c r="I18" s="55" t="n">
        <x:f>SUM(B18:H18)</x:f>
        <x:v>150</x:v>
      </x:c>
    </x:row>
    <x:row r="19">
      <x:c r="A19" s="54" t="n">
        <x:f>'Quarterly Results'!A19</x:f>
        <x:v>45199</x:v>
      </x:c>
      <x:c r="B19" s="55" t="n">
        <x:f>COUNTIFS(Signals!$A$2:$A$3451,$A19,Signals!$G$2:$G$3451,B$4)</x:f>
        <x:v>69</x:v>
      </x:c>
      <x:c r="C19" s="55" t="n">
        <x:f>COUNTIFS(Signals!$A$2:$A$3451,$A19,Signals!$G$2:$G$3451,C$4)</x:f>
        <x:v>58</x:v>
      </x:c>
      <x:c r="D19" s="55" t="n">
        <x:f>COUNTIFS(Signals!$A$2:$A$3451,$A19,Signals!$G$2:$G$3451,D$4)</x:f>
        <x:v>13</x:v>
      </x:c>
      <x:c r="E19" s="55" t="n">
        <x:f>COUNTIFS(Signals!$A$2:$A$3451,$A19,Signals!$G$2:$G$3451,E$4)</x:f>
        <x:v>6</x:v>
      </x:c>
      <x:c r="F19" s="55" t="n">
        <x:f>COUNTIFS(Signals!$A$2:$A$3451,$A19,Signals!$G$2:$G$3451,F$4)</x:f>
        <x:v>4</x:v>
      </x:c>
      <x:c r="G19" s="55" t="n">
        <x:f>COUNTIFS(Signals!$A$2:$A$3451,$A19,Signals!$G$2:$G$3451,G$4)</x:f>
        <x:v>0</x:v>
      </x:c>
      <x:c r="H19" s="55" t="n">
        <x:f>COUNTIFS(Signals!$A$2:$A$3451,$A19,Signals!$G$2:$G$3451,H$4)</x:f>
        <x:v>0</x:v>
      </x:c>
      <x:c r="I19" s="55" t="n">
        <x:f>SUM(B19:H19)</x:f>
        <x:v>150</x:v>
      </x:c>
    </x:row>
    <x:row r="20">
      <x:c r="A20" s="54" t="n">
        <x:f>'Quarterly Results'!A20</x:f>
        <x:v>45291</x:v>
      </x:c>
      <x:c r="B20" s="55" t="n">
        <x:f>COUNTIFS(Signals!$A$2:$A$3451,$A20,Signals!$G$2:$G$3451,B$4)</x:f>
        <x:v>69</x:v>
      </x:c>
      <x:c r="C20" s="55" t="n">
        <x:f>COUNTIFS(Signals!$A$2:$A$3451,$A20,Signals!$G$2:$G$3451,C$4)</x:f>
        <x:v>58</x:v>
      </x:c>
      <x:c r="D20" s="55" t="n">
        <x:f>COUNTIFS(Signals!$A$2:$A$3451,$A20,Signals!$G$2:$G$3451,D$4)</x:f>
        <x:v>13</x:v>
      </x:c>
      <x:c r="E20" s="55" t="n">
        <x:f>COUNTIFS(Signals!$A$2:$A$3451,$A20,Signals!$G$2:$G$3451,E$4)</x:f>
        <x:v>2</x:v>
      </x:c>
      <x:c r="F20" s="55" t="n">
        <x:f>COUNTIFS(Signals!$A$2:$A$3451,$A20,Signals!$G$2:$G$3451,F$4)</x:f>
        <x:v>8</x:v>
      </x:c>
      <x:c r="G20" s="55" t="n">
        <x:f>COUNTIFS(Signals!$A$2:$A$3451,$A20,Signals!$G$2:$G$3451,G$4)</x:f>
        <x:v>0</x:v>
      </x:c>
      <x:c r="H20" s="55" t="n">
        <x:f>COUNTIFS(Signals!$A$2:$A$3451,$A20,Signals!$G$2:$G$3451,H$4)</x:f>
        <x:v>0</x:v>
      </x:c>
      <x:c r="I20" s="55" t="n">
        <x:f>SUM(B20:H20)</x:f>
        <x:v>150</x:v>
      </x:c>
    </x:row>
    <x:row r="21">
      <x:c r="A21" s="54" t="n">
        <x:f>'Quarterly Results'!A21</x:f>
        <x:v>45382</x:v>
      </x:c>
      <x:c r="B21" s="55" t="n">
        <x:f>COUNTIFS(Signals!$A$2:$A$3451,$A21,Signals!$G$2:$G$3451,B$4)</x:f>
        <x:v>67</x:v>
      </x:c>
      <x:c r="C21" s="55" t="n">
        <x:f>COUNTIFS(Signals!$A$2:$A$3451,$A21,Signals!$G$2:$G$3451,C$4)</x:f>
        <x:v>66</x:v>
      </x:c>
      <x:c r="D21" s="55" t="n">
        <x:f>COUNTIFS(Signals!$A$2:$A$3451,$A21,Signals!$G$2:$G$3451,D$4)</x:f>
        <x:v>13</x:v>
      </x:c>
      <x:c r="E21" s="55" t="n">
        <x:f>COUNTIFS(Signals!$A$2:$A$3451,$A21,Signals!$G$2:$G$3451,E$4)</x:f>
        <x:v>1</x:v>
      </x:c>
      <x:c r="F21" s="55" t="n">
        <x:f>COUNTIFS(Signals!$A$2:$A$3451,$A21,Signals!$G$2:$G$3451,F$4)</x:f>
        <x:v>3</x:v>
      </x:c>
      <x:c r="G21" s="55" t="n">
        <x:f>COUNTIFS(Signals!$A$2:$A$3451,$A21,Signals!$G$2:$G$3451,G$4)</x:f>
        <x:v>0</x:v>
      </x:c>
      <x:c r="H21" s="55" t="n">
        <x:f>COUNTIFS(Signals!$A$2:$A$3451,$A21,Signals!$G$2:$G$3451,H$4)</x:f>
        <x:v>0</x:v>
      </x:c>
      <x:c r="I21" s="55" t="n">
        <x:f>SUM(B21:H21)</x:f>
        <x:v>150</x:v>
      </x:c>
    </x:row>
    <x:row r="22">
      <x:c r="A22" s="54" t="n">
        <x:f>'Quarterly Results'!A22</x:f>
        <x:v>45473</x:v>
      </x:c>
      <x:c r="B22" s="55" t="n">
        <x:f>COUNTIFS(Signals!$A$2:$A$3451,$A22,Signals!$G$2:$G$3451,B$4)</x:f>
        <x:v>68</x:v>
      </x:c>
      <x:c r="C22" s="55" t="n">
        <x:f>COUNTIFS(Signals!$A$2:$A$3451,$A22,Signals!$G$2:$G$3451,C$4)</x:f>
        <x:v>65</x:v>
      </x:c>
      <x:c r="D22" s="55" t="n">
        <x:f>COUNTIFS(Signals!$A$2:$A$3451,$A22,Signals!$G$2:$G$3451,D$4)</x:f>
        <x:v>13</x:v>
      </x:c>
      <x:c r="E22" s="55" t="n">
        <x:f>COUNTIFS(Signals!$A$2:$A$3451,$A22,Signals!$G$2:$G$3451,E$4)</x:f>
        <x:v>0</x:v>
      </x:c>
      <x:c r="F22" s="55" t="n">
        <x:f>COUNTIFS(Signals!$A$2:$A$3451,$A22,Signals!$G$2:$G$3451,F$4)</x:f>
        <x:v>4</x:v>
      </x:c>
      <x:c r="G22" s="55" t="n">
        <x:f>COUNTIFS(Signals!$A$2:$A$3451,$A22,Signals!$G$2:$G$3451,G$4)</x:f>
        <x:v>0</x:v>
      </x:c>
      <x:c r="H22" s="55" t="n">
        <x:f>COUNTIFS(Signals!$A$2:$A$3451,$A22,Signals!$G$2:$G$3451,H$4)</x:f>
        <x:v>0</x:v>
      </x:c>
      <x:c r="I22" s="55" t="n">
        <x:f>SUM(B22:H22)</x:f>
        <x:v>150</x:v>
      </x:c>
    </x:row>
    <x:row r="23">
      <x:c r="A23" s="54" t="n">
        <x:f>'Quarterly Results'!A23</x:f>
        <x:v>45565</x:v>
      </x:c>
      <x:c r="B23" s="55" t="n">
        <x:f>COUNTIFS(Signals!$A$2:$A$3451,$A23,Signals!$G$2:$G$3451,B$4)</x:f>
        <x:v>68</x:v>
      </x:c>
      <x:c r="C23" s="55" t="n">
        <x:f>COUNTIFS(Signals!$A$2:$A$3451,$A23,Signals!$G$2:$G$3451,C$4)</x:f>
        <x:v>65</x:v>
      </x:c>
      <x:c r="D23" s="55" t="n">
        <x:f>COUNTIFS(Signals!$A$2:$A$3451,$A23,Signals!$G$2:$G$3451,D$4)</x:f>
        <x:v>13</x:v>
      </x:c>
      <x:c r="E23" s="55" t="n">
        <x:f>COUNTIFS(Signals!$A$2:$A$3451,$A23,Signals!$G$2:$G$3451,E$4)</x:f>
        <x:v>0</x:v>
      </x:c>
      <x:c r="F23" s="55" t="n">
        <x:f>COUNTIFS(Signals!$A$2:$A$3451,$A23,Signals!$G$2:$G$3451,F$4)</x:f>
        <x:v>4</x:v>
      </x:c>
      <x:c r="G23" s="55" t="n">
        <x:f>COUNTIFS(Signals!$A$2:$A$3451,$A23,Signals!$G$2:$G$3451,G$4)</x:f>
        <x:v>0</x:v>
      </x:c>
      <x:c r="H23" s="55" t="n">
        <x:f>COUNTIFS(Signals!$A$2:$A$3451,$A23,Signals!$G$2:$G$3451,H$4)</x:f>
        <x:v>0</x:v>
      </x:c>
      <x:c r="I23" s="55" t="n">
        <x:f>SUM(B23:H23)</x:f>
        <x:v>150</x:v>
      </x:c>
    </x:row>
    <x:row r="24">
      <x:c r="A24" s="54" t="n">
        <x:f>'Quarterly Results'!A24</x:f>
        <x:v>45657</x:v>
      </x:c>
      <x:c r="B24" s="55" t="n">
        <x:f>COUNTIFS(Signals!$A$2:$A$3451,$A24,Signals!$G$2:$G$3451,B$4)</x:f>
        <x:v>68</x:v>
      </x:c>
      <x:c r="C24" s="55" t="n">
        <x:f>COUNTIFS(Signals!$A$2:$A$3451,$A24,Signals!$G$2:$G$3451,C$4)</x:f>
        <x:v>65</x:v>
      </x:c>
      <x:c r="D24" s="55" t="n">
        <x:f>COUNTIFS(Signals!$A$2:$A$3451,$A24,Signals!$G$2:$G$3451,D$4)</x:f>
        <x:v>13</x:v>
      </x:c>
      <x:c r="E24" s="55" t="n">
        <x:f>COUNTIFS(Signals!$A$2:$A$3451,$A24,Signals!$G$2:$G$3451,E$4)</x:f>
        <x:v>0</x:v>
      </x:c>
      <x:c r="F24" s="55" t="n">
        <x:f>COUNTIFS(Signals!$A$2:$A$3451,$A24,Signals!$G$2:$G$3451,F$4)</x:f>
        <x:v>4</x:v>
      </x:c>
      <x:c r="G24" s="55" t="n">
        <x:f>COUNTIFS(Signals!$A$2:$A$3451,$A24,Signals!$G$2:$G$3451,G$4)</x:f>
        <x:v>0</x:v>
      </x:c>
      <x:c r="H24" s="55" t="n">
        <x:f>COUNTIFS(Signals!$A$2:$A$3451,$A24,Signals!$G$2:$G$3451,H$4)</x:f>
        <x:v>0</x:v>
      </x:c>
      <x:c r="I24" s="55" t="n">
        <x:f>SUM(B24:H24)</x:f>
        <x:v>150</x:v>
      </x:c>
    </x:row>
    <x:row r="25">
      <x:c r="A25" s="54" t="n">
        <x:f>'Quarterly Results'!A25</x:f>
        <x:v>45747</x:v>
      </x:c>
      <x:c r="B25" s="55" t="n">
        <x:f>COUNTIFS(Signals!$A$2:$A$3451,$A25,Signals!$G$2:$G$3451,B$4)</x:f>
        <x:v>66</x:v>
      </x:c>
      <x:c r="C25" s="55" t="n">
        <x:f>COUNTIFS(Signals!$A$2:$A$3451,$A25,Signals!$G$2:$G$3451,C$4)</x:f>
        <x:v>69</x:v>
      </x:c>
      <x:c r="D25" s="55" t="n">
        <x:f>COUNTIFS(Signals!$A$2:$A$3451,$A25,Signals!$G$2:$G$3451,D$4)</x:f>
        <x:v>13</x:v>
      </x:c>
      <x:c r="E25" s="55" t="n">
        <x:f>COUNTIFS(Signals!$A$2:$A$3451,$A25,Signals!$G$2:$G$3451,E$4)</x:f>
        <x:v>0</x:v>
      </x:c>
      <x:c r="F25" s="55" t="n">
        <x:f>COUNTIFS(Signals!$A$2:$A$3451,$A25,Signals!$G$2:$G$3451,F$4)</x:f>
        <x:v>1</x:v>
      </x:c>
      <x:c r="G25" s="55" t="n">
        <x:f>COUNTIFS(Signals!$A$2:$A$3451,$A25,Signals!$G$2:$G$3451,G$4)</x:f>
        <x:v>1</x:v>
      </x:c>
      <x:c r="H25" s="55" t="n">
        <x:f>COUNTIFS(Signals!$A$2:$A$3451,$A25,Signals!$G$2:$G$3451,H$4)</x:f>
        <x:v>0</x:v>
      </x:c>
      <x:c r="I25" s="55" t="n">
        <x:f>SUM(B25:H25)</x:f>
        <x:v>150</x:v>
      </x:c>
    </x:row>
    <x:row r="26">
      <x:c r="A26" s="54" t="n">
        <x:f>'Quarterly Results'!A26</x:f>
        <x:v>45838</x:v>
      </x:c>
      <x:c r="B26" s="55" t="n">
        <x:f>COUNTIFS(Signals!$A$2:$A$3451,$A26,Signals!$G$2:$G$3451,B$4)</x:f>
        <x:v>66</x:v>
      </x:c>
      <x:c r="C26" s="55" t="n">
        <x:f>COUNTIFS(Signals!$A$2:$A$3451,$A26,Signals!$G$2:$G$3451,C$4)</x:f>
        <x:v>69</x:v>
      </x:c>
      <x:c r="D26" s="55" t="n">
        <x:f>COUNTIFS(Signals!$A$2:$A$3451,$A26,Signals!$G$2:$G$3451,D$4)</x:f>
        <x:v>13</x:v>
      </x:c>
      <x:c r="E26" s="55" t="n">
        <x:f>COUNTIFS(Signals!$A$2:$A$3451,$A26,Signals!$G$2:$G$3451,E$4)</x:f>
        <x:v>0</x:v>
      </x:c>
      <x:c r="F26" s="55" t="n">
        <x:f>COUNTIFS(Signals!$A$2:$A$3451,$A26,Signals!$G$2:$G$3451,F$4)</x:f>
        <x:v>1</x:v>
      </x:c>
      <x:c r="G26" s="55" t="n">
        <x:f>COUNTIFS(Signals!$A$2:$A$3451,$A26,Signals!$G$2:$G$3451,G$4)</x:f>
        <x:v>1</x:v>
      </x:c>
      <x:c r="H26" s="55" t="n">
        <x:f>COUNTIFS(Signals!$A$2:$A$3451,$A26,Signals!$G$2:$G$3451,H$4)</x:f>
        <x:v>0</x:v>
      </x:c>
      <x:c r="I26" s="55" t="n">
        <x:f>SUM(B26:H26)</x:f>
        <x:v>150</x:v>
      </x:c>
    </x:row>
    <x:row r="27">
      <x:c r="A27" s="54" t="n">
        <x:f>'Quarterly Results'!A27</x:f>
        <x:v>45930</x:v>
      </x:c>
      <x:c r="B27" s="55" t="n">
        <x:f>COUNTIFS(Signals!$A$2:$A$3451,$A27,Signals!$G$2:$G$3451,B$4)</x:f>
        <x:v>66</x:v>
      </x:c>
      <x:c r="C27" s="55" t="n">
        <x:f>COUNTIFS(Signals!$A$2:$A$3451,$A27,Signals!$G$2:$G$3451,C$4)</x:f>
        <x:v>69</x:v>
      </x:c>
      <x:c r="D27" s="55" t="n">
        <x:f>COUNTIFS(Signals!$A$2:$A$3451,$A27,Signals!$G$2:$G$3451,D$4)</x:f>
        <x:v>13</x:v>
      </x:c>
      <x:c r="E27" s="55" t="n">
        <x:f>COUNTIFS(Signals!$A$2:$A$3451,$A27,Signals!$G$2:$G$3451,E$4)</x:f>
        <x:v>0</x:v>
      </x:c>
      <x:c r="F27" s="55" t="n">
        <x:f>COUNTIFS(Signals!$A$2:$A$3451,$A27,Signals!$G$2:$G$3451,F$4)</x:f>
        <x:v>1</x:v>
      </x:c>
      <x:c r="G27" s="55" t="n">
        <x:f>COUNTIFS(Signals!$A$2:$A$3451,$A27,Signals!$G$2:$G$3451,G$4)</x:f>
        <x:v>1</x:v>
      </x:c>
      <x:c r="H27" s="55" t="n">
        <x:f>COUNTIFS(Signals!$A$2:$A$3451,$A27,Signals!$G$2:$G$3451,H$4)</x:f>
        <x:v>0</x:v>
      </x:c>
      <x:c r="I27" s="55" t="n">
        <x:f>SUM(B27:H27)</x:f>
        <x:v>150</x:v>
      </x:c>
    </x:row>
    <x:row r="28">
      <x:c r="A28" s="59" t="str">
        <x:v>Total</x:v>
      </x:c>
      <x:c r="B28" s="60" t="n">
        <x:f>SUM(B5:B27)</x:f>
        <x:v>1497</x:v>
      </x:c>
      <x:c r="C28" s="60" t="n">
        <x:f>SUM(C5:C27)</x:f>
        <x:v>1353</x:v>
      </x:c>
      <x:c r="D28" s="60" t="n">
        <x:f>SUM(D5:D27)</x:f>
        <x:v>299</x:v>
      </x:c>
      <x:c r="E28" s="60" t="n">
        <x:f>SUM(E5:E27)</x:f>
        <x:v>193</x:v>
      </x:c>
      <x:c r="F28" s="60" t="n">
        <x:f>SUM(F5:F27)</x:f>
        <x:v>100</x:v>
      </x:c>
      <x:c r="G28" s="60" t="n">
        <x:f>SUM(G5:G27)</x:f>
        <x:v>3</x:v>
      </x:c>
      <x:c r="H28" s="60" t="n">
        <x:f>SUM(H5:H27)</x:f>
        <x:v>5</x:v>
      </x:c>
      <x:c r="I28" s="60" t="n">
        <x:f>SUM(I5:I27)</x:f>
        <x:v>3450</x:v>
      </x:c>
    </x:row>
  </x:sheetData>
  <x:mergeCells>
    <x:mergeCell ref="A1:I2"/>
  </x:mergeCells>
  <x:conditionalFormatting sqref="B5:B27">
    <x:cfRule type="dataBar" priority="1">
      <x:dataBar>
        <x:cfvo type="min"/>
        <x:cfvo type="max"/>
        <x:color rgb="FF1677B8"/>
      </x:dataBar>
      <x:extLst>
        <x:ext xmlns:x14="http://schemas.microsoft.com/office/spreadsheetml/2009/9/main" uri="{B025F937-C7B1-47D3-B67F-A62EFF666E3E}">
          <x14:id>{765EFCA4-8B02-5F4B-50FE-7AF83FC381CA}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f4992979bd6472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65EFCA4-8B02-5F4B-50FE-7AF83FC381CA}">
            <x14:dataBar gradient="1">
              <x14:cfvo type="min"/>
              <x14:cfvo type="max"/>
              <x14:fillColor rgb="FF1677B8"/>
            </x14:dataBar>
          </x14:cfRule>
          <xm:sqref>B5:B27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13" hidden="0" customWidth="1"/>
    <x:col min="4" max="4" width="20" hidden="0" customWidth="1"/>
    <x:col min="5" max="5" width="13" hidden="0" customWidth="1"/>
    <x:col min="6" max="6" width="13" hidden="0" customWidth="1"/>
    <x:col min="7" max="7" width="13" hidden="0" customWidth="1"/>
    <x:col min="8" max="8" width="42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8" hidden="0" customWidth="1"/>
    <x:col min="18" max="18" width="18" hidden="0" customWidth="1"/>
    <x:col min="19" max="19" width="13" hidden="0" customWidth="1"/>
    <x:col min="20" max="20" width="32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42" hidden="0" customWidth="1"/>
  </x:cols>
  <x:sheetData>
    <x:row r="1">
      <x:c r="A1" s="35" t="str">
        <x:v>signal_date</x:v>
      </x:c>
      <x:c r="B1" s="36" t="str">
        <x:v>cutoff</x:v>
      </x:c>
      <x:c r="C1" s="36" t="str">
        <x:v>ticker</x:v>
      </x:c>
      <x:c r="D1" s="36" t="str">
        <x:v>name</x:v>
      </x:c>
      <x:c r="E1" s="36" t="str">
        <x:v>market</x:v>
      </x:c>
      <x:c r="F1" s="36" t="str">
        <x:v>size_bucket</x:v>
      </x:c>
      <x:c r="G1" s="36" t="str">
        <x:v>status</x:v>
      </x:c>
      <x:c r="H1" s="36" t="str">
        <x:v>status_detail</x:v>
      </x:c>
      <x:c r="I1" s="36" t="str">
        <x:v>price_date</x:v>
      </x:c>
      <x:c r="J1" s="36" t="str">
        <x:v>price</x:v>
      </x:c>
      <x:c r="K1" s="36" t="str">
        <x:v>market_cap</x:v>
      </x:c>
      <x:c r="L1" s="36" t="str">
        <x:v>listed_shares</x:v>
      </x:c>
      <x:c r="M1" s="36" t="str">
        <x:v>latest_rcept_no</x:v>
      </x:c>
      <x:c r="N1" s="36" t="str">
        <x:v>latest_available_at</x:v>
      </x:c>
      <x:c r="O1" s="36" t="str">
        <x:v>latest_fiscal_period_end</x:v>
      </x:c>
      <x:c r="P1" s="36" t="str">
        <x:v>latest_is_amendment</x:v>
      </x:c>
      <x:c r="Q1" s="36" t="str">
        <x:v>original_archive_sha256</x:v>
      </x:c>
      <x:c r="R1" s="36" t="str">
        <x:v>xbrl_archive_sha256</x:v>
      </x:c>
      <x:c r="S1" s="36" t="str">
        <x:v>metric_coverage_count</x:v>
      </x:c>
      <x:c r="T1" s="36" t="str">
        <x:v>history_periods</x:v>
      </x:c>
      <x:c r="U1" s="36" t="str">
        <x:v>fair_value_per_share</x:v>
      </x:c>
      <x:c r="V1" s="36" t="str">
        <x:v>cheap</x:v>
      </x:c>
      <x:c r="W1" s="36" t="str">
        <x:v>cheap_rank</x:v>
      </x:c>
      <x:c r="X1" s="36" t="str">
        <x:v>cheap_quintile</x:v>
      </x:c>
      <x:c r="Y1" s="36" t="str">
        <x:v>assumption_confidence</x:v>
      </x:c>
      <x:c r="Z1" s="36" t="str">
        <x:v>terminal_value_share</x:v>
      </x:c>
      <x:c r="AA1" s="37" t="str">
        <x:v>screening_exclusion_reasons</x:v>
      </x:c>
    </x:row>
    <x:row r="2">
      <x:c r="A2" s="54" t="n">
        <x:v>43921</x:v>
      </x:c>
      <x:c r="B2" t="n">
        <x:v>43921.624999988424</x:v>
      </x:c>
      <x:c r="C2" t="str">
        <x:v>168330</x:v>
      </x:c>
      <x:c r="D2" t="str">
        <x:v>내츄럴엔도텍</x:v>
      </x:c>
      <x:c r="E2" t="str">
        <x:v>KOSDAQ</x:v>
      </x:c>
      <x:c r="F2" t="str">
        <x:v>SMALL</x:v>
      </x:c>
      <x:c r="G2" t="str">
        <x:v>DCF_SCREENING_EXCLUSION</x:v>
      </x:c>
      <x:c r="H2" t="str">
        <x:v>NON_POSITIVE_ENTERPRISE_VALUE|NON_POSITIVE_EQUITY_VALUE|NON_POSITIVE_TERMINAL_FCF</x:v>
      </x:c>
      <x:c r="I2" s="54" t="n">
        <x:v>43921</x:v>
      </x:c>
      <x:c r="J2" s="55" t="n">
        <x:v>2525</x:v>
      </x:c>
      <x:c r="K2" s="55" t="n">
        <x:v>52181200550</x:v>
      </x:c>
      <x:c r="L2" s="55" t="n">
        <x:v>20665822</x:v>
      </x:c>
      <x:c r="M2" t="str">
        <x:v>20200330004254</x:v>
      </x:c>
      <x:c r="N2" t="n">
        <x:v>43920.624999988424</x:v>
      </x:c>
      <x:c r="O2" s="54" t="n">
        <x:v>43830</x:v>
      </x:c>
      <x:c r="P2" t="str">
        <x:v>False</x:v>
      </x:c>
      <x:c r="Q2" t="str">
        <x:v>d6d52911366a74f17f7c5ae0b7031af0667b3897206260d4d2512a17f7ecc709</x:v>
      </x:c>
      <x:c r="R2" t="str">
        <x:v>f593ccfbd8ca8c563ff21926ca706a13df34c0a6205d7191746e92d8b41c67e0</x:v>
      </x:c>
      <x:c r="S2" t="n">
        <x:v>7</x:v>
      </x:c>
      <x:c r="T2" t="str">
        <x:v>2018-12-31|2019-12-31</x:v>
      </x:c>
      <x:c r="U2" s="57" t="n">
        <x:v>-3503.391373201611</x:v>
      </x:c>
      <x:c r="V2" s="57" t="n">
        <x:v>-2.3874817319610337</x:v>
      </x:c>
      <x:c r="W2"/>
      <x:c r="X2"/>
      <x:c r="Y2" s="38" t="n">
        <x:v>0.6409090909090909</x:v>
      </x:c>
      <x:c r="Z2" s="38" t="n">
        <x:v>0.6382433896552948</x:v>
      </x:c>
      <x:c r="AA2" t="str">
        <x:v>NON_POSITIVE_ENTERPRISE_VALUE|NON_POSITIVE_EQUITY_VALUE|NON_POSITIVE_TERMINAL_FCF</x:v>
      </x:c>
    </x:row>
    <x:row r="3">
      <x:c r="A3" s="54" t="n">
        <x:v>43921</x:v>
      </x:c>
      <x:c r="B3" t="n">
        <x:v>43921.624999988424</x:v>
      </x:c>
      <x:c r="C3" t="str">
        <x:v>120240</x:v>
      </x:c>
      <x:c r="D3" t="str">
        <x:v>대정화금</x:v>
      </x:c>
      <x:c r="E3" t="str">
        <x:v>KOSDAQ</x:v>
      </x:c>
      <x:c r="F3" t="str">
        <x:v>SMALL</x:v>
      </x:c>
      <x:c r="G3" t="str">
        <x:v>DCF_SCREENING_EXCLUSION</x:v>
      </x:c>
      <x:c r="H3" t="str">
        <x:v>NON_POSITIVE_ENTERPRISE_VALUE|NON_POSITIVE_EQUITY_VALUE|NON_POSITIVE_TERMINAL_FCF</x:v>
      </x:c>
      <x:c r="I3" s="54" t="n">
        <x:v>43921</x:v>
      </x:c>
      <x:c r="J3" s="55" t="n">
        <x:v>13100</x:v>
      </x:c>
      <x:c r="K3" s="55" t="n">
        <x:v>93015122100</x:v>
      </x:c>
      <x:c r="L3" s="55" t="n">
        <x:v>7100391</x:v>
      </x:c>
      <x:c r="M3" t="str">
        <x:v>20200330002175</x:v>
      </x:c>
      <x:c r="N3" t="n">
        <x:v>43920.624999988424</x:v>
      </x:c>
      <x:c r="O3" s="54" t="n">
        <x:v>43830</x:v>
      </x:c>
      <x:c r="P3" t="str">
        <x:v>False</x:v>
      </x:c>
      <x:c r="Q3" t="str">
        <x:v>6e32cecfd116216d63e50ca240f3c0414512602ddd66fa298ca7ba1fe4873cbe</x:v>
      </x:c>
      <x:c r="R3" t="str">
        <x:v>89928948e3367e7b93ccb0d432c1272b93bc9b4b5aa0d41133188f85c3657bd7</x:v>
      </x:c>
      <x:c r="S3" t="n">
        <x:v>7</x:v>
      </x:c>
      <x:c r="T3" t="str">
        <x:v>2018-12-31|2019-12-31</x:v>
      </x:c>
      <x:c r="U3" s="57" t="n">
        <x:v>-2154.4866344063385</x:v>
      </x:c>
      <x:c r="V3" s="57" t="n">
        <x:v>-1.1644646285806366</x:v>
      </x:c>
      <x:c r="W3"/>
      <x:c r="X3"/>
      <x:c r="Y3" s="38" t="n">
        <x:v>0.6409090909090909</x:v>
      </x:c>
      <x:c r="Z3" s="38" t="n">
        <x:v>0.6375338642560864</x:v>
      </x:c>
      <x:c r="AA3" t="str">
        <x:v>NON_POSITIVE_ENTERPRISE_VALUE|NON_POSITIVE_EQUITY_VALUE|NON_POSITIVE_TERMINAL_FCF</x:v>
      </x:c>
    </x:row>
    <x:row r="4">
      <x:c r="A4" s="54" t="n">
        <x:v>43921</x:v>
      </x:c>
      <x:c r="B4" t="n">
        <x:v>43921.624999988424</x:v>
      </x:c>
      <x:c r="C4" t="str">
        <x:v>348350</x:v>
      </x:c>
      <x:c r="D4" t="str">
        <x:v>위드텍</x:v>
      </x:c>
      <x:c r="E4" t="str">
        <x:v>KOSDAQ</x:v>
      </x:c>
      <x:c r="F4" t="str">
        <x:v>SMALL</x:v>
      </x:c>
      <x:c r="G4" t="str">
        <x:v>NOT_LISTED_OR_NO_PRICE</x:v>
      </x:c>
      <x:c r="H4"/>
      <x:c r="I4" s="54"/>
      <x:c r="J4" s="55"/>
      <x:c r="K4" s="55"/>
      <x:c r="L4" s="55"/>
      <x:c r="M4"/>
      <x:c r="N4"/>
      <x:c r="O4" s="54"/>
      <x:c r="P4"/>
      <x:c r="Q4"/>
      <x:c r="R4"/>
      <x:c r="S4"/>
      <x:c r="T4"/>
      <x:c r="U4" s="57"/>
      <x:c r="V4" s="57"/>
      <x:c r="W4"/>
      <x:c r="X4"/>
      <x:c r="Y4" s="38"/>
      <x:c r="Z4" s="38"/>
      <x:c r="AA4"/>
    </x:row>
    <x:row r="5">
      <x:c r="A5" s="54" t="n">
        <x:v>43921</x:v>
      </x:c>
      <x:c r="B5" t="n">
        <x:v>43921.624999988424</x:v>
      </x:c>
      <x:c r="C5" t="str">
        <x:v>226330</x:v>
      </x:c>
      <x:c r="D5" t="str">
        <x:v>신테카바이오</x:v>
      </x:c>
      <x:c r="E5" t="str">
        <x:v>KOSDAQ</x:v>
      </x:c>
      <x:c r="F5" t="str">
        <x:v>SMALL</x:v>
      </x:c>
      <x:c r="G5" t="str">
        <x:v>DCF_SCREENING_EXCLUSION</x:v>
      </x:c>
      <x:c r="H5" t="str">
        <x:v>NON_POSITIVE_ENTERPRISE_VALUE|NON_POSITIVE_TERMINAL_FCF</x:v>
      </x:c>
      <x:c r="I5" s="54" t="n">
        <x:v>43921</x:v>
      </x:c>
      <x:c r="J5" s="55" t="n">
        <x:v>10050</x:v>
      </x:c>
      <x:c r="K5" s="55" t="n">
        <x:v>132395041800</x:v>
      </x:c>
      <x:c r="L5" s="55" t="n">
        <x:v>13173636</x:v>
      </x:c>
      <x:c r="M5" t="str">
        <x:v>20200330002788</x:v>
      </x:c>
      <x:c r="N5" t="n">
        <x:v>43920.624999988424</x:v>
      </x:c>
      <x:c r="O5" s="54" t="n">
        <x:v>43830</x:v>
      </x:c>
      <x:c r="P5" t="str">
        <x:v>False</x:v>
      </x:c>
      <x:c r="Q5" t="str">
        <x:v>6daebb8f4beeea3517dda3da03a2c1c53b2f64b3b782ad5ddbc0ff0d294f0921</x:v>
      </x:c>
      <x:c r="R5" t="str">
        <x:v>1052b731fe0fc2d8419ea72409def3bfa12f94d43406a0e3034860f25ec72e53</x:v>
      </x:c>
      <x:c r="S5" t="n">
        <x:v>7</x:v>
      </x:c>
      <x:c r="T5" t="str">
        <x:v>2019-12-31</x:v>
      </x:c>
      <x:c r="U5" s="57" t="n">
        <x:v>1212.9745226588013</x:v>
      </x:c>
      <x:c r="V5" s="57" t="n">
        <x:v>-0.8793060176458904</x:v>
      </x:c>
      <x:c r="W5"/>
      <x:c r="X5"/>
      <x:c r="Y5" s="38" t="n">
        <x:v>0.6409090909090909</x:v>
      </x:c>
      <x:c r="Z5" s="38" t="n">
        <x:v>0.6264850986190418</x:v>
      </x:c>
      <x:c r="AA5" t="str">
        <x:v>NON_POSITIVE_ENTERPRISE_VALUE|NON_POSITIVE_TERMINAL_FCF</x:v>
      </x:c>
    </x:row>
    <x:row r="6">
      <x:c r="A6" s="54" t="n">
        <x:v>43921</x:v>
      </x:c>
      <x:c r="B6" t="n">
        <x:v>43921.624999988424</x:v>
      </x:c>
      <x:c r="C6" t="str">
        <x:v>215090</x:v>
      </x:c>
      <x:c r="D6" t="str">
        <x:v>솔디펜스</x:v>
      </x:c>
      <x:c r="E6" t="str">
        <x:v>KOSDAQ</x:v>
      </x:c>
      <x:c r="F6" t="str">
        <x:v>SMALL</x:v>
      </x:c>
      <x:c r="G6" t="str">
        <x:v>DCF_SCREENING_EXCLUSION</x:v>
      </x:c>
      <x:c r="H6" t="str">
        <x:v>NON_POSITIVE_ENTERPRISE_VALUE|NON_POSITIVE_EQUITY_VALUE|NON_POSITIVE_TERMINAL_FCF</x:v>
      </x:c>
      <x:c r="I6" s="54" t="n">
        <x:v>43921</x:v>
      </x:c>
      <x:c r="J6" s="55" t="n">
        <x:v>1115</x:v>
      </x:c>
      <x:c r="K6" s="55" t="n">
        <x:v>29151370605</x:v>
      </x:c>
      <x:c r="L6" s="55" t="n">
        <x:v>26144727</x:v>
      </x:c>
      <x:c r="M6" t="str">
        <x:v>20200330002996</x:v>
      </x:c>
      <x:c r="N6" t="n">
        <x:v>43920.624999988424</x:v>
      </x:c>
      <x:c r="O6" s="54" t="n">
        <x:v>43830</x:v>
      </x:c>
      <x:c r="P6" t="str">
        <x:v>False</x:v>
      </x:c>
      <x:c r="Q6" t="str">
        <x:v>b57dc913b68113d2e41e8b7b6bf4646dfc8b8caa4899764bc0f92a284419ce26</x:v>
      </x:c>
      <x:c r="R6" t="str">
        <x:v>73269b6a6989053b779e35b35b738ef612e0e6b12d3929ccef6a1d4e2590e1e9</x:v>
      </x:c>
      <x:c r="S6" t="n">
        <x:v>6</x:v>
      </x:c>
      <x:c r="T6" t="str">
        <x:v>2018-12-31|2019-12-31</x:v>
      </x:c>
      <x:c r="U6" s="57" t="n">
        <x:v>-527.2288089072475</x:v>
      </x:c>
      <x:c r="V6" s="57" t="n">
        <x:v>-1.4728509496925988</x:v>
      </x:c>
      <x:c r="W6"/>
      <x:c r="X6"/>
      <x:c r="Y6" s="38" t="n">
        <x:v>0.6409090909090909</x:v>
      </x:c>
      <x:c r="Z6" s="38" t="n">
        <x:v>0.5231366214978009</x:v>
      </x:c>
      <x:c r="AA6" t="str">
        <x:v>NON_POSITIVE_ENTERPRISE_VALUE|NON_POSITIVE_EQUITY_VALUE|NON_POSITIVE_TERMINAL_FCF</x:v>
      </x:c>
    </x:row>
    <x:row r="7">
      <x:c r="A7" s="54" t="n">
        <x:v>43921</x:v>
      </x:c>
      <x:c r="B7" t="n">
        <x:v>43921.624999988424</x:v>
      </x:c>
      <x:c r="C7" t="str">
        <x:v>185490</x:v>
      </x:c>
      <x:c r="D7" t="str">
        <x:v>아이진</x:v>
      </x:c>
      <x:c r="E7" t="str">
        <x:v>KOSDAQ</x:v>
      </x:c>
      <x:c r="F7" t="str">
        <x:v>SMALL</x:v>
      </x:c>
      <x:c r="G7" t="str">
        <x:v>DCF_SCREENING_EXCLUSION</x:v>
      </x:c>
      <x:c r="H7" t="str">
        <x:v>NON_POSITIVE_ENTERPRISE_VALUE|NON_POSITIVE_EQUITY_VALUE|NON_POSITIVE_TERMINAL_FCF</x:v>
      </x:c>
      <x:c r="I7" s="54" t="n">
        <x:v>43921</x:v>
      </x:c>
      <x:c r="J7" s="55" t="n">
        <x:v>7430</x:v>
      </x:c>
      <x:c r="K7" s="55" t="n">
        <x:v>85359963650</x:v>
      </x:c>
      <x:c r="L7" s="55" t="n">
        <x:v>11488555</x:v>
      </x:c>
      <x:c r="M7" t="str">
        <x:v>20200330004564</x:v>
      </x:c>
      <x:c r="N7" t="n">
        <x:v>43920.624999988424</x:v>
      </x:c>
      <x:c r="O7" s="54" t="n">
        <x:v>43830</x:v>
      </x:c>
      <x:c r="P7" t="str">
        <x:v>False</x:v>
      </x:c>
      <x:c r="Q7" t="str">
        <x:v>e7331e812233f02472153e9f9eb45fedaf58f470fc5259825ea470c89ee425f5</x:v>
      </x:c>
      <x:c r="R7" t="str">
        <x:v>095df92f85dd7397d3292171d983613617788dfa7501cc529ef5f750facc06c5</x:v>
      </x:c>
      <x:c r="S7" t="n">
        <x:v>5</x:v>
      </x:c>
      <x:c r="T7" t="str">
        <x:v>2018-12-31|2019-12-31</x:v>
      </x:c>
      <x:c r="U7" s="57" t="n">
        <x:v>-1833.6112981153005</x:v>
      </x:c>
      <x:c r="V7" s="57" t="n">
        <x:v>-1.2467848315094616</x:v>
      </x:c>
      <x:c r="W7"/>
      <x:c r="X7"/>
      <x:c r="Y7" s="38" t="n">
        <x:v>0.6409090909090909</x:v>
      </x:c>
      <x:c r="Z7" s="38" t="n">
        <x:v>0.6422566574366064</x:v>
      </x:c>
      <x:c r="AA7" t="str">
        <x:v>NON_POSITIVE_ENTERPRISE_VALUE|NON_POSITIVE_EQUITY_VALUE|NON_POSITIVE_TERMINAL_FCF</x:v>
      </x:c>
    </x:row>
    <x:row r="8">
      <x:c r="A8" s="54" t="n">
        <x:v>43921</x:v>
      </x:c>
      <x:c r="B8" t="n">
        <x:v>43921.624999988424</x:v>
      </x:c>
      <x:c r="C8" t="str">
        <x:v>333620</x:v>
      </x:c>
      <x:c r="D8" t="str">
        <x:v>엔시스</x:v>
      </x:c>
      <x:c r="E8" t="str">
        <x:v>KOSDAQ</x:v>
      </x:c>
      <x:c r="F8" t="str">
        <x:v>SMALL</x:v>
      </x:c>
      <x:c r="G8" t="str">
        <x:v>NOT_LISTED_OR_NO_PRICE</x:v>
      </x:c>
      <x:c r="H8"/>
      <x:c r="I8" s="54"/>
      <x:c r="J8" s="55"/>
      <x:c r="K8" s="55"/>
      <x:c r="L8" s="55"/>
      <x:c r="M8"/>
      <x:c r="N8"/>
      <x:c r="O8" s="54"/>
      <x:c r="P8"/>
      <x:c r="Q8"/>
      <x:c r="R8"/>
      <x:c r="S8"/>
      <x:c r="T8"/>
      <x:c r="U8" s="57"/>
      <x:c r="V8" s="57"/>
      <x:c r="W8"/>
      <x:c r="X8"/>
      <x:c r="Y8" s="38"/>
      <x:c r="Z8" s="38"/>
      <x:c r="AA8"/>
    </x:row>
    <x:row r="9">
      <x:c r="A9" s="54" t="n">
        <x:v>43921</x:v>
      </x:c>
      <x:c r="B9" t="n">
        <x:v>43921.624999988424</x:v>
      </x:c>
      <x:c r="C9" t="str">
        <x:v>036710</x:v>
      </x:c>
      <x:c r="D9" t="str">
        <x:v>심텍홀딩스</x:v>
      </x:c>
      <x:c r="E9" t="str">
        <x:v>KOSDAQ</x:v>
      </x:c>
      <x:c r="F9" t="str">
        <x:v>SMALL</x:v>
      </x:c>
      <x:c r="G9" t="str">
        <x:v>EXCLUDED_ARCHETYPE</x:v>
      </x:c>
      <x:c r="H9" t="str">
        <x:v>FCFF_NOT_COMPARABLE_FOR_FINANCE_OR_HOLDING_HINT</x:v>
      </x:c>
      <x:c r="I9" s="54"/>
      <x:c r="J9" s="55"/>
      <x:c r="K9" s="55"/>
      <x:c r="L9" s="55"/>
      <x:c r="M9"/>
      <x:c r="N9"/>
      <x:c r="O9" s="54"/>
      <x:c r="P9"/>
      <x:c r="Q9"/>
      <x:c r="R9"/>
      <x:c r="S9"/>
      <x:c r="T9"/>
      <x:c r="U9" s="57"/>
      <x:c r="V9" s="57"/>
      <x:c r="W9"/>
      <x:c r="X9"/>
      <x:c r="Y9" s="38"/>
      <x:c r="Z9" s="38"/>
      <x:c r="AA9"/>
    </x:row>
    <x:row r="10">
      <x:c r="A10" s="54" t="n">
        <x:v>43921</x:v>
      </x:c>
      <x:c r="B10" t="n">
        <x:v>43921.624999988424</x:v>
      </x:c>
      <x:c r="C10" t="str">
        <x:v>049480</x:v>
      </x:c>
      <x:c r="D10" t="str">
        <x:v>오픈베이스</x:v>
      </x:c>
      <x:c r="E10" t="str">
        <x:v>KOSDAQ</x:v>
      </x:c>
      <x:c r="F10" t="str">
        <x:v>SMALL</x:v>
      </x:c>
      <x:c r="G10" t="str">
        <x:v>DCF_SCREENING_EXCLUSION</x:v>
      </x:c>
      <x:c r="H10" t="str">
        <x:v>NON_POSITIVE_ENTERPRISE_VALUE|NON_POSITIVE_TERMINAL_FCF|UNRELIABLE_TERMINAL_VALUE_SHARE</x:v>
      </x:c>
      <x:c r="I10" s="54" t="n">
        <x:v>43921</x:v>
      </x:c>
      <x:c r="J10" s="55" t="n">
        <x:v>2170</x:v>
      </x:c>
      <x:c r="K10" s="55" t="n">
        <x:v>68186571110</x:v>
      </x:c>
      <x:c r="L10" s="55" t="n">
        <x:v>31422383</x:v>
      </x:c>
      <x:c r="M10" t="str">
        <x:v>20200330002421</x:v>
      </x:c>
      <x:c r="N10" t="n">
        <x:v>43920.624999988424</x:v>
      </x:c>
      <x:c r="O10" s="54" t="n">
        <x:v>43830</x:v>
      </x:c>
      <x:c r="P10" t="str">
        <x:v>False</x:v>
      </x:c>
      <x:c r="Q10" t="str">
        <x:v>a80a1e04d75a6cf279cedcc018265987ab81e0b440daf2631cfaf8d327a7d2b8</x:v>
      </x:c>
      <x:c r="R10" t="str">
        <x:v>8fc8dd8b71f7cc0fddace493c9cc4e00cd3df9a0f540034dd8e8d02658b25113</x:v>
      </x:c>
      <x:c r="S10" t="n">
        <x:v>6</x:v>
      </x:c>
      <x:c r="T10" t="str">
        <x:v>2018-12-31|2019-12-31</x:v>
      </x:c>
      <x:c r="U10" s="57" t="n">
        <x:v>165.67116845342238</x:v>
      </x:c>
      <x:c r="V10" s="57" t="n">
        <x:v>-0.923653839422386</x:v>
      </x:c>
      <x:c r="W10"/>
      <x:c r="X10"/>
      <x:c r="Y10" s="38" t="n">
        <x:v>0.6409090909090909</x:v>
      </x:c>
      <x:c r="Z10" s="38" t="n">
        <x:v>132.0632423192667</x:v>
      </x:c>
      <x:c r="AA10" t="str">
        <x:v>NON_POSITIVE_ENTERPRISE_VALUE|NON_POSITIVE_TERMINAL_FCF|UNRELIABLE_TERMINAL_VALUE_SHARE</x:v>
      </x:c>
    </x:row>
    <x:row r="11">
      <x:c r="A11" s="54" t="n">
        <x:v>43921</x:v>
      </x:c>
      <x:c r="B11" t="n">
        <x:v>43921.624999988424</x:v>
      </x:c>
      <x:c r="C11" t="str">
        <x:v>302430</x:v>
      </x:c>
      <x:c r="D11" t="str">
        <x:v>이노메트리</x:v>
      </x:c>
      <x:c r="E11" t="str">
        <x:v>KOSDAQ</x:v>
      </x:c>
      <x:c r="F11" t="str">
        <x:v>SMALL</x:v>
      </x:c>
      <x:c r="G11" t="str">
        <x:v>ELIGIBLE</x:v>
      </x:c>
      <x:c r="H11"/>
      <x:c r="I11" s="54" t="n">
        <x:v>43921</x:v>
      </x:c>
      <x:c r="J11" s="55" t="n">
        <x:v>8730</x:v>
      </x:c>
      <x:c r="K11" s="55" t="n">
        <x:v>84246385680</x:v>
      </x:c>
      <x:c r="L11" s="55" t="n">
        <x:v>9650216</x:v>
      </x:c>
      <x:c r="M11" t="str">
        <x:v>20200327001949</x:v>
      </x:c>
      <x:c r="N11" t="n">
        <x:v>43917.624999988424</x:v>
      </x:c>
      <x:c r="O11" s="54" t="n">
        <x:v>43830</x:v>
      </x:c>
      <x:c r="P11" t="str">
        <x:v>False</x:v>
      </x:c>
      <x:c r="Q11" t="str">
        <x:v>9439fe9eee7e7027087c8aac09f236db02b328d3f48a7762ddc282e722916be6</x:v>
      </x:c>
      <x:c r="R11" t="str">
        <x:v>a0543e65ba4dcb52330531b24f2a6f526b9b7313f55a60e09c1593ff529413bc</x:v>
      </x:c>
      <x:c r="S11" t="n">
        <x:v>6</x:v>
      </x:c>
      <x:c r="T11" t="str">
        <x:v>2018-12-31|2019-12-31</x:v>
      </x:c>
      <x:c r="U11" s="57" t="n">
        <x:v>4196.108244323621</x:v>
      </x:c>
      <x:c r="V11" s="57" t="n">
        <x:v>-0.5193461346708338</x:v>
      </x:c>
      <x:c r="W11" t="n">
        <x:v>44</x:v>
      </x:c>
      <x:c r="X11" t="n">
        <x:v>4</x:v>
      </x:c>
      <x:c r="Y11" s="38" t="n">
        <x:v>0.6409090909090909</x:v>
      </x:c>
      <x:c r="Z11" s="38" t="n">
        <x:v>0.654245628778656</x:v>
      </x:c>
      <x:c r="AA11"/>
    </x:row>
    <x:row r="12">
      <x:c r="A12" s="54" t="n">
        <x:v>43921</x:v>
      </x:c>
      <x:c r="B12" t="n">
        <x:v>43921.624999988424</x:v>
      </x:c>
      <x:c r="C12" t="str">
        <x:v>288620</x:v>
      </x:c>
      <x:c r="D12" t="str">
        <x:v>에스퓨얼셀</x:v>
      </x:c>
      <x:c r="E12" t="str">
        <x:v>KOSDAQ</x:v>
      </x:c>
      <x:c r="F12" t="str">
        <x:v>SMALL</x:v>
      </x:c>
      <x:c r="G12" t="str">
        <x:v>DCF_SCREENING_EXCLUSION</x:v>
      </x:c>
      <x:c r="H12" t="str">
        <x:v>UNRELIABLE_TERMINAL_VALUE_SHARE</x:v>
      </x:c>
      <x:c r="I12" s="54" t="n">
        <x:v>43921</x:v>
      </x:c>
      <x:c r="J12" s="55" t="n">
        <x:v>12850</x:v>
      </x:c>
      <x:c r="K12" s="55" t="n">
        <x:v>73814460600</x:v>
      </x:c>
      <x:c r="L12" s="55" t="n">
        <x:v>5744316</x:v>
      </x:c>
      <x:c r="M12" t="str">
        <x:v>20200330004143</x:v>
      </x:c>
      <x:c r="N12" t="n">
        <x:v>43920.624999988424</x:v>
      </x:c>
      <x:c r="O12" s="54" t="n">
        <x:v>43830</x:v>
      </x:c>
      <x:c r="P12" t="str">
        <x:v>False</x:v>
      </x:c>
      <x:c r="Q12" t="str">
        <x:v>7434c53b7d28e7d6824609c979bc19f88a71849df366c5c682c6ff2ee0402435</x:v>
      </x:c>
      <x:c r="R12" t="str">
        <x:v>0c0cea23382728c122dd388b34cfdf35e1dd29bed5364809d3f4462aae932258</x:v>
      </x:c>
      <x:c r="S12" t="n">
        <x:v>6</x:v>
      </x:c>
      <x:c r="T12" t="str">
        <x:v>2018-12-31|2019-12-31</x:v>
      </x:c>
      <x:c r="U12" s="57" t="n">
        <x:v>617.2510382636931</x:v>
      </x:c>
      <x:c r="V12" s="57" t="n">
        <x:v>-0.9519648997460161</x:v>
      </x:c>
      <x:c r="W12"/>
      <x:c r="X12"/>
      <x:c r="Y12" s="38" t="n">
        <x:v>0.6409090909090909</x:v>
      </x:c>
      <x:c r="Z12" s="38" t="n">
        <x:v>0.982965917448867</x:v>
      </x:c>
      <x:c r="AA12" t="str">
        <x:v>UNRELIABLE_TERMINAL_VALUE_SHARE</x:v>
      </x:c>
    </x:row>
    <x:row r="13">
      <x:c r="A13" s="54" t="n">
        <x:v>43921</x:v>
      </x:c>
      <x:c r="B13" t="n">
        <x:v>43921.624999988424</x:v>
      </x:c>
      <x:c r="C13" t="str">
        <x:v>094840</x:v>
      </x:c>
      <x:c r="D13" t="str">
        <x:v>슈프리마에이치큐</x:v>
      </x:c>
      <x:c r="E13" t="str">
        <x:v>KOSDAQ</x:v>
      </x:c>
      <x:c r="F13" t="str">
        <x:v>SMALL</x:v>
      </x:c>
      <x:c r="G13" t="str">
        <x:v>ELIGIBLE</x:v>
      </x:c>
      <x:c r="H13"/>
      <x:c r="I13" s="54" t="n">
        <x:v>43921</x:v>
      </x:c>
      <x:c r="J13" s="55" t="n">
        <x:v>3945</x:v>
      </x:c>
      <x:c r="K13" s="55" t="n">
        <x:v>41311408800</x:v>
      </x:c>
      <x:c r="L13" s="55" t="n">
        <x:v>10471840</x:v>
      </x:c>
      <x:c r="M13" t="str">
        <x:v>20200330003185</x:v>
      </x:c>
      <x:c r="N13" t="n">
        <x:v>43920.624999988424</x:v>
      </x:c>
      <x:c r="O13" s="54" t="n">
        <x:v>43830</x:v>
      </x:c>
      <x:c r="P13" t="str">
        <x:v>False</x:v>
      </x:c>
      <x:c r="Q13" t="str">
        <x:v>5ff2f593cac76dd912c9959e7f6d5d2630b16e6be0945165f58599691389338b</x:v>
      </x:c>
      <x:c r="R13" t="str">
        <x:v>1875186d9ebdb1a79a05792932ad1e2a3ea1850f317b16cd71f7da25fee21ad7</x:v>
      </x:c>
      <x:c r="S13" t="n">
        <x:v>6</x:v>
      </x:c>
      <x:c r="T13" t="str">
        <x:v>2018-12-31|2019-12-31</x:v>
      </x:c>
      <x:c r="U13" s="57" t="n">
        <x:v>2903.3884132538665</x:v>
      </x:c>
      <x:c r="V13" s="57" t="n">
        <x:v>-0.2640333553222138</x:v>
      </x:c>
      <x:c r="W13" t="n">
        <x:v>32</x:v>
      </x:c>
      <x:c r="X13" t="n">
        <x:v>3</x:v>
      </x:c>
      <x:c r="Y13" s="38" t="n">
        <x:v>0.6409090909090909</x:v>
      </x:c>
      <x:c r="Z13" s="38" t="n">
        <x:v>0.6640299967652187</x:v>
      </x:c>
      <x:c r="AA13"/>
    </x:row>
    <x:row r="14">
      <x:c r="A14" s="54" t="n">
        <x:v>43921</x:v>
      </x:c>
      <x:c r="B14" t="n">
        <x:v>43921.624999988424</x:v>
      </x:c>
      <x:c r="C14" t="str">
        <x:v>019990</x:v>
      </x:c>
      <x:c r="D14" t="str">
        <x:v>에너토크</x:v>
      </x:c>
      <x:c r="E14" t="str">
        <x:v>KOSDAQ</x:v>
      </x:c>
      <x:c r="F14" t="str">
        <x:v>SMALL</x:v>
      </x:c>
      <x:c r="G14" t="str">
        <x:v>DCF_SCREENING_EXCLUSION</x:v>
      </x:c>
      <x:c r="H14" t="str">
        <x:v>NON_POSITIVE_ENTERPRISE_VALUE|NON_POSITIVE_EQUITY_VALUE|NON_POSITIVE_TERMINAL_FCF</x:v>
      </x:c>
      <x:c r="I14" s="54" t="n">
        <x:v>43921</x:v>
      </x:c>
      <x:c r="J14" s="55" t="n">
        <x:v>2605</x:v>
      </x:c>
      <x:c r="K14" s="55" t="n">
        <x:v>25414609240</x:v>
      </x:c>
      <x:c r="L14" s="55" t="n">
        <x:v>9756088</x:v>
      </x:c>
      <x:c r="M14" t="str">
        <x:v>20200330001788</x:v>
      </x:c>
      <x:c r="N14" t="n">
        <x:v>43920.624999988424</x:v>
      </x:c>
      <x:c r="O14" s="54" t="n">
        <x:v>43830</x:v>
      </x:c>
      <x:c r="P14" t="str">
        <x:v>False</x:v>
      </x:c>
      <x:c r="Q14" t="str">
        <x:v>f2e2396ad6831135dea94697f5e2ed05be027bcbc6fd7f725b66ee39afb94a22</x:v>
      </x:c>
      <x:c r="R14" t="str">
        <x:v>f7893d7a7a04135bbf21a2e2e4878fa7ed6695df6bfc13fcb336eac4f1109c29</x:v>
      </x:c>
      <x:c r="S14" t="n">
        <x:v>7</x:v>
      </x:c>
      <x:c r="T14" t="str">
        <x:v>2018-12-31|2019-12-31</x:v>
      </x:c>
      <x:c r="U14" s="57" t="n">
        <x:v>-309.37462625571885</x:v>
      </x:c>
      <x:c r="V14" s="57" t="n">
        <x:v>-1.1187618526893355</x:v>
      </x:c>
      <x:c r="W14"/>
      <x:c r="X14"/>
      <x:c r="Y14" s="38" t="n">
        <x:v>0.6409090909090909</x:v>
      </x:c>
      <x:c r="Z14" s="38" t="n">
        <x:v>0.5445814290277464</x:v>
      </x:c>
      <x:c r="AA14" t="str">
        <x:v>NON_POSITIVE_ENTERPRISE_VALUE|NON_POSITIVE_EQUITY_VALUE|NON_POSITIVE_TERMINAL_FCF</x:v>
      </x:c>
    </x:row>
    <x:row r="15">
      <x:c r="A15" s="54" t="n">
        <x:v>43921</x:v>
      </x:c>
      <x:c r="B15" t="n">
        <x:v>43921.624999988424</x:v>
      </x:c>
      <x:c r="C15" t="str">
        <x:v>024740</x:v>
      </x:c>
      <x:c r="D15" t="str">
        <x:v>한일단조</x:v>
      </x:c>
      <x:c r="E15" t="str">
        <x:v>KOSDAQ</x:v>
      </x:c>
      <x:c r="F15" t="str">
        <x:v>SMALL</x:v>
      </x:c>
      <x:c r="G15" t="str">
        <x:v>DCF_SCREENING_EXCLUSION</x:v>
      </x:c>
      <x:c r="H15" t="str">
        <x:v>NON_POSITIVE_ENTERPRISE_VALUE|NON_POSITIVE_EQUITY_VALUE|NON_POSITIVE_TERMINAL_FCF</x:v>
      </x:c>
      <x:c r="I15" s="54" t="n">
        <x:v>43921</x:v>
      </x:c>
      <x:c r="J15" s="55" t="n">
        <x:v>1085</x:v>
      </x:c>
      <x:c r="K15" s="55" t="n">
        <x:v>32432090880</x:v>
      </x:c>
      <x:c r="L15" s="55" t="n">
        <x:v>29891328</x:v>
      </x:c>
      <x:c r="M15" t="str">
        <x:v>20200330001710</x:v>
      </x:c>
      <x:c r="N15" t="n">
        <x:v>43920.624999988424</x:v>
      </x:c>
      <x:c r="O15" s="54" t="n">
        <x:v>43830</x:v>
      </x:c>
      <x:c r="P15" t="str">
        <x:v>False</x:v>
      </x:c>
      <x:c r="Q15" t="str">
        <x:v>d15e948aa9dfe94fbd968cd0dae581849a839f3ef47e6a407973ebc195b6f374</x:v>
      </x:c>
      <x:c r="R15" t="str">
        <x:v>78446e23cb8a76ce3efd073c15c4a71203d3c7c8bd55b4f2ae85b3a04229b857</x:v>
      </x:c>
      <x:c r="S15" t="n">
        <x:v>7</x:v>
      </x:c>
      <x:c r="T15" t="str">
        <x:v>2018-12-31|2019-12-31</x:v>
      </x:c>
      <x:c r="U15" s="57" t="n">
        <x:v>-3038.605511049091</x:v>
      </x:c>
      <x:c r="V15" s="57" t="n">
        <x:v>-3.8005580746996235</x:v>
      </x:c>
      <x:c r="W15"/>
      <x:c r="X15"/>
      <x:c r="Y15" s="38" t="n">
        <x:v>0.6409090909090909</x:v>
      </x:c>
      <x:c r="Z15" s="38" t="n">
        <x:v>0.7128505204548261</x:v>
      </x:c>
      <x:c r="AA15" t="str">
        <x:v>NON_POSITIVE_ENTERPRISE_VALUE|NON_POSITIVE_EQUITY_VALUE|NON_POSITIVE_TERMINAL_FCF</x:v>
      </x:c>
    </x:row>
    <x:row r="16">
      <x:c r="A16" s="54" t="n">
        <x:v>43921</x:v>
      </x:c>
      <x:c r="B16" t="n">
        <x:v>43921.624999988424</x:v>
      </x:c>
      <x:c r="C16" t="str">
        <x:v>340930</x:v>
      </x:c>
      <x:c r="D16" t="str">
        <x:v>유일에너테크</x:v>
      </x:c>
      <x:c r="E16" t="str">
        <x:v>KOSDAQ</x:v>
      </x:c>
      <x:c r="F16" t="str">
        <x:v>SMALL</x:v>
      </x:c>
      <x:c r="G16" t="str">
        <x:v>NOT_LISTED_OR_NO_PRICE</x:v>
      </x:c>
      <x:c r="H16"/>
      <x:c r="I16" s="54"/>
      <x:c r="J16" s="55"/>
      <x:c r="K16" s="55"/>
      <x:c r="L16" s="55"/>
      <x:c r="M16"/>
      <x:c r="N16"/>
      <x:c r="O16" s="54"/>
      <x:c r="P16"/>
      <x:c r="Q16"/>
      <x:c r="R16"/>
      <x:c r="S16"/>
      <x:c r="T16"/>
      <x:c r="U16" s="57"/>
      <x:c r="V16" s="57"/>
      <x:c r="W16"/>
      <x:c r="X16"/>
      <x:c r="Y16" s="38"/>
      <x:c r="Z16" s="38"/>
      <x:c r="AA16"/>
    </x:row>
    <x:row r="17">
      <x:c r="A17" s="54" t="n">
        <x:v>43921</x:v>
      </x:c>
      <x:c r="B17" t="n">
        <x:v>43921.624999988424</x:v>
      </x:c>
      <x:c r="C17" t="str">
        <x:v>057030</x:v>
      </x:c>
      <x:c r="D17" t="str">
        <x:v>YBM넷</x:v>
      </x:c>
      <x:c r="E17" t="str">
        <x:v>KOSDAQ</x:v>
      </x:c>
      <x:c r="F17" t="str">
        <x:v>SMALL</x:v>
      </x:c>
      <x:c r="G17" t="str">
        <x:v>ELIGIBLE</x:v>
      </x:c>
      <x:c r="H17"/>
      <x:c r="I17" s="54" t="n">
        <x:v>43921</x:v>
      </x:c>
      <x:c r="J17" s="55" t="n">
        <x:v>8340</x:v>
      </x:c>
      <x:c r="K17" s="55" t="n">
        <x:v>136047892980</x:v>
      </x:c>
      <x:c r="L17" s="55" t="n">
        <x:v>16312697</x:v>
      </x:c>
      <x:c r="M17" t="str">
        <x:v>20200330002871</x:v>
      </x:c>
      <x:c r="N17" t="n">
        <x:v>43920.624999988424</x:v>
      </x:c>
      <x:c r="O17" s="54" t="n">
        <x:v>43830</x:v>
      </x:c>
      <x:c r="P17" t="str">
        <x:v>False</x:v>
      </x:c>
      <x:c r="Q17" t="str">
        <x:v>31bfa98f3484f6e39f01291319bd7997853a67bb35d73559fb8f28fcccbc1709</x:v>
      </x:c>
      <x:c r="R17" t="str">
        <x:v>21915651b2c89caf18110e90c277571770e447f5f8360d31f38649cb509448fa</x:v>
      </x:c>
      <x:c r="S17" t="n">
        <x:v>6</x:v>
      </x:c>
      <x:c r="T17" t="str">
        <x:v>2018-12-31|2019-12-31</x:v>
      </x:c>
      <x:c r="U17" s="57" t="n">
        <x:v>250.81223785625028</x:v>
      </x:c>
      <x:c r="V17" s="57" t="n">
        <x:v>-0.9699265901851019</x:v>
      </x:c>
      <x:c r="W17" t="n">
        <x:v>62</x:v>
      </x:c>
      <x:c r="X17" t="n">
        <x:v>5</x:v>
      </x:c>
      <x:c r="Y17" s="38" t="n">
        <x:v>0.6409090909090909</x:v>
      </x:c>
      <x:c r="Z17" s="38" t="n">
        <x:v>0.5055006343771669</x:v>
      </x:c>
      <x:c r="AA17"/>
    </x:row>
    <x:row r="18">
      <x:c r="A18" s="54" t="n">
        <x:v>43921</x:v>
      </x:c>
      <x:c r="B18" t="n">
        <x:v>43921.624999988424</x:v>
      </x:c>
      <x:c r="C18" t="str">
        <x:v>053160</x:v>
      </x:c>
      <x:c r="D18" t="str">
        <x:v>프리엠스</x:v>
      </x:c>
      <x:c r="E18" t="str">
        <x:v>KOSDAQ</x:v>
      </x:c>
      <x:c r="F18" t="str">
        <x:v>SMALL</x:v>
      </x:c>
      <x:c r="G18" t="str">
        <x:v>DCF_SCREENING_EXCLUSION</x:v>
      </x:c>
      <x:c r="H18" t="str">
        <x:v>UNRELIABLE_TERMINAL_VALUE_SHARE</x:v>
      </x:c>
      <x:c r="I18" s="54" t="n">
        <x:v>43921</x:v>
      </x:c>
      <x:c r="J18" s="55" t="n">
        <x:v>4810</x:v>
      </x:c>
      <x:c r="K18" s="55" t="n">
        <x:v>28860000000</x:v>
      </x:c>
      <x:c r="L18" s="55" t="n">
        <x:v>6000000</x:v>
      </x:c>
      <x:c r="M18" t="str">
        <x:v>20200330000416</x:v>
      </x:c>
      <x:c r="N18" t="n">
        <x:v>43920.624999988424</x:v>
      </x:c>
      <x:c r="O18" s="54" t="n">
        <x:v>43830</x:v>
      </x:c>
      <x:c r="P18" t="str">
        <x:v>False</x:v>
      </x:c>
      <x:c r="Q18" t="str">
        <x:v>b8d8d57690688396554de3a51b42deab1fbc22dae9ba62af4b83812081529be9</x:v>
      </x:c>
      <x:c r="R18" t="str">
        <x:v>119800ddc8d32cf6b2b081a667caada1ac28788814c9a2944ba8da87888bf3a3</x:v>
      </x:c>
      <x:c r="S18" t="n">
        <x:v>7</x:v>
      </x:c>
      <x:c r="T18" t="str">
        <x:v>2018-12-31|2019-12-31</x:v>
      </x:c>
      <x:c r="U18" s="57" t="n">
        <x:v>142.32722732995737</x:v>
      </x:c>
      <x:c r="V18" s="57" t="n">
        <x:v>-0.9704101398482418</x:v>
      </x:c>
      <x:c r="W18"/>
      <x:c r="X18"/>
      <x:c r="Y18" s="38" t="n">
        <x:v>0.6409090909090909</x:v>
      </x:c>
      <x:c r="Z18" s="38" t="n">
        <x:v>1.219784346278681</x:v>
      </x:c>
      <x:c r="AA18" t="str">
        <x:v>UNRELIABLE_TERMINAL_VALUE_SHARE</x:v>
      </x:c>
    </x:row>
    <x:row r="19">
      <x:c r="A19" s="54" t="n">
        <x:v>43921</x:v>
      </x:c>
      <x:c r="B19" t="n">
        <x:v>43921.624999988424</x:v>
      </x:c>
      <x:c r="C19" t="str">
        <x:v>038620</x:v>
      </x:c>
      <x:c r="D19" t="str">
        <x:v>위즈코프</x:v>
      </x:c>
      <x:c r="E19" t="str">
        <x:v>KOSDAQ</x:v>
      </x:c>
      <x:c r="F19" t="str">
        <x:v>SMALL</x:v>
      </x:c>
      <x:c r="G19" t="str">
        <x:v>ELIGIBLE</x:v>
      </x:c>
      <x:c r="H19"/>
      <x:c r="I19" s="54" t="n">
        <x:v>43921</x:v>
      </x:c>
      <x:c r="J19" s="55" t="n">
        <x:v>790</x:v>
      </x:c>
      <x:c r="K19" s="55" t="n">
        <x:v>30676309880</x:v>
      </x:c>
      <x:c r="L19" s="55" t="n">
        <x:v>38830772</x:v>
      </x:c>
      <x:c r="M19" t="str">
        <x:v>20200330003512</x:v>
      </x:c>
      <x:c r="N19" t="n">
        <x:v>43920.624999988424</x:v>
      </x:c>
      <x:c r="O19" s="54" t="n">
        <x:v>43830</x:v>
      </x:c>
      <x:c r="P19" t="str">
        <x:v>False</x:v>
      </x:c>
      <x:c r="Q19" t="str">
        <x:v>0be21a4afbbce00f84fbac53bc2c696c7b14834ea8be19a4e7b4c345190d050f</x:v>
      </x:c>
      <x:c r="R19" t="str">
        <x:v>9352fd7f0b93a3069f8c48b36974d51f96b14f9af18d42251c468565da6460ab</x:v>
      </x:c>
      <x:c r="S19" t="n">
        <x:v>5</x:v>
      </x:c>
      <x:c r="T19" t="str">
        <x:v>2018-12-31|2019-12-31</x:v>
      </x:c>
      <x:c r="U19" s="57" t="n">
        <x:v>282.9420430892279</x:v>
      </x:c>
      <x:c r="V19" s="57" t="n">
        <x:v>-0.6418455150769267</x:v>
      </x:c>
      <x:c r="W19" t="n">
        <x:v>54</x:v>
      </x:c>
      <x:c r="X19" t="n">
        <x:v>5</x:v>
      </x:c>
      <x:c r="Y19" s="38" t="n">
        <x:v>0.6409090909090909</x:v>
      </x:c>
      <x:c r="Z19" s="38" t="n">
        <x:v>0.5351541615818943</x:v>
      </x:c>
      <x:c r="AA19"/>
    </x:row>
    <x:row r="20">
      <x:c r="A20" s="54" t="n">
        <x:v>43921</x:v>
      </x:c>
      <x:c r="B20" t="n">
        <x:v>43921.624999988424</x:v>
      </x:c>
      <x:c r="C20" t="str">
        <x:v>313760</x:v>
      </x:c>
      <x:c r="D20" t="str">
        <x:v>캐리</x:v>
      </x:c>
      <x:c r="E20" t="str">
        <x:v>KOSDAQ</x:v>
      </x:c>
      <x:c r="F20" t="str">
        <x:v>SMALL</x:v>
      </x:c>
      <x:c r="G20" t="str">
        <x:v>ELIGIBLE</x:v>
      </x:c>
      <x:c r="H20"/>
      <x:c r="I20" s="54" t="n">
        <x:v>43921</x:v>
      </x:c>
      <x:c r="J20" s="55" t="n">
        <x:v>6500</x:v>
      </x:c>
      <x:c r="K20" s="55" t="n">
        <x:v>31603000000</x:v>
      </x:c>
      <x:c r="L20" s="55" t="n">
        <x:v>4862000</x:v>
      </x:c>
      <x:c r="M20" t="str">
        <x:v>20200330001096</x:v>
      </x:c>
      <x:c r="N20" t="n">
        <x:v>43920.624999988424</x:v>
      </x:c>
      <x:c r="O20" s="54" t="n">
        <x:v>43830</x:v>
      </x:c>
      <x:c r="P20" t="str">
        <x:v>False</x:v>
      </x:c>
      <x:c r="Q20" t="str">
        <x:v>5eaf0d13b8aa602f0473d18b94ec4985e2122f7d7f192c687da13bed10975db5</x:v>
      </x:c>
      <x:c r="R20" t="str">
        <x:v>adc6b1b633668d036c516f5c32b7415d332ccaccfea5831ebea865a1d3bb1d82</x:v>
      </x:c>
      <x:c r="S20" t="n">
        <x:v>5</x:v>
      </x:c>
      <x:c r="T20" t="str">
        <x:v>2019-12-31</x:v>
      </x:c>
      <x:c r="U20" s="57" t="n">
        <x:v>4050.8466663379677</x:v>
      </x:c>
      <x:c r="V20" s="57" t="n">
        <x:v>-0.37679282056338953</x:v>
      </x:c>
      <x:c r="W20" t="n">
        <x:v>37</x:v>
      </x:c>
      <x:c r="X20" t="n">
        <x:v>3</x:v>
      </x:c>
      <x:c r="Y20" s="38" t="n">
        <x:v>0.6409090909090909</x:v>
      </x:c>
      <x:c r="Z20" s="38" t="n">
        <x:v>0.6264850986190418</x:v>
      </x:c>
      <x:c r="AA20"/>
    </x:row>
    <x:row r="21">
      <x:c r="A21" s="54" t="n">
        <x:v>43921</x:v>
      </x:c>
      <x:c r="B21" t="n">
        <x:v>43921.624999988424</x:v>
      </x:c>
      <x:c r="C21" t="str">
        <x:v>372800</x:v>
      </x:c>
      <x:c r="D21" t="str">
        <x:v>아이티아이즈</x:v>
      </x:c>
      <x:c r="E21" t="str">
        <x:v>KOSDAQ</x:v>
      </x:c>
      <x:c r="F21" t="str">
        <x:v>SMALL</x:v>
      </x:c>
      <x:c r="G21" t="str">
        <x:v>NOT_LISTED_OR_NO_PRICE</x:v>
      </x:c>
      <x:c r="H21"/>
      <x:c r="I21" s="54"/>
      <x:c r="J21" s="55"/>
      <x:c r="K21" s="55"/>
      <x:c r="L21" s="55"/>
      <x:c r="M21"/>
      <x:c r="N21"/>
      <x:c r="O21" s="54"/>
      <x:c r="P21"/>
      <x:c r="Q21"/>
      <x:c r="R21"/>
      <x:c r="S21"/>
      <x:c r="T21"/>
      <x:c r="U21" s="57"/>
      <x:c r="V21" s="57"/>
      <x:c r="W21"/>
      <x:c r="X21"/>
      <x:c r="Y21" s="38"/>
      <x:c r="Z21" s="38"/>
      <x:c r="AA21"/>
    </x:row>
    <x:row r="22">
      <x:c r="A22" s="54" t="n">
        <x:v>43921</x:v>
      </x:c>
      <x:c r="B22" t="n">
        <x:v>43921.624999988424</x:v>
      </x:c>
      <x:c r="C22" t="str">
        <x:v>332290</x:v>
      </x:c>
      <x:c r="D22" t="str">
        <x:v>누보</x:v>
      </x:c>
      <x:c r="E22" t="str">
        <x:v>KOSDAQ</x:v>
      </x:c>
      <x:c r="F22" t="str">
        <x:v>SMALL</x:v>
      </x:c>
      <x:c r="G22" t="str">
        <x:v>NO_PIT_FINANCIALS</x:v>
      </x:c>
      <x:c r="H22"/>
      <x:c r="I22" s="54" t="n">
        <x:v>43921</x:v>
      </x:c>
      <x:c r="J22" s="55" t="n">
        <x:v>1995</x:v>
      </x:c>
      <x:c r="K22" s="55" t="n">
        <x:v>10383975000</x:v>
      </x:c>
      <x:c r="L22" s="55" t="n">
        <x:v>5205000</x:v>
      </x:c>
      <x:c r="M22"/>
      <x:c r="N22"/>
      <x:c r="O22" s="54"/>
      <x:c r="P22"/>
      <x:c r="Q22"/>
      <x:c r="R22"/>
      <x:c r="S22"/>
      <x:c r="T22"/>
      <x:c r="U22" s="57"/>
      <x:c r="V22" s="57"/>
      <x:c r="W22"/>
      <x:c r="X22"/>
      <x:c r="Y22" s="38"/>
      <x:c r="Z22" s="38"/>
      <x:c r="AA22"/>
    </x:row>
    <x:row r="23">
      <x:c r="A23" s="54" t="n">
        <x:v>43921</x:v>
      </x:c>
      <x:c r="B23" t="n">
        <x:v>43921.624999988424</x:v>
      </x:c>
      <x:c r="C23" t="str">
        <x:v>059100</x:v>
      </x:c>
      <x:c r="D23" t="str">
        <x:v>아이컴포넌트</x:v>
      </x:c>
      <x:c r="E23" t="str">
        <x:v>KOSDAQ</x:v>
      </x:c>
      <x:c r="F23" t="str">
        <x:v>SMALL</x:v>
      </x:c>
      <x:c r="G23" t="str">
        <x:v>DCF_SCREENING_EXCLUSION</x:v>
      </x:c>
      <x:c r="H23" t="str">
        <x:v>NON_POSITIVE_EQUITY_VALUE</x:v>
      </x:c>
      <x:c r="I23" s="54" t="n">
        <x:v>43921</x:v>
      </x:c>
      <x:c r="J23" s="55" t="n">
        <x:v>3250</x:v>
      </x:c>
      <x:c r="K23" s="55" t="n">
        <x:v>22980295000</x:v>
      </x:c>
      <x:c r="L23" s="55" t="n">
        <x:v>7070860</x:v>
      </x:c>
      <x:c r="M23" t="str">
        <x:v>20200327000138</x:v>
      </x:c>
      <x:c r="N23" t="n">
        <x:v>43917.624999988424</x:v>
      </x:c>
      <x:c r="O23" s="54" t="n">
        <x:v>43830</x:v>
      </x:c>
      <x:c r="P23" t="str">
        <x:v>False</x:v>
      </x:c>
      <x:c r="Q23" t="str">
        <x:v>4d12405d1f4469a25a3b0cee1621423c78c5b833745fd5449520dd27aab8ae64</x:v>
      </x:c>
      <x:c r="R23" t="str">
        <x:v>305e8d117f3b26f0ebe134331e51961606afb375206f1694033ad71ffbaa5375</x:v>
      </x:c>
      <x:c r="S23" t="n">
        <x:v>7</x:v>
      </x:c>
      <x:c r="T23" t="str">
        <x:v>2018-12-31|2019-12-31</x:v>
      </x:c>
      <x:c r="U23" s="57" t="n">
        <x:v>-517.9732228110661</x:v>
      </x:c>
      <x:c r="V23" s="57" t="n">
        <x:v>-1.1593763762495588</x:v>
      </x:c>
      <x:c r="W23"/>
      <x:c r="X23"/>
      <x:c r="Y23" s="38" t="n">
        <x:v>0.6409090909090909</x:v>
      </x:c>
      <x:c r="Z23" s="38" t="n">
        <x:v>0.6202274730231017</x:v>
      </x:c>
      <x:c r="AA23" t="str">
        <x:v>NON_POSITIVE_EQUITY_VALUE</x:v>
      </x:c>
    </x:row>
    <x:row r="24">
      <x:c r="A24" s="54" t="n">
        <x:v>43921</x:v>
      </x:c>
      <x:c r="B24" t="n">
        <x:v>43921.624999988424</x:v>
      </x:c>
      <x:c r="C24" t="str">
        <x:v>060900</x:v>
      </x:c>
      <x:c r="D24" t="str">
        <x:v>DGP</x:v>
      </x:c>
      <x:c r="E24" t="str">
        <x:v>KOSDAQ</x:v>
      </x:c>
      <x:c r="F24" t="str">
        <x:v>SMALL</x:v>
      </x:c>
      <x:c r="G24" t="str">
        <x:v>DCF_SCREENING_EXCLUSION</x:v>
      </x:c>
      <x:c r="H24" t="str">
        <x:v>NON_POSITIVE_ENTERPRISE_VALUE|NON_POSITIVE_EQUITY_VALUE|NON_POSITIVE_TERMINAL_FCF</x:v>
      </x:c>
      <x:c r="I24" s="54" t="n">
        <x:v>43921</x:v>
      </x:c>
      <x:c r="J24" s="55" t="n">
        <x:v>847</x:v>
      </x:c>
      <x:c r="K24" s="55" t="n">
        <x:v>104474959820</x:v>
      </x:c>
      <x:c r="L24" s="55" t="n">
        <x:v>123347060</x:v>
      </x:c>
      <x:c r="M24" t="str">
        <x:v>20200331002242</x:v>
      </x:c>
      <x:c r="N24" t="n">
        <x:v>43921.624999988424</x:v>
      </x:c>
      <x:c r="O24" s="54" t="n">
        <x:v>43830</x:v>
      </x:c>
      <x:c r="P24" t="str">
        <x:v>True</x:v>
      </x:c>
      <x:c r="Q24" t="str">
        <x:v>ac50e7e79003451d6c3ef8f2db1976662fecb89d432a540a13b72785abeff2ae</x:v>
      </x:c>
      <x:c r="R24" t="str">
        <x:v>ebc1ff8d1acc2ff5dec2c6a71422731b5ff8f9eab544b1cf7d4333ee990e85a4</x:v>
      </x:c>
      <x:c r="S24" t="n">
        <x:v>5</x:v>
      </x:c>
      <x:c r="T24" t="str">
        <x:v>2018-12-31|2019-12-31</x:v>
      </x:c>
      <x:c r="U24" s="57" t="n">
        <x:v>-264.05753505260424</x:v>
      </x:c>
      <x:c r="V24" s="57" t="n">
        <x:v>-1.311756239731528</x:v>
      </x:c>
      <x:c r="W24"/>
      <x:c r="X24"/>
      <x:c r="Y24" s="38" t="n">
        <x:v>0.6409090909090909</x:v>
      </x:c>
      <x:c r="Z24" s="38" t="n">
        <x:v>0.6282819266558984</x:v>
      </x:c>
      <x:c r="AA24" t="str">
        <x:v>NON_POSITIVE_ENTERPRISE_VALUE|NON_POSITIVE_EQUITY_VALUE|NON_POSITIVE_TERMINAL_FCF</x:v>
      </x:c>
    </x:row>
    <x:row r="25">
      <x:c r="A25" s="54" t="n">
        <x:v>43921</x:v>
      </x:c>
      <x:c r="B25" t="n">
        <x:v>43921.624999988424</x:v>
      </x:c>
      <x:c r="C25" t="str">
        <x:v>232830</x:v>
      </x:c>
      <x:c r="D25" t="str">
        <x:v>아이티센피엔에스</x:v>
      </x:c>
      <x:c r="E25" t="str">
        <x:v>KOSDAQ</x:v>
      </x:c>
      <x:c r="F25" t="str">
        <x:v>SMALL</x:v>
      </x:c>
      <x:c r="G25" t="str">
        <x:v>NO_PIT_FINANCIALS</x:v>
      </x:c>
      <x:c r="H25"/>
      <x:c r="I25" s="54" t="n">
        <x:v>43921</x:v>
      </x:c>
      <x:c r="J25" s="55" t="n">
        <x:v>10750</x:v>
      </x:c>
      <x:c r="K25" s="55" t="n">
        <x:v>17265317000</x:v>
      </x:c>
      <x:c r="L25" s="55" t="n">
        <x:v>1606076</x:v>
      </x:c>
      <x:c r="M25"/>
      <x:c r="N25"/>
      <x:c r="O25" s="54"/>
      <x:c r="P25"/>
      <x:c r="Q25"/>
      <x:c r="R25"/>
      <x:c r="S25"/>
      <x:c r="T25"/>
      <x:c r="U25" s="57"/>
      <x:c r="V25" s="57"/>
      <x:c r="W25"/>
      <x:c r="X25"/>
      <x:c r="Y25" s="38"/>
      <x:c r="Z25" s="38"/>
      <x:c r="AA25"/>
    </x:row>
    <x:row r="26">
      <x:c r="A26" s="54" t="n">
        <x:v>43921</x:v>
      </x:c>
      <x:c r="B26" t="n">
        <x:v>43921.624999988424</x:v>
      </x:c>
      <x:c r="C26" t="str">
        <x:v>070590</x:v>
      </x:c>
      <x:c r="D26" t="str">
        <x:v>한솔인티큐브</x:v>
      </x:c>
      <x:c r="E26" t="str">
        <x:v>KOSDAQ</x:v>
      </x:c>
      <x:c r="F26" t="str">
        <x:v>SMALL</x:v>
      </x:c>
      <x:c r="G26" t="str">
        <x:v>DCF_SCREENING_EXCLUSION</x:v>
      </x:c>
      <x:c r="H26" t="str">
        <x:v>NON_POSITIVE_ENTERPRISE_VALUE|NON_POSITIVE_EQUITY_VALUE|NON_POSITIVE_TERMINAL_FCF</x:v>
      </x:c>
      <x:c r="I26" s="54" t="n">
        <x:v>43921</x:v>
      </x:c>
      <x:c r="J26" s="55" t="n">
        <x:v>4150</x:v>
      </x:c>
      <x:c r="K26" s="55" t="n">
        <x:v>57600012150</x:v>
      </x:c>
      <x:c r="L26" s="55" t="n">
        <x:v>13879521</x:v>
      </x:c>
      <x:c r="M26" t="str">
        <x:v>20200330001085</x:v>
      </x:c>
      <x:c r="N26" t="n">
        <x:v>43920.624999988424</x:v>
      </x:c>
      <x:c r="O26" s="54" t="n">
        <x:v>43830</x:v>
      </x:c>
      <x:c r="P26" t="str">
        <x:v>False</x:v>
      </x:c>
      <x:c r="Q26" t="str">
        <x:v>9e3b02b74a2cf3d4848b75e855c95121a0ac21914d6696344cca86be1b268944</x:v>
      </x:c>
      <x:c r="R26" t="str">
        <x:v>3e69b12c4118b8a1b37a381adc908d621d8915ec2af0ba814d7e4fa91122bf9c</x:v>
      </x:c>
      <x:c r="S26" t="n">
        <x:v>6</x:v>
      </x:c>
      <x:c r="T26" t="str">
        <x:v>2018-12-31|2019-12-31</x:v>
      </x:c>
      <x:c r="U26" s="57" t="n">
        <x:v>-176.62002709958338</x:v>
      </x:c>
      <x:c r="V26" s="57" t="n">
        <x:v>-1.0425590426745983</x:v>
      </x:c>
      <x:c r="W26"/>
      <x:c r="X26"/>
      <x:c r="Y26" s="38" t="n">
        <x:v>0.6409090909090909</x:v>
      </x:c>
      <x:c r="Z26" s="38" t="n">
        <x:v>0.627829623617984</x:v>
      </x:c>
      <x:c r="AA26" t="str">
        <x:v>NON_POSITIVE_ENTERPRISE_VALUE|NON_POSITIVE_EQUITY_VALUE|NON_POSITIVE_TERMINAL_FCF</x:v>
      </x:c>
    </x:row>
    <x:row r="27">
      <x:c r="A27" s="54" t="n">
        <x:v>43921</x:v>
      </x:c>
      <x:c r="B27" t="n">
        <x:v>43921.624999988424</x:v>
      </x:c>
      <x:c r="C27" t="str">
        <x:v>163560</x:v>
      </x:c>
      <x:c r="D27" t="str">
        <x:v>동일고무벨트</x:v>
      </x:c>
      <x:c r="E27" t="str">
        <x:v>KOSPI</x:v>
      </x:c>
      <x:c r="F27" t="str">
        <x:v>SMALL</x:v>
      </x:c>
      <x:c r="G27" t="str">
        <x:v>ELIGIBLE</x:v>
      </x:c>
      <x:c r="H27"/>
      <x:c r="I27" s="54" t="n">
        <x:v>43921</x:v>
      </x:c>
      <x:c r="J27" s="55" t="n">
        <x:v>4260</x:v>
      </x:c>
      <x:c r="K27" s="55" t="n">
        <x:v>56871000000</x:v>
      </x:c>
      <x:c r="L27" s="55" t="n">
        <x:v>13350000</x:v>
      </x:c>
      <x:c r="M27" t="str">
        <x:v>20200330002649</x:v>
      </x:c>
      <x:c r="N27" t="n">
        <x:v>43920.624999988424</x:v>
      </x:c>
      <x:c r="O27" s="54" t="n">
        <x:v>43830</x:v>
      </x:c>
      <x:c r="P27" t="str">
        <x:v>False</x:v>
      </x:c>
      <x:c r="Q27" t="str">
        <x:v>dd18381d36a84123259d2f9d5abef82c3cd9eec87fc7c9d6a8c3704b9d8a9553</x:v>
      </x:c>
      <x:c r="R27" t="str">
        <x:v>92a6150dd322930e92b3969c0d88cbaa02568b454b922b2eca367da7090de13b</x:v>
      </x:c>
      <x:c r="S27" t="n">
        <x:v>5</x:v>
      </x:c>
      <x:c r="T27" t="str">
        <x:v>2018-12-31|2019-12-31</x:v>
      </x:c>
      <x:c r="U27" s="57" t="n">
        <x:v>6250.315846957423</x:v>
      </x:c>
      <x:c r="V27" s="57" t="n">
        <x:v>0.46721029271300996</x:v>
      </x:c>
      <x:c r="W27" t="n">
        <x:v>20</x:v>
      </x:c>
      <x:c r="X27" t="n">
        <x:v>2</x:v>
      </x:c>
      <x:c r="Y27" s="38" t="n">
        <x:v>0.6409090909090909</x:v>
      </x:c>
      <x:c r="Z27" s="38" t="n">
        <x:v>0.6061242165613651</x:v>
      </x:c>
      <x:c r="AA27"/>
    </x:row>
    <x:row r="28">
      <x:c r="A28" s="54" t="n">
        <x:v>43921</x:v>
      </x:c>
      <x:c r="B28" t="n">
        <x:v>43921.624999988424</x:v>
      </x:c>
      <x:c r="C28" t="str">
        <x:v>004830</x:v>
      </x:c>
      <x:c r="D28" t="str">
        <x:v>덕성</x:v>
      </x:c>
      <x:c r="E28" t="str">
        <x:v>KOSPI</x:v>
      </x:c>
      <x:c r="F28" t="str">
        <x:v>SMALL</x:v>
      </x:c>
      <x:c r="G28" t="str">
        <x:v>DCF_SCREENING_EXCLUSION</x:v>
      </x:c>
      <x:c r="H28" t="str">
        <x:v>NON_POSITIVE_ENTERPRISE_VALUE|NON_POSITIVE_EQUITY_VALUE|NON_POSITIVE_TERMINAL_FCF|UNRELIABLE_TERMINAL_VALUE_SHARE</x:v>
      </x:c>
      <x:c r="I28" s="54" t="n">
        <x:v>43921</x:v>
      </x:c>
      <x:c r="J28" s="55" t="n">
        <x:v>2225</x:v>
      </x:c>
      <x:c r="K28" s="55" t="n">
        <x:v>34888000000</x:v>
      </x:c>
      <x:c r="L28" s="55" t="n">
        <x:v>15680000</x:v>
      </x:c>
      <x:c r="M28" t="str">
        <x:v>20200330001224</x:v>
      </x:c>
      <x:c r="N28" t="n">
        <x:v>43920.624999988424</x:v>
      </x:c>
      <x:c r="O28" s="54" t="n">
        <x:v>43830</x:v>
      </x:c>
      <x:c r="P28" t="str">
        <x:v>False</x:v>
      </x:c>
      <x:c r="Q28" t="str">
        <x:v>29b49876d642cfd4c870ba4a24e9e0814e5e078d39c0657247368f09139f5a51</x:v>
      </x:c>
      <x:c r="R28" t="str">
        <x:v>140fb8c686ef4f5215f46198c133daf53715e99f38a9f5c3a711618e80ffaf54</x:v>
      </x:c>
      <x:c r="S28" t="n">
        <x:v>7</x:v>
      </x:c>
      <x:c r="T28" t="str">
        <x:v>2018-12-31|2019-12-31</x:v>
      </x:c>
      <x:c r="U28" s="57" t="n">
        <x:v>-1243.3350860461567</x:v>
      </x:c>
      <x:c r="V28" s="57" t="n">
        <x:v>-1.5588022858634412</x:v>
      </x:c>
      <x:c r="W28"/>
      <x:c r="X28"/>
      <x:c r="Y28" s="38" t="n">
        <x:v>0.6409090909090909</x:v>
      </x:c>
      <x:c r="Z28" s="38" t="n">
        <x:v>1.771178029767202</x:v>
      </x:c>
      <x:c r="AA28" t="str">
        <x:v>NON_POSITIVE_ENTERPRISE_VALUE|NON_POSITIVE_EQUITY_VALUE|NON_POSITIVE_TERMINAL_FCF|UNRELIABLE_TERMINAL_VALUE_SHARE</x:v>
      </x:c>
    </x:row>
    <x:row r="29">
      <x:c r="A29" s="54" t="n">
        <x:v>43921</x:v>
      </x:c>
      <x:c r="B29" t="n">
        <x:v>43921.624999988424</x:v>
      </x:c>
      <x:c r="C29" t="str">
        <x:v>014440</x:v>
      </x:c>
      <x:c r="D29" t="str">
        <x:v>영보화학</x:v>
      </x:c>
      <x:c r="E29" t="str">
        <x:v>KOSPI</x:v>
      </x:c>
      <x:c r="F29" t="str">
        <x:v>SMALL</x:v>
      </x:c>
      <x:c r="G29" t="str">
        <x:v>ELIGIBLE</x:v>
      </x:c>
      <x:c r="H29"/>
      <x:c r="I29" s="54" t="n">
        <x:v>43921</x:v>
      </x:c>
      <x:c r="J29" s="55" t="n">
        <x:v>2220</x:v>
      </x:c>
      <x:c r="K29" s="55" t="n">
        <x:v>44400000000</x:v>
      </x:c>
      <x:c r="L29" s="55" t="n">
        <x:v>20000000</x:v>
      </x:c>
      <x:c r="M29" t="str">
        <x:v>20200330001293</x:v>
      </x:c>
      <x:c r="N29" t="n">
        <x:v>43920.624999988424</x:v>
      </x:c>
      <x:c r="O29" s="54" t="n">
        <x:v>43830</x:v>
      </x:c>
      <x:c r="P29" t="str">
        <x:v>False</x:v>
      </x:c>
      <x:c r="Q29" t="str">
        <x:v>5d556c2a6e81a8be16d513371202402c75aa3603036c8fbbd9d5858b59582c24</x:v>
      </x:c>
      <x:c r="R29" t="str">
        <x:v>f1227c63e6f2915d351b241d4dbc1c6ae73340efb324308b279eb55a91b61703</x:v>
      </x:c>
      <x:c r="S29" t="n">
        <x:v>6</x:v>
      </x:c>
      <x:c r="T29" t="str">
        <x:v>2018-12-31|2019-12-31</x:v>
      </x:c>
      <x:c r="U29" s="57" t="n">
        <x:v>1718.4461924132418</x:v>
      </x:c>
      <x:c r="V29" s="57" t="n">
        <x:v>-0.22592513855259375</x:v>
      </x:c>
      <x:c r="W29" t="n">
        <x:v>31</x:v>
      </x:c>
      <x:c r="X29" t="n">
        <x:v>3</x:v>
      </x:c>
      <x:c r="Y29" s="38" t="n">
        <x:v>0.6409090909090909</x:v>
      </x:c>
      <x:c r="Z29" s="38" t="n">
        <x:v>0.3797612797825899</x:v>
      </x:c>
      <x:c r="AA29"/>
    </x:row>
    <x:row r="30">
      <x:c r="A30" s="54" t="n">
        <x:v>43921</x:v>
      </x:c>
      <x:c r="B30" t="n">
        <x:v>43921.624999988424</x:v>
      </x:c>
      <x:c r="C30" t="str">
        <x:v>009180</x:v>
      </x:c>
      <x:c r="D30" t="str">
        <x:v>한솔로지스틱스</x:v>
      </x:c>
      <x:c r="E30" t="str">
        <x:v>KOSPI</x:v>
      </x:c>
      <x:c r="F30" t="str">
        <x:v>SMALL</x:v>
      </x:c>
      <x:c r="G30" t="str">
        <x:v>ELIGIBLE</x:v>
      </x:c>
      <x:c r="H30"/>
      <x:c r="I30" s="54" t="n">
        <x:v>43921</x:v>
      </x:c>
      <x:c r="J30" s="55" t="n">
        <x:v>1115</x:v>
      </x:c>
      <x:c r="K30" s="55" t="n">
        <x:v>30637328875</x:v>
      </x:c>
      <x:c r="L30" s="55" t="n">
        <x:v>27477425</x:v>
      </x:c>
      <x:c r="M30" t="str">
        <x:v>20200330002411</x:v>
      </x:c>
      <x:c r="N30" t="n">
        <x:v>43920.624999988424</x:v>
      </x:c>
      <x:c r="O30" s="54" t="n">
        <x:v>43830</x:v>
      </x:c>
      <x:c r="P30" t="str">
        <x:v>False</x:v>
      </x:c>
      <x:c r="Q30" t="str">
        <x:v>c5a4f1aa5865a474678e19d8dd30912b4c7a1414e379cf00e00083829d740456</x:v>
      </x:c>
      <x:c r="R30" t="str">
        <x:v>8822a47582eb9f48a0de6b130a4403e825d1784ad68975b0bdc9fb4d7044647b</x:v>
      </x:c>
      <x:c r="S30" t="n">
        <x:v>6</x:v>
      </x:c>
      <x:c r="T30" t="str">
        <x:v>2018-12-31|2019-12-31</x:v>
      </x:c>
      <x:c r="U30" s="57" t="n">
        <x:v>93.87103692528059</x:v>
      </x:c>
      <x:c r="V30" s="57" t="n">
        <x:v>-0.915810729214995</x:v>
      </x:c>
      <x:c r="W30" t="n">
        <x:v>60</x:v>
      </x:c>
      <x:c r="X30" t="n">
        <x:v>5</x:v>
      </x:c>
      <x:c r="Y30" s="38" t="n">
        <x:v>0.6409090909090909</x:v>
      </x:c>
      <x:c r="Z30" s="38" t="n">
        <x:v>0.5762308840541649</x:v>
      </x:c>
      <x:c r="AA30"/>
    </x:row>
    <x:row r="31">
      <x:c r="A31" s="54" t="n">
        <x:v>43921</x:v>
      </x:c>
      <x:c r="B31" t="n">
        <x:v>43921.624999988424</x:v>
      </x:c>
      <x:c r="C31" t="str">
        <x:v>004910</x:v>
      </x:c>
      <x:c r="D31" t="str">
        <x:v>조광페인트</x:v>
      </x:c>
      <x:c r="E31" t="str">
        <x:v>KOSPI</x:v>
      </x:c>
      <x:c r="F31" t="str">
        <x:v>SMALL</x:v>
      </x:c>
      <x:c r="G31" t="str">
        <x:v>DCF_SCREENING_EXCLUSION</x:v>
      </x:c>
      <x:c r="H31" t="str">
        <x:v>NON_POSITIVE_ENTERPRISE_VALUE|NON_POSITIVE_EQUITY_VALUE|NON_POSITIVE_TERMINAL_FCF</x:v>
      </x:c>
      <x:c r="I31" s="54" t="n">
        <x:v>43921</x:v>
      </x:c>
      <x:c r="J31" s="55" t="n">
        <x:v>4260</x:v>
      </x:c>
      <x:c r="K31" s="55" t="n">
        <x:v>54528000000</x:v>
      </x:c>
      <x:c r="L31" s="55" t="n">
        <x:v>12800000</x:v>
      </x:c>
      <x:c r="M31" t="str">
        <x:v>20200330000972</x:v>
      </x:c>
      <x:c r="N31" t="n">
        <x:v>43920.624999988424</x:v>
      </x:c>
      <x:c r="O31" s="54" t="n">
        <x:v>43830</x:v>
      </x:c>
      <x:c r="P31" t="str">
        <x:v>False</x:v>
      </x:c>
      <x:c r="Q31" t="str">
        <x:v>3c7f251237cf2fecc7e569116a35a89e18d6b3f451c040c64ceccb5ad2a2b6a9</x:v>
      </x:c>
      <x:c r="R31" t="str">
        <x:v>16a61f56044c27f53ebeafe9d4577de8cb36dba379e89c5de160e3110106f7f0</x:v>
      </x:c>
      <x:c r="S31" t="n">
        <x:v>6</x:v>
      </x:c>
      <x:c r="T31" t="str">
        <x:v>2018-12-31|2019-12-31</x:v>
      </x:c>
      <x:c r="U31" s="57" t="n">
        <x:v>-9428.349657775905</x:v>
      </x:c>
      <x:c r="V31" s="57" t="n">
        <x:v>-3.2132276191962217</x:v>
      </x:c>
      <x:c r="W31"/>
      <x:c r="X31"/>
      <x:c r="Y31" s="38" t="n">
        <x:v>0.6409090909090909</x:v>
      </x:c>
      <x:c r="Z31" s="38" t="n">
        <x:v>0.629446326186738</x:v>
      </x:c>
      <x:c r="AA31" t="str">
        <x:v>NON_POSITIVE_ENTERPRISE_VALUE|NON_POSITIVE_EQUITY_VALUE|NON_POSITIVE_TERMINAL_FCF</x:v>
      </x:c>
    </x:row>
    <x:row r="32">
      <x:c r="A32" s="54" t="n">
        <x:v>43921</x:v>
      </x:c>
      <x:c r="B32" t="n">
        <x:v>43921.624999988424</x:v>
      </x:c>
      <x:c r="C32" t="str">
        <x:v>004870</x:v>
      </x:c>
      <x:c r="D32" t="str">
        <x:v>티웨이홀딩스</x:v>
      </x:c>
      <x:c r="E32" t="str">
        <x:v>KOSPI</x:v>
      </x:c>
      <x:c r="F32" t="str">
        <x:v>SMALL</x:v>
      </x:c>
      <x:c r="G32" t="str">
        <x:v>EXCLUDED_ARCHETYPE</x:v>
      </x:c>
      <x:c r="H32" t="str">
        <x:v>FCFF_NOT_COMPARABLE_FOR_FINANCE_OR_HOLDING_HINT</x:v>
      </x:c>
      <x:c r="I32" s="54"/>
      <x:c r="J32" s="55"/>
      <x:c r="K32" s="55"/>
      <x:c r="L32" s="55"/>
      <x:c r="M32"/>
      <x:c r="N32"/>
      <x:c r="O32" s="54"/>
      <x:c r="P32"/>
      <x:c r="Q32"/>
      <x:c r="R32"/>
      <x:c r="S32"/>
      <x:c r="T32"/>
      <x:c r="U32" s="57"/>
      <x:c r="V32" s="57"/>
      <x:c r="W32"/>
      <x:c r="X32"/>
      <x:c r="Y32" s="38"/>
      <x:c r="Z32" s="38"/>
      <x:c r="AA32"/>
    </x:row>
    <x:row r="33">
      <x:c r="A33" s="54" t="n">
        <x:v>43921</x:v>
      </x:c>
      <x:c r="B33" t="n">
        <x:v>43921.624999988424</x:v>
      </x:c>
      <x:c r="C33" t="str">
        <x:v>010770</x:v>
      </x:c>
      <x:c r="D33" t="str">
        <x:v>평화홀딩스</x:v>
      </x:c>
      <x:c r="E33" t="str">
        <x:v>KOSPI</x:v>
      </x:c>
      <x:c r="F33" t="str">
        <x:v>SMALL</x:v>
      </x:c>
      <x:c r="G33" t="str">
        <x:v>EXCLUDED_ARCHETYPE</x:v>
      </x:c>
      <x:c r="H33" t="str">
        <x:v>FCFF_NOT_COMPARABLE_FOR_FINANCE_OR_HOLDING_HINT</x:v>
      </x:c>
      <x:c r="I33" s="54"/>
      <x:c r="J33" s="55"/>
      <x:c r="K33" s="55"/>
      <x:c r="L33" s="55"/>
      <x:c r="M33"/>
      <x:c r="N33"/>
      <x:c r="O33" s="54"/>
      <x:c r="P33"/>
      <x:c r="Q33"/>
      <x:c r="R33"/>
      <x:c r="S33"/>
      <x:c r="T33"/>
      <x:c r="U33" s="57"/>
      <x:c r="V33" s="57"/>
      <x:c r="W33"/>
      <x:c r="X33"/>
      <x:c r="Y33" s="38"/>
      <x:c r="Z33" s="38"/>
      <x:c r="AA33"/>
    </x:row>
    <x:row r="34">
      <x:c r="A34" s="54" t="n">
        <x:v>43921</x:v>
      </x:c>
      <x:c r="B34" t="n">
        <x:v>43921.624999988424</x:v>
      </x:c>
      <x:c r="C34" t="str">
        <x:v>001290</x:v>
      </x:c>
      <x:c r="D34" t="str">
        <x:v>상상인증권</x:v>
      </x:c>
      <x:c r="E34" t="str">
        <x:v>KOSPI</x:v>
      </x:c>
      <x:c r="F34" t="str">
        <x:v>SMALL</x:v>
      </x:c>
      <x:c r="G34" t="str">
        <x:v>EXCLUDED_ARCHETYPE</x:v>
      </x:c>
      <x:c r="H34" t="str">
        <x:v>FCFF_NOT_COMPARABLE_FOR_FINANCE_OR_HOLDING_HINT</x:v>
      </x:c>
      <x:c r="I34" s="54"/>
      <x:c r="J34" s="55"/>
      <x:c r="K34" s="55"/>
      <x:c r="L34" s="55"/>
      <x:c r="M34"/>
      <x:c r="N34"/>
      <x:c r="O34" s="54"/>
      <x:c r="P34"/>
      <x:c r="Q34"/>
      <x:c r="R34"/>
      <x:c r="S34"/>
      <x:c r="T34"/>
      <x:c r="U34" s="57"/>
      <x:c r="V34" s="57"/>
      <x:c r="W34"/>
      <x:c r="X34"/>
      <x:c r="Y34" s="38"/>
      <x:c r="Z34" s="38"/>
      <x:c r="AA34"/>
    </x:row>
    <x:row r="35">
      <x:c r="A35" s="54" t="n">
        <x:v>43921</x:v>
      </x:c>
      <x:c r="B35" t="n">
        <x:v>43921.624999988424</x:v>
      </x:c>
      <x:c r="C35" t="str">
        <x:v>047400</x:v>
      </x:c>
      <x:c r="D35" t="str">
        <x:v>유니온머티리얼</x:v>
      </x:c>
      <x:c r="E35" t="str">
        <x:v>KOSPI</x:v>
      </x:c>
      <x:c r="F35" t="str">
        <x:v>SMALL</x:v>
      </x:c>
      <x:c r="G35" t="str">
        <x:v>DCF_SCREENING_EXCLUSION</x:v>
      </x:c>
      <x:c r="H35" t="str">
        <x:v>NON_POSITIVE_ENTERPRISE_VALUE|NON_POSITIVE_EQUITY_VALUE|NON_POSITIVE_TERMINAL_FCF</x:v>
      </x:c>
      <x:c r="I35" s="54" t="n">
        <x:v>43921</x:v>
      </x:c>
      <x:c r="J35" s="55" t="n">
        <x:v>1500</x:v>
      </x:c>
      <x:c r="K35" s="55" t="n">
        <x:v>63000000000</x:v>
      </x:c>
      <x:c r="L35" s="55" t="n">
        <x:v>42000000</x:v>
      </x:c>
      <x:c r="M35" t="str">
        <x:v>20200330002957</x:v>
      </x:c>
      <x:c r="N35" t="n">
        <x:v>43920.624999988424</x:v>
      </x:c>
      <x:c r="O35" s="54" t="n">
        <x:v>43830</x:v>
      </x:c>
      <x:c r="P35" t="str">
        <x:v>False</x:v>
      </x:c>
      <x:c r="Q35" t="str">
        <x:v>0b5e9973a69d2d4bfadd10227ba7d7aa97981581c61e748614e0cb3c50baf275</x:v>
      </x:c>
      <x:c r="R35" t="str">
        <x:v>4ef81c860d64ce61559559bd0b2e141484a8b98c37b64cf698d10ca5ea45567e</x:v>
      </x:c>
      <x:c r="S35" t="n">
        <x:v>6</x:v>
      </x:c>
      <x:c r="T35" t="str">
        <x:v>2018-12-31|2019-12-31</x:v>
      </x:c>
      <x:c r="U35" s="57" t="n">
        <x:v>-1289.7333698896705</x:v>
      </x:c>
      <x:c r="V35" s="57" t="n">
        <x:v>-1.8598222465931136</x:v>
      </x:c>
      <x:c r="W35"/>
      <x:c r="X35"/>
      <x:c r="Y35" s="38" t="n">
        <x:v>0.6409090909090909</x:v>
      </x:c>
      <x:c r="Z35" s="38" t="n">
        <x:v>0.7785576727541164</x:v>
      </x:c>
      <x:c r="AA35" t="str">
        <x:v>NON_POSITIVE_ENTERPRISE_VALUE|NON_POSITIVE_EQUITY_VALUE|NON_POSITIVE_TERMINAL_FCF</x:v>
      </x:c>
    </x:row>
    <x:row r="36">
      <x:c r="A36" s="54" t="n">
        <x:v>43921</x:v>
      </x:c>
      <x:c r="B36" t="n">
        <x:v>43921.624999988424</x:v>
      </x:c>
      <x:c r="C36" t="str">
        <x:v>011300</x:v>
      </x:c>
      <x:c r="D36" t="str">
        <x:v>성안머티리얼스</x:v>
      </x:c>
      <x:c r="E36" t="str">
        <x:v>KOSPI</x:v>
      </x:c>
      <x:c r="F36" t="str">
        <x:v>SMALL</x:v>
      </x:c>
      <x:c r="G36" t="str">
        <x:v>DCF_SCREENING_EXCLUSION</x:v>
      </x:c>
      <x:c r="H36" t="str">
        <x:v>NON_POSITIVE_ENTERPRISE_VALUE|NON_POSITIVE_EQUITY_VALUE|NON_POSITIVE_TERMINAL_FCF|UNRELIABLE_TERMINAL_VALUE_SHARE</x:v>
      </x:c>
      <x:c r="I36" s="54" t="n">
        <x:v>43921</x:v>
      </x:c>
      <x:c r="J36" s="55" t="n">
        <x:v>357</x:v>
      </x:c>
      <x:c r="K36" s="55" t="n">
        <x:v>20298256020</x:v>
      </x:c>
      <x:c r="L36" s="55" t="n">
        <x:v>56857860</x:v>
      </x:c>
      <x:c r="M36" t="str">
        <x:v>20200330002300</x:v>
      </x:c>
      <x:c r="N36" t="n">
        <x:v>43920.624999988424</x:v>
      </x:c>
      <x:c r="O36" s="54" t="n">
        <x:v>43830</x:v>
      </x:c>
      <x:c r="P36" t="str">
        <x:v>False</x:v>
      </x:c>
      <x:c r="Q36" t="str">
        <x:v>5261a4c9bd0aa83893554e944642d0f875234dad49a73fb31223a3e3e9a54df2</x:v>
      </x:c>
      <x:c r="R36" t="str">
        <x:v>9d48ece75a4f5fda923c402116ea58bfb8689b2c2aabe16d8ddab0ecefc4bdc4</x:v>
      </x:c>
      <x:c r="S36" t="n">
        <x:v>7</x:v>
      </x:c>
      <x:c r="T36" t="str">
        <x:v>2018-12-31|2019-12-31</x:v>
      </x:c>
      <x:c r="U36" s="57" t="n">
        <x:v>-96.38273419389287</x:v>
      </x:c>
      <x:c r="V36" s="57" t="n">
        <x:v>-1.2699796476019407</x:v>
      </x:c>
      <x:c r="W36"/>
      <x:c r="X36"/>
      <x:c r="Y36" s="38" t="n">
        <x:v>0.6409090909090909</x:v>
      </x:c>
      <x:c r="Z36" s="38" t="n">
        <x:v>2.9198639441139567</x:v>
      </x:c>
      <x:c r="AA36" t="str">
        <x:v>NON_POSITIVE_ENTERPRISE_VALUE|NON_POSITIVE_EQUITY_VALUE|NON_POSITIVE_TERMINAL_FCF|UNRELIABLE_TERMINAL_VALUE_SHARE</x:v>
      </x:c>
    </x:row>
    <x:row r="37">
      <x:c r="A37" s="54" t="n">
        <x:v>43921</x:v>
      </x:c>
      <x:c r="B37" t="n">
        <x:v>43921.624999988424</x:v>
      </x:c>
      <x:c r="C37" t="str">
        <x:v>018500</x:v>
      </x:c>
      <x:c r="D37" t="str">
        <x:v>동원금속</x:v>
      </x:c>
      <x:c r="E37" t="str">
        <x:v>KOSPI</x:v>
      </x:c>
      <x:c r="F37" t="str">
        <x:v>SMALL</x:v>
      </x:c>
      <x:c r="G37" t="str">
        <x:v>DCF_SCREENING_EXCLUSION</x:v>
      </x:c>
      <x:c r="H37" t="str">
        <x:v>NON_POSITIVE_ENTERPRISE_VALUE|NON_POSITIVE_EQUITY_VALUE|NON_POSITIVE_TERMINAL_FCF</x:v>
      </x:c>
      <x:c r="I37" s="54" t="n">
        <x:v>43921</x:v>
      </x:c>
      <x:c r="J37" s="55" t="n">
        <x:v>495</x:v>
      </x:c>
      <x:c r="K37" s="55" t="n">
        <x:v>23143691835</x:v>
      </x:c>
      <x:c r="L37" s="55" t="n">
        <x:v>46754933</x:v>
      </x:c>
      <x:c r="M37" t="str">
        <x:v>20200116000259</x:v>
      </x:c>
      <x:c r="N37" t="n">
        <x:v>43846.624999988424</x:v>
      </x:c>
      <x:c r="O37" s="54" t="n">
        <x:v>43555</x:v>
      </x:c>
      <x:c r="P37" t="str">
        <x:v>True</x:v>
      </x:c>
      <x:c r="Q37" t="str">
        <x:v>4043cfdde142f7145955cd2441f224b09487e84f346c3631ba69a3ec5db97f75</x:v>
      </x:c>
      <x:c r="R37" t="str">
        <x:v>af9c375c9938eddd8ab4b3763d754786d897176080a9e25e4ebbe00eeac59159</x:v>
      </x:c>
      <x:c r="S37" t="n">
        <x:v>6</x:v>
      </x:c>
      <x:c r="T37" t="str">
        <x:v>2019-03-31</x:v>
      </x:c>
      <x:c r="U37" s="57" t="n">
        <x:v>-9373.858771257697</x:v>
      </x:c>
      <x:c r="V37" s="57" t="n">
        <x:v>-19.93708842678323</x:v>
      </x:c>
      <x:c r="W37"/>
      <x:c r="X37"/>
      <x:c r="Y37" s="38" t="n">
        <x:v>0.6409090909090909</x:v>
      </x:c>
      <x:c r="Z37" s="38" t="n">
        <x:v>0.6264850986190418</x:v>
      </x:c>
      <x:c r="AA37" t="str">
        <x:v>NON_POSITIVE_ENTERPRISE_VALUE|NON_POSITIVE_EQUITY_VALUE|NON_POSITIVE_TERMINAL_FCF</x:v>
      </x:c>
    </x:row>
    <x:row r="38">
      <x:c r="A38" s="54" t="n">
        <x:v>43921</x:v>
      </x:c>
      <x:c r="B38" t="n">
        <x:v>43921.624999988424</x:v>
      </x:c>
      <x:c r="C38" t="str">
        <x:v>004770</x:v>
      </x:c>
      <x:c r="D38" t="str">
        <x:v>써니전자</x:v>
      </x:c>
      <x:c r="E38" t="str">
        <x:v>KOSPI</x:v>
      </x:c>
      <x:c r="F38" t="str">
        <x:v>SMALL</x:v>
      </x:c>
      <x:c r="G38" t="str">
        <x:v>ELIGIBLE</x:v>
      </x:c>
      <x:c r="H38"/>
      <x:c r="I38" s="54" t="n">
        <x:v>43921</x:v>
      </x:c>
      <x:c r="J38" s="55" t="n">
        <x:v>3600</x:v>
      </x:c>
      <x:c r="K38" s="55" t="n">
        <x:v>121410882000</x:v>
      </x:c>
      <x:c r="L38" s="55" t="n">
        <x:v>33725245</x:v>
      </x:c>
      <x:c r="M38" t="str">
        <x:v>20200327001141</x:v>
      </x:c>
      <x:c r="N38" t="n">
        <x:v>43917.624999988424</x:v>
      </x:c>
      <x:c r="O38" s="54" t="n">
        <x:v>43830</x:v>
      </x:c>
      <x:c r="P38" t="str">
        <x:v>False</x:v>
      </x:c>
      <x:c r="Q38" t="str">
        <x:v>36f7212cac5955b2bbbbf71ec4ea301733504ba17fb41d25d77209fb61400ff4</x:v>
      </x:c>
      <x:c r="R38" t="str">
        <x:v>300aad4fbf97a0014b3e9b60efa12b1ff25746820253b21b78cfded83568880a</x:v>
      </x:c>
      <x:c r="S38" t="n">
        <x:v>7</x:v>
      </x:c>
      <x:c r="T38" t="str">
        <x:v>2018-12-31|2019-12-31</x:v>
      </x:c>
      <x:c r="U38" s="57" t="n">
        <x:v>1030.0992429240946</x:v>
      </x:c>
      <x:c r="V38" s="57" t="n">
        <x:v>-0.7138613214099737</x:v>
      </x:c>
      <x:c r="W38" t="n">
        <x:v>55</x:v>
      </x:c>
      <x:c r="X38" t="n">
        <x:v>5</x:v>
      </x:c>
      <x:c r="Y38" s="38" t="n">
        <x:v>0.6409090909090909</x:v>
      </x:c>
      <x:c r="Z38" s="38" t="n">
        <x:v>0.596676519286712</x:v>
      </x:c>
      <x:c r="AA38"/>
    </x:row>
    <x:row r="39">
      <x:c r="A39" s="54" t="n">
        <x:v>43921</x:v>
      </x:c>
      <x:c r="B39" t="n">
        <x:v>43921.624999988424</x:v>
      </x:c>
      <x:c r="C39" t="str">
        <x:v>000890</x:v>
      </x:c>
      <x:c r="D39" t="str">
        <x:v>보해양조</x:v>
      </x:c>
      <x:c r="E39" t="str">
        <x:v>KOSPI</x:v>
      </x:c>
      <x:c r="F39" t="str">
        <x:v>SMALL</x:v>
      </x:c>
      <x:c r="G39" t="str">
        <x:v>DCF_SCREENING_EXCLUSION</x:v>
      </x:c>
      <x:c r="H39" t="str">
        <x:v>NON_POSITIVE_ENTERPRISE_VALUE|NON_POSITIVE_EQUITY_VALUE|NON_POSITIVE_TERMINAL_FCF</x:v>
      </x:c>
      <x:c r="I39" s="54" t="n">
        <x:v>43921</x:v>
      </x:c>
      <x:c r="J39" s="55" t="n">
        <x:v>741</x:v>
      </x:c>
      <x:c r="K39" s="55" t="n">
        <x:v>94439985393</x:v>
      </x:c>
      <x:c r="L39" s="55" t="n">
        <x:v>127449373</x:v>
      </x:c>
      <x:c r="M39" t="str">
        <x:v>20200330001020</x:v>
      </x:c>
      <x:c r="N39" t="n">
        <x:v>43920.624999988424</x:v>
      </x:c>
      <x:c r="O39" s="54" t="n">
        <x:v>43830</x:v>
      </x:c>
      <x:c r="P39" t="str">
        <x:v>False</x:v>
      </x:c>
      <x:c r="Q39" t="str">
        <x:v>50391569b26597bb0c5579214cffeabaca14a8437933cda01623d3c148e67732</x:v>
      </x:c>
      <x:c r="R39" t="str">
        <x:v>a31e9850724b207c93bfa91804bbe0c3017b99ccf01cea1f96c6329d79b15e3e</x:v>
      </x:c>
      <x:c r="S39" t="n">
        <x:v>6</x:v>
      </x:c>
      <x:c r="T39" t="str">
        <x:v>2018-12-31|2019-12-31</x:v>
      </x:c>
      <x:c r="U39" s="57" t="n">
        <x:v>-758.76659079861</x:v>
      </x:c>
      <x:c r="V39" s="57" t="n">
        <x:v>-2.0239765058010932</x:v>
      </x:c>
      <x:c r="W39"/>
      <x:c r="X39"/>
      <x:c r="Y39" s="38" t="n">
        <x:v>0.6409090909090909</x:v>
      </x:c>
      <x:c r="Z39" s="38" t="n">
        <x:v>0.6352970122174221</x:v>
      </x:c>
      <x:c r="AA39" t="str">
        <x:v>NON_POSITIVE_ENTERPRISE_VALUE|NON_POSITIVE_EQUITY_VALUE|NON_POSITIVE_TERMINAL_FCF</x:v>
      </x:c>
    </x:row>
    <x:row r="40">
      <x:c r="A40" s="54" t="n">
        <x:v>43921</x:v>
      </x:c>
      <x:c r="B40" t="n">
        <x:v>43921.624999988424</x:v>
      </x:c>
      <x:c r="C40" t="str">
        <x:v>021050</x:v>
      </x:c>
      <x:c r="D40" t="str">
        <x:v>서원</x:v>
      </x:c>
      <x:c r="E40" t="str">
        <x:v>KOSPI</x:v>
      </x:c>
      <x:c r="F40" t="str">
        <x:v>SMALL</x:v>
      </x:c>
      <x:c r="G40" t="str">
        <x:v>DCF_SCREENING_EXCLUSION</x:v>
      </x:c>
      <x:c r="H40" t="str">
        <x:v>NON_POSITIVE_EQUITY_VALUE</x:v>
      </x:c>
      <x:c r="I40" s="54" t="n">
        <x:v>43921</x:v>
      </x:c>
      <x:c r="J40" s="55" t="n">
        <x:v>3200</x:v>
      </x:c>
      <x:c r="K40" s="55" t="n">
        <x:v>151918688000</x:v>
      </x:c>
      <x:c r="L40" s="55" t="n">
        <x:v>47474590</x:v>
      </x:c>
      <x:c r="M40" t="str">
        <x:v>20200330001276</x:v>
      </x:c>
      <x:c r="N40" t="n">
        <x:v>43920.624999988424</x:v>
      </x:c>
      <x:c r="O40" s="54" t="n">
        <x:v>43830</x:v>
      </x:c>
      <x:c r="P40" t="str">
        <x:v>False</x:v>
      </x:c>
      <x:c r="Q40" t="str">
        <x:v>be1eb5ac3cf4380862664c53ec949951356a5b31ca7ce64ffc5d6018a7385cc7</x:v>
      </x:c>
      <x:c r="R40" t="str">
        <x:v>fd6a080ab3015a7487b136652e4add24618b9e85836f462e955246bfb340a280</x:v>
      </x:c>
      <x:c r="S40" t="n">
        <x:v>6</x:v>
      </x:c>
      <x:c r="T40" t="str">
        <x:v>2018-12-31|2019-12-31</x:v>
      </x:c>
      <x:c r="U40" s="57" t="n">
        <x:v>-1038.8719357404905</x:v>
      </x:c>
      <x:c r="V40" s="57" t="n">
        <x:v>-1.3246474799189032</x:v>
      </x:c>
      <x:c r="W40"/>
      <x:c r="X40"/>
      <x:c r="Y40" s="38" t="n">
        <x:v>0.6409090909090909</x:v>
      </x:c>
      <x:c r="Z40" s="38" t="n">
        <x:v>0.5823844167369767</x:v>
      </x:c>
      <x:c r="AA40" t="str">
        <x:v>NON_POSITIVE_EQUITY_VALUE</x:v>
      </x:c>
    </x:row>
    <x:row r="41">
      <x:c r="A41" s="54" t="n">
        <x:v>43921</x:v>
      </x:c>
      <x:c r="B41" t="n">
        <x:v>43921.624999988424</x:v>
      </x:c>
      <x:c r="C41" t="str">
        <x:v>134790</x:v>
      </x:c>
      <x:c r="D41" t="str">
        <x:v>시디즈</x:v>
      </x:c>
      <x:c r="E41" t="str">
        <x:v>KOSPI</x:v>
      </x:c>
      <x:c r="F41" t="str">
        <x:v>SMALL</x:v>
      </x:c>
      <x:c r="G41" t="str">
        <x:v>ELIGIBLE</x:v>
      </x:c>
      <x:c r="H41"/>
      <x:c r="I41" s="54" t="n">
        <x:v>43921</x:v>
      </x:c>
      <x:c r="J41" s="55" t="n">
        <x:v>34100</x:v>
      </x:c>
      <x:c r="K41" s="55" t="n">
        <x:v>68200000000</x:v>
      </x:c>
      <x:c r="L41" s="55" t="n">
        <x:v>2000000</x:v>
      </x:c>
      <x:c r="M41" t="str">
        <x:v>20200330002460</x:v>
      </x:c>
      <x:c r="N41" t="n">
        <x:v>43920.624999988424</x:v>
      </x:c>
      <x:c r="O41" s="54" t="n">
        <x:v>43830</x:v>
      </x:c>
      <x:c r="P41" t="str">
        <x:v>False</x:v>
      </x:c>
      <x:c r="Q41" t="str">
        <x:v>a46f52aca9731f0f0694a563ebb22133208a263595e37e4a7369a5e25b997b08</x:v>
      </x:c>
      <x:c r="R41" t="str">
        <x:v>342b241dab25c0ef3819e39571fc63ac0ea9264f97be74cfdd3a32c575603dfa</x:v>
      </x:c>
      <x:c r="S41" t="n">
        <x:v>5</x:v>
      </x:c>
      <x:c r="T41" t="str">
        <x:v>2018-12-31|2019-12-31</x:v>
      </x:c>
      <x:c r="U41" s="57" t="n">
        <x:v>39063.956056007715</x:v>
      </x:c>
      <x:c r="V41" s="57" t="n">
        <x:v>0.14557055882720563</x:v>
      </x:c>
      <x:c r="W41" t="n">
        <x:v>24</x:v>
      </x:c>
      <x:c r="X41" t="n">
        <x:v>2</x:v>
      </x:c>
      <x:c r="Y41" s="38" t="n">
        <x:v>0.6409090909090909</x:v>
      </x:c>
      <x:c r="Z41" s="38" t="n">
        <x:v>0.6293328918665538</x:v>
      </x:c>
      <x:c r="AA41"/>
    </x:row>
    <x:row r="42">
      <x:c r="A42" s="54" t="n">
        <x:v>43921</x:v>
      </x:c>
      <x:c r="B42" t="n">
        <x:v>43921.624999988424</x:v>
      </x:c>
      <x:c r="C42" t="str">
        <x:v>004920</x:v>
      </x:c>
      <x:c r="D42" t="str">
        <x:v>씨아이테크</x:v>
      </x:c>
      <x:c r="E42" t="str">
        <x:v>KOSPI</x:v>
      </x:c>
      <x:c r="F42" t="str">
        <x:v>SMALL</x:v>
      </x:c>
      <x:c r="G42" t="str">
        <x:v>DCF_SCREENING_EXCLUSION</x:v>
      </x:c>
      <x:c r="H42" t="str">
        <x:v>NON_POSITIVE_ENTERPRISE_VALUE|NON_POSITIVE_EQUITY_VALUE|NON_POSITIVE_TERMINAL_FCF</x:v>
      </x:c>
      <x:c r="I42" s="54" t="n">
        <x:v>43921</x:v>
      </x:c>
      <x:c r="J42" s="55" t="n">
        <x:v>734</x:v>
      </x:c>
      <x:c r="K42" s="55" t="n">
        <x:v>13263946648</x:v>
      </x:c>
      <x:c r="L42" s="55" t="n">
        <x:v>18070772</x:v>
      </x:c>
      <x:c r="M42" t="str">
        <x:v>20200330001199</x:v>
      </x:c>
      <x:c r="N42" t="n">
        <x:v>43920.624999988424</x:v>
      </x:c>
      <x:c r="O42" s="54" t="n">
        <x:v>43830</x:v>
      </x:c>
      <x:c r="P42" t="str">
        <x:v>False</x:v>
      </x:c>
      <x:c r="Q42" t="str">
        <x:v>755a4236ba6a89b6882694a6b5e753574834800b6014f15f8342cb189c524817</x:v>
      </x:c>
      <x:c r="R42" t="str">
        <x:v>1b1f26d6ce0c684235930612fcdf320a747fb728f1ee5efedadf87ede029ec6c</x:v>
      </x:c>
      <x:c r="S42" t="n">
        <x:v>6</x:v>
      </x:c>
      <x:c r="T42" t="str">
        <x:v>2018-12-31|2019-12-31</x:v>
      </x:c>
      <x:c r="U42" s="57" t="n">
        <x:v>-2272.2031657165126</x:v>
      </x:c>
      <x:c r="V42" s="57" t="n">
        <x:v>-4.095644639940753</x:v>
      </x:c>
      <x:c r="W42"/>
      <x:c r="X42"/>
      <x:c r="Y42" s="38" t="n">
        <x:v>0.6409090909090909</x:v>
      </x:c>
      <x:c r="Z42" s="38" t="n">
        <x:v>0.6101308946092188</x:v>
      </x:c>
      <x:c r="AA42" t="str">
        <x:v>NON_POSITIVE_ENTERPRISE_VALUE|NON_POSITIVE_EQUITY_VALUE|NON_POSITIVE_TERMINAL_FCF</x:v>
      </x:c>
    </x:row>
    <x:row r="43">
      <x:c r="A43" s="54" t="n">
        <x:v>43921</x:v>
      </x:c>
      <x:c r="B43" t="n">
        <x:v>43921.624999988424</x:v>
      </x:c>
      <x:c r="C43" t="str">
        <x:v>058730</x:v>
      </x:c>
      <x:c r="D43" t="str">
        <x:v>다스코</x:v>
      </x:c>
      <x:c r="E43" t="str">
        <x:v>KOSPI</x:v>
      </x:c>
      <x:c r="F43" t="str">
        <x:v>SMALL</x:v>
      </x:c>
      <x:c r="G43" t="str">
        <x:v>DCF_SCREENING_EXCLUSION</x:v>
      </x:c>
      <x:c r="H43" t="str">
        <x:v>NON_POSITIVE_EQUITY_VALUE</x:v>
      </x:c>
      <x:c r="I43" s="54" t="n">
        <x:v>43921</x:v>
      </x:c>
      <x:c r="J43" s="55" t="n">
        <x:v>4935</x:v>
      </x:c>
      <x:c r="K43" s="55" t="n">
        <x:v>75999000000</x:v>
      </x:c>
      <x:c r="L43" s="55" t="n">
        <x:v>15400000</x:v>
      </x:c>
      <x:c r="M43" t="str">
        <x:v>20200330001086</x:v>
      </x:c>
      <x:c r="N43" t="n">
        <x:v>43920.624999988424</x:v>
      </x:c>
      <x:c r="O43" s="54" t="n">
        <x:v>43830</x:v>
      </x:c>
      <x:c r="P43" t="str">
        <x:v>False</x:v>
      </x:c>
      <x:c r="Q43" t="str">
        <x:v>ccc22d5bc71b5b581b8608b86ef201dd503440b221199b2d31829a825297c90f</x:v>
      </x:c>
      <x:c r="R43" t="str">
        <x:v>e9d5efc428d650efef11343c23675b71f97cc7866d7b8b5e581c6f044806174d</x:v>
      </x:c>
      <x:c r="S43" t="n">
        <x:v>7</x:v>
      </x:c>
      <x:c r="T43" t="str">
        <x:v>2019-12-31</x:v>
      </x:c>
      <x:c r="U43" s="57" t="n">
        <x:v>-858.4296299397403</x:v>
      </x:c>
      <x:c r="V43" s="57" t="n">
        <x:v>-1.1739472401093698</x:v>
      </x:c>
      <x:c r="W43"/>
      <x:c r="X43"/>
      <x:c r="Y43" s="38" t="n">
        <x:v>0.6409090909090909</x:v>
      </x:c>
      <x:c r="Z43" s="38" t="n">
        <x:v>0.6264850986190418</x:v>
      </x:c>
      <x:c r="AA43" t="str">
        <x:v>NON_POSITIVE_EQUITY_VALUE</x:v>
      </x:c>
    </x:row>
    <x:row r="44">
      <x:c r="A44" s="54" t="n">
        <x:v>43921</x:v>
      </x:c>
      <x:c r="B44" t="n">
        <x:v>43921.624999988424</x:v>
      </x:c>
      <x:c r="C44" t="str">
        <x:v>465770</x:v>
      </x:c>
      <x:c r="D44" t="str">
        <x:v>STX그린로지스</x:v>
      </x:c>
      <x:c r="E44" t="str">
        <x:v>KOSPI</x:v>
      </x:c>
      <x:c r="F44" t="str">
        <x:v>SMALL</x:v>
      </x:c>
      <x:c r="G44" t="str">
        <x:v>NOT_LISTED_OR_NO_PRICE</x:v>
      </x:c>
      <x:c r="H44"/>
      <x:c r="I44" s="54"/>
      <x:c r="J44" s="55"/>
      <x:c r="K44" s="55"/>
      <x:c r="L44" s="55"/>
      <x:c r="M44"/>
      <x:c r="N44"/>
      <x:c r="O44" s="54"/>
      <x:c r="P44"/>
      <x:c r="Q44"/>
      <x:c r="R44"/>
      <x:c r="S44"/>
      <x:c r="T44"/>
      <x:c r="U44" s="57"/>
      <x:c r="V44" s="57"/>
      <x:c r="W44"/>
      <x:c r="X44"/>
      <x:c r="Y44" s="38"/>
      <x:c r="Z44" s="38"/>
      <x:c r="AA44"/>
    </x:row>
    <x:row r="45">
      <x:c r="A45" s="54" t="n">
        <x:v>43921</x:v>
      </x:c>
      <x:c r="B45" t="n">
        <x:v>43921.624999988424</x:v>
      </x:c>
      <x:c r="C45" t="str">
        <x:v>000950</x:v>
      </x:c>
      <x:c r="D45" t="str">
        <x:v>전방</x:v>
      </x:c>
      <x:c r="E45" t="str">
        <x:v>KOSPI</x:v>
      </x:c>
      <x:c r="F45" t="str">
        <x:v>SMALL</x:v>
      </x:c>
      <x:c r="G45" t="str">
        <x:v>DCF_SCREENING_EXCLUSION</x:v>
      </x:c>
      <x:c r="H45" t="str">
        <x:v>NON_POSITIVE_ENTERPRISE_VALUE|NON_POSITIVE_EQUITY_VALUE|NON_POSITIVE_TERMINAL_FCF</x:v>
      </x:c>
      <x:c r="I45" s="54" t="n">
        <x:v>43921</x:v>
      </x:c>
      <x:c r="J45" s="55" t="n">
        <x:v>11550</x:v>
      </x:c>
      <x:c r="K45" s="55" t="n">
        <x:v>19404000000</x:v>
      </x:c>
      <x:c r="L45" s="55" t="n">
        <x:v>1680000</x:v>
      </x:c>
      <x:c r="M45" t="str">
        <x:v>20200330003342</x:v>
      </x:c>
      <x:c r="N45" t="n">
        <x:v>43920.624999988424</x:v>
      </x:c>
      <x:c r="O45" s="54" t="n">
        <x:v>43830</x:v>
      </x:c>
      <x:c r="P45" t="str">
        <x:v>False</x:v>
      </x:c>
      <x:c r="Q45" t="str">
        <x:v>d37a995ab75af5058a65fe6350a8034a0683d0929924512ef0bea4a8ad758fe5</x:v>
      </x:c>
      <x:c r="R45" t="str">
        <x:v>436e5dce599534e31efa6ebfac505210fb8df932489c5a943b4a6323ad21c373</x:v>
      </x:c>
      <x:c r="S45" t="n">
        <x:v>6</x:v>
      </x:c>
      <x:c r="T45" t="str">
        <x:v>2018-12-31|2019-12-31</x:v>
      </x:c>
      <x:c r="U45" s="57" t="n">
        <x:v>-194134.81381388978</x:v>
      </x:c>
      <x:c r="V45" s="57" t="n">
        <x:v>-17.808208988215565</x:v>
      </x:c>
      <x:c r="W45"/>
      <x:c r="X45"/>
      <x:c r="Y45" s="38" t="n">
        <x:v>0.6409090909090909</x:v>
      </x:c>
      <x:c r="Z45" s="38" t="n">
        <x:v>0.5879471041668033</x:v>
      </x:c>
      <x:c r="AA45" t="str">
        <x:v>NON_POSITIVE_ENTERPRISE_VALUE|NON_POSITIVE_EQUITY_VALUE|NON_POSITIVE_TERMINAL_FCF</x:v>
      </x:c>
    </x:row>
    <x:row r="46">
      <x:c r="A46" s="54" t="n">
        <x:v>43921</x:v>
      </x:c>
      <x:c r="B46" t="n">
        <x:v>43921.624999988424</x:v>
      </x:c>
      <x:c r="C46" t="str">
        <x:v>019180</x:v>
      </x:c>
      <x:c r="D46" t="str">
        <x:v>티에이치엔</x:v>
      </x:c>
      <x:c r="E46" t="str">
        <x:v>KOSPI</x:v>
      </x:c>
      <x:c r="F46" t="str">
        <x:v>SMALL</x:v>
      </x:c>
      <x:c r="G46" t="str">
        <x:v>ELIGIBLE</x:v>
      </x:c>
      <x:c r="H46"/>
      <x:c r="I46" s="54" t="n">
        <x:v>43921</x:v>
      </x:c>
      <x:c r="J46" s="55" t="n">
        <x:v>2365</x:v>
      </x:c>
      <x:c r="K46" s="55" t="n">
        <x:v>42570000000</x:v>
      </x:c>
      <x:c r="L46" s="55" t="n">
        <x:v>18000000</x:v>
      </x:c>
      <x:c r="M46" t="str">
        <x:v>20200330004530</x:v>
      </x:c>
      <x:c r="N46" t="n">
        <x:v>43920.624999988424</x:v>
      </x:c>
      <x:c r="O46" s="54" t="n">
        <x:v>43830</x:v>
      </x:c>
      <x:c r="P46" t="str">
        <x:v>False</x:v>
      </x:c>
      <x:c r="Q46" t="str">
        <x:v>68216fb88b1a317246b475734369fb25facd12f5f4512ce66fa4639ef15b17ce</x:v>
      </x:c>
      <x:c r="R46" t="str">
        <x:v>d2e46042d1ceff8b2a9c9623f3e88dfcb3808ae33e684ca58d553c0ffb0687aa</x:v>
      </x:c>
      <x:c r="S46" t="n">
        <x:v>6</x:v>
      </x:c>
      <x:c r="T46" t="str">
        <x:v>2018-12-31|2019-12-31</x:v>
      </x:c>
      <x:c r="U46" s="57" t="n">
        <x:v>3940.127164987125</x:v>
      </x:c>
      <x:c r="V46" s="57" t="n">
        <x:v>0.666015714582294</x:v>
      </x:c>
      <x:c r="W46" t="n">
        <x:v>16</x:v>
      </x:c>
      <x:c r="X46" t="n">
        <x:v>2</x:v>
      </x:c>
      <x:c r="Y46" s="38" t="n">
        <x:v>0.6409090909090909</x:v>
      </x:c>
      <x:c r="Z46" s="38" t="n">
        <x:v>0.5901293254205667</x:v>
      </x:c>
      <x:c r="AA46"/>
    </x:row>
    <x:row r="47">
      <x:c r="A47" s="54" t="n">
        <x:v>43921</x:v>
      </x:c>
      <x:c r="B47" t="n">
        <x:v>43921.624999988424</x:v>
      </x:c>
      <x:c r="C47" t="str">
        <x:v>020760</x:v>
      </x:c>
      <x:c r="D47" t="str">
        <x:v>일진디스플</x:v>
      </x:c>
      <x:c r="E47" t="str">
        <x:v>KOSPI</x:v>
      </x:c>
      <x:c r="F47" t="str">
        <x:v>SMALL</x:v>
      </x:c>
      <x:c r="G47" t="str">
        <x:v>DCF_SCREENING_EXCLUSION</x:v>
      </x:c>
      <x:c r="H47" t="str">
        <x:v>NON_POSITIVE_ENTERPRISE_VALUE|NON_POSITIVE_EQUITY_VALUE|NON_POSITIVE_TERMINAL_FCF</x:v>
      </x:c>
      <x:c r="I47" s="54" t="n">
        <x:v>43921</x:v>
      </x:c>
      <x:c r="J47" s="55" t="n">
        <x:v>2515</x:v>
      </x:c>
      <x:c r="K47" s="55" t="n">
        <x:v>71210816600</x:v>
      </x:c>
      <x:c r="L47" s="55" t="n">
        <x:v>28314440</x:v>
      </x:c>
      <x:c r="M47" t="str">
        <x:v>20200330001399</x:v>
      </x:c>
      <x:c r="N47" t="n">
        <x:v>43920.624999988424</x:v>
      </x:c>
      <x:c r="O47" s="54" t="n">
        <x:v>43830</x:v>
      </x:c>
      <x:c r="P47" t="str">
        <x:v>False</x:v>
      </x:c>
      <x:c r="Q47" t="str">
        <x:v>db157d99f0d4f0676948476f9a72b6225c32b500b9933d68ba0be9a06c1cc8ed</x:v>
      </x:c>
      <x:c r="R47" t="str">
        <x:v>a386523c6ca32a1de7ee2465d75295041cb4433c2d8f2e1a226cce410f316d04</x:v>
      </x:c>
      <x:c r="S47" t="n">
        <x:v>6</x:v>
      </x:c>
      <x:c r="T47" t="str">
        <x:v>2018-12-31|2019-12-31</x:v>
      </x:c>
      <x:c r="U47" s="57" t="n">
        <x:v>-5326.370333110132</x:v>
      </x:c>
      <x:c r="V47" s="57" t="n">
        <x:v>-3.1178410867237107</x:v>
      </x:c>
      <x:c r="W47"/>
      <x:c r="X47"/>
      <x:c r="Y47" s="38" t="n">
        <x:v>0.6409090909090909</x:v>
      </x:c>
      <x:c r="Z47" s="38" t="n">
        <x:v>0.5871397980731997</x:v>
      </x:c>
      <x:c r="AA47" t="str">
        <x:v>NON_POSITIVE_ENTERPRISE_VALUE|NON_POSITIVE_EQUITY_VALUE|NON_POSITIVE_TERMINAL_FCF</x:v>
      </x:c>
    </x:row>
    <x:row r="48">
      <x:c r="A48" s="54" t="n">
        <x:v>43921</x:v>
      </x:c>
      <x:c r="B48" t="n">
        <x:v>43921.624999988424</x:v>
      </x:c>
      <x:c r="C48" t="str">
        <x:v>069640</x:v>
      </x:c>
      <x:c r="D48" t="str">
        <x:v>한세엠케이</x:v>
      </x:c>
      <x:c r="E48" t="str">
        <x:v>KOSPI</x:v>
      </x:c>
      <x:c r="F48" t="str">
        <x:v>SMALL</x:v>
      </x:c>
      <x:c r="G48" t="str">
        <x:v>DCF_SCREENING_EXCLUSION</x:v>
      </x:c>
      <x:c r="H48" t="str">
        <x:v>NON_POSITIVE_ENTERPRISE_VALUE|NON_POSITIVE_EQUITY_VALUE|NON_POSITIVE_TERMINAL_FCF</x:v>
      </x:c>
      <x:c r="I48" s="54" t="n">
        <x:v>43921</x:v>
      </x:c>
      <x:c r="J48" s="55" t="n">
        <x:v>2580</x:v>
      </x:c>
      <x:c r="K48" s="55" t="n">
        <x:v>33306050760</x:v>
      </x:c>
      <x:c r="L48" s="55" t="n">
        <x:v>12909322</x:v>
      </x:c>
      <x:c r="M48" t="str">
        <x:v>20200330003907</x:v>
      </x:c>
      <x:c r="N48" t="n">
        <x:v>43920.624999988424</x:v>
      </x:c>
      <x:c r="O48" s="54" t="n">
        <x:v>43830</x:v>
      </x:c>
      <x:c r="P48" t="str">
        <x:v>False</x:v>
      </x:c>
      <x:c r="Q48" t="str">
        <x:v>d582b638edf54a77993e4c57f8907871545a652959e3b1059944451377cae74c</x:v>
      </x:c>
      <x:c r="R48" t="str">
        <x:v>0a27ded62679dd2528856bd9d6e3bebf08e92f009aac7b00113f02d3b5a50055</x:v>
      </x:c>
      <x:c r="S48" t="n">
        <x:v>6</x:v>
      </x:c>
      <x:c r="T48" t="str">
        <x:v>2018-12-31|2019-12-31</x:v>
      </x:c>
      <x:c r="U48" s="57" t="n">
        <x:v>-11602.608488693524</x:v>
      </x:c>
      <x:c r="V48" s="57" t="n">
        <x:v>-5.497135073137025</x:v>
      </x:c>
      <x:c r="W48"/>
      <x:c r="X48"/>
      <x:c r="Y48" s="38" t="n">
        <x:v>0.6409090909090909</x:v>
      </x:c>
      <x:c r="Z48" s="38" t="n">
        <x:v>0.5784421593253344</x:v>
      </x:c>
      <x:c r="AA48" t="str">
        <x:v>NON_POSITIVE_ENTERPRISE_VALUE|NON_POSITIVE_EQUITY_VALUE|NON_POSITIVE_TERMINAL_FCF</x:v>
      </x:c>
    </x:row>
    <x:row r="49">
      <x:c r="A49" s="54" t="n">
        <x:v>43921</x:v>
      </x:c>
      <x:c r="B49" t="n">
        <x:v>43921.624999988424</x:v>
      </x:c>
      <x:c r="C49" t="str">
        <x:v>000040</x:v>
      </x:c>
      <x:c r="D49" t="str">
        <x:v>KR모터스</x:v>
      </x:c>
      <x:c r="E49" t="str">
        <x:v>KOSPI</x:v>
      </x:c>
      <x:c r="F49" t="str">
        <x:v>SMALL</x:v>
      </x:c>
      <x:c r="G49" t="str">
        <x:v>DCF_SCREENING_EXCLUSION</x:v>
      </x:c>
      <x:c r="H49" t="str">
        <x:v>NON_POSITIVE_ENTERPRISE_VALUE|NON_POSITIVE_EQUITY_VALUE|NON_POSITIVE_TERMINAL_FCF</x:v>
      </x:c>
      <x:c r="I49" s="54" t="n">
        <x:v>43921</x:v>
      </x:c>
      <x:c r="J49" s="55" t="n">
        <x:v>599</x:v>
      </x:c>
      <x:c r="K49" s="55" t="n">
        <x:v>28369249782</x:v>
      </x:c>
      <x:c r="L49" s="55" t="n">
        <x:v>47361018</x:v>
      </x:c>
      <x:c r="M49" t="str">
        <x:v>20200330003579</x:v>
      </x:c>
      <x:c r="N49" t="n">
        <x:v>43920.624999988424</x:v>
      </x:c>
      <x:c r="O49" s="54" t="n">
        <x:v>43830</x:v>
      </x:c>
      <x:c r="P49" t="str">
        <x:v>False</x:v>
      </x:c>
      <x:c r="Q49" t="str">
        <x:v>bcfe54eab28b5df7f8f05a4ee37bd9b32801b63581f5d57b86f3baa85bfce767</x:v>
      </x:c>
      <x:c r="R49" t="str">
        <x:v>d6d00b02e5aed88f1be50fee21f041e2b9db68803d7bdf91e7dd99f85e867412</x:v>
      </x:c>
      <x:c r="S49" t="n">
        <x:v>6</x:v>
      </x:c>
      <x:c r="T49" t="str">
        <x:v>2018-12-31|2019-12-31</x:v>
      </x:c>
      <x:c r="U49" s="57" t="n">
        <x:v>-7494.893838451567</x:v>
      </x:c>
      <x:c r="V49" s="57" t="n">
        <x:v>-13.512343636813968</x:v>
      </x:c>
      <x:c r="W49"/>
      <x:c r="X49"/>
      <x:c r="Y49" s="38" t="n">
        <x:v>0.6409090909090909</x:v>
      </x:c>
      <x:c r="Z49" s="38" t="n">
        <x:v>0.6474817543038013</x:v>
      </x:c>
      <x:c r="AA49" t="str">
        <x:v>NON_POSITIVE_ENTERPRISE_VALUE|NON_POSITIVE_EQUITY_VALUE|NON_POSITIVE_TERMINAL_FCF</x:v>
      </x:c>
    </x:row>
    <x:row r="50">
      <x:c r="A50" s="54" t="n">
        <x:v>43921</x:v>
      </x:c>
      <x:c r="B50" t="n">
        <x:v>43921.624999988424</x:v>
      </x:c>
      <x:c r="C50" t="str">
        <x:v>003680</x:v>
      </x:c>
      <x:c r="D50" t="str">
        <x:v>한성기업</x:v>
      </x:c>
      <x:c r="E50" t="str">
        <x:v>KOSPI</x:v>
      </x:c>
      <x:c r="F50" t="str">
        <x:v>SMALL</x:v>
      </x:c>
      <x:c r="G50" t="str">
        <x:v>DCF_SCREENING_EXCLUSION</x:v>
      </x:c>
      <x:c r="H50" t="str">
        <x:v>NON_POSITIVE_ENTERPRISE_VALUE|NON_POSITIVE_EQUITY_VALUE|NON_POSITIVE_TERMINAL_FCF</x:v>
      </x:c>
      <x:c r="I50" s="54" t="n">
        <x:v>43921</x:v>
      </x:c>
      <x:c r="J50" s="55" t="n">
        <x:v>3805</x:v>
      </x:c>
      <x:c r="K50" s="55" t="n">
        <x:v>23627204575</x:v>
      </x:c>
      <x:c r="L50" s="55" t="n">
        <x:v>6209515</x:v>
      </x:c>
      <x:c r="M50" t="str">
        <x:v>20200330004211</x:v>
      </x:c>
      <x:c r="N50" t="n">
        <x:v>43920.624999988424</x:v>
      </x:c>
      <x:c r="O50" s="54" t="n">
        <x:v>43830</x:v>
      </x:c>
      <x:c r="P50" t="str">
        <x:v>False</x:v>
      </x:c>
      <x:c r="Q50" t="str">
        <x:v>b6c33c7411c8ff5095f894b66c6f3da044f8e20c07af25a5a3a0f719a4091286</x:v>
      </x:c>
      <x:c r="R50" t="str">
        <x:v>9eb855d088bb513330027b21190e897b5e5c5dfc71bb8af1138dea6a41967dfd</x:v>
      </x:c>
      <x:c r="S50" t="n">
        <x:v>7</x:v>
      </x:c>
      <x:c r="T50" t="str">
        <x:v>2018-12-31|2019-12-31</x:v>
      </x:c>
      <x:c r="U50" s="57" t="n">
        <x:v>-20036.250794547082</x:v>
      </x:c>
      <x:c r="V50" s="57" t="n">
        <x:v>-6.265768934177946</x:v>
      </x:c>
      <x:c r="W50"/>
      <x:c r="X50"/>
      <x:c r="Y50" s="38" t="n">
        <x:v>0.6409090909090909</x:v>
      </x:c>
      <x:c r="Z50" s="38" t="n">
        <x:v>0.5076943890299815</x:v>
      </x:c>
      <x:c r="AA50" t="str">
        <x:v>NON_POSITIVE_ENTERPRISE_VALUE|NON_POSITIVE_EQUITY_VALUE|NON_POSITIVE_TERMINAL_FCF</x:v>
      </x:c>
    </x:row>
    <x:row r="51">
      <x:c r="A51" s="54" t="n">
        <x:v>43921</x:v>
      </x:c>
      <x:c r="B51" t="n">
        <x:v>43921.624999988424</x:v>
      </x:c>
      <x:c r="C51" t="str">
        <x:v>008600</x:v>
      </x:c>
      <x:c r="D51" t="str">
        <x:v>윌비스</x:v>
      </x:c>
      <x:c r="E51" t="str">
        <x:v>KOSPI</x:v>
      </x:c>
      <x:c r="F51" t="str">
        <x:v>SMALL</x:v>
      </x:c>
      <x:c r="G51" t="str">
        <x:v>DCF_SCREENING_EXCLUSION</x:v>
      </x:c>
      <x:c r="H51" t="str">
        <x:v>NON_POSITIVE_ENTERPRISE_VALUE|NON_POSITIVE_EQUITY_VALUE|NON_POSITIVE_TERMINAL_FCF</x:v>
      </x:c>
      <x:c r="I51" s="54" t="n">
        <x:v>43921</x:v>
      </x:c>
      <x:c r="J51" s="55" t="n">
        <x:v>1020</x:v>
      </x:c>
      <x:c r="K51" s="55" t="n">
        <x:v>64403148840</x:v>
      </x:c>
      <x:c r="L51" s="55" t="n">
        <x:v>63140342</x:v>
      </x:c>
      <x:c r="M51" t="str">
        <x:v>20200330003123</x:v>
      </x:c>
      <x:c r="N51" t="n">
        <x:v>43920.624999988424</x:v>
      </x:c>
      <x:c r="O51" s="54" t="n">
        <x:v>43830</x:v>
      </x:c>
      <x:c r="P51" t="str">
        <x:v>False</x:v>
      </x:c>
      <x:c r="Q51" t="str">
        <x:v>7e8fd51560f40a1a662fa919b163c172d060dc71957e0620218cc1897d5ad541</x:v>
      </x:c>
      <x:c r="R51" t="str">
        <x:v>04f371472a0b93f1aba2b5efe86d5d03779c91e01ad3060f274de7654ac2b769</x:v>
      </x:c>
      <x:c r="S51" t="n">
        <x:v>6</x:v>
      </x:c>
      <x:c r="T51" t="str">
        <x:v>2018-12-31|2019-12-31</x:v>
      </x:c>
      <x:c r="U51" s="57" t="n">
        <x:v>-3589.283981186639</x:v>
      </x:c>
      <x:c r="V51" s="57" t="n">
        <x:v>-4.518905863908469</x:v>
      </x:c>
      <x:c r="W51"/>
      <x:c r="X51"/>
      <x:c r="Y51" s="38" t="n">
        <x:v>0.6409090909090909</x:v>
      </x:c>
      <x:c r="Z51" s="38" t="n">
        <x:v>0.5663409703975026</x:v>
      </x:c>
      <x:c r="AA51" t="str">
        <x:v>NON_POSITIVE_ENTERPRISE_VALUE|NON_POSITIVE_EQUITY_VALUE|NON_POSITIVE_TERMINAL_FCF</x:v>
      </x:c>
    </x:row>
    <x:row r="52">
      <x:c r="A52" s="54" t="n">
        <x:v>43921</x:v>
      </x:c>
      <x:c r="B52" t="n">
        <x:v>43921.624999988424</x:v>
      </x:c>
      <x:c r="C52" t="str">
        <x:v>018310</x:v>
      </x:c>
      <x:c r="D52" t="str">
        <x:v>삼목에스폼</x:v>
      </x:c>
      <x:c r="E52" t="str">
        <x:v>KOSDAQ</x:v>
      </x:c>
      <x:c r="F52" t="str">
        <x:v>MID</x:v>
      </x:c>
      <x:c r="G52" t="str">
        <x:v>ELIGIBLE</x:v>
      </x:c>
      <x:c r="H52"/>
      <x:c r="I52" s="54" t="n">
        <x:v>43921</x:v>
      </x:c>
      <x:c r="J52" s="55" t="n">
        <x:v>5730</x:v>
      </x:c>
      <x:c r="K52" s="55" t="n">
        <x:v>84231000000</x:v>
      </x:c>
      <x:c r="L52" s="55" t="n">
        <x:v>14700000</x:v>
      </x:c>
      <x:c r="M52" t="str">
        <x:v>20200330002433</x:v>
      </x:c>
      <x:c r="N52" t="n">
        <x:v>43920.624999988424</x:v>
      </x:c>
      <x:c r="O52" s="54" t="n">
        <x:v>43830</x:v>
      </x:c>
      <x:c r="P52" t="str">
        <x:v>False</x:v>
      </x:c>
      <x:c r="Q52" t="str">
        <x:v>165898838cd69ad40369c26b1fa45961c942ece56f8a7dbfffb4d74e40a358e7</x:v>
      </x:c>
      <x:c r="R52" t="str">
        <x:v>d60a7dcf4afd70be0a2a367ebf14f199fe1721ac1b45ad9ac406ffbe097cc6d0</x:v>
      </x:c>
      <x:c r="S52" t="n">
        <x:v>5</x:v>
      </x:c>
      <x:c r="T52" t="str">
        <x:v>2018-12-31|2019-12-31</x:v>
      </x:c>
      <x:c r="U52" s="57" t="n">
        <x:v>6651.212683986018</x:v>
      </x:c>
      <x:c r="V52" s="57" t="n">
        <x:v>0.1607701019172807</x:v>
      </x:c>
      <x:c r="W52" t="n">
        <x:v>23</x:v>
      </x:c>
      <x:c r="X52" t="n">
        <x:v>2</x:v>
      </x:c>
      <x:c r="Y52" s="38" t="n">
        <x:v>0.6409090909090909</x:v>
      </x:c>
      <x:c r="Z52" s="38" t="n">
        <x:v>0.7638335065934094</x:v>
      </x:c>
      <x:c r="AA52"/>
    </x:row>
    <x:row r="53">
      <x:c r="A53" s="54" t="n">
        <x:v>43921</x:v>
      </x:c>
      <x:c r="B53" t="n">
        <x:v>43921.624999988424</x:v>
      </x:c>
      <x:c r="C53" t="str">
        <x:v>090360</x:v>
      </x:c>
      <x:c r="D53" t="str">
        <x:v>로보스타</x:v>
      </x:c>
      <x:c r="E53" t="str">
        <x:v>KOSDAQ</x:v>
      </x:c>
      <x:c r="F53" t="str">
        <x:v>MID</x:v>
      </x:c>
      <x:c r="G53" t="str">
        <x:v>DCF_SCREENING_EXCLUSION</x:v>
      </x:c>
      <x:c r="H53" t="str">
        <x:v>NON_POSITIVE_ENTERPRISE_VALUE|NON_POSITIVE_EQUITY_VALUE|NON_POSITIVE_TERMINAL_FCF</x:v>
      </x:c>
      <x:c r="I53" s="54" t="n">
        <x:v>43921</x:v>
      </x:c>
      <x:c r="J53" s="55" t="n">
        <x:v>10200</x:v>
      </x:c>
      <x:c r="K53" s="55" t="n">
        <x:v>99450000000</x:v>
      </x:c>
      <x:c r="L53" s="55" t="n">
        <x:v>9750000</x:v>
      </x:c>
      <x:c r="M53" t="str">
        <x:v>20200330004227</x:v>
      </x:c>
      <x:c r="N53" t="n">
        <x:v>43920.624999988424</x:v>
      </x:c>
      <x:c r="O53" s="54" t="n">
        <x:v>43830</x:v>
      </x:c>
      <x:c r="P53" t="str">
        <x:v>False</x:v>
      </x:c>
      <x:c r="Q53" t="str">
        <x:v>7cad18e461b2964c30b4d657a679f043e79ee242b52751cb6ffb53e6a1c5e5bc</x:v>
      </x:c>
      <x:c r="R53" t="str">
        <x:v>e326df905f70cf48b5dfe1216a9cb1a5e975932ce8d9984619c113ff1cc4bd1b</x:v>
      </x:c>
      <x:c r="S53" t="n">
        <x:v>5</x:v>
      </x:c>
      <x:c r="T53" t="str">
        <x:v>2018-12-31|2019-12-31</x:v>
      </x:c>
      <x:c r="U53" s="57" t="n">
        <x:v>-983.5331588588693</x:v>
      </x:c>
      <x:c r="V53" s="57" t="n">
        <x:v>-1.0964248194959676</x:v>
      </x:c>
      <x:c r="W53"/>
      <x:c r="X53"/>
      <x:c r="Y53" s="38" t="n">
        <x:v>0.6409090909090909</x:v>
      </x:c>
      <x:c r="Z53" s="38" t="n">
        <x:v>0.5517478406566056</x:v>
      </x:c>
      <x:c r="AA53" t="str">
        <x:v>NON_POSITIVE_ENTERPRISE_VALUE|NON_POSITIVE_EQUITY_VALUE|NON_POSITIVE_TERMINAL_FCF</x:v>
      </x:c>
    </x:row>
    <x:row r="54">
      <x:c r="A54" s="54" t="n">
        <x:v>43921</x:v>
      </x:c>
      <x:c r="B54" t="n">
        <x:v>43921.624999988424</x:v>
      </x:c>
      <x:c r="C54" t="str">
        <x:v>144960</x:v>
      </x:c>
      <x:c r="D54" t="str">
        <x:v>뉴파워프라즈마</x:v>
      </x:c>
      <x:c r="E54" t="str">
        <x:v>KOSDAQ</x:v>
      </x:c>
      <x:c r="F54" t="str">
        <x:v>MID</x:v>
      </x:c>
      <x:c r="G54" t="str">
        <x:v>ELIGIBLE</x:v>
      </x:c>
      <x:c r="H54"/>
      <x:c r="I54" s="54" t="n">
        <x:v>43921</x:v>
      </x:c>
      <x:c r="J54" s="55" t="n">
        <x:v>2760</x:v>
      </x:c>
      <x:c r="K54" s="55" t="n">
        <x:v>113854650600</x:v>
      </x:c>
      <x:c r="L54" s="55" t="n">
        <x:v>41251685</x:v>
      </x:c>
      <x:c r="M54" t="str">
        <x:v>20200330003611</x:v>
      </x:c>
      <x:c r="N54" t="n">
        <x:v>43920.624999988424</x:v>
      </x:c>
      <x:c r="O54" s="54" t="n">
        <x:v>43830</x:v>
      </x:c>
      <x:c r="P54" t="str">
        <x:v>False</x:v>
      </x:c>
      <x:c r="Q54" t="str">
        <x:v>8de8cc407cf36453da7a36c0c631d6f70e15f223e09b2b161a328a8b0b0e274d</x:v>
      </x:c>
      <x:c r="R54" t="str">
        <x:v>6d4c85e8edf23b57315e94db856a6d89d1cd1b83c2474ed8aa669e8f32dd4a0f</x:v>
      </x:c>
      <x:c r="S54" t="n">
        <x:v>6</x:v>
      </x:c>
      <x:c r="T54" t="str">
        <x:v>2018-12-31|2019-12-31</x:v>
      </x:c>
      <x:c r="U54" s="57" t="n">
        <x:v>640.1583027235157</x:v>
      </x:c>
      <x:c r="V54" s="57" t="n">
        <x:v>-0.7680585859697407</x:v>
      </x:c>
      <x:c r="W54" t="n">
        <x:v>56</x:v>
      </x:c>
      <x:c r="X54" t="n">
        <x:v>5</x:v>
      </x:c>
      <x:c r="Y54" s="38" t="n">
        <x:v>0.6409090909090909</x:v>
      </x:c>
      <x:c r="Z54" s="38" t="n">
        <x:v>0.7291259709349471</x:v>
      </x:c>
      <x:c r="AA54"/>
    </x:row>
    <x:row r="55">
      <x:c r="A55" s="54" t="n">
        <x:v>43921</x:v>
      </x:c>
      <x:c r="B55" t="n">
        <x:v>43921.624999988424</x:v>
      </x:c>
      <x:c r="C55" t="str">
        <x:v>065660</x:v>
      </x:c>
      <x:c r="D55" t="str">
        <x:v>안트로젠</x:v>
      </x:c>
      <x:c r="E55" t="str">
        <x:v>KOSDAQ</x:v>
      </x:c>
      <x:c r="F55" t="str">
        <x:v>MID</x:v>
      </x:c>
      <x:c r="G55" t="str">
        <x:v>DCF_SCREENING_EXCLUSION</x:v>
      </x:c>
      <x:c r="H55" t="str">
        <x:v>NON_POSITIVE_ENTERPRISE_VALUE|NON_POSITIVE_TERMINAL_FCF</x:v>
      </x:c>
      <x:c r="I55" s="54" t="n">
        <x:v>43921</x:v>
      </x:c>
      <x:c r="J55" s="55" t="n">
        <x:v>37350</x:v>
      </x:c>
      <x:c r="K55" s="55" t="n">
        <x:v>323087845950</x:v>
      </x:c>
      <x:c r="L55" s="55" t="n">
        <x:v>8650277</x:v>
      </x:c>
      <x:c r="M55" t="str">
        <x:v>20200327000620</x:v>
      </x:c>
      <x:c r="N55" t="n">
        <x:v>43917.624999988424</x:v>
      </x:c>
      <x:c r="O55" s="54" t="n">
        <x:v>43830</x:v>
      </x:c>
      <x:c r="P55" t="str">
        <x:v>False</x:v>
      </x:c>
      <x:c r="Q55" t="str">
        <x:v>e393b791c5128fd52c22b5f9a30acb3eab1a1ea9e6d0296769d8f122da5a913b</x:v>
      </x:c>
      <x:c r="R55" t="str">
        <x:v>0eaa0820dd6320358f91fc416d8f116d7562d0d57503cf9c1eb3484d3c360c02</x:v>
      </x:c>
      <x:c r="S55" t="n">
        <x:v>5</x:v>
      </x:c>
      <x:c r="T55" t="str">
        <x:v>2018-12-31|2019-12-31</x:v>
      </x:c>
      <x:c r="U55" s="57" t="n">
        <x:v>3258.758658756567</x:v>
      </x:c>
      <x:c r="V55" s="57" t="n">
        <x:v>-0.9127507721885793</x:v>
      </x:c>
      <x:c r="W55"/>
      <x:c r="X55"/>
      <x:c r="Y55" s="38" t="n">
        <x:v>0.6409090909090909</x:v>
      </x:c>
      <x:c r="Z55" s="38" t="n">
        <x:v>0.6635957394517747</x:v>
      </x:c>
      <x:c r="AA55" t="str">
        <x:v>NON_POSITIVE_ENTERPRISE_VALUE|NON_POSITIVE_TERMINAL_FCF</x:v>
      </x:c>
    </x:row>
    <x:row r="56">
      <x:c r="A56" s="54" t="n">
        <x:v>43921</x:v>
      </x:c>
      <x:c r="B56" t="n">
        <x:v>43921.624999988424</x:v>
      </x:c>
      <x:c r="C56" t="str">
        <x:v>255220</x:v>
      </x:c>
      <x:c r="D56" t="str">
        <x:v>SG</x:v>
      </x:c>
      <x:c r="E56" t="str">
        <x:v>KOSDAQ</x:v>
      </x:c>
      <x:c r="F56" t="str">
        <x:v>MID</x:v>
      </x:c>
      <x:c r="G56" t="str">
        <x:v>DCF_SCREENING_EXCLUSION</x:v>
      </x:c>
      <x:c r="H56" t="str">
        <x:v>NON_POSITIVE_EQUITY_VALUE</x:v>
      </x:c>
      <x:c r="I56" s="54" t="n">
        <x:v>43921</x:v>
      </x:c>
      <x:c r="J56" s="55" t="n">
        <x:v>1350</x:v>
      </x:c>
      <x:c r="K56" s="55" t="n">
        <x:v>49572036450</x:v>
      </x:c>
      <x:c r="L56" s="55" t="n">
        <x:v>36720027</x:v>
      </x:c>
      <x:c r="M56" t="str">
        <x:v>20200330002142</x:v>
      </x:c>
      <x:c r="N56" t="n">
        <x:v>43920.624999988424</x:v>
      </x:c>
      <x:c r="O56" s="54" t="n">
        <x:v>43830</x:v>
      </x:c>
      <x:c r="P56" t="str">
        <x:v>False</x:v>
      </x:c>
      <x:c r="Q56" t="str">
        <x:v>c19d966ea0c3e188aef328dfae11253fde0293673b1d88e53b090542924e246c</x:v>
      </x:c>
      <x:c r="R56" t="str">
        <x:v>e96e2156cbff1ce8f673d16811513cbc20272538b93262a6e065e0763eb33535</x:v>
      </x:c>
      <x:c r="S56" t="n">
        <x:v>6</x:v>
      </x:c>
      <x:c r="T56" t="str">
        <x:v>2018-12-31|2019-12-31</x:v>
      </x:c>
      <x:c r="U56" s="57" t="n">
        <x:v>-274.1292153525808</x:v>
      </x:c>
      <x:c r="V56" s="57" t="n">
        <x:v>-1.2030586780389487</x:v>
      </x:c>
      <x:c r="W56"/>
      <x:c r="X56"/>
      <x:c r="Y56" s="38" t="n">
        <x:v>0.6409090909090909</x:v>
      </x:c>
      <x:c r="Z56" s="38" t="n">
        <x:v>0.6622124389251648</x:v>
      </x:c>
      <x:c r="AA56" t="str">
        <x:v>NON_POSITIVE_EQUITY_VALUE</x:v>
      </x:c>
    </x:row>
    <x:row r="57">
      <x:c r="A57" s="54" t="n">
        <x:v>43921</x:v>
      </x:c>
      <x:c r="B57" t="n">
        <x:v>43921.624999988424</x:v>
      </x:c>
      <x:c r="C57" t="str">
        <x:v>356680</x:v>
      </x:c>
      <x:c r="D57" t="str">
        <x:v>엑스게이트</x:v>
      </x:c>
      <x:c r="E57" t="str">
        <x:v>KOSDAQ</x:v>
      </x:c>
      <x:c r="F57" t="str">
        <x:v>MID</x:v>
      </x:c>
      <x:c r="G57" t="str">
        <x:v>NOT_LISTED_OR_NO_PRICE</x:v>
      </x:c>
      <x:c r="H57"/>
      <x:c r="I57" s="54"/>
      <x:c r="J57" s="55"/>
      <x:c r="K57" s="55"/>
      <x:c r="L57" s="55"/>
      <x:c r="M57"/>
      <x:c r="N57"/>
      <x:c r="O57" s="54"/>
      <x:c r="P57"/>
      <x:c r="Q57"/>
      <x:c r="R57"/>
      <x:c r="S57"/>
      <x:c r="T57"/>
      <x:c r="U57" s="57"/>
      <x:c r="V57" s="57"/>
      <x:c r="W57"/>
      <x:c r="X57"/>
      <x:c r="Y57" s="38"/>
      <x:c r="Z57" s="38"/>
      <x:c r="AA57"/>
    </x:row>
    <x:row r="58">
      <x:c r="A58" s="54" t="n">
        <x:v>43921</x:v>
      </x:c>
      <x:c r="B58" t="n">
        <x:v>43921.624999988424</x:v>
      </x:c>
      <x:c r="C58" t="str">
        <x:v>038390</x:v>
      </x:c>
      <x:c r="D58" t="str">
        <x:v>레드캡투어</x:v>
      </x:c>
      <x:c r="E58" t="str">
        <x:v>KOSDAQ</x:v>
      </x:c>
      <x:c r="F58" t="str">
        <x:v>MID</x:v>
      </x:c>
      <x:c r="G58" t="str">
        <x:v>ELIGIBLE</x:v>
      </x:c>
      <x:c r="H58"/>
      <x:c r="I58" s="54" t="n">
        <x:v>43921</x:v>
      </x:c>
      <x:c r="J58" s="55" t="n">
        <x:v>11700</x:v>
      </x:c>
      <x:c r="K58" s="55" t="n">
        <x:v>100496916000</x:v>
      </x:c>
      <x:c r="L58" s="55" t="n">
        <x:v>8589480</x:v>
      </x:c>
      <x:c r="M58" t="str">
        <x:v>20200330001056</x:v>
      </x:c>
      <x:c r="N58" t="n">
        <x:v>43920.624999988424</x:v>
      </x:c>
      <x:c r="O58" s="54" t="n">
        <x:v>43830</x:v>
      </x:c>
      <x:c r="P58" t="str">
        <x:v>False</x:v>
      </x:c>
      <x:c r="Q58" t="str">
        <x:v>0ed4d7e76fec63b8aaef9e570a935e91f1c114de8e88e76028d6576bd56dfe1c</x:v>
      </x:c>
      <x:c r="R58" t="str">
        <x:v>9ca028bc32b84d8c11c49b231ccb0cb4a9fdaf6127f7ed9a607c722190daca14</x:v>
      </x:c>
      <x:c r="S58" t="n">
        <x:v>6</x:v>
      </x:c>
      <x:c r="T58" t="str">
        <x:v>2018-12-31|2019-12-31</x:v>
      </x:c>
      <x:c r="U58" s="57" t="n">
        <x:v>19218.41668035128</x:v>
      </x:c>
      <x:c r="V58" s="57" t="n">
        <x:v>0.6425997162693402</x:v>
      </x:c>
      <x:c r="W58" t="n">
        <x:v>17</x:v>
      </x:c>
      <x:c r="X58" t="n">
        <x:v>2</x:v>
      </x:c>
      <x:c r="Y58" s="38" t="n">
        <x:v>0.6409090909090909</x:v>
      </x:c>
      <x:c r="Z58" s="38" t="n">
        <x:v>0.6509275162397761</x:v>
      </x:c>
      <x:c r="AA58"/>
    </x:row>
    <x:row r="59">
      <x:c r="A59" s="54" t="n">
        <x:v>43921</x:v>
      </x:c>
      <x:c r="B59" t="n">
        <x:v>43921.624999988424</x:v>
      </x:c>
      <x:c r="C59" t="str">
        <x:v>083930</x:v>
      </x:c>
      <x:c r="D59" t="str">
        <x:v>아바코</x:v>
      </x:c>
      <x:c r="E59" t="str">
        <x:v>KOSDAQ</x:v>
      </x:c>
      <x:c r="F59" t="str">
        <x:v>MID</x:v>
      </x:c>
      <x:c r="G59" t="str">
        <x:v>ELIGIBLE</x:v>
      </x:c>
      <x:c r="H59"/>
      <x:c r="I59" s="54" t="n">
        <x:v>43921</x:v>
      </x:c>
      <x:c r="J59" s="55" t="n">
        <x:v>4830</x:v>
      </x:c>
      <x:c r="K59" s="55" t="n">
        <x:v>77263119150</x:v>
      </x:c>
      <x:c r="L59" s="55" t="n">
        <x:v>15996505</x:v>
      </x:c>
      <x:c r="M59" t="str">
        <x:v>20200330003217</x:v>
      </x:c>
      <x:c r="N59" t="n">
        <x:v>43920.624999988424</x:v>
      </x:c>
      <x:c r="O59" s="54" t="n">
        <x:v>43830</x:v>
      </x:c>
      <x:c r="P59" t="str">
        <x:v>False</x:v>
      </x:c>
      <x:c r="Q59" t="str">
        <x:v>6fe112766ead0fff9903fdac4ab584f8524a512815d8a732af0c90eaa77b57bf</x:v>
      </x:c>
      <x:c r="R59" t="str">
        <x:v>3b615f1fd988c1c5033d71762dd36efa6dd6dd19d7b2282334628ddd2d2fc2cb</x:v>
      </x:c>
      <x:c r="S59" t="n">
        <x:v>7</x:v>
      </x:c>
      <x:c r="T59" t="str">
        <x:v>2018-12-31|2019-12-31</x:v>
      </x:c>
      <x:c r="U59" s="57" t="n">
        <x:v>10676.00656311258</x:v>
      </x:c>
      <x:c r="V59" s="57" t="n">
        <x:v>1.2103533256961865</x:v>
      </x:c>
      <x:c r="W59" t="n">
        <x:v>11</x:v>
      </x:c>
      <x:c r="X59" t="n">
        <x:v>1</x:v>
      </x:c>
      <x:c r="Y59" s="38" t="n">
        <x:v>0.6409090909090909</x:v>
      </x:c>
      <x:c r="Z59" s="38" t="n">
        <x:v>0.5946474082816877</x:v>
      </x:c>
      <x:c r="AA59"/>
    </x:row>
    <x:row r="60">
      <x:c r="A60" s="54" t="n">
        <x:v>43921</x:v>
      </x:c>
      <x:c r="B60" t="n">
        <x:v>43921.624999988424</x:v>
      </x:c>
      <x:c r="C60" t="str">
        <x:v>089600</x:v>
      </x:c>
      <x:c r="D60" t="str">
        <x:v>KT나스미디어</x:v>
      </x:c>
      <x:c r="E60" t="str">
        <x:v>KOSDAQ</x:v>
      </x:c>
      <x:c r="F60" t="str">
        <x:v>MID</x:v>
      </x:c>
      <x:c r="G60" t="str">
        <x:v>ELIGIBLE</x:v>
      </x:c>
      <x:c r="H60"/>
      <x:c r="I60" s="54" t="n">
        <x:v>43921</x:v>
      </x:c>
      <x:c r="J60" s="55" t="n">
        <x:v>24850</x:v>
      </x:c>
      <x:c r="K60" s="55" t="n">
        <x:v>217554071350</x:v>
      </x:c>
      <x:c r="L60" s="55" t="n">
        <x:v>8754691</x:v>
      </x:c>
      <x:c r="M60" t="str">
        <x:v>20200330003971</x:v>
      </x:c>
      <x:c r="N60" t="n">
        <x:v>43920.624999988424</x:v>
      </x:c>
      <x:c r="O60" s="54" t="n">
        <x:v>43830</x:v>
      </x:c>
      <x:c r="P60" t="str">
        <x:v>False</x:v>
      </x:c>
      <x:c r="Q60" t="str">
        <x:v>7366a9a946afb807904d9c068adeee1c2b11b8f4ce52b600edd8231e0270e3af</x:v>
      </x:c>
      <x:c r="R60" t="str">
        <x:v>a1780843cd2e0dc320178dfa80fdea6a1484ec5b2418439dcb6c1f6bfc73acf5</x:v>
      </x:c>
      <x:c r="S60" t="n">
        <x:v>6</x:v>
      </x:c>
      <x:c r="T60" t="str">
        <x:v>2019-12-31</x:v>
      </x:c>
      <x:c r="U60" s="57" t="n">
        <x:v>32148.67306797827</x:v>
      </x:c>
      <x:c r="V60" s="57" t="n">
        <x:v>0.29370917778584593</x:v>
      </x:c>
      <x:c r="W60" t="n">
        <x:v>22</x:v>
      </x:c>
      <x:c r="X60" t="n">
        <x:v>2</x:v>
      </x:c>
      <x:c r="Y60" s="38" t="n">
        <x:v>0.6409090909090909</x:v>
      </x:c>
      <x:c r="Z60" s="38" t="n">
        <x:v>0.6701769222689359</x:v>
      </x:c>
      <x:c r="AA60"/>
    </x:row>
    <x:row r="61">
      <x:c r="A61" s="54" t="n">
        <x:v>43921</x:v>
      </x:c>
      <x:c r="B61" t="n">
        <x:v>43921.624999988424</x:v>
      </x:c>
      <x:c r="C61" t="str">
        <x:v>091120</x:v>
      </x:c>
      <x:c r="D61" t="str">
        <x:v>이엠텍</x:v>
      </x:c>
      <x:c r="E61" t="str">
        <x:v>KOSDAQ</x:v>
      </x:c>
      <x:c r="F61" t="str">
        <x:v>MID</x:v>
      </x:c>
      <x:c r="G61" t="str">
        <x:v>DCF_SCREENING_EXCLUSION</x:v>
      </x:c>
      <x:c r="H61" t="str">
        <x:v>NON_POSITIVE_ENTERPRISE_VALUE|NON_POSITIVE_EQUITY_VALUE|NON_POSITIVE_TERMINAL_FCF</x:v>
      </x:c>
      <x:c r="I61" s="54" t="n">
        <x:v>43921</x:v>
      </x:c>
      <x:c r="J61" s="55" t="n">
        <x:v>6470</x:v>
      </x:c>
      <x:c r="K61" s="55" t="n">
        <x:v>103914255920</x:v>
      </x:c>
      <x:c r="L61" s="55" t="n">
        <x:v>16060936</x:v>
      </x:c>
      <x:c r="M61" t="str">
        <x:v>20200327001294</x:v>
      </x:c>
      <x:c r="N61" t="n">
        <x:v>43917.624999988424</x:v>
      </x:c>
      <x:c r="O61" s="54" t="n">
        <x:v>43830</x:v>
      </x:c>
      <x:c r="P61" t="str">
        <x:v>False</x:v>
      </x:c>
      <x:c r="Q61" t="str">
        <x:v>2d24983f4c6ef246eb83385f0559caa906d62eb07d0c727c440087294d8e0ac1</x:v>
      </x:c>
      <x:c r="R61" t="str">
        <x:v>47b28b8cb7206e847ab0c31138de31f5f565461bc77cf232929bb0bd4e51f734</x:v>
      </x:c>
      <x:c r="S61" t="n">
        <x:v>6</x:v>
      </x:c>
      <x:c r="T61" t="str">
        <x:v>2018-12-31|2019-12-31</x:v>
      </x:c>
      <x:c r="U61" s="57" t="n">
        <x:v>-486.89593659803876</x:v>
      </x:c>
      <x:c r="V61" s="57" t="n">
        <x:v>-1.0752543951465283</x:v>
      </x:c>
      <x:c r="W61"/>
      <x:c r="X61"/>
      <x:c r="Y61" s="38" t="n">
        <x:v>0.6409090909090909</x:v>
      </x:c>
      <x:c r="Z61" s="38" t="n">
        <x:v>0.4477369167724004</x:v>
      </x:c>
      <x:c r="AA61" t="str">
        <x:v>NON_POSITIVE_ENTERPRISE_VALUE|NON_POSITIVE_EQUITY_VALUE|NON_POSITIVE_TERMINAL_FCF</x:v>
      </x:c>
    </x:row>
    <x:row r="62">
      <x:c r="A62" s="54" t="n">
        <x:v>43921</x:v>
      </x:c>
      <x:c r="B62" t="n">
        <x:v>43921.624999988424</x:v>
      </x:c>
      <x:c r="C62" t="str">
        <x:v>353810</x:v>
      </x:c>
      <x:c r="D62" t="str">
        <x:v>이지바이오</x:v>
      </x:c>
      <x:c r="E62" t="str">
        <x:v>KOSDAQ</x:v>
      </x:c>
      <x:c r="F62" t="str">
        <x:v>MID</x:v>
      </x:c>
      <x:c r="G62" t="str">
        <x:v>NOT_LISTED_OR_NO_PRICE</x:v>
      </x:c>
      <x:c r="H62"/>
      <x:c r="I62" s="54"/>
      <x:c r="J62" s="55"/>
      <x:c r="K62" s="55"/>
      <x:c r="L62" s="55"/>
      <x:c r="M62"/>
      <x:c r="N62"/>
      <x:c r="O62" s="54"/>
      <x:c r="P62"/>
      <x:c r="Q62"/>
      <x:c r="R62"/>
      <x:c r="S62"/>
      <x:c r="T62"/>
      <x:c r="U62" s="57"/>
      <x:c r="V62" s="57"/>
      <x:c r="W62"/>
      <x:c r="X62"/>
      <x:c r="Y62" s="38"/>
      <x:c r="Z62" s="38"/>
      <x:c r="AA62"/>
    </x:row>
    <x:row r="63">
      <x:c r="A63" s="54" t="n">
        <x:v>43921</x:v>
      </x:c>
      <x:c r="B63" t="n">
        <x:v>43921.624999988424</x:v>
      </x:c>
      <x:c r="C63" t="str">
        <x:v>203650</x:v>
      </x:c>
      <x:c r="D63" t="str">
        <x:v>드림시큐리티</x:v>
      </x:c>
      <x:c r="E63" t="str">
        <x:v>KOSDAQ</x:v>
      </x:c>
      <x:c r="F63" t="str">
        <x:v>MID</x:v>
      </x:c>
      <x:c r="G63" t="str">
        <x:v>ELIGIBLE</x:v>
      </x:c>
      <x:c r="H63"/>
      <x:c r="I63" s="54" t="n">
        <x:v>43921</x:v>
      </x:c>
      <x:c r="J63" s="55" t="n">
        <x:v>1580</x:v>
      </x:c>
      <x:c r="K63" s="55" t="n">
        <x:v>79957091320</x:v>
      </x:c>
      <x:c r="L63" s="55" t="n">
        <x:v>50605754</x:v>
      </x:c>
      <x:c r="M63" t="str">
        <x:v>20200330002245</x:v>
      </x:c>
      <x:c r="N63" t="n">
        <x:v>43920.624999988424</x:v>
      </x:c>
      <x:c r="O63" s="54" t="n">
        <x:v>43830</x:v>
      </x:c>
      <x:c r="P63" t="str">
        <x:v>False</x:v>
      </x:c>
      <x:c r="Q63" t="str">
        <x:v>57c3d3517db60ca075b2c8d11f58e42070e7165608af392777e68b9ef42f02de</x:v>
      </x:c>
      <x:c r="R63" t="str">
        <x:v>6df67fc742d01a8516ea913e46378977817ffd387d4cef500e4488e05bc9a1be</x:v>
      </x:c>
      <x:c r="S63" t="n">
        <x:v>6</x:v>
      </x:c>
      <x:c r="T63" t="str">
        <x:v>2018-12-31|2019-12-31</x:v>
      </x:c>
      <x:c r="U63" s="57" t="n">
        <x:v>234.19899304557862</x:v>
      </x:c>
      <x:c r="V63" s="57" t="n">
        <x:v>-0.8517727892116591</x:v>
      </x:c>
      <x:c r="W63" t="n">
        <x:v>58</x:v>
      </x:c>
      <x:c r="X63" t="n">
        <x:v>5</x:v>
      </x:c>
      <x:c r="Y63" s="38" t="n">
        <x:v>0.6409090909090909</x:v>
      </x:c>
      <x:c r="Z63" s="38" t="n">
        <x:v>0.7096876554646769</x:v>
      </x:c>
      <x:c r="AA63"/>
    </x:row>
    <x:row r="64">
      <x:c r="A64" s="54" t="n">
        <x:v>43921</x:v>
      </x:c>
      <x:c r="B64" t="n">
        <x:v>43921.624999988424</x:v>
      </x:c>
      <x:c r="C64" t="str">
        <x:v>251120</x:v>
      </x:c>
      <x:c r="D64" t="str">
        <x:v>바이오에프디엔씨</x:v>
      </x:c>
      <x:c r="E64" t="str">
        <x:v>KOSDAQ</x:v>
      </x:c>
      <x:c r="F64" t="str">
        <x:v>MID</x:v>
      </x:c>
      <x:c r="G64" t="str">
        <x:v>NOT_LISTED_OR_NO_PRICE</x:v>
      </x:c>
      <x:c r="H64"/>
      <x:c r="I64" s="54"/>
      <x:c r="J64" s="55"/>
      <x:c r="K64" s="55"/>
      <x:c r="L64" s="55"/>
      <x:c r="M64"/>
      <x:c r="N64"/>
      <x:c r="O64" s="54"/>
      <x:c r="P64"/>
      <x:c r="Q64"/>
      <x:c r="R64"/>
      <x:c r="S64"/>
      <x:c r="T64"/>
      <x:c r="U64" s="57"/>
      <x:c r="V64" s="57"/>
      <x:c r="W64"/>
      <x:c r="X64"/>
      <x:c r="Y64" s="38"/>
      <x:c r="Z64" s="38"/>
      <x:c r="AA64"/>
    </x:row>
    <x:row r="65">
      <x:c r="A65" s="54" t="n">
        <x:v>43921</x:v>
      </x:c>
      <x:c r="B65" t="n">
        <x:v>43921.624999988424</x:v>
      </x:c>
      <x:c r="C65" t="str">
        <x:v>094820</x:v>
      </x:c>
      <x:c r="D65" t="str">
        <x:v>일진파워</x:v>
      </x:c>
      <x:c r="E65" t="str">
        <x:v>KOSDAQ</x:v>
      </x:c>
      <x:c r="F65" t="str">
        <x:v>MID</x:v>
      </x:c>
      <x:c r="G65" t="str">
        <x:v>ELIGIBLE</x:v>
      </x:c>
      <x:c r="H65"/>
      <x:c r="I65" s="54" t="n">
        <x:v>43921</x:v>
      </x:c>
      <x:c r="J65" s="55" t="n">
        <x:v>4130</x:v>
      </x:c>
      <x:c r="K65" s="55" t="n">
        <x:v>62275068170</x:v>
      </x:c>
      <x:c r="L65" s="55" t="n">
        <x:v>15078709</x:v>
      </x:c>
      <x:c r="M65" t="str">
        <x:v>20200330003625</x:v>
      </x:c>
      <x:c r="N65" t="n">
        <x:v>43920.624999988424</x:v>
      </x:c>
      <x:c r="O65" s="54" t="n">
        <x:v>43830</x:v>
      </x:c>
      <x:c r="P65" t="str">
        <x:v>False</x:v>
      </x:c>
      <x:c r="Q65" t="str">
        <x:v>b59d85b4dcc8495f35c926f0be8e9fc82a38a7e715e631d2aaa36b6ab594f7a5</x:v>
      </x:c>
      <x:c r="R65" t="str">
        <x:v>433d6a7d85480f55117e65b211d43de0f789d445ad6e9cd7e61d82eccb9873d8</x:v>
      </x:c>
      <x:c r="S65" t="n">
        <x:v>5</x:v>
      </x:c>
      <x:c r="T65" t="str">
        <x:v>2018-12-31|2019-12-31</x:v>
      </x:c>
      <x:c r="U65" s="57" t="n">
        <x:v>14773.966135425591</x:v>
      </x:c>
      <x:c r="V65" s="57" t="n">
        <x:v>2.5772315097882785</x:v>
      </x:c>
      <x:c r="W65" t="n">
        <x:v>2</x:v>
      </x:c>
      <x:c r="X65" t="n">
        <x:v>1</x:v>
      </x:c>
      <x:c r="Y65" s="38" t="n">
        <x:v>0.6409090909090909</x:v>
      </x:c>
      <x:c r="Z65" s="38" t="n">
        <x:v>0.7315079400342607</x:v>
      </x:c>
      <x:c r="AA65"/>
    </x:row>
    <x:row r="66">
      <x:c r="A66" s="54" t="n">
        <x:v>43921</x:v>
      </x:c>
      <x:c r="B66" t="n">
        <x:v>43921.624999988424</x:v>
      </x:c>
      <x:c r="C66" t="str">
        <x:v>333430</x:v>
      </x:c>
      <x:c r="D66" t="str">
        <x:v>일승</x:v>
      </x:c>
      <x:c r="E66" t="str">
        <x:v>KOSDAQ</x:v>
      </x:c>
      <x:c r="F66" t="str">
        <x:v>MID</x:v>
      </x:c>
      <x:c r="G66" t="str">
        <x:v>NO_PIT_FINANCIALS</x:v>
      </x:c>
      <x:c r="H66"/>
      <x:c r="I66" s="54" t="n">
        <x:v>43921</x:v>
      </x:c>
      <x:c r="J66" s="55" t="n">
        <x:v>2000</x:v>
      </x:c>
      <x:c r="K66" s="55" t="n">
        <x:v>8780000000</x:v>
      </x:c>
      <x:c r="L66" s="55" t="n">
        <x:v>4390000</x:v>
      </x:c>
      <x:c r="M66"/>
      <x:c r="N66"/>
      <x:c r="O66" s="54"/>
      <x:c r="P66"/>
      <x:c r="Q66"/>
      <x:c r="R66"/>
      <x:c r="S66"/>
      <x:c r="T66"/>
      <x:c r="U66" s="57"/>
      <x:c r="V66" s="57"/>
      <x:c r="W66"/>
      <x:c r="X66"/>
      <x:c r="Y66" s="38"/>
      <x:c r="Z66" s="38"/>
      <x:c r="AA66"/>
    </x:row>
    <x:row r="67">
      <x:c r="A67" s="54" t="n">
        <x:v>43921</x:v>
      </x:c>
      <x:c r="B67" t="n">
        <x:v>43921.624999988424</x:v>
      </x:c>
      <x:c r="C67" t="str">
        <x:v>041440</x:v>
      </x:c>
      <x:c r="D67" t="str">
        <x:v>현대에버다임</x:v>
      </x:c>
      <x:c r="E67" t="str">
        <x:v>KOSDAQ</x:v>
      </x:c>
      <x:c r="F67" t="str">
        <x:v>MID</x:v>
      </x:c>
      <x:c r="G67" t="str">
        <x:v>ELIGIBLE</x:v>
      </x:c>
      <x:c r="H67"/>
      <x:c r="I67" s="54" t="n">
        <x:v>43921</x:v>
      </x:c>
      <x:c r="J67" s="55" t="n">
        <x:v>3005</x:v>
      </x:c>
      <x:c r="K67" s="55" t="n">
        <x:v>53837411720</x:v>
      </x:c>
      <x:c r="L67" s="55" t="n">
        <x:v>17915944</x:v>
      </x:c>
      <x:c r="M67" t="str">
        <x:v>20200330003194</x:v>
      </x:c>
      <x:c r="N67" t="n">
        <x:v>43920.624999988424</x:v>
      </x:c>
      <x:c r="O67" s="54" t="n">
        <x:v>43830</x:v>
      </x:c>
      <x:c r="P67" t="str">
        <x:v>False</x:v>
      </x:c>
      <x:c r="Q67" t="str">
        <x:v>16997b4392a0bd28ea72e13e4e114acc5a569dcbee456947a306d17b34b51b31</x:v>
      </x:c>
      <x:c r="R67" t="str">
        <x:v>3b14c0c6043d928661a22489109067489d88031687d22b7a5311c2499b3d669e</x:v>
      </x:c>
      <x:c r="S67" t="n">
        <x:v>7</x:v>
      </x:c>
      <x:c r="T67" t="str">
        <x:v>2018-12-31|2019-12-31</x:v>
      </x:c>
      <x:c r="U67" s="57" t="n">
        <x:v>2614.9217888781814</x:v>
      </x:c>
      <x:c r="V67" s="57" t="n">
        <x:v>-0.12980972083920747</x:v>
      </x:c>
      <x:c r="W67" t="n">
        <x:v>28</x:v>
      </x:c>
      <x:c r="X67" t="n">
        <x:v>3</x:v>
      </x:c>
      <x:c r="Y67" s="38" t="n">
        <x:v>0.6409090909090909</x:v>
      </x:c>
      <x:c r="Z67" s="38" t="n">
        <x:v>0.5430879733724859</x:v>
      </x:c>
      <x:c r="AA67"/>
    </x:row>
    <x:row r="68">
      <x:c r="A68" s="54" t="n">
        <x:v>43921</x:v>
      </x:c>
      <x:c r="B68" t="n">
        <x:v>43921.624999988424</x:v>
      </x:c>
      <x:c r="C68" t="str">
        <x:v>067990</x:v>
      </x:c>
      <x:c r="D68" t="str">
        <x:v>도이치모터스</x:v>
      </x:c>
      <x:c r="E68" t="str">
        <x:v>KOSDAQ</x:v>
      </x:c>
      <x:c r="F68" t="str">
        <x:v>MID</x:v>
      </x:c>
      <x:c r="G68" t="str">
        <x:v>ELIGIBLE</x:v>
      </x:c>
      <x:c r="H68"/>
      <x:c r="I68" s="54" t="n">
        <x:v>43921</x:v>
      </x:c>
      <x:c r="J68" s="55" t="n">
        <x:v>5900</x:v>
      </x:c>
      <x:c r="K68" s="55" t="n">
        <x:v>165420335500</x:v>
      </x:c>
      <x:c r="L68" s="55" t="n">
        <x:v>28037345</x:v>
      </x:c>
      <x:c r="M68" t="str">
        <x:v>20200330002842</x:v>
      </x:c>
      <x:c r="N68" t="n">
        <x:v>43920.624999988424</x:v>
      </x:c>
      <x:c r="O68" s="54" t="n">
        <x:v>43830</x:v>
      </x:c>
      <x:c r="P68" t="str">
        <x:v>False</x:v>
      </x:c>
      <x:c r="Q68" t="str">
        <x:v>aeacc35410dd89cf6139f4be6bb14aba09ed69b2f5d811329db7df6416017ded</x:v>
      </x:c>
      <x:c r="R68" t="str">
        <x:v>b2fb1a002fe7969aba9cfd8a3177ce8fd1e9db6221a2beade61bbc30173bcc11</x:v>
      </x:c>
      <x:c r="S68" t="n">
        <x:v>6</x:v>
      </x:c>
      <x:c r="T68" t="str">
        <x:v>2016-12-31|2018-12-31|2019-12-31</x:v>
      </x:c>
      <x:c r="U68" s="57" t="n">
        <x:v>222.42427504847294</x:v>
      </x:c>
      <x:c r="V68" s="57" t="n">
        <x:v>-0.9623009703307673</x:v>
      </x:c>
      <x:c r="W68" t="n">
        <x:v>61</x:v>
      </x:c>
      <x:c r="X68" t="n">
        <x:v>5</x:v>
      </x:c>
      <x:c r="Y68" s="38" t="n">
        <x:v>0.6409090909090909</x:v>
      </x:c>
      <x:c r="Z68" s="38" t="n">
        <x:v>0.6888518992756371</x:v>
      </x:c>
      <x:c r="AA68"/>
    </x:row>
    <x:row r="69">
      <x:c r="A69" s="54" t="n">
        <x:v>43921</x:v>
      </x:c>
      <x:c r="B69" t="n">
        <x:v>43921.624999988424</x:v>
      </x:c>
      <x:c r="C69" t="str">
        <x:v>037070</x:v>
      </x:c>
      <x:c r="D69" t="str">
        <x:v>파세코</x:v>
      </x:c>
      <x:c r="E69" t="str">
        <x:v>KOSDAQ</x:v>
      </x:c>
      <x:c r="F69" t="str">
        <x:v>MID</x:v>
      </x:c>
      <x:c r="G69" t="str">
        <x:v>ELIGIBLE</x:v>
      </x:c>
      <x:c r="H69"/>
      <x:c r="I69" s="54" t="n">
        <x:v>43921</x:v>
      </x:c>
      <x:c r="J69" s="55" t="n">
        <x:v>7750</x:v>
      </x:c>
      <x:c r="K69" s="55" t="n">
        <x:v>108500000000</x:v>
      </x:c>
      <x:c r="L69" s="55" t="n">
        <x:v>14000000</x:v>
      </x:c>
      <x:c r="M69" t="str">
        <x:v>20200330000501</x:v>
      </x:c>
      <x:c r="N69" t="n">
        <x:v>43920.624999988424</x:v>
      </x:c>
      <x:c r="O69" s="54" t="n">
        <x:v>43830</x:v>
      </x:c>
      <x:c r="P69" t="str">
        <x:v>False</x:v>
      </x:c>
      <x:c r="Q69" t="str">
        <x:v>1440c88124d8765b5f68d20b777357d7374aa8b1e0c49a3563a248e24267c8ad</x:v>
      </x:c>
      <x:c r="R69" t="str">
        <x:v>83c055e1264fdcdfca2ec0cb820207c239f947ecafcf9ebf65e7828b84f8d22e</x:v>
      </x:c>
      <x:c r="S69" t="n">
        <x:v>7</x:v>
      </x:c>
      <x:c r="T69" t="str">
        <x:v>2018-12-31|2019-12-31</x:v>
      </x:c>
      <x:c r="U69" s="57" t="n">
        <x:v>5223.088421177067</x:v>
      </x:c>
      <x:c r="V69" s="57" t="n">
        <x:v>-0.3260531069448946</x:v>
      </x:c>
      <x:c r="W69" t="n">
        <x:v>35</x:v>
      </x:c>
      <x:c r="X69" t="n">
        <x:v>3</x:v>
      </x:c>
      <x:c r="Y69" s="38" t="n">
        <x:v>0.6409090909090909</x:v>
      </x:c>
      <x:c r="Z69" s="38" t="n">
        <x:v>0.6978683163387078</x:v>
      </x:c>
      <x:c r="AA69"/>
    </x:row>
    <x:row r="70">
      <x:c r="A70" s="54" t="n">
        <x:v>43921</x:v>
      </x:c>
      <x:c r="B70" t="n">
        <x:v>43921.624999988424</x:v>
      </x:c>
      <x:c r="C70" t="str">
        <x:v>365330</x:v>
      </x:c>
      <x:c r="D70" t="str">
        <x:v>에스와이스틸텍</x:v>
      </x:c>
      <x:c r="E70" t="str">
        <x:v>KOSDAQ</x:v>
      </x:c>
      <x:c r="F70" t="str">
        <x:v>MID</x:v>
      </x:c>
      <x:c r="G70" t="str">
        <x:v>NOT_LISTED_OR_NO_PRICE</x:v>
      </x:c>
      <x:c r="H70"/>
      <x:c r="I70" s="54"/>
      <x:c r="J70" s="55"/>
      <x:c r="K70" s="55"/>
      <x:c r="L70" s="55"/>
      <x:c r="M70"/>
      <x:c r="N70"/>
      <x:c r="O70" s="54"/>
      <x:c r="P70"/>
      <x:c r="Q70"/>
      <x:c r="R70"/>
      <x:c r="S70"/>
      <x:c r="T70"/>
      <x:c r="U70" s="57"/>
      <x:c r="V70" s="57"/>
      <x:c r="W70"/>
      <x:c r="X70"/>
      <x:c r="Y70" s="38"/>
      <x:c r="Z70" s="38"/>
      <x:c r="AA70"/>
    </x:row>
    <x:row r="71">
      <x:c r="A71" s="54" t="n">
        <x:v>43921</x:v>
      </x:c>
      <x:c r="B71" t="n">
        <x:v>43921.624999988424</x:v>
      </x:c>
      <x:c r="C71" t="str">
        <x:v>086960</x:v>
      </x:c>
      <x:c r="D71" t="str">
        <x:v>MDS테크</x:v>
      </x:c>
      <x:c r="E71" t="str">
        <x:v>KOSDAQ</x:v>
      </x:c>
      <x:c r="F71" t="str">
        <x:v>MID</x:v>
      </x:c>
      <x:c r="G71" t="str">
        <x:v>ELIGIBLE</x:v>
      </x:c>
      <x:c r="H71"/>
      <x:c r="I71" s="54" t="n">
        <x:v>43921</x:v>
      </x:c>
      <x:c r="J71" s="55" t="n">
        <x:v>8100</x:v>
      </x:c>
      <x:c r="K71" s="55" t="n">
        <x:v>71511724800</x:v>
      </x:c>
      <x:c r="L71" s="55" t="n">
        <x:v>8828608</x:v>
      </x:c>
      <x:c r="M71" t="str">
        <x:v>20200330004715</x:v>
      </x:c>
      <x:c r="N71" t="n">
        <x:v>43920.624999988424</x:v>
      </x:c>
      <x:c r="O71" s="54" t="n">
        <x:v>43830</x:v>
      </x:c>
      <x:c r="P71" t="str">
        <x:v>False</x:v>
      </x:c>
      <x:c r="Q71" t="str">
        <x:v>e12cfe4d5ff5e5c542ec0d8495e3843c8348276f8555fb7d98bb89e81e3665a2</x:v>
      </x:c>
      <x:c r="R71" t="str">
        <x:v>b0c66fc2fb6fac40330559f877804f0bff7ac374b2575a6ea395c9a9b70e3167</x:v>
      </x:c>
      <x:c r="S71" t="n">
        <x:v>6</x:v>
      </x:c>
      <x:c r="T71" t="str">
        <x:v>2018-12-31|2019-12-31</x:v>
      </x:c>
      <x:c r="U71" s="57" t="n">
        <x:v>6344.674242254344</x:v>
      </x:c>
      <x:c r="V71" s="57" t="n">
        <x:v>-0.21670688367230326</x:v>
      </x:c>
      <x:c r="W71" t="n">
        <x:v>30</x:v>
      </x:c>
      <x:c r="X71" t="n">
        <x:v>3</x:v>
      </x:c>
      <x:c r="Y71" s="38" t="n">
        <x:v>0.6409090909090909</x:v>
      </x:c>
      <x:c r="Z71" s="38" t="n">
        <x:v>0.6982440714901555</x:v>
      </x:c>
      <x:c r="AA71"/>
    </x:row>
    <x:row r="72">
      <x:c r="A72" s="54" t="n">
        <x:v>43921</x:v>
      </x:c>
      <x:c r="B72" t="n">
        <x:v>43921.624999988424</x:v>
      </x:c>
      <x:c r="C72" t="str">
        <x:v>014970</x:v>
      </x:c>
      <x:c r="D72" t="str">
        <x:v>삼륭물산</x:v>
      </x:c>
      <x:c r="E72" t="str">
        <x:v>KOSDAQ</x:v>
      </x:c>
      <x:c r="F72" t="str">
        <x:v>MID</x:v>
      </x:c>
      <x:c r="G72" t="str">
        <x:v>DCF_SCREENING_EXCLUSION</x:v>
      </x:c>
      <x:c r="H72" t="str">
        <x:v>NON_POSITIVE_ENTERPRISE_VALUE|NON_POSITIVE_EQUITY_VALUE|NON_POSITIVE_TERMINAL_FCF</x:v>
      </x:c>
      <x:c r="I72" s="54" t="n">
        <x:v>43921</x:v>
      </x:c>
      <x:c r="J72" s="55" t="n">
        <x:v>5850</x:v>
      </x:c>
      <x:c r="K72" s="55" t="n">
        <x:v>88481250000</x:v>
      </x:c>
      <x:c r="L72" s="55" t="n">
        <x:v>15125000</x:v>
      </x:c>
      <x:c r="M72" t="str">
        <x:v>20200330001231</x:v>
      </x:c>
      <x:c r="N72" t="n">
        <x:v>43920.624999988424</x:v>
      </x:c>
      <x:c r="O72" s="54" t="n">
        <x:v>43830</x:v>
      </x:c>
      <x:c r="P72" t="str">
        <x:v>False</x:v>
      </x:c>
      <x:c r="Q72" t="str">
        <x:v>21a6612fa1d8adc381bb8d3396631928e9039f8bd05fa7ea91072d692a3dfb47</x:v>
      </x:c>
      <x:c r="R72" t="str">
        <x:v>70478854bbb12305e24bddc0c290cb6ad246ff20271c970a5769219bf7c4b2a1</x:v>
      </x:c>
      <x:c r="S72" t="n">
        <x:v>6</x:v>
      </x:c>
      <x:c r="T72" t="str">
        <x:v>2018-12-31|2019-12-31</x:v>
      </x:c>
      <x:c r="U72" s="57" t="n">
        <x:v>-1768.3349650620855</x:v>
      </x:c>
      <x:c r="V72" s="57" t="n">
        <x:v>-1.302279481207194</x:v>
      </x:c>
      <x:c r="W72"/>
      <x:c r="X72"/>
      <x:c r="Y72" s="38" t="n">
        <x:v>0.6409090909090909</x:v>
      </x:c>
      <x:c r="Z72" s="38" t="n">
        <x:v>0.7248643288015433</x:v>
      </x:c>
      <x:c r="AA72" t="str">
        <x:v>NON_POSITIVE_ENTERPRISE_VALUE|NON_POSITIVE_EQUITY_VALUE|NON_POSITIVE_TERMINAL_FCF</x:v>
      </x:c>
    </x:row>
    <x:row r="73">
      <x:c r="A73" s="54" t="n">
        <x:v>43921</x:v>
      </x:c>
      <x:c r="B73" t="n">
        <x:v>43921.624999988424</x:v>
      </x:c>
      <x:c r="C73" t="str">
        <x:v>088390</x:v>
      </x:c>
      <x:c r="D73" t="str">
        <x:v>이녹스</x:v>
      </x:c>
      <x:c r="E73" t="str">
        <x:v>KOSDAQ</x:v>
      </x:c>
      <x:c r="F73" t="str">
        <x:v>MID</x:v>
      </x:c>
      <x:c r="G73" t="str">
        <x:v>DCF_SCREENING_EXCLUSION</x:v>
      </x:c>
      <x:c r="H73" t="str">
        <x:v>NON_POSITIVE_ENTERPRISE_VALUE|NON_POSITIVE_EQUITY_VALUE|NON_POSITIVE_TERMINAL_FCF</x:v>
      </x:c>
      <x:c r="I73" s="54" t="n">
        <x:v>43921</x:v>
      </x:c>
      <x:c r="J73" s="55" t="n">
        <x:v>3760</x:v>
      </x:c>
      <x:c r="K73" s="55" t="n">
        <x:v>35159173440</x:v>
      </x:c>
      <x:c r="L73" s="55" t="n">
        <x:v>9350844</x:v>
      </x:c>
      <x:c r="M73" t="str">
        <x:v>20200330003059</x:v>
      </x:c>
      <x:c r="N73" t="n">
        <x:v>43920.624999988424</x:v>
      </x:c>
      <x:c r="O73" s="54" t="n">
        <x:v>43830</x:v>
      </x:c>
      <x:c r="P73" t="str">
        <x:v>False</x:v>
      </x:c>
      <x:c r="Q73" t="str">
        <x:v>bc74951a1639cf1eb7676d69b4515777f215d2150d9cc50f3a866f2f129cfa12</x:v>
      </x:c>
      <x:c r="R73" t="str">
        <x:v>c320bc3acef0433b509301378d65f9638ccdc3066bcb82e31a33138a991f6cc8</x:v>
      </x:c>
      <x:c r="S73" t="n">
        <x:v>6</x:v>
      </x:c>
      <x:c r="T73" t="str">
        <x:v>2018-12-31|2019-12-31</x:v>
      </x:c>
      <x:c r="U73" s="57" t="n">
        <x:v>-4282.590892540294</x:v>
      </x:c>
      <x:c r="V73" s="57" t="n">
        <x:v>-2.138986939505397</x:v>
      </x:c>
      <x:c r="W73"/>
      <x:c r="X73"/>
      <x:c r="Y73" s="38" t="n">
        <x:v>0.6409090909090909</x:v>
      </x:c>
      <x:c r="Z73" s="38" t="n">
        <x:v>0.5105267656336687</x:v>
      </x:c>
      <x:c r="AA73" t="str">
        <x:v>NON_POSITIVE_ENTERPRISE_VALUE|NON_POSITIVE_EQUITY_VALUE|NON_POSITIVE_TERMINAL_FCF</x:v>
      </x:c>
    </x:row>
    <x:row r="74">
      <x:c r="A74" s="54" t="n">
        <x:v>43921</x:v>
      </x:c>
      <x:c r="B74" t="n">
        <x:v>43921.624999988424</x:v>
      </x:c>
      <x:c r="C74" t="str">
        <x:v>170920</x:v>
      </x:c>
      <x:c r="D74" t="str">
        <x:v>엘티씨</x:v>
      </x:c>
      <x:c r="E74" t="str">
        <x:v>KOSDAQ</x:v>
      </x:c>
      <x:c r="F74" t="str">
        <x:v>MID</x:v>
      </x:c>
      <x:c r="G74" t="str">
        <x:v>DCF_SCREENING_EXCLUSION</x:v>
      </x:c>
      <x:c r="H74" t="str">
        <x:v>NON_POSITIVE_EQUITY_VALUE</x:v>
      </x:c>
      <x:c r="I74" s="54" t="n">
        <x:v>43921</x:v>
      </x:c>
      <x:c r="J74" s="55" t="n">
        <x:v>6500</x:v>
      </x:c>
      <x:c r="K74" s="55" t="n">
        <x:v>48879629500</x:v>
      </x:c>
      <x:c r="L74" s="55" t="n">
        <x:v>7519943</x:v>
      </x:c>
      <x:c r="M74" t="str">
        <x:v>20200330003521</x:v>
      </x:c>
      <x:c r="N74" t="n">
        <x:v>43920.624999988424</x:v>
      </x:c>
      <x:c r="O74" s="54" t="n">
        <x:v>43830</x:v>
      </x:c>
      <x:c r="P74" t="str">
        <x:v>False</x:v>
      </x:c>
      <x:c r="Q74" t="str">
        <x:v>094b43a9646c14cf4b4a5028aadf065471abca6a1e429841fa075ddc6ffb9ae6</x:v>
      </x:c>
      <x:c r="R74" t="str">
        <x:v>91da179e879255be3a36e278d740050e160054052e5419ce38085511ef1ad2ae</x:v>
      </x:c>
      <x:c r="S74" t="n">
        <x:v>6</x:v>
      </x:c>
      <x:c r="T74" t="str">
        <x:v>2018-12-31|2019-12-31</x:v>
      </x:c>
      <x:c r="U74" s="57" t="n">
        <x:v>-1777.6876373590053</x:v>
      </x:c>
      <x:c r="V74" s="57" t="n">
        <x:v>-1.2734904057475394</x:v>
      </x:c>
      <x:c r="W74"/>
      <x:c r="X74"/>
      <x:c r="Y74" s="38" t="n">
        <x:v>0.6409090909090909</x:v>
      </x:c>
      <x:c r="Z74" s="38" t="n">
        <x:v>0.5969398834129253</x:v>
      </x:c>
      <x:c r="AA74" t="str">
        <x:v>NON_POSITIVE_EQUITY_VALUE</x:v>
      </x:c>
    </x:row>
    <x:row r="75">
      <x:c r="A75" s="54" t="n">
        <x:v>43921</x:v>
      </x:c>
      <x:c r="B75" t="n">
        <x:v>43921.624999988424</x:v>
      </x:c>
      <x:c r="C75" t="str">
        <x:v>021080</x:v>
      </x:c>
      <x:c r="D75" t="str">
        <x:v>에이티넘인베스트</x:v>
      </x:c>
      <x:c r="E75" t="str">
        <x:v>KOSDAQ</x:v>
      </x:c>
      <x:c r="F75" t="str">
        <x:v>MID</x:v>
      </x:c>
      <x:c r="G75" t="str">
        <x:v>ELIGIBLE</x:v>
      </x:c>
      <x:c r="H75"/>
      <x:c r="I75" s="54" t="n">
        <x:v>43921</x:v>
      </x:c>
      <x:c r="J75" s="55" t="n">
        <x:v>1390</x:v>
      </x:c>
      <x:c r="K75" s="55" t="n">
        <x:v>66720000000</x:v>
      </x:c>
      <x:c r="L75" s="55" t="n">
        <x:v>48000000</x:v>
      </x:c>
      <x:c r="M75" t="str">
        <x:v>20200330003524</x:v>
      </x:c>
      <x:c r="N75" t="n">
        <x:v>43920.624999988424</x:v>
      </x:c>
      <x:c r="O75" s="54" t="n">
        <x:v>43830</x:v>
      </x:c>
      <x:c r="P75" t="str">
        <x:v>False</x:v>
      </x:c>
      <x:c r="Q75" t="str">
        <x:v>4a1503d8d4033756eda0e402269fd4db602c588edd5b9d49d25c05133d6133b9</x:v>
      </x:c>
      <x:c r="R75" t="str">
        <x:v>183e8dac3ff116c45a343bdb7d1009c227b9783593b404c7fa730133890b20ca</x:v>
      </x:c>
      <x:c r="S75" t="n">
        <x:v>4</x:v>
      </x:c>
      <x:c r="T75" t="str">
        <x:v>2018-12-31|2019-12-31</x:v>
      </x:c>
      <x:c r="U75" s="57" t="n">
        <x:v>2127.1860994390026</x:v>
      </x:c>
      <x:c r="V75" s="57" t="n">
        <x:v>0.5303497118266206</x:v>
      </x:c>
      <x:c r="W75" t="n">
        <x:v>19</x:v>
      </x:c>
      <x:c r="X75" t="n">
        <x:v>2</x:v>
      </x:c>
      <x:c r="Y75" s="38" t="n">
        <x:v>0.6409090909090909</x:v>
      </x:c>
      <x:c r="Z75" s="38" t="n">
        <x:v>0.6847587029208964</x:v>
      </x:c>
      <x:c r="AA75"/>
    </x:row>
    <x:row r="76">
      <x:c r="A76" s="54" t="n">
        <x:v>43921</x:v>
      </x:c>
      <x:c r="B76" t="n">
        <x:v>43921.624999988424</x:v>
      </x:c>
      <x:c r="C76" t="str">
        <x:v>302550</x:v>
      </x:c>
      <x:c r="D76" t="str">
        <x:v>리메드</x:v>
      </x:c>
      <x:c r="E76" t="str">
        <x:v>KOSDAQ</x:v>
      </x:c>
      <x:c r="F76" t="str">
        <x:v>MID</x:v>
      </x:c>
      <x:c r="G76" t="str">
        <x:v>ELIGIBLE</x:v>
      </x:c>
      <x:c r="H76"/>
      <x:c r="I76" s="54" t="n">
        <x:v>43921</x:v>
      </x:c>
      <x:c r="J76" s="55" t="n">
        <x:v>22750</x:v>
      </x:c>
      <x:c r="K76" s="55" t="n">
        <x:v>132472249000</x:v>
      </x:c>
      <x:c r="L76" s="55" t="n">
        <x:v>5822956</x:v>
      </x:c>
      <x:c r="M76" t="str">
        <x:v>20200330001899</x:v>
      </x:c>
      <x:c r="N76" t="n">
        <x:v>43920.624999988424</x:v>
      </x:c>
      <x:c r="O76" s="54" t="n">
        <x:v>43830</x:v>
      </x:c>
      <x:c r="P76" t="str">
        <x:v>False</x:v>
      </x:c>
      <x:c r="Q76" t="str">
        <x:v>2b0ad29a1cfb9a47d8efbd13c5809b4b269b2288d58cb9ad87afaeed110c9e0f</x:v>
      </x:c>
      <x:c r="R76" t="str">
        <x:v>eee307bc967bc425dc1ce9041607c54274cce8e19f9bd043dd7982e8ebedb5b9</x:v>
      </x:c>
      <x:c r="S76" t="n">
        <x:v>6</x:v>
      </x:c>
      <x:c r="T76" t="str">
        <x:v>2019-12-31</x:v>
      </x:c>
      <x:c r="U76" s="57" t="n">
        <x:v>8650.24007139693</x:v>
      </x:c>
      <x:c r="V76" s="57" t="n">
        <x:v>-0.6197696671913437</x:v>
      </x:c>
      <x:c r="W76" t="n">
        <x:v>52</x:v>
      </x:c>
      <x:c r="X76" t="n">
        <x:v>5</x:v>
      </x:c>
      <x:c r="Y76" s="38" t="n">
        <x:v>0.6409090909090909</x:v>
      </x:c>
      <x:c r="Z76" s="38" t="n">
        <x:v>0.6701769222689359</x:v>
      </x:c>
      <x:c r="AA76"/>
    </x:row>
    <x:row r="77">
      <x:c r="A77" s="54" t="n">
        <x:v>43921</x:v>
      </x:c>
      <x:c r="B77" t="n">
        <x:v>43921.624999988424</x:v>
      </x:c>
      <x:c r="C77" t="str">
        <x:v>011760</x:v>
      </x:c>
      <x:c r="D77" t="str">
        <x:v>현대코퍼레이션</x:v>
      </x:c>
      <x:c r="E77" t="str">
        <x:v>KOSPI</x:v>
      </x:c>
      <x:c r="F77" t="str">
        <x:v>MID</x:v>
      </x:c>
      <x:c r="G77" t="str">
        <x:v>ELIGIBLE</x:v>
      </x:c>
      <x:c r="H77"/>
      <x:c r="I77" s="54" t="n">
        <x:v>43921</x:v>
      </x:c>
      <x:c r="J77" s="55" t="n">
        <x:v>10700</x:v>
      </x:c>
      <x:c r="K77" s="55" t="n">
        <x:v>141549936200</x:v>
      </x:c>
      <x:c r="L77" s="55" t="n">
        <x:v>13228966</x:v>
      </x:c>
      <x:c r="M77" t="str">
        <x:v>20200330004653</x:v>
      </x:c>
      <x:c r="N77" t="n">
        <x:v>43920.624999988424</x:v>
      </x:c>
      <x:c r="O77" s="54" t="n">
        <x:v>43830</x:v>
      </x:c>
      <x:c r="P77" t="str">
        <x:v>False</x:v>
      </x:c>
      <x:c r="Q77" t="str">
        <x:v>4754479f417b4793bded3ca7cbf60241a92ecdd53b38aac7f22e80c41b078630</x:v>
      </x:c>
      <x:c r="R77" t="str">
        <x:v>345e1c1bfe86df966199fededb4e3499dd1c54aad8ed206a86eda695c6f72506</x:v>
      </x:c>
      <x:c r="S77" t="n">
        <x:v>6</x:v>
      </x:c>
      <x:c r="T77" t="str">
        <x:v>2018-12-31|2019-12-31</x:v>
      </x:c>
      <x:c r="U77" s="57" t="n">
        <x:v>6395.226270204237</x:v>
      </x:c>
      <x:c r="V77" s="57" t="n">
        <x:v>-0.4023153018500713</x:v>
      </x:c>
      <x:c r="W77" t="n">
        <x:v>39</x:v>
      </x:c>
      <x:c r="X77" t="n">
        <x:v>4</x:v>
      </x:c>
      <x:c r="Y77" s="38" t="n">
        <x:v>0.6409090909090909</x:v>
      </x:c>
      <x:c r="Z77" s="38" t="n">
        <x:v>0.6599730728439424</x:v>
      </x:c>
      <x:c r="AA77"/>
    </x:row>
    <x:row r="78">
      <x:c r="A78" s="54" t="n">
        <x:v>43921</x:v>
      </x:c>
      <x:c r="B78" t="n">
        <x:v>43921.624999988424</x:v>
      </x:c>
      <x:c r="C78" t="str">
        <x:v>010690</x:v>
      </x:c>
      <x:c r="D78" t="str">
        <x:v>화신</x:v>
      </x:c>
      <x:c r="E78" t="str">
        <x:v>KOSPI</x:v>
      </x:c>
      <x:c r="F78" t="str">
        <x:v>MID</x:v>
      </x:c>
      <x:c r="G78" t="str">
        <x:v>DCF_SCREENING_EXCLUSION</x:v>
      </x:c>
      <x:c r="H78" t="str">
        <x:v>NON_POSITIVE_ENTERPRISE_VALUE|NON_POSITIVE_EQUITY_VALUE|NON_POSITIVE_TERMINAL_FCF</x:v>
      </x:c>
      <x:c r="I78" s="54" t="n">
        <x:v>43921</x:v>
      </x:c>
      <x:c r="J78" s="55" t="n">
        <x:v>1750</x:v>
      </x:c>
      <x:c r="K78" s="55" t="n">
        <x:v>61110717500</x:v>
      </x:c>
      <x:c r="L78" s="55" t="n">
        <x:v>34920410</x:v>
      </x:c>
      <x:c r="M78" t="str">
        <x:v>20200330003805</x:v>
      </x:c>
      <x:c r="N78" t="n">
        <x:v>43920.624999988424</x:v>
      </x:c>
      <x:c r="O78" s="54" t="n">
        <x:v>43830</x:v>
      </x:c>
      <x:c r="P78" t="str">
        <x:v>False</x:v>
      </x:c>
      <x:c r="Q78" t="str">
        <x:v>e5349b639aea9edae9ddaf2116118d2c44d3dc42d9e779caf4a3bd7bf411a356</x:v>
      </x:c>
      <x:c r="R78" t="str">
        <x:v>303b8e71869a33739dc6a9e96be06f9e3d9e00525955e6642963471d5acbc7fb</x:v>
      </x:c>
      <x:c r="S78" t="n">
        <x:v>6</x:v>
      </x:c>
      <x:c r="T78" t="str">
        <x:v>2018-12-31|2019-12-31</x:v>
      </x:c>
      <x:c r="U78" s="57" t="n">
        <x:v>-16790.20368228414</x:v>
      </x:c>
      <x:c r="V78" s="57" t="n">
        <x:v>-10.594402104162366</x:v>
      </x:c>
      <x:c r="W78"/>
      <x:c r="X78"/>
      <x:c r="Y78" s="38" t="n">
        <x:v>0.6409090909090909</x:v>
      </x:c>
      <x:c r="Z78" s="38" t="n">
        <x:v>0.6757018488650337</x:v>
      </x:c>
      <x:c r="AA78" t="str">
        <x:v>NON_POSITIVE_ENTERPRISE_VALUE|NON_POSITIVE_EQUITY_VALUE|NON_POSITIVE_TERMINAL_FCF</x:v>
      </x:c>
    </x:row>
    <x:row r="79">
      <x:c r="A79" s="54" t="n">
        <x:v>43921</x:v>
      </x:c>
      <x:c r="B79" t="n">
        <x:v>43921.624999988424</x:v>
      </x:c>
      <x:c r="C79" t="str">
        <x:v>029460</x:v>
      </x:c>
      <x:c r="D79" t="str">
        <x:v>케이씨</x:v>
      </x:c>
      <x:c r="E79" t="str">
        <x:v>KOSPI</x:v>
      </x:c>
      <x:c r="F79" t="str">
        <x:v>MID</x:v>
      </x:c>
      <x:c r="G79" t="str">
        <x:v>ELIGIBLE</x:v>
      </x:c>
      <x:c r="H79"/>
      <x:c r="I79" s="54" t="n">
        <x:v>43921</x:v>
      </x:c>
      <x:c r="J79" s="55" t="n">
        <x:v>12700</x:v>
      </x:c>
      <x:c r="K79" s="55" t="n">
        <x:v>172136358800</x:v>
      </x:c>
      <x:c r="L79" s="55" t="n">
        <x:v>13554044</x:v>
      </x:c>
      <x:c r="M79" t="str">
        <x:v>20200330003680</x:v>
      </x:c>
      <x:c r="N79" t="n">
        <x:v>43920.624999988424</x:v>
      </x:c>
      <x:c r="O79" s="54" t="n">
        <x:v>43830</x:v>
      </x:c>
      <x:c r="P79" t="str">
        <x:v>False</x:v>
      </x:c>
      <x:c r="Q79" t="str">
        <x:v>8397eb6fa51d712105008c8373cccd6b5f75f10d1d867ad3390941246d3a2e7e</x:v>
      </x:c>
      <x:c r="R79" t="str">
        <x:v>70e08960c5f4eea7dcaf5d24bb9ae9ce7d34a1dfd0548a782e8d954e46659e6c</x:v>
      </x:c>
      <x:c r="S79" t="n">
        <x:v>7</x:v>
      </x:c>
      <x:c r="T79" t="str">
        <x:v>2018-12-31|2019-12-31</x:v>
      </x:c>
      <x:c r="U79" s="57" t="n">
        <x:v>43847.58292424807</x:v>
      </x:c>
      <x:c r="V79" s="57" t="n">
        <x:v>2.452565584586462</x:v>
      </x:c>
      <x:c r="W79" t="n">
        <x:v>4</x:v>
      </x:c>
      <x:c r="X79" t="n">
        <x:v>1</x:v>
      </x:c>
      <x:c r="Y79" s="38" t="n">
        <x:v>0.6409090909090909</x:v>
      </x:c>
      <x:c r="Z79" s="38" t="n">
        <x:v>0.6714636094857921</x:v>
      </x:c>
      <x:c r="AA79"/>
    </x:row>
    <x:row r="80">
      <x:c r="A80" s="54" t="n">
        <x:v>43921</x:v>
      </x:c>
      <x:c r="B80" t="n">
        <x:v>43921.624999988424</x:v>
      </x:c>
      <x:c r="C80" t="str">
        <x:v>122900</x:v>
      </x:c>
      <x:c r="D80" t="str">
        <x:v>아이마켓코리아</x:v>
      </x:c>
      <x:c r="E80" t="str">
        <x:v>KOSPI</x:v>
      </x:c>
      <x:c r="F80" t="str">
        <x:v>MID</x:v>
      </x:c>
      <x:c r="G80" t="str">
        <x:v>FINANCIAL_DISCONTINUITY</x:v>
      </x:c>
      <x:c r="H80" t="str">
        <x:v>LATEST_REVENUE_RATIO_OUTSIDE_0.1_TO_10:996097.6867986614569342786164</x:v>
      </x:c>
      <x:c r="I80" s="54" t="n">
        <x:v>43921</x:v>
      </x:c>
      <x:c r="J80" s="55" t="n">
        <x:v>9050</x:v>
      </x:c>
      <x:c r="K80" s="55" t="n">
        <x:v>325287227000</x:v>
      </x:c>
      <x:c r="L80" s="55" t="n">
        <x:v>35943340</x:v>
      </x:c>
      <x:c r="M80" t="str">
        <x:v>20200330002831</x:v>
      </x:c>
      <x:c r="N80" t="n">
        <x:v>43920.624999988424</x:v>
      </x:c>
      <x:c r="O80" s="54" t="n">
        <x:v>43830</x:v>
      </x:c>
      <x:c r="P80" t="str">
        <x:v>False</x:v>
      </x:c>
      <x:c r="Q80" t="str">
        <x:v>2066620ce321ece6c6b75fce1f2994b935198c9e3ef0bf4dc572395bfad7fd94</x:v>
      </x:c>
      <x:c r="R80" t="str">
        <x:v>33f20605c93e39314010b4b195059261e398e8e58204c2726e449ba763128006</x:v>
      </x:c>
      <x:c r="S80" t="n">
        <x:v>7</x:v>
      </x:c>
      <x:c r="T80" t="str">
        <x:v>2018-12-31|2019-12-31</x:v>
      </x:c>
      <x:c r="U80" s="57"/>
      <x:c r="V80" s="57"/>
      <x:c r="W80"/>
      <x:c r="X80"/>
      <x:c r="Y80" s="38"/>
      <x:c r="Z80" s="38"/>
      <x:c r="AA80"/>
    </x:row>
    <x:row r="81">
      <x:c r="A81" s="54" t="n">
        <x:v>43921</x:v>
      </x:c>
      <x:c r="B81" t="n">
        <x:v>43921.624999988424</x:v>
      </x:c>
      <x:c r="C81" t="str">
        <x:v>001820</x:v>
      </x:c>
      <x:c r="D81" t="str">
        <x:v>삼화콘덴서</x:v>
      </x:c>
      <x:c r="E81" t="str">
        <x:v>KOSPI</x:v>
      </x:c>
      <x:c r="F81" t="str">
        <x:v>MID</x:v>
      </x:c>
      <x:c r="G81" t="str">
        <x:v>ELIGIBLE</x:v>
      </x:c>
      <x:c r="H81"/>
      <x:c r="I81" s="54" t="n">
        <x:v>43921</x:v>
      </x:c>
      <x:c r="J81" s="55" t="n">
        <x:v>40450</x:v>
      </x:c>
      <x:c r="K81" s="55" t="n">
        <x:v>420477750000</x:v>
      </x:c>
      <x:c r="L81" s="55" t="n">
        <x:v>10395000</x:v>
      </x:c>
      <x:c r="M81" t="str">
        <x:v>20200330002899</x:v>
      </x:c>
      <x:c r="N81" t="n">
        <x:v>43920.624999988424</x:v>
      </x:c>
      <x:c r="O81" s="54" t="n">
        <x:v>43830</x:v>
      </x:c>
      <x:c r="P81" t="str">
        <x:v>False</x:v>
      </x:c>
      <x:c r="Q81" t="str">
        <x:v>99c078a33c5fc908ff1beb8dbc163cdd2dce6fa00366ec10c2666a9abba05955</x:v>
      </x:c>
      <x:c r="R81" t="str">
        <x:v>aed10e91a3a899ae6a09ccde78576755cca230a3385eb9ff6652a844ea4e38e8</x:v>
      </x:c>
      <x:c r="S81" t="n">
        <x:v>6</x:v>
      </x:c>
      <x:c r="T81" t="str">
        <x:v>2018-12-31|2019-12-31</x:v>
      </x:c>
      <x:c r="U81" s="57" t="n">
        <x:v>28891.873319226353</x:v>
      </x:c>
      <x:c r="V81" s="57" t="n">
        <x:v>-0.28573860768290843</x:v>
      </x:c>
      <x:c r="W81" t="n">
        <x:v>33</x:v>
      </x:c>
      <x:c r="X81" t="n">
        <x:v>3</x:v>
      </x:c>
      <x:c r="Y81" s="38" t="n">
        <x:v>0.6409090909090909</x:v>
      </x:c>
      <x:c r="Z81" s="38" t="n">
        <x:v>0.7180339568037247</x:v>
      </x:c>
      <x:c r="AA81"/>
    </x:row>
    <x:row r="82">
      <x:c r="A82" s="54" t="n">
        <x:v>43921</x:v>
      </x:c>
      <x:c r="B82" t="n">
        <x:v>43921.624999988424</x:v>
      </x:c>
      <x:c r="C82" t="str">
        <x:v>001790</x:v>
      </x:c>
      <x:c r="D82" t="str">
        <x:v>대한제당</x:v>
      </x:c>
      <x:c r="E82" t="str">
        <x:v>KOSPI</x:v>
      </x:c>
      <x:c r="F82" t="str">
        <x:v>MID</x:v>
      </x:c>
      <x:c r="G82" t="str">
        <x:v>ELIGIBLE</x:v>
      </x:c>
      <x:c r="H82"/>
      <x:c r="I82" s="54" t="n">
        <x:v>43921</x:v>
      </x:c>
      <x:c r="J82" s="55" t="n">
        <x:v>15750</x:v>
      </x:c>
      <x:c r="K82" s="55" t="n">
        <x:v>139230031500</x:v>
      </x:c>
      <x:c r="L82" s="55" t="n">
        <x:v>8840002</x:v>
      </x:c>
      <x:c r="M82" t="str">
        <x:v>20200330002117</x:v>
      </x:c>
      <x:c r="N82" t="n">
        <x:v>43920.624999988424</x:v>
      </x:c>
      <x:c r="O82" s="54" t="n">
        <x:v>43830</x:v>
      </x:c>
      <x:c r="P82" t="str">
        <x:v>False</x:v>
      </x:c>
      <x:c r="Q82" t="str">
        <x:v>c083b7cf10d3aebfee764ce1ac5e537e432b37701e33cf0f62d249678606903c</x:v>
      </x:c>
      <x:c r="R82" t="str">
        <x:v>265131ceb1d219122acae4cf0dbceb5a5b03543d503b229a50b3cce4dad26d26</x:v>
      </x:c>
      <x:c r="S82" t="n">
        <x:v>6</x:v>
      </x:c>
      <x:c r="T82" t="str">
        <x:v>2018-12-31|2019-12-31</x:v>
      </x:c>
      <x:c r="U82" s="57" t="n">
        <x:v>6347.892321473414</x:v>
      </x:c>
      <x:c r="V82" s="57" t="n">
        <x:v>-0.5969592176842277</x:v>
      </x:c>
      <x:c r="W82" t="n">
        <x:v>48</x:v>
      </x:c>
      <x:c r="X82" t="n">
        <x:v>4</x:v>
      </x:c>
      <x:c r="Y82" s="38" t="n">
        <x:v>0.6409090909090909</x:v>
      </x:c>
      <x:c r="Z82" s="38" t="n">
        <x:v>0.6305036695454717</x:v>
      </x:c>
      <x:c r="AA82"/>
    </x:row>
    <x:row r="83">
      <x:c r="A83" s="54" t="n">
        <x:v>43921</x:v>
      </x:c>
      <x:c r="B83" t="n">
        <x:v>43921.624999988424</x:v>
      </x:c>
      <x:c r="C83" t="str">
        <x:v>001340</x:v>
      </x:c>
      <x:c r="D83" t="str">
        <x:v>PKC</x:v>
      </x:c>
      <x:c r="E83" t="str">
        <x:v>KOSPI</x:v>
      </x:c>
      <x:c r="F83" t="str">
        <x:v>MID</x:v>
      </x:c>
      <x:c r="G83" t="str">
        <x:v>ELIGIBLE</x:v>
      </x:c>
      <x:c r="H83"/>
      <x:c r="I83" s="54" t="n">
        <x:v>43921</x:v>
      </x:c>
      <x:c r="J83" s="55" t="n">
        <x:v>2295</x:v>
      </x:c>
      <x:c r="K83" s="55" t="n">
        <x:v>103087744065</x:v>
      </x:c>
      <x:c r="L83" s="55" t="n">
        <x:v>44918407</x:v>
      </x:c>
      <x:c r="M83" t="str">
        <x:v>20200330003056</x:v>
      </x:c>
      <x:c r="N83" t="n">
        <x:v>43920.624999988424</x:v>
      </x:c>
      <x:c r="O83" s="54" t="n">
        <x:v>43830</x:v>
      </x:c>
      <x:c r="P83" t="str">
        <x:v>False</x:v>
      </x:c>
      <x:c r="Q83" t="str">
        <x:v>acc8e968cd81637994e834a70458c05a41a169062c904ea19abc1942c1d53f3c</x:v>
      </x:c>
      <x:c r="R83" t="str">
        <x:v>388ae882bda0091d495ab408e0cebd39e9760ce033da1b7161336eabd3d15b38</x:v>
      </x:c>
      <x:c r="S83" t="n">
        <x:v>6</x:v>
      </x:c>
      <x:c r="T83" t="str">
        <x:v>2016-12-31|2017-12-31|2018-12-31|2019-12-31</x:v>
      </x:c>
      <x:c r="U83" s="57" t="n">
        <x:v>1314.5568614023782</x:v>
      </x:c>
      <x:c r="V83" s="57" t="n">
        <x:v>-0.42720833925822305</x:v>
      </x:c>
      <x:c r="W83" t="n">
        <x:v>41</x:v>
      </x:c>
      <x:c r="X83" t="n">
        <x:v>4</x:v>
      </x:c>
      <x:c r="Y83" s="38" t="n">
        <x:v>0.6409090909090909</x:v>
      </x:c>
      <x:c r="Z83" s="38" t="n">
        <x:v>0.6203188155150424</x:v>
      </x:c>
      <x:c r="AA83"/>
    </x:row>
    <x:row r="84">
      <x:c r="A84" s="54" t="n">
        <x:v>43921</x:v>
      </x:c>
      <x:c r="B84" t="n">
        <x:v>43921.624999988424</x:v>
      </x:c>
      <x:c r="C84" t="str">
        <x:v>096760</x:v>
      </x:c>
      <x:c r="D84" t="str">
        <x:v>JW홀딩스</x:v>
      </x:c>
      <x:c r="E84" t="str">
        <x:v>KOSPI</x:v>
      </x:c>
      <x:c r="F84" t="str">
        <x:v>MID</x:v>
      </x:c>
      <x:c r="G84" t="str">
        <x:v>EXCLUDED_ARCHETYPE</x:v>
      </x:c>
      <x:c r="H84" t="str">
        <x:v>FCFF_NOT_COMPARABLE_FOR_FINANCE_OR_HOLDING_HINT</x:v>
      </x:c>
      <x:c r="I84" s="54"/>
      <x:c r="J84" s="55"/>
      <x:c r="K84" s="55"/>
      <x:c r="L84" s="55"/>
      <x:c r="M84"/>
      <x:c r="N84"/>
      <x:c r="O84" s="54"/>
      <x:c r="P84"/>
      <x:c r="Q84"/>
      <x:c r="R84"/>
      <x:c r="S84"/>
      <x:c r="T84"/>
      <x:c r="U84" s="57"/>
      <x:c r="V84" s="57"/>
      <x:c r="W84"/>
      <x:c r="X84"/>
      <x:c r="Y84" s="38"/>
      <x:c r="Z84" s="38"/>
      <x:c r="AA84"/>
    </x:row>
    <x:row r="85">
      <x:c r="A85" s="54" t="n">
        <x:v>43921</x:v>
      </x:c>
      <x:c r="B85" t="n">
        <x:v>43921.624999988424</x:v>
      </x:c>
      <x:c r="C85" t="str">
        <x:v>005010</x:v>
      </x:c>
      <x:c r="D85" t="str">
        <x:v>휴스틸</x:v>
      </x:c>
      <x:c r="E85" t="str">
        <x:v>KOSPI</x:v>
      </x:c>
      <x:c r="F85" t="str">
        <x:v>MID</x:v>
      </x:c>
      <x:c r="G85" t="str">
        <x:v>DCF_SCREENING_EXCLUSION</x:v>
      </x:c>
      <x:c r="H85" t="str">
        <x:v>NON_POSITIVE_ENTERPRISE_VALUE|NON_POSITIVE_EQUITY_VALUE|NON_POSITIVE_TERMINAL_FCF</x:v>
      </x:c>
      <x:c r="I85" s="54" t="n">
        <x:v>43921</x:v>
      </x:c>
      <x:c r="J85" s="55" t="n">
        <x:v>5500</x:v>
      </x:c>
      <x:c r="K85" s="55" t="n">
        <x:v>41919174000</x:v>
      </x:c>
      <x:c r="L85" s="55" t="n">
        <x:v>7621668</x:v>
      </x:c>
      <x:c r="M85" t="str">
        <x:v>20200330004131</x:v>
      </x:c>
      <x:c r="N85" t="n">
        <x:v>43920.624999988424</x:v>
      </x:c>
      <x:c r="O85" s="54" t="n">
        <x:v>43830</x:v>
      </x:c>
      <x:c r="P85" t="str">
        <x:v>False</x:v>
      </x:c>
      <x:c r="Q85" t="str">
        <x:v>2474b54ef3f4da0a6f47f43740c2e4a1b887d622fd15ff66754d4541b65cbac1</x:v>
      </x:c>
      <x:c r="R85" t="str">
        <x:v>7b6761afac314597c99c5e25dc68ce5ce5ce5a1a8b5bc6214347bacfb3030bc8</x:v>
      </x:c>
      <x:c r="S85" t="n">
        <x:v>7</x:v>
      </x:c>
      <x:c r="T85" t="str">
        <x:v>2018-12-31|2019-12-31</x:v>
      </x:c>
      <x:c r="U85" s="57" t="n">
        <x:v>-11237.475653582416</x:v>
      </x:c>
      <x:c r="V85" s="57" t="n">
        <x:v>-3.043177391560439</x:v>
      </x:c>
      <x:c r="W85"/>
      <x:c r="X85"/>
      <x:c r="Y85" s="38" t="n">
        <x:v>0.6409090909090909</x:v>
      </x:c>
      <x:c r="Z85" s="38" t="n">
        <x:v>0.5305323535895214</x:v>
      </x:c>
      <x:c r="AA85" t="str">
        <x:v>NON_POSITIVE_ENTERPRISE_VALUE|NON_POSITIVE_EQUITY_VALUE|NON_POSITIVE_TERMINAL_FCF</x:v>
      </x:c>
    </x:row>
    <x:row r="86">
      <x:c r="A86" s="54" t="n">
        <x:v>43921</x:v>
      </x:c>
      <x:c r="B86" t="n">
        <x:v>43921.624999988424</x:v>
      </x:c>
      <x:c r="C86" t="str">
        <x:v>001630</x:v>
      </x:c>
      <x:c r="D86" t="str">
        <x:v>종근당홀딩스</x:v>
      </x:c>
      <x:c r="E86" t="str">
        <x:v>KOSPI</x:v>
      </x:c>
      <x:c r="F86" t="str">
        <x:v>MID</x:v>
      </x:c>
      <x:c r="G86" t="str">
        <x:v>EXCLUDED_ARCHETYPE</x:v>
      </x:c>
      <x:c r="H86" t="str">
        <x:v>FCFF_NOT_COMPARABLE_FOR_FINANCE_OR_HOLDING_HINT</x:v>
      </x:c>
      <x:c r="I86" s="54"/>
      <x:c r="J86" s="55"/>
      <x:c r="K86" s="55"/>
      <x:c r="L86" s="55"/>
      <x:c r="M86"/>
      <x:c r="N86"/>
      <x:c r="O86" s="54"/>
      <x:c r="P86"/>
      <x:c r="Q86"/>
      <x:c r="R86"/>
      <x:c r="S86"/>
      <x:c r="T86"/>
      <x:c r="U86" s="57"/>
      <x:c r="V86" s="57"/>
      <x:c r="W86"/>
      <x:c r="X86"/>
      <x:c r="Y86" s="38"/>
      <x:c r="Z86" s="38"/>
      <x:c r="AA86"/>
    </x:row>
    <x:row r="87">
      <x:c r="A87" s="54" t="n">
        <x:v>43921</x:v>
      </x:c>
      <x:c r="B87" t="n">
        <x:v>43921.624999988424</x:v>
      </x:c>
      <x:c r="C87" t="str">
        <x:v>005680</x:v>
      </x:c>
      <x:c r="D87" t="str">
        <x:v>삼영전자</x:v>
      </x:c>
      <x:c r="E87" t="str">
        <x:v>KOSPI</x:v>
      </x:c>
      <x:c r="F87" t="str">
        <x:v>MID</x:v>
      </x:c>
      <x:c r="G87" t="str">
        <x:v>ELIGIBLE</x:v>
      </x:c>
      <x:c r="H87"/>
      <x:c r="I87" s="54" t="n">
        <x:v>43921</x:v>
      </x:c>
      <x:c r="J87" s="55" t="n">
        <x:v>6990</x:v>
      </x:c>
      <x:c r="K87" s="55" t="n">
        <x:v>139800000000</x:v>
      </x:c>
      <x:c r="L87" s="55" t="n">
        <x:v>20000000</x:v>
      </x:c>
      <x:c r="M87" t="str">
        <x:v>20200330000493</x:v>
      </x:c>
      <x:c r="N87" t="n">
        <x:v>43920.624999988424</x:v>
      </x:c>
      <x:c r="O87" s="54" t="n">
        <x:v>43830</x:v>
      </x:c>
      <x:c r="P87" t="str">
        <x:v>False</x:v>
      </x:c>
      <x:c r="Q87" t="str">
        <x:v>ee27736ea1a689291a82d2b77e773f57a1bfe6bdfe09a4cf48a9071e817a5758</x:v>
      </x:c>
      <x:c r="R87" t="str">
        <x:v>e737d0a6caf4c5f5f7c07c0a31f9883fad28993b98106c1fbf6beba15ed21580</x:v>
      </x:c>
      <x:c r="S87" t="n">
        <x:v>6</x:v>
      </x:c>
      <x:c r="T87" t="str">
        <x:v>2018-12-31|2019-12-31</x:v>
      </x:c>
      <x:c r="U87" s="57" t="n">
        <x:v>2760.929315699904</x:v>
      </x:c>
      <x:c r="V87" s="57" t="n">
        <x:v>-0.6050172652789837</x:v>
      </x:c>
      <x:c r="W87" t="n">
        <x:v>50</x:v>
      </x:c>
      <x:c r="X87" t="n">
        <x:v>4</x:v>
      </x:c>
      <x:c r="Y87" s="38" t="n">
        <x:v>0.6409090909090909</x:v>
      </x:c>
      <x:c r="Z87" s="38" t="n">
        <x:v>0.4222058451118061</x:v>
      </x:c>
      <x:c r="AA87"/>
    </x:row>
    <x:row r="88">
      <x:c r="A88" s="54" t="n">
        <x:v>43921</x:v>
      </x:c>
      <x:c r="B88" t="n">
        <x:v>43921.624999988424</x:v>
      </x:c>
      <x:c r="C88" t="str">
        <x:v>028100</x:v>
      </x:c>
      <x:c r="D88" t="str">
        <x:v>동아지질</x:v>
      </x:c>
      <x:c r="E88" t="str">
        <x:v>KOSPI</x:v>
      </x:c>
      <x:c r="F88" t="str">
        <x:v>MID</x:v>
      </x:c>
      <x:c r="G88" t="str">
        <x:v>ELIGIBLE</x:v>
      </x:c>
      <x:c r="H88"/>
      <x:c r="I88" s="54" t="n">
        <x:v>43921</x:v>
      </x:c>
      <x:c r="J88" s="55" t="n">
        <x:v>13350</x:v>
      </x:c>
      <x:c r="K88" s="55" t="n">
        <x:v>153525000000</x:v>
      </x:c>
      <x:c r="L88" s="55" t="n">
        <x:v>11500000</x:v>
      </x:c>
      <x:c r="M88" t="str">
        <x:v>20200330002729</x:v>
      </x:c>
      <x:c r="N88" t="n">
        <x:v>43920.624999988424</x:v>
      </x:c>
      <x:c r="O88" s="54" t="n">
        <x:v>43830</x:v>
      </x:c>
      <x:c r="P88" t="str">
        <x:v>False</x:v>
      </x:c>
      <x:c r="Q88" t="str">
        <x:v>e5449aa18d796ca4ca4a77eb52b3253a7f65014046091f3914b26da2d2f20d44</x:v>
      </x:c>
      <x:c r="R88" t="str">
        <x:v>d6ef22d0bcd17800a15557120d26f2faaa1ff22715d29c24f660b7836e938321</x:v>
      </x:c>
      <x:c r="S88" t="n">
        <x:v>7</x:v>
      </x:c>
      <x:c r="T88" t="str">
        <x:v>2018-12-31|2019-12-31</x:v>
      </x:c>
      <x:c r="U88" s="57" t="n">
        <x:v>9314.379669635025</x:v>
      </x:c>
      <x:c r="V88" s="57" t="n">
        <x:v>-0.3022936577052416</x:v>
      </x:c>
      <x:c r="W88" t="n">
        <x:v>34</x:v>
      </x:c>
      <x:c r="X88" t="n">
        <x:v>3</x:v>
      </x:c>
      <x:c r="Y88" s="38" t="n">
        <x:v>0.6409090909090909</x:v>
      </x:c>
      <x:c r="Z88" s="38" t="n">
        <x:v>0.7154675060987346</x:v>
      </x:c>
      <x:c r="AA88"/>
    </x:row>
    <x:row r="89">
      <x:c r="A89" s="54" t="n">
        <x:v>43921</x:v>
      </x:c>
      <x:c r="B89" t="n">
        <x:v>43921.624999988424</x:v>
      </x:c>
      <x:c r="C89" t="str">
        <x:v>001750</x:v>
      </x:c>
      <x:c r="D89" t="str">
        <x:v>한양증권</x:v>
      </x:c>
      <x:c r="E89" t="str">
        <x:v>KOSPI</x:v>
      </x:c>
      <x:c r="F89" t="str">
        <x:v>MID</x:v>
      </x:c>
      <x:c r="G89" t="str">
        <x:v>EXCLUDED_ARCHETYPE</x:v>
      </x:c>
      <x:c r="H89" t="str">
        <x:v>FCFF_NOT_COMPARABLE_FOR_FINANCE_OR_HOLDING_HINT</x:v>
      </x:c>
      <x:c r="I89" s="54"/>
      <x:c r="J89" s="55"/>
      <x:c r="K89" s="55"/>
      <x:c r="L89" s="55"/>
      <x:c r="M89"/>
      <x:c r="N89"/>
      <x:c r="O89" s="54"/>
      <x:c r="P89"/>
      <x:c r="Q89"/>
      <x:c r="R89"/>
      <x:c r="S89"/>
      <x:c r="T89"/>
      <x:c r="U89" s="57"/>
      <x:c r="V89" s="57"/>
      <x:c r="W89"/>
      <x:c r="X89"/>
      <x:c r="Y89" s="38"/>
      <x:c r="Z89" s="38"/>
      <x:c r="AA89"/>
    </x:row>
    <x:row r="90">
      <x:c r="A90" s="54" t="n">
        <x:v>43921</x:v>
      </x:c>
      <x:c r="B90" t="n">
        <x:v>43921.624999988424</x:v>
      </x:c>
      <x:c r="C90" t="str">
        <x:v>102460</x:v>
      </x:c>
      <x:c r="D90" t="str">
        <x:v>이연제약</x:v>
      </x:c>
      <x:c r="E90" t="str">
        <x:v>KOSPI</x:v>
      </x:c>
      <x:c r="F90" t="str">
        <x:v>MID</x:v>
      </x:c>
      <x:c r="G90" t="str">
        <x:v>ELIGIBLE</x:v>
      </x:c>
      <x:c r="H90"/>
      <x:c r="I90" s="54" t="n">
        <x:v>43921</x:v>
      </x:c>
      <x:c r="J90" s="55" t="n">
        <x:v>10900</x:v>
      </x:c>
      <x:c r="K90" s="55" t="n">
        <x:v>182793000000</x:v>
      </x:c>
      <x:c r="L90" s="55" t="n">
        <x:v>16770000</x:v>
      </x:c>
      <x:c r="M90" t="str">
        <x:v>20200330004583</x:v>
      </x:c>
      <x:c r="N90" t="n">
        <x:v>43920.624999988424</x:v>
      </x:c>
      <x:c r="O90" s="54" t="n">
        <x:v>43830</x:v>
      </x:c>
      <x:c r="P90" t="str">
        <x:v>False</x:v>
      </x:c>
      <x:c r="Q90" t="str">
        <x:v>841f82d6f87d6c1c37525d79fbae0d5eb5445369de6402bd7d62c7048b57c859</x:v>
      </x:c>
      <x:c r="R90" t="str">
        <x:v>edc7318d9f15732135f029aab155ce5b6226bb7178139b555f2df6b6cbab770f</x:v>
      </x:c>
      <x:c r="S90" t="n">
        <x:v>4</x:v>
      </x:c>
      <x:c r="T90" t="str">
        <x:v>2018-12-31|2019-12-31</x:v>
      </x:c>
      <x:c r="U90" s="57" t="n">
        <x:v>2437.0272432602983</x:v>
      </x:c>
      <x:c r="V90" s="57" t="n">
        <x:v>-0.7764195189669452</x:v>
      </x:c>
      <x:c r="W90" t="n">
        <x:v>57</x:v>
      </x:c>
      <x:c r="X90" t="n">
        <x:v>5</x:v>
      </x:c>
      <x:c r="Y90" s="38" t="n">
        <x:v>0.6409090909090909</x:v>
      </x:c>
      <x:c r="Z90" s="38" t="n">
        <x:v>0.6277316350657505</x:v>
      </x:c>
      <x:c r="AA90"/>
    </x:row>
    <x:row r="91">
      <x:c r="A91" s="54" t="n">
        <x:v>43921</x:v>
      </x:c>
      <x:c r="B91" t="n">
        <x:v>43921.624999988424</x:v>
      </x:c>
      <x:c r="C91" t="str">
        <x:v>053690</x:v>
      </x:c>
      <x:c r="D91" t="str">
        <x:v>한미글로벌</x:v>
      </x:c>
      <x:c r="E91" t="str">
        <x:v>KOSPI</x:v>
      </x:c>
      <x:c r="F91" t="str">
        <x:v>MID</x:v>
      </x:c>
      <x:c r="G91" t="str">
        <x:v>ELIGIBLE</x:v>
      </x:c>
      <x:c r="H91"/>
      <x:c r="I91" s="54" t="n">
        <x:v>43921</x:v>
      </x:c>
      <x:c r="J91" s="55" t="n">
        <x:v>6560</x:v>
      </x:c>
      <x:c r="K91" s="55" t="n">
        <x:v>71881528000</x:v>
      </x:c>
      <x:c r="L91" s="55" t="n">
        <x:v>10957550</x:v>
      </x:c>
      <x:c r="M91" t="str">
        <x:v>20200330003518</x:v>
      </x:c>
      <x:c r="N91" t="n">
        <x:v>43920.624999988424</x:v>
      </x:c>
      <x:c r="O91" s="54" t="n">
        <x:v>43830</x:v>
      </x:c>
      <x:c r="P91" t="str">
        <x:v>False</x:v>
      </x:c>
      <x:c r="Q91" t="str">
        <x:v>67a27cabb893bdb895dd50a8955d88a1e32ad56aa9de6b468fbffa2df17289e8</x:v>
      </x:c>
      <x:c r="R91" t="str">
        <x:v>b658827c2523f90506cdc711f156b1902c5bc5b8ed017467e4d4d0aacdef398e</x:v>
      </x:c>
      <x:c r="S91" t="n">
        <x:v>6</x:v>
      </x:c>
      <x:c r="T91" t="str">
        <x:v>2018-12-31|2019-12-31</x:v>
      </x:c>
      <x:c r="U91" s="57" t="n">
        <x:v>20146.717122432205</x:v>
      </x:c>
      <x:c r="V91" s="57" t="n">
        <x:v>2.0711459028097874</x:v>
      </x:c>
      <x:c r="W91" t="n">
        <x:v>6</x:v>
      </x:c>
      <x:c r="X91" t="n">
        <x:v>1</x:v>
      </x:c>
      <x:c r="Y91" s="38" t="n">
        <x:v>0.6409090909090909</x:v>
      </x:c>
      <x:c r="Z91" s="38" t="n">
        <x:v>0.6948654288748654</x:v>
      </x:c>
      <x:c r="AA91"/>
    </x:row>
    <x:row r="92">
      <x:c r="A92" s="54" t="n">
        <x:v>43921</x:v>
      </x:c>
      <x:c r="B92" t="n">
        <x:v>43921.624999988424</x:v>
      </x:c>
      <x:c r="C92" t="str">
        <x:v>213500</x:v>
      </x:c>
      <x:c r="D92" t="str">
        <x:v>한솔제지</x:v>
      </x:c>
      <x:c r="E92" t="str">
        <x:v>KOSPI</x:v>
      </x:c>
      <x:c r="F92" t="str">
        <x:v>MID</x:v>
      </x:c>
      <x:c r="G92" t="str">
        <x:v>ELIGIBLE</x:v>
      </x:c>
      <x:c r="H92"/>
      <x:c r="I92" s="54" t="n">
        <x:v>43921</x:v>
      </x:c>
      <x:c r="J92" s="55" t="n">
        <x:v>10500</x:v>
      </x:c>
      <x:c r="K92" s="55" t="n">
        <x:v>249906048000</x:v>
      </x:c>
      <x:c r="L92" s="55" t="n">
        <x:v>23800576</x:v>
      </x:c>
      <x:c r="M92" t="str">
        <x:v>20200325000999</x:v>
      </x:c>
      <x:c r="N92" t="n">
        <x:v>43915.624999988424</x:v>
      </x:c>
      <x:c r="O92" s="54" t="n">
        <x:v>43830</x:v>
      </x:c>
      <x:c r="P92" t="str">
        <x:v>False</x:v>
      </x:c>
      <x:c r="Q92" t="str">
        <x:v>692399356fba85e309d5c708f5d65e510a92fb9eec652991b3a9f272805fd0aa</x:v>
      </x:c>
      <x:c r="R92" t="str">
        <x:v>c6578357446409148135ea79abee07b4b979d63ade76372865acdaf66f164674</x:v>
      </x:c>
      <x:c r="S92" t="n">
        <x:v>6</x:v>
      </x:c>
      <x:c r="T92" t="str">
        <x:v>2018-12-31|2019-12-31</x:v>
      </x:c>
      <x:c r="U92" s="57" t="n">
        <x:v>18621.598812478103</x:v>
      </x:c>
      <x:c r="V92" s="57" t="n">
        <x:v>0.7734856011883908</x:v>
      </x:c>
      <x:c r="W92" t="n">
        <x:v>15</x:v>
      </x:c>
      <x:c r="X92" t="n">
        <x:v>2</x:v>
      </x:c>
      <x:c r="Y92" s="38" t="n">
        <x:v>0.6409090909090909</x:v>
      </x:c>
      <x:c r="Z92" s="38" t="n">
        <x:v>0.6986420377854025</x:v>
      </x:c>
      <x:c r="AA92"/>
    </x:row>
    <x:row r="93">
      <x:c r="A93" s="54" t="n">
        <x:v>43921</x:v>
      </x:c>
      <x:c r="B93" t="n">
        <x:v>43921.624999988424</x:v>
      </x:c>
      <x:c r="C93" t="str">
        <x:v>005430</x:v>
      </x:c>
      <x:c r="D93" t="str">
        <x:v>한국공항</x:v>
      </x:c>
      <x:c r="E93" t="str">
        <x:v>KOSPI</x:v>
      </x:c>
      <x:c r="F93" t="str">
        <x:v>MID</x:v>
      </x:c>
      <x:c r="G93" t="str">
        <x:v>ELIGIBLE</x:v>
      </x:c>
      <x:c r="H93"/>
      <x:c r="I93" s="54" t="n">
        <x:v>43921</x:v>
      </x:c>
      <x:c r="J93" s="55" t="n">
        <x:v>25600</x:v>
      </x:c>
      <x:c r="K93" s="55" t="n">
        <x:v>81058688000</x:v>
      </x:c>
      <x:c r="L93" s="55" t="n">
        <x:v>3166355</x:v>
      </x:c>
      <x:c r="M93" t="str">
        <x:v>20200330004590</x:v>
      </x:c>
      <x:c r="N93" t="n">
        <x:v>43920.624999988424</x:v>
      </x:c>
      <x:c r="O93" s="54" t="n">
        <x:v>43830</x:v>
      </x:c>
      <x:c r="P93" t="str">
        <x:v>False</x:v>
      </x:c>
      <x:c r="Q93" t="str">
        <x:v>852f9aae649b8a3410b87bc3bbd094ee69f67ab2afe4a3bd838332c8fd824770</x:v>
      </x:c>
      <x:c r="R93" t="str">
        <x:v>33ab0f509a472c4b83c9f004fbc07436d48661f26a5c00deb28f0f27de90c6e4</x:v>
      </x:c>
      <x:c r="S93" t="n">
        <x:v>7</x:v>
      </x:c>
      <x:c r="T93" t="str">
        <x:v>2018-12-31|2019-12-31</x:v>
      </x:c>
      <x:c r="U93" s="57" t="n">
        <x:v>72841.83177870208</x:v>
      </x:c>
      <x:c r="V93" s="57" t="n">
        <x:v>1.8453840538555502</x:v>
      </x:c>
      <x:c r="W93" t="n">
        <x:v>7</x:v>
      </x:c>
      <x:c r="X93" t="n">
        <x:v>1</x:v>
      </x:c>
      <x:c r="Y93" s="38" t="n">
        <x:v>0.6409090909090909</x:v>
      </x:c>
      <x:c r="Z93" s="38" t="n">
        <x:v>0.6743256080208252</x:v>
      </x:c>
      <x:c r="AA93"/>
    </x:row>
    <x:row r="94">
      <x:c r="A94" s="54" t="n">
        <x:v>43921</x:v>
      </x:c>
      <x:c r="B94" t="n">
        <x:v>43921.624999988424</x:v>
      </x:c>
      <x:c r="C94" t="str">
        <x:v>003460</x:v>
      </x:c>
      <x:c r="D94" t="str">
        <x:v>유화증권</x:v>
      </x:c>
      <x:c r="E94" t="str">
        <x:v>KOSPI</x:v>
      </x:c>
      <x:c r="F94" t="str">
        <x:v>MID</x:v>
      </x:c>
      <x:c r="G94" t="str">
        <x:v>EXCLUDED_ARCHETYPE</x:v>
      </x:c>
      <x:c r="H94" t="str">
        <x:v>FCFF_NOT_COMPARABLE_FOR_FINANCE_OR_HOLDING_HINT</x:v>
      </x:c>
      <x:c r="I94" s="54"/>
      <x:c r="J94" s="55"/>
      <x:c r="K94" s="55"/>
      <x:c r="L94" s="55"/>
      <x:c r="M94"/>
      <x:c r="N94"/>
      <x:c r="O94" s="54"/>
      <x:c r="P94"/>
      <x:c r="Q94"/>
      <x:c r="R94"/>
      <x:c r="S94"/>
      <x:c r="T94"/>
      <x:c r="U94" s="57"/>
      <x:c r="V94" s="57"/>
      <x:c r="W94"/>
      <x:c r="X94"/>
      <x:c r="Y94" s="38"/>
      <x:c r="Z94" s="38"/>
      <x:c r="AA94"/>
    </x:row>
    <x:row r="95">
      <x:c r="A95" s="54" t="n">
        <x:v>43921</x:v>
      </x:c>
      <x:c r="B95" t="n">
        <x:v>43921.624999988424</x:v>
      </x:c>
      <x:c r="C95" t="str">
        <x:v>004140</x:v>
      </x:c>
      <x:c r="D95" t="str">
        <x:v>동방</x:v>
      </x:c>
      <x:c r="E95" t="str">
        <x:v>KOSPI</x:v>
      </x:c>
      <x:c r="F95" t="str">
        <x:v>MID</x:v>
      </x:c>
      <x:c r="G95" t="str">
        <x:v>ELIGIBLE</x:v>
      </x:c>
      <x:c r="H95"/>
      <x:c r="I95" s="54" t="n">
        <x:v>43921</x:v>
      </x:c>
      <x:c r="J95" s="55" t="n">
        <x:v>1780</x:v>
      </x:c>
      <x:c r="K95" s="55" t="n">
        <x:v>59568746640</x:v>
      </x:c>
      <x:c r="L95" s="55" t="n">
        <x:v>33465588</x:v>
      </x:c>
      <x:c r="M95" t="str">
        <x:v>20200330003987</x:v>
      </x:c>
      <x:c r="N95" t="n">
        <x:v>43920.624999988424</x:v>
      </x:c>
      <x:c r="O95" s="54" t="n">
        <x:v>43830</x:v>
      </x:c>
      <x:c r="P95" t="str">
        <x:v>False</x:v>
      </x:c>
      <x:c r="Q95" t="str">
        <x:v>46ac67228e64535f85a4a0689b1dfcc0063d4286b357ca203fdfe76133d6497f</x:v>
      </x:c>
      <x:c r="R95" t="str">
        <x:v>add3a32413fc964b70dd1e0a674a71f8748dbdcfa1e06626305b2a21811f2589</x:v>
      </x:c>
      <x:c r="S95" t="n">
        <x:v>7</x:v>
      </x:c>
      <x:c r="T95" t="str">
        <x:v>2018-12-31|2019-12-31</x:v>
      </x:c>
      <x:c r="U95" s="57" t="n">
        <x:v>709.8053548643087</x:v>
      </x:c>
      <x:c r="V95" s="57" t="n">
        <x:v>-0.6012329467054446</x:v>
      </x:c>
      <x:c r="W95" t="n">
        <x:v>49</x:v>
      </x:c>
      <x:c r="X95" t="n">
        <x:v>4</x:v>
      </x:c>
      <x:c r="Y95" s="38" t="n">
        <x:v>0.6409090909090909</x:v>
      </x:c>
      <x:c r="Z95" s="38" t="n">
        <x:v>0.6716049770453923</x:v>
      </x:c>
      <x:c r="AA95"/>
    </x:row>
    <x:row r="96">
      <x:c r="A96" s="54" t="n">
        <x:v>43921</x:v>
      </x:c>
      <x:c r="B96" t="n">
        <x:v>43921.624999988424</x:v>
      </x:c>
      <x:c r="C96" t="str">
        <x:v>317400</x:v>
      </x:c>
      <x:c r="D96" t="str">
        <x:v>자이에스앤디</x:v>
      </x:c>
      <x:c r="E96" t="str">
        <x:v>KOSPI</x:v>
      </x:c>
      <x:c r="F96" t="str">
        <x:v>MID</x:v>
      </x:c>
      <x:c r="G96" t="str">
        <x:v>ELIGIBLE</x:v>
      </x:c>
      <x:c r="H96"/>
      <x:c r="I96" s="54" t="n">
        <x:v>43921</x:v>
      </x:c>
      <x:c r="J96" s="55" t="n">
        <x:v>3725</x:v>
      </x:c>
      <x:c r="K96" s="55" t="n">
        <x:v>99764887000</x:v>
      </x:c>
      <x:c r="L96" s="55" t="n">
        <x:v>26782520</x:v>
      </x:c>
      <x:c r="M96" t="str">
        <x:v>20200327000947</x:v>
      </x:c>
      <x:c r="N96" t="n">
        <x:v>43917.624999988424</x:v>
      </x:c>
      <x:c r="O96" s="54" t="n">
        <x:v>43830</x:v>
      </x:c>
      <x:c r="P96" t="str">
        <x:v>False</x:v>
      </x:c>
      <x:c r="Q96" t="str">
        <x:v>b12fa64867f28fbab0ad7b544f2a2f1cdd2c212114a842392a1957abd20354b4</x:v>
      </x:c>
      <x:c r="R96" t="str">
        <x:v>63371c38ca41f80f803d94e219c0ca1977eda2bec0e3cbb3cc52050bb355cd0c</x:v>
      </x:c>
      <x:c r="S96" t="n">
        <x:v>6</x:v>
      </x:c>
      <x:c r="T96" t="str">
        <x:v>2019-12-31</x:v>
      </x:c>
      <x:c r="U96" s="57" t="n">
        <x:v>6935.871302294737</x:v>
      </x:c>
      <x:c r="V96" s="57" t="n">
        <x:v>0.8619788730992581</x:v>
      </x:c>
      <x:c r="W96" t="n">
        <x:v>14</x:v>
      </x:c>
      <x:c r="X96" t="n">
        <x:v>2</x:v>
      </x:c>
      <x:c r="Y96" s="38" t="n">
        <x:v>0.6409090909090909</x:v>
      </x:c>
      <x:c r="Z96" s="38" t="n">
        <x:v>0.6701769222689359</x:v>
      </x:c>
      <x:c r="AA96"/>
    </x:row>
    <x:row r="97">
      <x:c r="A97" s="54" t="n">
        <x:v>43921</x:v>
      </x:c>
      <x:c r="B97" t="n">
        <x:v>43921.624999988424</x:v>
      </x:c>
      <x:c r="C97" t="str">
        <x:v>077500</x:v>
      </x:c>
      <x:c r="D97" t="str">
        <x:v>유니퀘스트</x:v>
      </x:c>
      <x:c r="E97" t="str">
        <x:v>KOSPI</x:v>
      </x:c>
      <x:c r="F97" t="str">
        <x:v>MID</x:v>
      </x:c>
      <x:c r="G97" t="str">
        <x:v>ELIGIBLE</x:v>
      </x:c>
      <x:c r="H97"/>
      <x:c r="I97" s="54" t="n">
        <x:v>43921</x:v>
      </x:c>
      <x:c r="J97" s="55" t="n">
        <x:v>4570</x:v>
      </x:c>
      <x:c r="K97" s="55" t="n">
        <x:v>124474118250</x:v>
      </x:c>
      <x:c r="L97" s="55" t="n">
        <x:v>27237225</x:v>
      </x:c>
      <x:c r="M97" t="str">
        <x:v>20200330004272</x:v>
      </x:c>
      <x:c r="N97" t="n">
        <x:v>43920.624999988424</x:v>
      </x:c>
      <x:c r="O97" s="54" t="n">
        <x:v>43830</x:v>
      </x:c>
      <x:c r="P97" t="str">
        <x:v>False</x:v>
      </x:c>
      <x:c r="Q97" t="str">
        <x:v>f02a31728b7870ed14585a0b158899ceb8452a1805c3c0e9d88cbf7adc750e9d</x:v>
      </x:c>
      <x:c r="R97" t="str">
        <x:v>df82c5ac1ec8e95ba893f06ac1655f0f67f7826216938a5fcc3eec39300a5313</x:v>
      </x:c>
      <x:c r="S97" t="n">
        <x:v>6</x:v>
      </x:c>
      <x:c r="T97" t="str">
        <x:v>2011-12-31|2012-12-31|2013-12-31|2014-12-31|2015-12-31|2016-12-31|2017-12-31|2018-12-31|2019-12-31</x:v>
      </x:c>
      <x:c r="U97" s="57" t="n">
        <x:v>1947.6143993138528</x:v>
      </x:c>
      <x:c r="V97" s="57" t="n">
        <x:v>-0.5738261708284786</x:v>
      </x:c>
      <x:c r="W97" t="n">
        <x:v>46</x:v>
      </x:c>
      <x:c r="X97" t="n">
        <x:v>4</x:v>
      </x:c>
      <x:c r="Y97" s="38" t="n">
        <x:v>0.6409090909090909</x:v>
      </x:c>
      <x:c r="Z97" s="38" t="n">
        <x:v>0.731247750122653</x:v>
      </x:c>
      <x:c r="AA97"/>
    </x:row>
    <x:row r="98">
      <x:c r="A98" s="54" t="n">
        <x:v>43921</x:v>
      </x:c>
      <x:c r="B98" t="n">
        <x:v>43921.624999988424</x:v>
      </x:c>
      <x:c r="C98" t="str">
        <x:v>012800</x:v>
      </x:c>
      <x:c r="D98" t="str">
        <x:v>대창</x:v>
      </x:c>
      <x:c r="E98" t="str">
        <x:v>KOSPI</x:v>
      </x:c>
      <x:c r="F98" t="str">
        <x:v>MID</x:v>
      </x:c>
      <x:c r="G98" t="str">
        <x:v>DCF_SCREENING_EXCLUSION</x:v>
      </x:c>
      <x:c r="H98" t="str">
        <x:v>NON_POSITIVE_EQUITY_VALUE</x:v>
      </x:c>
      <x:c r="I98" s="54" t="n">
        <x:v>43921</x:v>
      </x:c>
      <x:c r="J98" s="55" t="n">
        <x:v>945</x:v>
      </x:c>
      <x:c r="K98" s="55" t="n">
        <x:v>86127771555</x:v>
      </x:c>
      <x:c r="L98" s="55" t="n">
        <x:v>91140499</x:v>
      </x:c>
      <x:c r="M98" t="str">
        <x:v>20200330001326</x:v>
      </x:c>
      <x:c r="N98" t="n">
        <x:v>43920.624999988424</x:v>
      </x:c>
      <x:c r="O98" s="54" t="n">
        <x:v>43830</x:v>
      </x:c>
      <x:c r="P98" t="str">
        <x:v>False</x:v>
      </x:c>
      <x:c r="Q98" t="str">
        <x:v>498080458de2d5ef2bd3152e3d969187ee38dfbc94b9f8422a74209e83040d81</x:v>
      </x:c>
      <x:c r="R98" t="str">
        <x:v>28f1d7b11b4f317d2b458ea28e2060475272aae7f10bba248ee9a1eb83e4d84f</x:v>
      </x:c>
      <x:c r="S98" t="n">
        <x:v>6</x:v>
      </x:c>
      <x:c r="T98" t="str">
        <x:v>2018-12-31|2019-12-31</x:v>
      </x:c>
      <x:c r="U98" s="57" t="n">
        <x:v>-1690.4590138700046</x:v>
      </x:c>
      <x:c r="V98" s="57" t="n">
        <x:v>-2.788845517322756</x:v>
      </x:c>
      <x:c r="W98"/>
      <x:c r="X98"/>
      <x:c r="Y98" s="38" t="n">
        <x:v>0.6409090909090909</x:v>
      </x:c>
      <x:c r="Z98" s="38" t="n">
        <x:v>0.65771556088542</x:v>
      </x:c>
      <x:c r="AA98" t="str">
        <x:v>NON_POSITIVE_EQUITY_VALUE</x:v>
      </x:c>
    </x:row>
    <x:row r="99">
      <x:c r="A99" s="54" t="n">
        <x:v>43921</x:v>
      </x:c>
      <x:c r="B99" t="n">
        <x:v>43921.624999988424</x:v>
      </x:c>
      <x:c r="C99" t="str">
        <x:v>063160</x:v>
      </x:c>
      <x:c r="D99" t="str">
        <x:v>종근당바이오</x:v>
      </x:c>
      <x:c r="E99" t="str">
        <x:v>KOSPI</x:v>
      </x:c>
      <x:c r="F99" t="str">
        <x:v>MID</x:v>
      </x:c>
      <x:c r="G99" t="str">
        <x:v>ELIGIBLE</x:v>
      </x:c>
      <x:c r="H99"/>
      <x:c r="I99" s="54" t="n">
        <x:v>43921</x:v>
      </x:c>
      <x:c r="J99" s="55" t="n">
        <x:v>29000</x:v>
      </x:c>
      <x:c r="K99" s="55" t="n">
        <x:v>159092898000</x:v>
      </x:c>
      <x:c r="L99" s="55" t="n">
        <x:v>5485962</x:v>
      </x:c>
      <x:c r="M99" t="str">
        <x:v>20200330003082</x:v>
      </x:c>
      <x:c r="N99" t="n">
        <x:v>43920.624999988424</x:v>
      </x:c>
      <x:c r="O99" s="54" t="n">
        <x:v>43830</x:v>
      </x:c>
      <x:c r="P99" t="str">
        <x:v>False</x:v>
      </x:c>
      <x:c r="Q99" t="str">
        <x:v>7526d35ca61fda1190528cefa3e0c17a6574a47f02a5c5be57b9687ba0644905</x:v>
      </x:c>
      <x:c r="R99" t="str">
        <x:v>e5b260bf3ea6427d4c8f71876a29e6cfbe3c4613d2a066a6807bca5ce224a529</x:v>
      </x:c>
      <x:c r="S99" t="n">
        <x:v>6</x:v>
      </x:c>
      <x:c r="T99" t="str">
        <x:v>2018-12-31|2019-12-31</x:v>
      </x:c>
      <x:c r="U99" s="57" t="n">
        <x:v>3675.5112327711754</x:v>
      </x:c>
      <x:c r="V99" s="57" t="n">
        <x:v>-0.8732582333527181</x:v>
      </x:c>
      <x:c r="W99" t="n">
        <x:v>59</x:v>
      </x:c>
      <x:c r="X99" t="n">
        <x:v>5</x:v>
      </x:c>
      <x:c r="Y99" s="38" t="n">
        <x:v>0.6409090909090909</x:v>
      </x:c>
      <x:c r="Z99" s="38" t="n">
        <x:v>0.6952202293915488</x:v>
      </x:c>
      <x:c r="AA99"/>
    </x:row>
    <x:row r="100">
      <x:c r="A100" s="54" t="n">
        <x:v>43921</x:v>
      </x:c>
      <x:c r="B100" t="n">
        <x:v>43921.624999988424</x:v>
      </x:c>
      <x:c r="C100" t="str">
        <x:v>013570</x:v>
      </x:c>
      <x:c r="D100" t="str">
        <x:v>디와이</x:v>
      </x:c>
      <x:c r="E100" t="str">
        <x:v>KOSPI</x:v>
      </x:c>
      <x:c r="F100" t="str">
        <x:v>MID</x:v>
      </x:c>
      <x:c r="G100" t="str">
        <x:v>ELIGIBLE</x:v>
      </x:c>
      <x:c r="H100"/>
      <x:c r="I100" s="54" t="n">
        <x:v>43921</x:v>
      </x:c>
      <x:c r="J100" s="55" t="n">
        <x:v>3485</x:v>
      </x:c>
      <x:c r="K100" s="55" t="n">
        <x:v>91723921005</x:v>
      </x:c>
      <x:c r="L100" s="55" t="n">
        <x:v>26319633</x:v>
      </x:c>
      <x:c r="M100" t="str">
        <x:v>20200330003559</x:v>
      </x:c>
      <x:c r="N100" t="n">
        <x:v>43920.624999988424</x:v>
      </x:c>
      <x:c r="O100" s="54" t="n">
        <x:v>43830</x:v>
      </x:c>
      <x:c r="P100" t="str">
        <x:v>False</x:v>
      </x:c>
      <x:c r="Q100" t="str">
        <x:v>c78f20d0b3aef6385ceb685359560cdab6d539bc512dfb59d6982cee937a717f</x:v>
      </x:c>
      <x:c r="R100" t="str">
        <x:v>5bff211939d071f76b6413850f18d8b6bf95a4df390178e8a48cb89c681ed2e4</x:v>
      </x:c>
      <x:c r="S100" t="n">
        <x:v>7</x:v>
      </x:c>
      <x:c r="T100" t="str">
        <x:v>2018-12-31|2019-12-31</x:v>
      </x:c>
      <x:c r="U100" s="57" t="n">
        <x:v>6839.065234736271</x:v>
      </x:c>
      <x:c r="V100" s="57" t="n">
        <x:v>0.9624290487048124</x:v>
      </x:c>
      <x:c r="W100" t="n">
        <x:v>12</x:v>
      </x:c>
      <x:c r="X100" t="n">
        <x:v>1</x:v>
      </x:c>
      <x:c r="Y100" s="38" t="n">
        <x:v>0.6409090909090909</x:v>
      </x:c>
      <x:c r="Z100" s="38" t="n">
        <x:v>0.5847338959435144</x:v>
      </x:c>
      <x:c r="AA100"/>
    </x:row>
    <x:row r="101">
      <x:c r="A101" s="54" t="n">
        <x:v>43921</x:v>
      </x:c>
      <x:c r="B101" t="n">
        <x:v>43921.624999988424</x:v>
      </x:c>
      <x:c r="C101" t="str">
        <x:v>227840</x:v>
      </x:c>
      <x:c r="D101" t="str">
        <x:v>현대코퍼레이션홀딩스</x:v>
      </x:c>
      <x:c r="E101" t="str">
        <x:v>KOSPI</x:v>
      </x:c>
      <x:c r="F101" t="str">
        <x:v>MID</x:v>
      </x:c>
      <x:c r="G101" t="str">
        <x:v>EXCLUDED_ARCHETYPE</x:v>
      </x:c>
      <x:c r="H101" t="str">
        <x:v>FCFF_NOT_COMPARABLE_FOR_FINANCE_OR_HOLDING_HINT</x:v>
      </x:c>
      <x:c r="I101" s="54"/>
      <x:c r="J101" s="55"/>
      <x:c r="K101" s="55"/>
      <x:c r="L101" s="55"/>
      <x:c r="M101"/>
      <x:c r="N101"/>
      <x:c r="O101" s="54"/>
      <x:c r="P101"/>
      <x:c r="Q101"/>
      <x:c r="R101"/>
      <x:c r="S101"/>
      <x:c r="T101"/>
      <x:c r="U101" s="57"/>
      <x:c r="V101" s="57"/>
      <x:c r="W101"/>
      <x:c r="X101"/>
      <x:c r="Y101" s="38"/>
      <x:c r="Z101" s="38"/>
      <x:c r="AA101"/>
    </x:row>
    <x:row r="102">
      <x:c r="A102" s="54" t="n">
        <x:v>43921</x:v>
      </x:c>
      <x:c r="B102" t="n">
        <x:v>43921.624999988424</x:v>
      </x:c>
      <x:c r="C102" t="str">
        <x:v>247540</x:v>
      </x:c>
      <x:c r="D102" t="str">
        <x:v>에코프로비엠</x:v>
      </x:c>
      <x:c r="E102" t="str">
        <x:v>KOSDAQ</x:v>
      </x:c>
      <x:c r="F102" t="str">
        <x:v>LARGE</x:v>
      </x:c>
      <x:c r="G102" t="str">
        <x:v>DCF_SCREENING_EXCLUSION</x:v>
      </x:c>
      <x:c r="H102" t="str">
        <x:v>NON_POSITIVE_ENTERPRISE_VALUE|NON_POSITIVE_EQUITY_VALUE|NON_POSITIVE_TERMINAL_FCF</x:v>
      </x:c>
      <x:c r="I102" s="54" t="n">
        <x:v>43921</x:v>
      </x:c>
      <x:c r="J102" s="55" t="n">
        <x:v>61300</x:v>
      </x:c>
      <x:c r="K102" s="55" t="n">
        <x:v>1260080715800</x:v>
      </x:c>
      <x:c r="L102" s="55" t="n">
        <x:v>20555966</x:v>
      </x:c>
      <x:c r="M102" t="str">
        <x:v>20200330004369</x:v>
      </x:c>
      <x:c r="N102" t="n">
        <x:v>43920.624999988424</x:v>
      </x:c>
      <x:c r="O102" s="54" t="n">
        <x:v>43830</x:v>
      </x:c>
      <x:c r="P102" t="str">
        <x:v>False</x:v>
      </x:c>
      <x:c r="Q102" t="str">
        <x:v>3597bcb81acefe374299e3309d77437744c4161a0c8d4cbc6a6d72d56b2fa4ec</x:v>
      </x:c>
      <x:c r="R102" t="str">
        <x:v>a5125dedbae87640a30e6344a78e09761f8a6ef5373d8e477eb08137d1a6e442</x:v>
      </x:c>
      <x:c r="S102" t="n">
        <x:v>7</x:v>
      </x:c>
      <x:c r="T102" t="str">
        <x:v>2018-12-31|2019-12-31</x:v>
      </x:c>
      <x:c r="U102" s="57" t="n">
        <x:v>-28133.965952550352</x:v>
      </x:c>
      <x:c r="V102" s="57" t="n">
        <x:v>-1.4589553988996795</x:v>
      </x:c>
      <x:c r="W102"/>
      <x:c r="X102"/>
      <x:c r="Y102" s="38" t="n">
        <x:v>0.6409090909090909</x:v>
      </x:c>
      <x:c r="Z102" s="38" t="n">
        <x:v>0.6742941324327638</x:v>
      </x:c>
      <x:c r="AA102" t="str">
        <x:v>NON_POSITIVE_ENTERPRISE_VALUE|NON_POSITIVE_EQUITY_VALUE|NON_POSITIVE_TERMINAL_FCF</x:v>
      </x:c>
    </x:row>
    <x:row r="103">
      <x:c r="A103" s="54" t="n">
        <x:v>43921</x:v>
      </x:c>
      <x:c r="B103" t="n">
        <x:v>43921.624999988424</x:v>
      </x:c>
      <x:c r="C103" t="str">
        <x:v>086520</x:v>
      </x:c>
      <x:c r="D103" t="str">
        <x:v>에코프로</x:v>
      </x:c>
      <x:c r="E103" t="str">
        <x:v>KOSDAQ</x:v>
      </x:c>
      <x:c r="F103" t="str">
        <x:v>LARGE</x:v>
      </x:c>
      <x:c r="G103" t="str">
        <x:v>DCF_SCREENING_EXCLUSION</x:v>
      </x:c>
      <x:c r="H103" t="str">
        <x:v>UNRELIABLE_TERMINAL_VALUE_SHARE</x:v>
      </x:c>
      <x:c r="I103" s="54" t="n">
        <x:v>43921</x:v>
      </x:c>
      <x:c r="J103" s="55" t="n">
        <x:v>17800</x:v>
      </x:c>
      <x:c r="K103" s="55" t="n">
        <x:v>393205399800</x:v>
      </x:c>
      <x:c r="L103" s="55" t="n">
        <x:v>22090191</x:v>
      </x:c>
      <x:c r="M103" t="str">
        <x:v>20200330004613</x:v>
      </x:c>
      <x:c r="N103" t="n">
        <x:v>43920.624999988424</x:v>
      </x:c>
      <x:c r="O103" s="54" t="n">
        <x:v>43830</x:v>
      </x:c>
      <x:c r="P103" t="str">
        <x:v>False</x:v>
      </x:c>
      <x:c r="Q103" t="str">
        <x:v>1c2282847103a39eaa6bcecec4b85f229e4355ac1793db3112a590599b4f15a2</x:v>
      </x:c>
      <x:c r="R103" t="str">
        <x:v>1bef9106e1b24b123d824c45e61a4053c4eb1605a48e35993d9d9d8a2598b57c</x:v>
      </x:c>
      <x:c r="S103" t="n">
        <x:v>6</x:v>
      </x:c>
      <x:c r="T103" t="str">
        <x:v>2018-12-31|2019-12-31</x:v>
      </x:c>
      <x:c r="U103" s="57" t="n">
        <x:v>4709.94088047829</x:v>
      </x:c>
      <x:c r="V103" s="57" t="n">
        <x:v>-0.7353965797484107</x:v>
      </x:c>
      <x:c r="W103"/>
      <x:c r="X103"/>
      <x:c r="Y103" s="38" t="n">
        <x:v>0.6409090909090909</x:v>
      </x:c>
      <x:c r="Z103" s="38" t="n">
        <x:v>0.9913912690782153</x:v>
      </x:c>
      <x:c r="AA103" t="str">
        <x:v>UNRELIABLE_TERMINAL_VALUE_SHARE</x:v>
      </x:c>
    </x:row>
    <x:row r="104">
      <x:c r="A104" s="54" t="n">
        <x:v>43921</x:v>
      </x:c>
      <x:c r="B104" t="n">
        <x:v>43921.624999988424</x:v>
      </x:c>
      <x:c r="C104" t="str">
        <x:v>214450</x:v>
      </x:c>
      <x:c r="D104" t="str">
        <x:v>파마리서치</x:v>
      </x:c>
      <x:c r="E104" t="str">
        <x:v>KOSDAQ</x:v>
      </x:c>
      <x:c r="F104" t="str">
        <x:v>LARGE</x:v>
      </x:c>
      <x:c r="G104" t="str">
        <x:v>ELIGIBLE</x:v>
      </x:c>
      <x:c r="H104"/>
      <x:c r="I104" s="54" t="n">
        <x:v>43921</x:v>
      </x:c>
      <x:c r="J104" s="55" t="n">
        <x:v>38900</x:v>
      </x:c>
      <x:c r="K104" s="55" t="n">
        <x:v>374515312700</x:v>
      </x:c>
      <x:c r="L104" s="55" t="n">
        <x:v>9627643</x:v>
      </x:c>
      <x:c r="M104" t="str">
        <x:v>20200327000355</x:v>
      </x:c>
      <x:c r="N104" t="n">
        <x:v>43917.624999988424</x:v>
      </x:c>
      <x:c r="O104" s="54" t="n">
        <x:v>43830</x:v>
      </x:c>
      <x:c r="P104" t="str">
        <x:v>False</x:v>
      </x:c>
      <x:c r="Q104" t="str">
        <x:v>fd03303d7bd776279dc75309bfa6c4cbbc8a7bec1d7cbd61f199a105644001d4</x:v>
      </x:c>
      <x:c r="R104" t="str">
        <x:v>a386e837ac17da6bd37ed7a5c4ff15782dda931014c70cd151d017558380c76a</x:v>
      </x:c>
      <x:c r="S104" t="n">
        <x:v>6</x:v>
      </x:c>
      <x:c r="T104" t="str">
        <x:v>2018-12-31|2019-12-31</x:v>
      </x:c>
      <x:c r="U104" s="57" t="n">
        <x:v>16735.20375761735</x:v>
      </x:c>
      <x:c r="V104" s="57" t="n">
        <x:v>-0.5697891064879859</x:v>
      </x:c>
      <x:c r="W104" t="n">
        <x:v>45</x:v>
      </x:c>
      <x:c r="X104" t="n">
        <x:v>4</x:v>
      </x:c>
      <x:c r="Y104" s="38" t="n">
        <x:v>0.6409090909090909</x:v>
      </x:c>
      <x:c r="Z104" s="38" t="n">
        <x:v>0.6897281984708911</x:v>
      </x:c>
      <x:c r="AA104"/>
    </x:row>
    <x:row r="105">
      <x:c r="A105" s="54" t="n">
        <x:v>43921</x:v>
      </x:c>
      <x:c r="B105" t="n">
        <x:v>43921.624999988424</x:v>
      </x:c>
      <x:c r="C105" t="str">
        <x:v>277810</x:v>
      </x:c>
      <x:c r="D105" t="str">
        <x:v>레인보우로보틱스</x:v>
      </x:c>
      <x:c r="E105" t="str">
        <x:v>KOSDAQ</x:v>
      </x:c>
      <x:c r="F105" t="str">
        <x:v>LARGE</x:v>
      </x:c>
      <x:c r="G105" t="str">
        <x:v>NOT_LISTED_OR_NO_PRICE</x:v>
      </x:c>
      <x:c r="H105"/>
      <x:c r="I105" s="54"/>
      <x:c r="J105" s="55"/>
      <x:c r="K105" s="55"/>
      <x:c r="L105" s="55"/>
      <x:c r="M105"/>
      <x:c r="N105"/>
      <x:c r="O105" s="54"/>
      <x:c r="P105"/>
      <x:c r="Q105"/>
      <x:c r="R105"/>
      <x:c r="S105"/>
      <x:c r="T105"/>
      <x:c r="U105" s="57"/>
      <x:c r="V105" s="57"/>
      <x:c r="W105"/>
      <x:c r="X105"/>
      <x:c r="Y105" s="38"/>
      <x:c r="Z105" s="38"/>
      <x:c r="AA105"/>
    </x:row>
    <x:row r="106">
      <x:c r="A106" s="54" t="n">
        <x:v>43921</x:v>
      </x:c>
      <x:c r="B106" t="n">
        <x:v>43921.624999988424</x:v>
      </x:c>
      <x:c r="C106" t="str">
        <x:v>310210</x:v>
      </x:c>
      <x:c r="D106" t="str">
        <x:v>보로노이</x:v>
      </x:c>
      <x:c r="E106" t="str">
        <x:v>KOSDAQ</x:v>
      </x:c>
      <x:c r="F106" t="str">
        <x:v>LARGE</x:v>
      </x:c>
      <x:c r="G106" t="str">
        <x:v>NOT_LISTED_OR_NO_PRICE</x:v>
      </x:c>
      <x:c r="H106"/>
      <x:c r="I106" s="54"/>
      <x:c r="J106" s="55"/>
      <x:c r="K106" s="55"/>
      <x:c r="L106" s="55"/>
      <x:c r="M106"/>
      <x:c r="N106"/>
      <x:c r="O106" s="54"/>
      <x:c r="P106"/>
      <x:c r="Q106"/>
      <x:c r="R106"/>
      <x:c r="S106"/>
      <x:c r="T106"/>
      <x:c r="U106" s="57"/>
      <x:c r="V106" s="57"/>
      <x:c r="W106"/>
      <x:c r="X106"/>
      <x:c r="Y106" s="38"/>
      <x:c r="Z106" s="38"/>
      <x:c r="AA106"/>
    </x:row>
    <x:row r="107">
      <x:c r="A107" s="54" t="n">
        <x:v>43921</x:v>
      </x:c>
      <x:c r="B107" t="n">
        <x:v>43921.624999988424</x:v>
      </x:c>
      <x:c r="C107" t="str">
        <x:v>195940</x:v>
      </x:c>
      <x:c r="D107" t="str">
        <x:v>HK이노엔</x:v>
      </x:c>
      <x:c r="E107" t="str">
        <x:v>KOSDAQ</x:v>
      </x:c>
      <x:c r="F107" t="str">
        <x:v>LARGE</x:v>
      </x:c>
      <x:c r="G107" t="str">
        <x:v>NOT_LISTED_OR_NO_PRICE</x:v>
      </x:c>
      <x:c r="H107"/>
      <x:c r="I107" s="54"/>
      <x:c r="J107" s="55"/>
      <x:c r="K107" s="55"/>
      <x:c r="L107" s="55"/>
      <x:c r="M107"/>
      <x:c r="N107"/>
      <x:c r="O107" s="54"/>
      <x:c r="P107"/>
      <x:c r="Q107"/>
      <x:c r="R107"/>
      <x:c r="S107"/>
      <x:c r="T107"/>
      <x:c r="U107" s="57"/>
      <x:c r="V107" s="57"/>
      <x:c r="W107"/>
      <x:c r="X107"/>
      <x:c r="Y107" s="38"/>
      <x:c r="Z107" s="38"/>
      <x:c r="AA107"/>
    </x:row>
    <x:row r="108">
      <x:c r="A108" s="54" t="n">
        <x:v>43921</x:v>
      </x:c>
      <x:c r="B108" t="n">
        <x:v>43921.624999988424</x:v>
      </x:c>
      <x:c r="C108" t="str">
        <x:v>039200</x:v>
      </x:c>
      <x:c r="D108" t="str">
        <x:v>오스코텍</x:v>
      </x:c>
      <x:c r="E108" t="str">
        <x:v>KOSDAQ</x:v>
      </x:c>
      <x:c r="F108" t="str">
        <x:v>LARGE</x:v>
      </x:c>
      <x:c r="G108" t="str">
        <x:v>DCF_SCREENING_EXCLUSION</x:v>
      </x:c>
      <x:c r="H108" t="str">
        <x:v>NON_POSITIVE_ENTERPRISE_VALUE|NON_POSITIVE_TERMINAL_FCF</x:v>
      </x:c>
      <x:c r="I108" s="54" t="n">
        <x:v>43921</x:v>
      </x:c>
      <x:c r="J108" s="55" t="n">
        <x:v>22000</x:v>
      </x:c>
      <x:c r="K108" s="55" t="n">
        <x:v>642406842000</x:v>
      </x:c>
      <x:c r="L108" s="55" t="n">
        <x:v>29200311</x:v>
      </x:c>
      <x:c r="M108" t="str">
        <x:v>20200330002576</x:v>
      </x:c>
      <x:c r="N108" t="n">
        <x:v>43920.624999988424</x:v>
      </x:c>
      <x:c r="O108" s="54" t="n">
        <x:v>43830</x:v>
      </x:c>
      <x:c r="P108" t="str">
        <x:v>False</x:v>
      </x:c>
      <x:c r="Q108" t="str">
        <x:v>c42e31430f046a3ee830ef9bb901e7a336ad0968a534b3592d2521b6d1120ba4</x:v>
      </x:c>
      <x:c r="R108" t="str">
        <x:v>9a0d7e047df089371e003de8b56d997379b966290e29e4646dc2bbc48fd37603</x:v>
      </x:c>
      <x:c r="S108" t="n">
        <x:v>6</x:v>
      </x:c>
      <x:c r="T108" t="str">
        <x:v>2018-12-31|2019-12-31</x:v>
      </x:c>
      <x:c r="U108" s="57" t="n">
        <x:v>1328.548992188751</x:v>
      </x:c>
      <x:c r="V108" s="57" t="n">
        <x:v>-0.9396114094459659</x:v>
      </x:c>
      <x:c r="W108"/>
      <x:c r="X108"/>
      <x:c r="Y108" s="38" t="n">
        <x:v>0.6409090909090909</x:v>
      </x:c>
      <x:c r="Z108" s="38" t="n">
        <x:v>0.7197094049882916</x:v>
      </x:c>
      <x:c r="AA108" t="str">
        <x:v>NON_POSITIVE_ENTERPRISE_VALUE|NON_POSITIVE_TERMINAL_FCF</x:v>
      </x:c>
    </x:row>
    <x:row r="109">
      <x:c r="A109" s="54" t="n">
        <x:v>43921</x:v>
      </x:c>
      <x:c r="B109" t="n">
        <x:v>43921.624999988424</x:v>
      </x:c>
      <x:c r="C109" t="str">
        <x:v>084370</x:v>
      </x:c>
      <x:c r="D109" t="str">
        <x:v>유진테크</x:v>
      </x:c>
      <x:c r="E109" t="str">
        <x:v>KOSDAQ</x:v>
      </x:c>
      <x:c r="F109" t="str">
        <x:v>LARGE</x:v>
      </x:c>
      <x:c r="G109" t="str">
        <x:v>ELIGIBLE</x:v>
      </x:c>
      <x:c r="H109"/>
      <x:c r="I109" s="54" t="n">
        <x:v>43921</x:v>
      </x:c>
      <x:c r="J109" s="55" t="n">
        <x:v>16000</x:v>
      </x:c>
      <x:c r="K109" s="55" t="n">
        <x:v>366656672000</x:v>
      </x:c>
      <x:c r="L109" s="55" t="n">
        <x:v>22916042</x:v>
      </x:c>
      <x:c r="M109" t="str">
        <x:v>20200327001867</x:v>
      </x:c>
      <x:c r="N109" t="n">
        <x:v>43917.624999988424</x:v>
      </x:c>
      <x:c r="O109" s="54" t="n">
        <x:v>43830</x:v>
      </x:c>
      <x:c r="P109" t="str">
        <x:v>False</x:v>
      </x:c>
      <x:c r="Q109" t="str">
        <x:v>60271e62f85dcbe367c8b6cbbb59648ce1add688fcab42ff804b3aac9dc19bdd</x:v>
      </x:c>
      <x:c r="R109" t="str">
        <x:v>f9959762c8064e09c1b11b196b6a9c92f4ef0a610c26b4d2cf681f3d176d462c</x:v>
      </x:c>
      <x:c r="S109" t="n">
        <x:v>5</x:v>
      </x:c>
      <x:c r="T109" t="str">
        <x:v>2018-12-31|2019-12-31</x:v>
      </x:c>
      <x:c r="U109" s="57" t="n">
        <x:v>8060.634405309973</x:v>
      </x:c>
      <x:c r="V109" s="57" t="n">
        <x:v>-0.4962103496681267</x:v>
      </x:c>
      <x:c r="W109" t="n">
        <x:v>42</x:v>
      </x:c>
      <x:c r="X109" t="n">
        <x:v>4</x:v>
      </x:c>
      <x:c r="Y109" s="38" t="n">
        <x:v>0.6409090909090909</x:v>
      </x:c>
      <x:c r="Z109" s="38" t="n">
        <x:v>0.7079967318019821</x:v>
      </x:c>
      <x:c r="AA109"/>
    </x:row>
    <x:row r="110">
      <x:c r="A110" s="54" t="n">
        <x:v>43921</x:v>
      </x:c>
      <x:c r="B110" t="n">
        <x:v>43921.624999988424</x:v>
      </x:c>
      <x:c r="C110" t="str">
        <x:v>160190</x:v>
      </x:c>
      <x:c r="D110" t="str">
        <x:v>하이젠알앤엠</x:v>
      </x:c>
      <x:c r="E110" t="str">
        <x:v>KOSDAQ</x:v>
      </x:c>
      <x:c r="F110" t="str">
        <x:v>LARGE</x:v>
      </x:c>
      <x:c r="G110" t="str">
        <x:v>NOT_LISTED_OR_NO_PRICE</x:v>
      </x:c>
      <x:c r="H110"/>
      <x:c r="I110" s="54"/>
      <x:c r="J110" s="55"/>
      <x:c r="K110" s="55"/>
      <x:c r="L110" s="55"/>
      <x:c r="M110"/>
      <x:c r="N110"/>
      <x:c r="O110" s="54"/>
      <x:c r="P110"/>
      <x:c r="Q110"/>
      <x:c r="R110"/>
      <x:c r="S110"/>
      <x:c r="T110"/>
      <x:c r="U110" s="57"/>
      <x:c r="V110" s="57"/>
      <x:c r="W110"/>
      <x:c r="X110"/>
      <x:c r="Y110" s="38"/>
      <x:c r="Z110" s="38"/>
      <x:c r="AA110"/>
    </x:row>
    <x:row r="111">
      <x:c r="A111" s="54" t="n">
        <x:v>43921</x:v>
      </x:c>
      <x:c r="B111" t="n">
        <x:v>43921.624999988424</x:v>
      </x:c>
      <x:c r="C111" t="str">
        <x:v>281740</x:v>
      </x:c>
      <x:c r="D111" t="str">
        <x:v>레이크머티리얼즈</x:v>
      </x:c>
      <x:c r="E111" t="str">
        <x:v>KOSDAQ</x:v>
      </x:c>
      <x:c r="F111" t="str">
        <x:v>LARGE</x:v>
      </x:c>
      <x:c r="G111" t="str">
        <x:v>NO_PIT_FINANCIALS</x:v>
      </x:c>
      <x:c r="H111"/>
      <x:c r="I111" s="54" t="n">
        <x:v>43921</x:v>
      </x:c>
      <x:c r="J111" s="55" t="n">
        <x:v>1645</x:v>
      </x:c>
      <x:c r="K111" s="55" t="n">
        <x:v>106876551460</x:v>
      </x:c>
      <x:c r="L111" s="55" t="n">
        <x:v>64970548</x:v>
      </x:c>
      <x:c r="M111"/>
      <x:c r="N111"/>
      <x:c r="O111" s="54"/>
      <x:c r="P111"/>
      <x:c r="Q111"/>
      <x:c r="R111"/>
      <x:c r="S111"/>
      <x:c r="T111"/>
      <x:c r="U111" s="57"/>
      <x:c r="V111" s="57"/>
      <x:c r="W111"/>
      <x:c r="X111"/>
      <x:c r="Y111" s="38"/>
      <x:c r="Z111" s="38"/>
      <x:c r="AA111"/>
    </x:row>
    <x:row r="112">
      <x:c r="A112" s="54" t="n">
        <x:v>43921</x:v>
      </x:c>
      <x:c r="B112" t="n">
        <x:v>43921.624999988424</x:v>
      </x:c>
      <x:c r="C112" t="str">
        <x:v>078130</x:v>
      </x:c>
      <x:c r="D112" t="str">
        <x:v>국일제지</x:v>
      </x:c>
      <x:c r="E112" t="str">
        <x:v>KOSDAQ</x:v>
      </x:c>
      <x:c r="F112" t="str">
        <x:v>LARGE</x:v>
      </x:c>
      <x:c r="G112" t="str">
        <x:v>DCF_SCREENING_EXCLUSION</x:v>
      </x:c>
      <x:c r="H112" t="str">
        <x:v>NON_POSITIVE_ENTERPRISE_VALUE|NON_POSITIVE_EQUITY_VALUE|NON_POSITIVE_TERMINAL_FCF</x:v>
      </x:c>
      <x:c r="I112" s="54" t="n">
        <x:v>43921</x:v>
      </x:c>
      <x:c r="J112" s="55" t="n">
        <x:v>5160</x:v>
      </x:c>
      <x:c r="K112" s="55" t="n">
        <x:v>637637593320</x:v>
      </x:c>
      <x:c r="L112" s="55" t="n">
        <x:v>123573177</x:v>
      </x:c>
      <x:c r="M112" t="str">
        <x:v>20200330002391</x:v>
      </x:c>
      <x:c r="N112" t="n">
        <x:v>43920.624999988424</x:v>
      </x:c>
      <x:c r="O112" s="54" t="n">
        <x:v>43830</x:v>
      </x:c>
      <x:c r="P112" t="str">
        <x:v>False</x:v>
      </x:c>
      <x:c r="Q112" t="str">
        <x:v>8d2e5a4ca58d57ac4f9600eb495ccd49db096185a88b322721baa256f5d3c5b1</x:v>
      </x:c>
      <x:c r="R112" t="str">
        <x:v>62bd4109d83828af781d591d760d6f2a1fc95a79d264ad85a513f33f4fcaf60b</x:v>
      </x:c>
      <x:c r="S112" t="n">
        <x:v>7</x:v>
      </x:c>
      <x:c r="T112" t="str">
        <x:v>2018-12-31|2019-12-31</x:v>
      </x:c>
      <x:c r="U112" s="57" t="n">
        <x:v>-1017.7630625322998</x:v>
      </x:c>
      <x:c r="V112" s="57" t="n">
        <x:v>-1.197240903591531</x:v>
      </x:c>
      <x:c r="W112"/>
      <x:c r="X112"/>
      <x:c r="Y112" s="38" t="n">
        <x:v>0.6409090909090909</x:v>
      </x:c>
      <x:c r="Z112" s="38" t="n">
        <x:v>0.6438806626825183</x:v>
      </x:c>
      <x:c r="AA112" t="str">
        <x:v>NON_POSITIVE_ENTERPRISE_VALUE|NON_POSITIVE_EQUITY_VALUE|NON_POSITIVE_TERMINAL_FCF</x:v>
      </x:c>
    </x:row>
    <x:row r="113">
      <x:c r="A113" s="54" t="n">
        <x:v>43921</x:v>
      </x:c>
      <x:c r="B113" t="n">
        <x:v>43921.624999988424</x:v>
      </x:c>
      <x:c r="C113" t="str">
        <x:v>131970</x:v>
      </x:c>
      <x:c r="D113" t="str">
        <x:v>두산테스나</x:v>
      </x:c>
      <x:c r="E113" t="str">
        <x:v>KOSDAQ</x:v>
      </x:c>
      <x:c r="F113" t="str">
        <x:v>LARGE</x:v>
      </x:c>
      <x:c r="G113" t="str">
        <x:v>ELIGIBLE</x:v>
      </x:c>
      <x:c r="H113"/>
      <x:c r="I113" s="54" t="n">
        <x:v>43921</x:v>
      </x:c>
      <x:c r="J113" s="55" t="n">
        <x:v>55000</x:v>
      </x:c>
      <x:c r="K113" s="55" t="n">
        <x:v>376750000000</x:v>
      </x:c>
      <x:c r="L113" s="55" t="n">
        <x:v>6850000</x:v>
      </x:c>
      <x:c r="M113" t="str">
        <x:v>20200330002541</x:v>
      </x:c>
      <x:c r="N113" t="n">
        <x:v>43920.624999988424</x:v>
      </x:c>
      <x:c r="O113" s="54" t="n">
        <x:v>43830</x:v>
      </x:c>
      <x:c r="P113" t="str">
        <x:v>False</x:v>
      </x:c>
      <x:c r="Q113" t="str">
        <x:v>174cf2e7e5d7adbbf4428b7775e8fa66b45def4c0b6fe0ed67bd838c6faf172b</x:v>
      </x:c>
      <x:c r="R113" t="str">
        <x:v>e2e30cd1e50cb21708ef90932a2bca29a931a2a86063558508c6549b50cc660a</x:v>
      </x:c>
      <x:c r="S113" t="n">
        <x:v>5</x:v>
      </x:c>
      <x:c r="T113" t="str">
        <x:v>2018-12-31|2019-12-31</x:v>
      </x:c>
      <x:c r="U113" s="57" t="n">
        <x:v>45765.901480524626</x:v>
      </x:c>
      <x:c r="V113" s="57" t="n">
        <x:v>-0.16789270035409776</x:v>
      </x:c>
      <x:c r="W113" t="n">
        <x:v>29</x:v>
      </x:c>
      <x:c r="X113" t="n">
        <x:v>3</x:v>
      </x:c>
      <x:c r="Y113" s="38" t="n">
        <x:v>0.6409090909090909</x:v>
      </x:c>
      <x:c r="Z113" s="38" t="n">
        <x:v>0.7244345316347346</x:v>
      </x:c>
      <x:c r="AA113"/>
    </x:row>
    <x:row r="114">
      <x:c r="A114" s="54" t="n">
        <x:v>43921</x:v>
      </x:c>
      <x:c r="B114" t="n">
        <x:v>43921.624999988424</x:v>
      </x:c>
      <x:c r="C114" t="str">
        <x:v>025320</x:v>
      </x:c>
      <x:c r="D114" t="str">
        <x:v>시노펙스</x:v>
      </x:c>
      <x:c r="E114" t="str">
        <x:v>KOSDAQ</x:v>
      </x:c>
      <x:c r="F114" t="str">
        <x:v>LARGE</x:v>
      </x:c>
      <x:c r="G114" t="str">
        <x:v>ELIGIBLE</x:v>
      </x:c>
      <x:c r="H114"/>
      <x:c r="I114" s="54" t="n">
        <x:v>43921</x:v>
      </x:c>
      <x:c r="J114" s="55" t="n">
        <x:v>2115</x:v>
      </x:c>
      <x:c r="K114" s="55" t="n">
        <x:v>153466785720</x:v>
      </x:c>
      <x:c r="L114" s="55" t="n">
        <x:v>72561128</x:v>
      </x:c>
      <x:c r="M114" t="str">
        <x:v>20200330003989</x:v>
      </x:c>
      <x:c r="N114" t="n">
        <x:v>43920.624999988424</x:v>
      </x:c>
      <x:c r="O114" s="54" t="n">
        <x:v>43830</x:v>
      </x:c>
      <x:c r="P114" t="str">
        <x:v>False</x:v>
      </x:c>
      <x:c r="Q114" t="str">
        <x:v>7044785e3dd70cf8b3a62f236b6730909895713eba05a28c133a62e4c268bd32</x:v>
      </x:c>
      <x:c r="R114" t="str">
        <x:v>6c312ef2a9cfccb74e99dc0f4301a82209e9a6af70ed4e4b8f7afdaca9de1926</x:v>
      </x:c>
      <x:c r="S114" t="n">
        <x:v>6</x:v>
      </x:c>
      <x:c r="T114" t="str">
        <x:v>2018-12-31|2019-12-31</x:v>
      </x:c>
      <x:c r="U114" s="57" t="n">
        <x:v>811.6332939435208</x:v>
      </x:c>
      <x:c r="V114" s="57" t="n">
        <x:v>-0.6162490335964441</x:v>
      </x:c>
      <x:c r="W114" t="n">
        <x:v>51</x:v>
      </x:c>
      <x:c r="X114" t="n">
        <x:v>5</x:v>
      </x:c>
      <x:c r="Y114" s="38" t="n">
        <x:v>0.6409090909090909</x:v>
      </x:c>
      <x:c r="Z114" s="38" t="n">
        <x:v>0.5558118889209015</x:v>
      </x:c>
      <x:c r="AA114"/>
    </x:row>
    <x:row r="115">
      <x:c r="A115" s="54" t="n">
        <x:v>43921</x:v>
      </x:c>
      <x:c r="B115" t="n">
        <x:v>43921.624999988424</x:v>
      </x:c>
      <x:c r="C115" t="str">
        <x:v>347700</x:v>
      </x:c>
      <x:c r="D115" t="str">
        <x:v>스피어</x:v>
      </x:c>
      <x:c r="E115" t="str">
        <x:v>KOSDAQ</x:v>
      </x:c>
      <x:c r="F115" t="str">
        <x:v>LARGE</x:v>
      </x:c>
      <x:c r="G115" t="str">
        <x:v>NOT_LISTED_OR_NO_PRICE</x:v>
      </x:c>
      <x:c r="H115"/>
      <x:c r="I115" s="54"/>
      <x:c r="J115" s="55"/>
      <x:c r="K115" s="55"/>
      <x:c r="L115" s="55"/>
      <x:c r="M115"/>
      <x:c r="N115"/>
      <x:c r="O115" s="54"/>
      <x:c r="P115"/>
      <x:c r="Q115"/>
      <x:c r="R115"/>
      <x:c r="S115"/>
      <x:c r="T115"/>
      <x:c r="U115" s="57"/>
      <x:c r="V115" s="57"/>
      <x:c r="W115"/>
      <x:c r="X115"/>
      <x:c r="Y115" s="38"/>
      <x:c r="Z115" s="38"/>
      <x:c r="AA115"/>
    </x:row>
    <x:row r="116">
      <x:c r="A116" s="54" t="n">
        <x:v>43921</x:v>
      </x:c>
      <x:c r="B116" t="n">
        <x:v>43921.624999988424</x:v>
      </x:c>
      <x:c r="C116" t="str">
        <x:v>119850</x:v>
      </x:c>
      <x:c r="D116" t="str">
        <x:v>지엔씨에너지</x:v>
      </x:c>
      <x:c r="E116" t="str">
        <x:v>KOSDAQ</x:v>
      </x:c>
      <x:c r="F116" t="str">
        <x:v>LARGE</x:v>
      </x:c>
      <x:c r="G116" t="str">
        <x:v>ELIGIBLE</x:v>
      </x:c>
      <x:c r="H116"/>
      <x:c r="I116" s="54" t="n">
        <x:v>43921</x:v>
      </x:c>
      <x:c r="J116" s="55" t="n">
        <x:v>2935</x:v>
      </x:c>
      <x:c r="K116" s="55" t="n">
        <x:v>47828255180</x:v>
      </x:c>
      <x:c r="L116" s="55" t="n">
        <x:v>16295828</x:v>
      </x:c>
      <x:c r="M116" t="str">
        <x:v>20200330004281</x:v>
      </x:c>
      <x:c r="N116" t="n">
        <x:v>43920.624999988424</x:v>
      </x:c>
      <x:c r="O116" s="54" t="n">
        <x:v>43830</x:v>
      </x:c>
      <x:c r="P116" t="str">
        <x:v>False</x:v>
      </x:c>
      <x:c r="Q116" t="str">
        <x:v>8417e1ec351af38e02d4ffc9a37182dbc856d60e1cc58d214eb2411457a1ef6d</x:v>
      </x:c>
      <x:c r="R116" t="str">
        <x:v>6dd037efc870cf454f6bb48c6c442ad5bf291fd2c246553032e00a1a931d49b6</x:v>
      </x:c>
      <x:c r="S116" t="n">
        <x:v>6</x:v>
      </x:c>
      <x:c r="T116" t="str">
        <x:v>2018-12-31|2019-12-31</x:v>
      </x:c>
      <x:c r="U116" s="57" t="n">
        <x:v>4736.631875343494</x:v>
      </x:c>
      <x:c r="V116" s="57" t="n">
        <x:v>0.6138439098274255</x:v>
      </x:c>
      <x:c r="W116" t="n">
        <x:v>18</x:v>
      </x:c>
      <x:c r="X116" t="n">
        <x:v>2</x:v>
      </x:c>
      <x:c r="Y116" s="38" t="n">
        <x:v>0.6409090909090909</x:v>
      </x:c>
      <x:c r="Z116" s="38" t="n">
        <x:v>0.7118530583614918</x:v>
      </x:c>
      <x:c r="AA116"/>
    </x:row>
    <x:row r="117">
      <x:c r="A117" s="54" t="n">
        <x:v>43921</x:v>
      </x:c>
      <x:c r="B117" t="n">
        <x:v>43921.624999988424</x:v>
      </x:c>
      <x:c r="C117" t="str">
        <x:v>084110</x:v>
      </x:c>
      <x:c r="D117" t="str">
        <x:v>휴온스글로벌</x:v>
      </x:c>
      <x:c r="E117" t="str">
        <x:v>KOSDAQ</x:v>
      </x:c>
      <x:c r="F117" t="str">
        <x:v>LARGE</x:v>
      </x:c>
      <x:c r="G117" t="str">
        <x:v>ELIGIBLE</x:v>
      </x:c>
      <x:c r="H117"/>
      <x:c r="I117" s="54" t="n">
        <x:v>43921</x:v>
      </x:c>
      <x:c r="J117" s="55" t="n">
        <x:v>25600</x:v>
      </x:c>
      <x:c r="K117" s="55" t="n">
        <x:v>279586867200</x:v>
      </x:c>
      <x:c r="L117" s="55" t="n">
        <x:v>10921362</x:v>
      </x:c>
      <x:c r="M117" t="str">
        <x:v>20200327001990</x:v>
      </x:c>
      <x:c r="N117" t="n">
        <x:v>43917.624999988424</x:v>
      </x:c>
      <x:c r="O117" s="54" t="n">
        <x:v>43830</x:v>
      </x:c>
      <x:c r="P117" t="str">
        <x:v>False</x:v>
      </x:c>
      <x:c r="Q117" t="str">
        <x:v>eb455f03802e72563fd6bd72ff9aa02990d04cdf6e4810f60b8090e9f8189f9a</x:v>
      </x:c>
      <x:c r="R117" t="str">
        <x:v>abb4dd4e19dbd229608f198849951e5cfa13879c5c6e18eac3a47f8c32c0572a</x:v>
      </x:c>
      <x:c r="S117" t="n">
        <x:v>6</x:v>
      </x:c>
      <x:c r="T117" t="str">
        <x:v>2018-12-31|2019-12-31</x:v>
      </x:c>
      <x:c r="U117" s="57" t="n">
        <x:v>69497.6138687265</x:v>
      </x:c>
      <x:c r="V117" s="57" t="n">
        <x:v>1.714750541747129</x:v>
      </x:c>
      <x:c r="W117" t="n">
        <x:v>8</x:v>
      </x:c>
      <x:c r="X117" t="n">
        <x:v>1</x:v>
      </x:c>
      <x:c r="Y117" s="38" t="n">
        <x:v>0.6409090909090909</x:v>
      </x:c>
      <x:c r="Z117" s="38" t="n">
        <x:v>0.7384070510009209</x:v>
      </x:c>
      <x:c r="AA117"/>
    </x:row>
    <x:row r="118">
      <x:c r="A118" s="54" t="n">
        <x:v>43921</x:v>
      </x:c>
      <x:c r="B118" t="n">
        <x:v>43921.624999988424</x:v>
      </x:c>
      <x:c r="C118" t="str">
        <x:v>206650</x:v>
      </x:c>
      <x:c r="D118" t="str">
        <x:v>유바이오로직스</x:v>
      </x:c>
      <x:c r="E118" t="str">
        <x:v>KOSDAQ</x:v>
      </x:c>
      <x:c r="F118" t="str">
        <x:v>LARGE</x:v>
      </x:c>
      <x:c r="G118" t="str">
        <x:v>ELIGIBLE</x:v>
      </x:c>
      <x:c r="H118"/>
      <x:c r="I118" s="54" t="n">
        <x:v>43921</x:v>
      </x:c>
      <x:c r="J118" s="55" t="n">
        <x:v>6560</x:v>
      </x:c>
      <x:c r="K118" s="55" t="n">
        <x:v>175758754080</x:v>
      </x:c>
      <x:c r="L118" s="55" t="n">
        <x:v>26792493</x:v>
      </x:c>
      <x:c r="M118" t="str">
        <x:v>20200330002886</x:v>
      </x:c>
      <x:c r="N118" t="n">
        <x:v>43920.624999988424</x:v>
      </x:c>
      <x:c r="O118" s="54" t="n">
        <x:v>43830</x:v>
      </x:c>
      <x:c r="P118" t="str">
        <x:v>False</x:v>
      </x:c>
      <x:c r="Q118" t="str">
        <x:v>0d309bad4df48d241000e297f8d41a01d053fd2539cc7496c1d64fa8b17d7d30</x:v>
      </x:c>
      <x:c r="R118" t="str">
        <x:v>28944ca25ba3963fc9d6cbaad58509d5975bd5a33c6c9c5a52ae922b1fc2e0ba</x:v>
      </x:c>
      <x:c r="S118" t="n">
        <x:v>4</x:v>
      </x:c>
      <x:c r="T118" t="str">
        <x:v>2018-12-31|2019-12-31</x:v>
      </x:c>
      <x:c r="U118" s="57" t="n">
        <x:v>4260.185826884491</x:v>
      </x:c>
      <x:c r="V118" s="57" t="n">
        <x:v>-0.35058142882858373</x:v>
      </x:c>
      <x:c r="W118" t="n">
        <x:v>36</x:v>
      </x:c>
      <x:c r="X118" t="n">
        <x:v>3</x:v>
      </x:c>
      <x:c r="Y118" s="38" t="n">
        <x:v>0.6409090909090909</x:v>
      </x:c>
      <x:c r="Z118" s="38" t="n">
        <x:v>0.7114085801253023</x:v>
      </x:c>
      <x:c r="AA118"/>
    </x:row>
    <x:row r="119">
      <x:c r="A119" s="54" t="n">
        <x:v>43921</x:v>
      </x:c>
      <x:c r="B119" t="n">
        <x:v>43921.624999988424</x:v>
      </x:c>
      <x:c r="C119" t="str">
        <x:v>365340</x:v>
      </x:c>
      <x:c r="D119" t="str">
        <x:v>성일하이텍</x:v>
      </x:c>
      <x:c r="E119" t="str">
        <x:v>KOSDAQ</x:v>
      </x:c>
      <x:c r="F119" t="str">
        <x:v>LARGE</x:v>
      </x:c>
      <x:c r="G119" t="str">
        <x:v>NOT_LISTED_OR_NO_PRICE</x:v>
      </x:c>
      <x:c r="H119"/>
      <x:c r="I119" s="54"/>
      <x:c r="J119" s="55"/>
      <x:c r="K119" s="55"/>
      <x:c r="L119" s="55"/>
      <x:c r="M119"/>
      <x:c r="N119"/>
      <x:c r="O119" s="54"/>
      <x:c r="P119"/>
      <x:c r="Q119"/>
      <x:c r="R119"/>
      <x:c r="S119"/>
      <x:c r="T119"/>
      <x:c r="U119" s="57"/>
      <x:c r="V119" s="57"/>
      <x:c r="W119"/>
      <x:c r="X119"/>
      <x:c r="Y119" s="38"/>
      <x:c r="Z119" s="38"/>
      <x:c r="AA119"/>
    </x:row>
    <x:row r="120">
      <x:c r="A120" s="54" t="n">
        <x:v>43921</x:v>
      </x:c>
      <x:c r="B120" t="n">
        <x:v>43921.624999988424</x:v>
      </x:c>
      <x:c r="C120" t="str">
        <x:v>030530</x:v>
      </x:c>
      <x:c r="D120" t="str">
        <x:v>원익홀딩스</x:v>
      </x:c>
      <x:c r="E120" t="str">
        <x:v>KOSDAQ</x:v>
      </x:c>
      <x:c r="F120" t="str">
        <x:v>LARGE</x:v>
      </x:c>
      <x:c r="G120" t="str">
        <x:v>EXCLUDED_ARCHETYPE</x:v>
      </x:c>
      <x:c r="H120" t="str">
        <x:v>FCFF_NOT_COMPARABLE_FOR_FINANCE_OR_HOLDING_HINT</x:v>
      </x:c>
      <x:c r="I120" s="54"/>
      <x:c r="J120" s="55"/>
      <x:c r="K120" s="55"/>
      <x:c r="L120" s="55"/>
      <x:c r="M120"/>
      <x:c r="N120"/>
      <x:c r="O120" s="54"/>
      <x:c r="P120"/>
      <x:c r="Q120"/>
      <x:c r="R120"/>
      <x:c r="S120"/>
      <x:c r="T120"/>
      <x:c r="U120" s="57"/>
      <x:c r="V120" s="57"/>
      <x:c r="W120"/>
      <x:c r="X120"/>
      <x:c r="Y120" s="38"/>
      <x:c r="Z120" s="38"/>
      <x:c r="AA120"/>
    </x:row>
    <x:row r="121">
      <x:c r="A121" s="54" t="n">
        <x:v>43921</x:v>
      </x:c>
      <x:c r="B121" t="n">
        <x:v>43921.624999988424</x:v>
      </x:c>
      <x:c r="C121" t="str">
        <x:v>220100</x:v>
      </x:c>
      <x:c r="D121" t="str">
        <x:v>퓨쳐켐</x:v>
      </x:c>
      <x:c r="E121" t="str">
        <x:v>KOSDAQ</x:v>
      </x:c>
      <x:c r="F121" t="str">
        <x:v>LARGE</x:v>
      </x:c>
      <x:c r="G121" t="str">
        <x:v>DCF_SCREENING_EXCLUSION</x:v>
      </x:c>
      <x:c r="H121" t="str">
        <x:v>NON_POSITIVE_ENTERPRISE_VALUE|NON_POSITIVE_EQUITY_VALUE|NON_POSITIVE_TERMINAL_FCF</x:v>
      </x:c>
      <x:c r="I121" s="54" t="n">
        <x:v>43921</x:v>
      </x:c>
      <x:c r="J121" s="55" t="n">
        <x:v>9630</x:v>
      </x:c>
      <x:c r="K121" s="55" t="n">
        <x:v>55976166180</x:v>
      </x:c>
      <x:c r="L121" s="55" t="n">
        <x:v>5812686</x:v>
      </x:c>
      <x:c r="M121" t="str">
        <x:v>20200327000690</x:v>
      </x:c>
      <x:c r="N121" t="n">
        <x:v>43917.624999988424</x:v>
      </x:c>
      <x:c r="O121" s="54" t="n">
        <x:v>43830</x:v>
      </x:c>
      <x:c r="P121" t="str">
        <x:v>False</x:v>
      </x:c>
      <x:c r="Q121" t="str">
        <x:v>0c01a2b382ccf00213b24c087725fa01e806aa79f2a882e36e2a41329d3a623b</x:v>
      </x:c>
      <x:c r="R121" t="str">
        <x:v>f1c222dd3adc9c5bc785922e000fdf4b13b0cfd5d0de74051650956b468f2abb</x:v>
      </x:c>
      <x:c r="S121" t="n">
        <x:v>5</x:v>
      </x:c>
      <x:c r="T121" t="str">
        <x:v>2018-12-31|2019-12-31</x:v>
      </x:c>
      <x:c r="U121" s="57" t="n">
        <x:v>-3575.0031019337857</x:v>
      </x:c>
      <x:c r="V121" s="57" t="n">
        <x:v>-1.3712360438145157</x:v>
      </x:c>
      <x:c r="W121"/>
      <x:c r="X121"/>
      <x:c r="Y121" s="38" t="n">
        <x:v>0.6409090909090909</x:v>
      </x:c>
      <x:c r="Z121" s="38" t="n">
        <x:v>0.7149594422554854</x:v>
      </x:c>
      <x:c r="AA121" t="str">
        <x:v>NON_POSITIVE_ENTERPRISE_VALUE|NON_POSITIVE_EQUITY_VALUE|NON_POSITIVE_TERMINAL_FCF</x:v>
      </x:c>
    </x:row>
    <x:row r="122">
      <x:c r="A122" s="54" t="n">
        <x:v>43921</x:v>
      </x:c>
      <x:c r="B122" t="n">
        <x:v>43921.624999988424</x:v>
      </x:c>
      <x:c r="C122" t="str">
        <x:v>416180</x:v>
      </x:c>
      <x:c r="D122" t="str">
        <x:v>신성에스티</x:v>
      </x:c>
      <x:c r="E122" t="str">
        <x:v>KOSDAQ</x:v>
      </x:c>
      <x:c r="F122" t="str">
        <x:v>LARGE</x:v>
      </x:c>
      <x:c r="G122" t="str">
        <x:v>NOT_LISTED_OR_NO_PRICE</x:v>
      </x:c>
      <x:c r="H122"/>
      <x:c r="I122" s="54"/>
      <x:c r="J122" s="55"/>
      <x:c r="K122" s="55"/>
      <x:c r="L122" s="55"/>
      <x:c r="M122"/>
      <x:c r="N122"/>
      <x:c r="O122" s="54"/>
      <x:c r="P122"/>
      <x:c r="Q122"/>
      <x:c r="R122"/>
      <x:c r="S122"/>
      <x:c r="T122"/>
      <x:c r="U122" s="57"/>
      <x:c r="V122" s="57"/>
      <x:c r="W122"/>
      <x:c r="X122"/>
      <x:c r="Y122" s="38"/>
      <x:c r="Z122" s="38"/>
      <x:c r="AA122"/>
    </x:row>
    <x:row r="123">
      <x:c r="A123" s="54" t="n">
        <x:v>43921</x:v>
      </x:c>
      <x:c r="B123" t="n">
        <x:v>43921.624999988424</x:v>
      </x:c>
      <x:c r="C123" t="str">
        <x:v>082800</x:v>
      </x:c>
      <x:c r="D123" t="str">
        <x:v>비보존제약</x:v>
      </x:c>
      <x:c r="E123" t="str">
        <x:v>KOSDAQ</x:v>
      </x:c>
      <x:c r="F123" t="str">
        <x:v>LARGE</x:v>
      </x:c>
      <x:c r="G123" t="str">
        <x:v>DCF_SCREENING_EXCLUSION</x:v>
      </x:c>
      <x:c r="H123" t="str">
        <x:v>NON_POSITIVE_ENTERPRISE_VALUE|NON_POSITIVE_EQUITY_VALUE|NON_POSITIVE_TERMINAL_FCF</x:v>
      </x:c>
      <x:c r="I123" s="54" t="n">
        <x:v>43921</x:v>
      </x:c>
      <x:c r="J123" s="55" t="n">
        <x:v>1310</x:v>
      </x:c>
      <x:c r="K123" s="55" t="n">
        <x:v>162319652920</x:v>
      </x:c>
      <x:c r="L123" s="55" t="n">
        <x:v>123908132</x:v>
      </x:c>
      <x:c r="M123" t="str">
        <x:v>20200330004808</x:v>
      </x:c>
      <x:c r="N123" t="n">
        <x:v>43920.624999988424</x:v>
      </x:c>
      <x:c r="O123" s="54" t="n">
        <x:v>43830</x:v>
      </x:c>
      <x:c r="P123" t="str">
        <x:v>False</x:v>
      </x:c>
      <x:c r="Q123" t="str">
        <x:v>b5f127826cb00a752f2986ef2591ece8a42d2339f0886b6f6a9d54572352614e</x:v>
      </x:c>
      <x:c r="R123" t="str">
        <x:v>976e7c56bb6d88056b274481293b921144108c1b0e0d23d032953246eec65fc9</x:v>
      </x:c>
      <x:c r="S123" t="n">
        <x:v>5</x:v>
      </x:c>
      <x:c r="T123" t="str">
        <x:v>2018-12-31|2019-12-31</x:v>
      </x:c>
      <x:c r="U123" s="57" t="n">
        <x:v>-401.71980385077273</x:v>
      </x:c>
      <x:c r="V123" s="57" t="n">
        <x:v>-1.3066563388173837</x:v>
      </x:c>
      <x:c r="W123"/>
      <x:c r="X123"/>
      <x:c r="Y123" s="38" t="n">
        <x:v>0.6409090909090909</x:v>
      </x:c>
      <x:c r="Z123" s="38" t="n">
        <x:v>0.7861719092432783</x:v>
      </x:c>
      <x:c r="AA123" t="str">
        <x:v>NON_POSITIVE_ENTERPRISE_VALUE|NON_POSITIVE_EQUITY_VALUE|NON_POSITIVE_TERMINAL_FCF</x:v>
      </x:c>
    </x:row>
    <x:row r="124">
      <x:c r="A124" s="54" t="n">
        <x:v>43921</x:v>
      </x:c>
      <x:c r="B124" t="n">
        <x:v>43921.624999988424</x:v>
      </x:c>
      <x:c r="C124" t="str">
        <x:v>204620</x:v>
      </x:c>
      <x:c r="D124" t="str">
        <x:v>글로벌텍스프리</x:v>
      </x:c>
      <x:c r="E124" t="str">
        <x:v>KOSDAQ</x:v>
      </x:c>
      <x:c r="F124" t="str">
        <x:v>LARGE</x:v>
      </x:c>
      <x:c r="G124" t="str">
        <x:v>ELIGIBLE</x:v>
      </x:c>
      <x:c r="H124"/>
      <x:c r="I124" s="54" t="n">
        <x:v>43921</x:v>
      </x:c>
      <x:c r="J124" s="55" t="n">
        <x:v>2735</x:v>
      </x:c>
      <x:c r="K124" s="55" t="n">
        <x:v>101890286230</x:v>
      </x:c>
      <x:c r="L124" s="55" t="n">
        <x:v>37254218</x:v>
      </x:c>
      <x:c r="M124" t="str">
        <x:v>20200330001582</x:v>
      </x:c>
      <x:c r="N124" t="n">
        <x:v>43920.624999988424</x:v>
      </x:c>
      <x:c r="O124" s="54" t="n">
        <x:v>43830</x:v>
      </x:c>
      <x:c r="P124" t="str">
        <x:v>False</x:v>
      </x:c>
      <x:c r="Q124" t="str">
        <x:v>c3e3032eb52f1f75571ce48df740b3c28136cf7ecc540e0f08878ab35f680172</x:v>
      </x:c>
      <x:c r="R124" t="str">
        <x:v>a08b6628c319e5f148c97c1d70353771cefb45473c0b6aebeb3c566f9e403af8</x:v>
      </x:c>
      <x:c r="S124" t="n">
        <x:v>7</x:v>
      </x:c>
      <x:c r="T124" t="str">
        <x:v>2018-12-31|2019-12-31</x:v>
      </x:c>
      <x:c r="U124" s="57" t="n">
        <x:v>3631.0676032452343</x:v>
      </x:c>
      <x:c r="V124" s="57" t="n">
        <x:v>0.32762983665273643</x:v>
      </x:c>
      <x:c r="W124" t="n">
        <x:v>21</x:v>
      </x:c>
      <x:c r="X124" t="n">
        <x:v>2</x:v>
      </x:c>
      <x:c r="Y124" s="38" t="n">
        <x:v>0.6409090909090909</x:v>
      </x:c>
      <x:c r="Z124" s="38" t="n">
        <x:v>0.7182330048545312</x:v>
      </x:c>
      <x:c r="AA124"/>
    </x:row>
    <x:row r="125">
      <x:c r="A125" s="54" t="n">
        <x:v>43921</x:v>
      </x:c>
      <x:c r="B125" t="n">
        <x:v>43921.624999988424</x:v>
      </x:c>
      <x:c r="C125" t="str">
        <x:v>445090</x:v>
      </x:c>
      <x:c r="D125" t="str">
        <x:v>에이직랜드</x:v>
      </x:c>
      <x:c r="E125" t="str">
        <x:v>KOSDAQ</x:v>
      </x:c>
      <x:c r="F125" t="str">
        <x:v>LARGE</x:v>
      </x:c>
      <x:c r="G125" t="str">
        <x:v>NOT_LISTED_OR_NO_PRICE</x:v>
      </x:c>
      <x:c r="H125"/>
      <x:c r="I125" s="54"/>
      <x:c r="J125" s="55"/>
      <x:c r="K125" s="55"/>
      <x:c r="L125" s="55"/>
      <x:c r="M125"/>
      <x:c r="N125"/>
      <x:c r="O125" s="54"/>
      <x:c r="P125"/>
      <x:c r="Q125"/>
      <x:c r="R125"/>
      <x:c r="S125"/>
      <x:c r="T125"/>
      <x:c r="U125" s="57"/>
      <x:c r="V125" s="57"/>
      <x:c r="W125"/>
      <x:c r="X125"/>
      <x:c r="Y125" s="38"/>
      <x:c r="Z125" s="38"/>
      <x:c r="AA125"/>
    </x:row>
    <x:row r="126">
      <x:c r="A126" s="54" t="n">
        <x:v>43921</x:v>
      </x:c>
      <x:c r="B126" t="n">
        <x:v>43921.624999988424</x:v>
      </x:c>
      <x:c r="C126" t="str">
        <x:v>115450</x:v>
      </x:c>
      <x:c r="D126" t="str">
        <x:v>HLB테라퓨틱스</x:v>
      </x:c>
      <x:c r="E126" t="str">
        <x:v>KOSDAQ</x:v>
      </x:c>
      <x:c r="F126" t="str">
        <x:v>LARGE</x:v>
      </x:c>
      <x:c r="G126" t="str">
        <x:v>DCF_SCREENING_EXCLUSION</x:v>
      </x:c>
      <x:c r="H126" t="str">
        <x:v>NON_POSITIVE_ENTERPRISE_VALUE|NON_POSITIVE_EQUITY_VALUE|NON_POSITIVE_TERMINAL_FCF</x:v>
      </x:c>
      <x:c r="I126" s="54" t="n">
        <x:v>43921</x:v>
      </x:c>
      <x:c r="J126" s="55" t="n">
        <x:v>19650</x:v>
      </x:c>
      <x:c r="K126" s="55" t="n">
        <x:v>494472757200</x:v>
      </x:c>
      <x:c r="L126" s="55" t="n">
        <x:v>25164008</x:v>
      </x:c>
      <x:c r="M126" t="str">
        <x:v>20200327001512</x:v>
      </x:c>
      <x:c r="N126" t="n">
        <x:v>43917.624999988424</x:v>
      </x:c>
      <x:c r="O126" s="54" t="n">
        <x:v>43830</x:v>
      </x:c>
      <x:c r="P126" t="str">
        <x:v>False</x:v>
      </x:c>
      <x:c r="Q126" t="str">
        <x:v>c0c9b99c7c03017b2e0ccd1e13f7b9621e992265d92891993d3dbf47dab0bdc0</x:v>
      </x:c>
      <x:c r="R126" t="str">
        <x:v>e1098632bfc10fff006e977449a9a13edc8c315c03bd6387c45ce9a8cfff7cc1</x:v>
      </x:c>
      <x:c r="S126" t="n">
        <x:v>6</x:v>
      </x:c>
      <x:c r="T126" t="str">
        <x:v>2018-12-31|2019-12-31</x:v>
      </x:c>
      <x:c r="U126" s="57" t="n">
        <x:v>-5273.9697640123095</x:v>
      </x:c>
      <x:c r="V126" s="57" t="n">
        <x:v>-1.2683954078377766</x:v>
      </x:c>
      <x:c r="W126"/>
      <x:c r="X126"/>
      <x:c r="Y126" s="38" t="n">
        <x:v>0.6409090909090909</x:v>
      </x:c>
      <x:c r="Z126" s="38" t="n">
        <x:v>0.6871569100901241</x:v>
      </x:c>
      <x:c r="AA126" t="str">
        <x:v>NON_POSITIVE_ENTERPRISE_VALUE|NON_POSITIVE_EQUITY_VALUE|NON_POSITIVE_TERMINAL_FCF</x:v>
      </x:c>
    </x:row>
    <x:row r="127">
      <x:c r="A127" s="54" t="n">
        <x:v>43921</x:v>
      </x:c>
      <x:c r="B127" t="n">
        <x:v>43921.624999988424</x:v>
      </x:c>
      <x:c r="C127" t="str">
        <x:v>035420</x:v>
      </x:c>
      <x:c r="D127" t="str">
        <x:v>NAVER</x:v>
      </x:c>
      <x:c r="E127" t="str">
        <x:v>KOSPI</x:v>
      </x:c>
      <x:c r="F127" t="str">
        <x:v>LARGE</x:v>
      </x:c>
      <x:c r="G127" t="str">
        <x:v>ELIGIBLE</x:v>
      </x:c>
      <x:c r="H127"/>
      <x:c r="I127" s="54" t="n">
        <x:v>43921</x:v>
      </x:c>
      <x:c r="J127" s="55" t="n">
        <x:v>170000</x:v>
      </x:c>
      <x:c r="K127" s="55" t="n">
        <x:v>27924777150000</x:v>
      </x:c>
      <x:c r="L127" s="55" t="n">
        <x:v>164263395</x:v>
      </x:c>
      <x:c r="M127" t="str">
        <x:v>20200330004603</x:v>
      </x:c>
      <x:c r="N127" t="n">
        <x:v>43920.624999988424</x:v>
      </x:c>
      <x:c r="O127" s="54" t="n">
        <x:v>43830</x:v>
      </x:c>
      <x:c r="P127" t="str">
        <x:v>False</x:v>
      </x:c>
      <x:c r="Q127" t="str">
        <x:v>7e12af29ea19a63f4ab4f811d45f6f6fd68cae289df20b942eb1245479e37a23</x:v>
      </x:c>
      <x:c r="R127" t="str">
        <x:v>aa863b7b51010cfbe2d4f4e5810c7cae4e483f1bbafb6edf3c4e5feebc68a7f2</x:v>
      </x:c>
      <x:c r="S127" t="n">
        <x:v>6</x:v>
      </x:c>
      <x:c r="T127" t="str">
        <x:v>2018-12-31|2019-12-31</x:v>
      </x:c>
      <x:c r="U127" s="57" t="n">
        <x:v>68752.18393116405</x:v>
      </x:c>
      <x:c r="V127" s="57" t="n">
        <x:v>-0.5955753886402114</x:v>
      </x:c>
      <x:c r="W127" t="n">
        <x:v>47</x:v>
      </x:c>
      <x:c r="X127" t="n">
        <x:v>4</x:v>
      </x:c>
      <x:c r="Y127" s="38" t="n">
        <x:v>0.6409090909090909</x:v>
      </x:c>
      <x:c r="Z127" s="38" t="n">
        <x:v>0.7489570591610162</x:v>
      </x:c>
      <x:c r="AA127"/>
    </x:row>
    <x:row r="128">
      <x:c r="A128" s="54" t="n">
        <x:v>43921</x:v>
      </x:c>
      <x:c r="B128" t="n">
        <x:v>43921.624999988424</x:v>
      </x:c>
      <x:c r="C128" t="str">
        <x:v>030200</x:v>
      </x:c>
      <x:c r="D128" t="str">
        <x:v>KT</x:v>
      </x:c>
      <x:c r="E128" t="str">
        <x:v>KOSPI</x:v>
      </x:c>
      <x:c r="F128" t="str">
        <x:v>LARGE</x:v>
      </x:c>
      <x:c r="G128" t="str">
        <x:v>ELIGIBLE</x:v>
      </x:c>
      <x:c r="H128"/>
      <x:c r="I128" s="54" t="n">
        <x:v>43921</x:v>
      </x:c>
      <x:c r="J128" s="55" t="n">
        <x:v>19850</x:v>
      </x:c>
      <x:c r="K128" s="55" t="n">
        <x:v>5183069388800</x:v>
      </x:c>
      <x:c r="L128" s="55" t="n">
        <x:v>261111808</x:v>
      </x:c>
      <x:c r="M128" t="str">
        <x:v>20200330004658</x:v>
      </x:c>
      <x:c r="N128" t="n">
        <x:v>43920.624999988424</x:v>
      </x:c>
      <x:c r="O128" s="54" t="n">
        <x:v>43830</x:v>
      </x:c>
      <x:c r="P128" t="str">
        <x:v>False</x:v>
      </x:c>
      <x:c r="Q128" t="str">
        <x:v>411a42a1090839d40d451defa74d8c561057f03ccf876c255129e032d9ad1f77</x:v>
      </x:c>
      <x:c r="R128" t="str">
        <x:v>f6e6a8d2313c55b57e8d8f83fd27a802541d6721ca23f2530804690fbdd5f9cf</x:v>
      </x:c>
      <x:c r="S128" t="n">
        <x:v>6</x:v>
      </x:c>
      <x:c r="T128" t="str">
        <x:v>2018-12-31|2019-12-31</x:v>
      </x:c>
      <x:c r="U128" s="57" t="n">
        <x:v>44351.92750450468</x:v>
      </x:c>
      <x:c r="V128" s="57" t="n">
        <x:v>1.2343540304536365</x:v>
      </x:c>
      <x:c r="W128" t="n">
        <x:v>9</x:v>
      </x:c>
      <x:c r="X128" t="n">
        <x:v>1</x:v>
      </x:c>
      <x:c r="Y128" s="38" t="n">
        <x:v>0.6409090909090909</x:v>
      </x:c>
      <x:c r="Z128" s="38" t="n">
        <x:v>0.7124511639379508</x:v>
      </x:c>
      <x:c r="AA128"/>
    </x:row>
    <x:row r="129">
      <x:c r="A129" s="54" t="n">
        <x:v>43921</x:v>
      </x:c>
      <x:c r="B129" t="n">
        <x:v>43921.624999988424</x:v>
      </x:c>
      <x:c r="C129" t="str">
        <x:v>018260</x:v>
      </x:c>
      <x:c r="D129" t="str">
        <x:v>삼성에스디에스</x:v>
      </x:c>
      <x:c r="E129" t="str">
        <x:v>KOSPI</x:v>
      </x:c>
      <x:c r="F129" t="str">
        <x:v>LARGE</x:v>
      </x:c>
      <x:c r="G129" t="str">
        <x:v>ELIGIBLE</x:v>
      </x:c>
      <x:c r="H129"/>
      <x:c r="I129" s="54" t="n">
        <x:v>43921</x:v>
      </x:c>
      <x:c r="J129" s="55" t="n">
        <x:v>149500</x:v>
      </x:c>
      <x:c r="K129" s="55" t="n">
        <x:v>11567981100000</x:v>
      </x:c>
      <x:c r="L129" s="55" t="n">
        <x:v>77377800</x:v>
      </x:c>
      <x:c r="M129" t="str">
        <x:v>20200330004186</x:v>
      </x:c>
      <x:c r="N129" t="n">
        <x:v>43920.624999988424</x:v>
      </x:c>
      <x:c r="O129" s="54" t="n">
        <x:v>43830</x:v>
      </x:c>
      <x:c r="P129" t="str">
        <x:v>False</x:v>
      </x:c>
      <x:c r="Q129" t="str">
        <x:v>cd32295c56019ec510face1ff2a3719f4b2c2a2520185f3633d5c26c11ae04d0</x:v>
      </x:c>
      <x:c r="R129" t="str">
        <x:v>7e0894f632d59624dd50e8b6a583a5760a0e54f3392107b2865def257d6904cd</x:v>
      </x:c>
      <x:c r="S129" t="n">
        <x:v>6</x:v>
      </x:c>
      <x:c r="T129" t="str">
        <x:v>2018-12-31|2019-12-31</x:v>
      </x:c>
      <x:c r="U129" s="57" t="n">
        <x:v>133355.7495652602</x:v>
      </x:c>
      <x:c r="V129" s="57" t="n">
        <x:v>-0.1079882972223398</x:v>
      </x:c>
      <x:c r="W129" t="n">
        <x:v>27</x:v>
      </x:c>
      <x:c r="X129" t="n">
        <x:v>3</x:v>
      </x:c>
      <x:c r="Y129" s="38" t="n">
        <x:v>0.6409090909090909</x:v>
      </x:c>
      <x:c r="Z129" s="38" t="n">
        <x:v>0.7032158233120083</x:v>
      </x:c>
      <x:c r="AA129"/>
    </x:row>
    <x:row r="130">
      <x:c r="A130" s="54" t="n">
        <x:v>43921</x:v>
      </x:c>
      <x:c r="B130" t="n">
        <x:v>43921.624999988424</x:v>
      </x:c>
      <x:c r="C130" t="str">
        <x:v>090430</x:v>
      </x:c>
      <x:c r="D130" t="str">
        <x:v>아모레퍼시픽</x:v>
      </x:c>
      <x:c r="E130" t="str">
        <x:v>KOSPI</x:v>
      </x:c>
      <x:c r="F130" t="str">
        <x:v>LARGE</x:v>
      </x:c>
      <x:c r="G130" t="str">
        <x:v>ELIGIBLE</x:v>
      </x:c>
      <x:c r="H130"/>
      <x:c r="I130" s="54" t="n">
        <x:v>43921</x:v>
      </x:c>
      <x:c r="J130" s="55" t="n">
        <x:v>168500</x:v>
      </x:c>
      <x:c r="K130" s="55" t="n">
        <x:v>9850255565000</x:v>
      </x:c>
      <x:c r="L130" s="55" t="n">
        <x:v>58458490</x:v>
      </x:c>
      <x:c r="M130" t="str">
        <x:v>20200330003631</x:v>
      </x:c>
      <x:c r="N130" t="n">
        <x:v>43920.624999988424</x:v>
      </x:c>
      <x:c r="O130" s="54" t="n">
        <x:v>43830</x:v>
      </x:c>
      <x:c r="P130" t="str">
        <x:v>False</x:v>
      </x:c>
      <x:c r="Q130" t="str">
        <x:v>df0008ba89015b62eb63bc38898b1a7b6c747a9664b20ece4316c5de11c1d7d8</x:v>
      </x:c>
      <x:c r="R130" t="str">
        <x:v>fb21013afa131810c4f0fb2c400c3884e0731b44e200b13d161a21c6f69fe467</x:v>
      </x:c>
      <x:c r="S130" t="n">
        <x:v>6</x:v>
      </x:c>
      <x:c r="T130" t="str">
        <x:v>2018-12-31|2019-12-31</x:v>
      </x:c>
      <x:c r="U130" s="57" t="n">
        <x:v>60382.664823435625</x:v>
      </x:c>
      <x:c r="V130" s="57" t="n">
        <x:v>-0.6416459060923702</x:v>
      </x:c>
      <x:c r="W130" t="n">
        <x:v>53</x:v>
      </x:c>
      <x:c r="X130" t="n">
        <x:v>5</x:v>
      </x:c>
      <x:c r="Y130" s="38" t="n">
        <x:v>0.6409090909090909</x:v>
      </x:c>
      <x:c r="Z130" s="38" t="n">
        <x:v>0.7238800972045121</x:v>
      </x:c>
      <x:c r="AA130"/>
    </x:row>
    <x:row r="131">
      <x:c r="A131" s="54" t="n">
        <x:v>43921</x:v>
      </x:c>
      <x:c r="B131" t="n">
        <x:v>43921.624999988424</x:v>
      </x:c>
      <x:c r="C131" t="str">
        <x:v>278470</x:v>
      </x:c>
      <x:c r="D131" t="str">
        <x:v>에이피알</x:v>
      </x:c>
      <x:c r="E131" t="str">
        <x:v>KOSPI</x:v>
      </x:c>
      <x:c r="F131" t="str">
        <x:v>LARGE</x:v>
      </x:c>
      <x:c r="G131" t="str">
        <x:v>NOT_LISTED_OR_NO_PRICE</x:v>
      </x:c>
      <x:c r="H131"/>
      <x:c r="I131" s="54"/>
      <x:c r="J131" s="55"/>
      <x:c r="K131" s="55"/>
      <x:c r="L131" s="55"/>
      <x:c r="M131"/>
      <x:c r="N131"/>
      <x:c r="O131" s="54"/>
      <x:c r="P131"/>
      <x:c r="Q131"/>
      <x:c r="R131"/>
      <x:c r="S131"/>
      <x:c r="T131"/>
      <x:c r="U131" s="57"/>
      <x:c r="V131" s="57"/>
      <x:c r="W131"/>
      <x:c r="X131"/>
      <x:c r="Y131" s="38"/>
      <x:c r="Z131" s="38"/>
      <x:c r="AA131"/>
    </x:row>
    <x:row r="132">
      <x:c r="A132" s="54" t="n">
        <x:v>43921</x:v>
      </x:c>
      <x:c r="B132" t="n">
        <x:v>43921.624999988424</x:v>
      </x:c>
      <x:c r="C132" t="str">
        <x:v>006260</x:v>
      </x:c>
      <x:c r="D132" t="str">
        <x:v>LS</x:v>
      </x:c>
      <x:c r="E132" t="str">
        <x:v>KOSPI</x:v>
      </x:c>
      <x:c r="F132" t="str">
        <x:v>LARGE</x:v>
      </x:c>
      <x:c r="G132" t="str">
        <x:v>ELIGIBLE</x:v>
      </x:c>
      <x:c r="H132"/>
      <x:c r="I132" s="54" t="n">
        <x:v>43921</x:v>
      </x:c>
      <x:c r="J132" s="55" t="n">
        <x:v>28900</x:v>
      </x:c>
      <x:c r="K132" s="55" t="n">
        <x:v>930580000000</x:v>
      </x:c>
      <x:c r="L132" s="55" t="n">
        <x:v>32200000</x:v>
      </x:c>
      <x:c r="M132" t="str">
        <x:v>20200330004547</x:v>
      </x:c>
      <x:c r="N132" t="n">
        <x:v>43920.624999988424</x:v>
      </x:c>
      <x:c r="O132" s="54" t="n">
        <x:v>43830</x:v>
      </x:c>
      <x:c r="P132" t="str">
        <x:v>False</x:v>
      </x:c>
      <x:c r="Q132" t="str">
        <x:v>0ec196d1f084a76a238c047092ac2d6371f5eea1abfb4c1d732f0360c9db31a5</x:v>
      </x:c>
      <x:c r="R132" t="str">
        <x:v>fedfeb662682b5b893212e59ad5d62d201af782924c5f09cab8d15fa1c991c15</x:v>
      </x:c>
      <x:c r="S132" t="n">
        <x:v>6</x:v>
      </x:c>
      <x:c r="T132" t="str">
        <x:v>2018-12-31|2019-12-31</x:v>
      </x:c>
      <x:c r="U132" s="57" t="n">
        <x:v>55207.39311864186</x:v>
      </x:c>
      <x:c r="V132" s="57" t="n">
        <x:v>0.9102904193301683</x:v>
      </x:c>
      <x:c r="W132" t="n">
        <x:v>13</x:v>
      </x:c>
      <x:c r="X132" t="n">
        <x:v>1</x:v>
      </x:c>
      <x:c r="Y132" s="38" t="n">
        <x:v>0.6409090909090909</x:v>
      </x:c>
      <x:c r="Z132" s="38" t="n">
        <x:v>0.7297769121142873</x:v>
      </x:c>
      <x:c r="AA132"/>
    </x:row>
    <x:row r="133">
      <x:c r="A133" s="54" t="n">
        <x:v>43921</x:v>
      </x:c>
      <x:c r="B133" t="n">
        <x:v>43921.624999988424</x:v>
      </x:c>
      <x:c r="C133" t="str">
        <x:v>454910</x:v>
      </x:c>
      <x:c r="D133" t="str">
        <x:v>두산로보틱스</x:v>
      </x:c>
      <x:c r="E133" t="str">
        <x:v>KOSPI</x:v>
      </x:c>
      <x:c r="F133" t="str">
        <x:v>LARGE</x:v>
      </x:c>
      <x:c r="G133" t="str">
        <x:v>NOT_LISTED_OR_NO_PRICE</x:v>
      </x:c>
      <x:c r="H133"/>
      <x:c r="I133" s="54"/>
      <x:c r="J133" s="55"/>
      <x:c r="K133" s="55"/>
      <x:c r="L133" s="55"/>
      <x:c r="M133"/>
      <x:c r="N133"/>
      <x:c r="O133" s="54"/>
      <x:c r="P133"/>
      <x:c r="Q133"/>
      <x:c r="R133"/>
      <x:c r="S133"/>
      <x:c r="T133"/>
      <x:c r="U133" s="57"/>
      <x:c r="V133" s="57"/>
      <x:c r="W133"/>
      <x:c r="X133"/>
      <x:c r="Y133" s="38"/>
      <x:c r="Z133" s="38"/>
      <x:c r="AA133"/>
    </x:row>
    <x:row r="134">
      <x:c r="A134" s="54" t="n">
        <x:v>43921</x:v>
      </x:c>
      <x:c r="B134" t="n">
        <x:v>43921.624999988424</x:v>
      </x:c>
      <x:c r="C134" t="str">
        <x:v>012750</x:v>
      </x:c>
      <x:c r="D134" t="str">
        <x:v>에스원</x:v>
      </x:c>
      <x:c r="E134" t="str">
        <x:v>KOSPI</x:v>
      </x:c>
      <x:c r="F134" t="str">
        <x:v>LARGE</x:v>
      </x:c>
      <x:c r="G134" t="str">
        <x:v>ELIGIBLE</x:v>
      </x:c>
      <x:c r="H134"/>
      <x:c r="I134" s="54" t="n">
        <x:v>43921</x:v>
      </x:c>
      <x:c r="J134" s="55" t="n">
        <x:v>80000</x:v>
      </x:c>
      <x:c r="K134" s="55" t="n">
        <x:v>3039934240000</x:v>
      </x:c>
      <x:c r="L134" s="55" t="n">
        <x:v>37999178</x:v>
      </x:c>
      <x:c r="M134" t="str">
        <x:v>20200330003830</x:v>
      </x:c>
      <x:c r="N134" t="n">
        <x:v>43920.624999988424</x:v>
      </x:c>
      <x:c r="O134" s="54" t="n">
        <x:v>43830</x:v>
      </x:c>
      <x:c r="P134" t="str">
        <x:v>False</x:v>
      </x:c>
      <x:c r="Q134" t="str">
        <x:v>403c4aaed611f6f197feee5127fc49d53c8243ad428a5b9153f1491619efbb7b</x:v>
      </x:c>
      <x:c r="R134" t="str">
        <x:v>f0c2234c7275e7b9583bedcb918a3cf27fd40d6b21f0f0a07bc6454547a0aacc</x:v>
      </x:c>
      <x:c r="S134" t="n">
        <x:v>6</x:v>
      </x:c>
      <x:c r="T134" t="str">
        <x:v>2018-12-31|2019-12-31</x:v>
      </x:c>
      <x:c r="U134" s="57" t="n">
        <x:v>48920.81603703547</x:v>
      </x:c>
      <x:c r="V134" s="57" t="n">
        <x:v>-0.38848979953705665</x:v>
      </x:c>
      <x:c r="W134" t="n">
        <x:v>38</x:v>
      </x:c>
      <x:c r="X134" t="n">
        <x:v>3</x:v>
      </x:c>
      <x:c r="Y134" s="38" t="n">
        <x:v>0.6409090909090909</x:v>
      </x:c>
      <x:c r="Z134" s="38" t="n">
        <x:v>0.7122128124289423</x:v>
      </x:c>
      <x:c r="AA134"/>
    </x:row>
    <x:row r="135">
      <x:c r="A135" s="54" t="n">
        <x:v>43921</x:v>
      </x:c>
      <x:c r="B135" t="n">
        <x:v>43921.624999988424</x:v>
      </x:c>
      <x:c r="C135" t="str">
        <x:v>081660</x:v>
      </x:c>
      <x:c r="D135" t="str">
        <x:v>미스토홀딩스</x:v>
      </x:c>
      <x:c r="E135" t="str">
        <x:v>KOSPI</x:v>
      </x:c>
      <x:c r="F135" t="str">
        <x:v>LARGE</x:v>
      </x:c>
      <x:c r="G135" t="str">
        <x:v>EXCLUDED_ARCHETYPE</x:v>
      </x:c>
      <x:c r="H135" t="str">
        <x:v>FCFF_NOT_COMPARABLE_FOR_FINANCE_OR_HOLDING_HINT</x:v>
      </x:c>
      <x:c r="I135" s="54"/>
      <x:c r="J135" s="55"/>
      <x:c r="K135" s="55"/>
      <x:c r="L135" s="55"/>
      <x:c r="M135"/>
      <x:c r="N135"/>
      <x:c r="O135" s="54"/>
      <x:c r="P135"/>
      <x:c r="Q135"/>
      <x:c r="R135"/>
      <x:c r="S135"/>
      <x:c r="T135"/>
      <x:c r="U135" s="57"/>
      <x:c r="V135" s="57"/>
      <x:c r="W135"/>
      <x:c r="X135"/>
      <x:c r="Y135" s="38"/>
      <x:c r="Z135" s="38"/>
      <x:c r="AA135"/>
    </x:row>
    <x:row r="136">
      <x:c r="A136" s="54" t="n">
        <x:v>43921</x:v>
      </x:c>
      <x:c r="B136" t="n">
        <x:v>43921.624999988424</x:v>
      </x:c>
      <x:c r="C136" t="str">
        <x:v>282330</x:v>
      </x:c>
      <x:c r="D136" t="str">
        <x:v>BGF리테일</x:v>
      </x:c>
      <x:c r="E136" t="str">
        <x:v>KOSPI</x:v>
      </x:c>
      <x:c r="F136" t="str">
        <x:v>LARGE</x:v>
      </x:c>
      <x:c r="G136" t="str">
        <x:v>ELIGIBLE</x:v>
      </x:c>
      <x:c r="H136"/>
      <x:c r="I136" s="54" t="n">
        <x:v>43921</x:v>
      </x:c>
      <x:c r="J136" s="55" t="n">
        <x:v>132000</x:v>
      </x:c>
      <x:c r="K136" s="55" t="n">
        <x:v>2281475592000</x:v>
      </x:c>
      <x:c r="L136" s="55" t="n">
        <x:v>17283906</x:v>
      </x:c>
      <x:c r="M136" t="str">
        <x:v>20200330003848</x:v>
      </x:c>
      <x:c r="N136" t="n">
        <x:v>43920.624999988424</x:v>
      </x:c>
      <x:c r="O136" s="54" t="n">
        <x:v>43830</x:v>
      </x:c>
      <x:c r="P136" t="str">
        <x:v>False</x:v>
      </x:c>
      <x:c r="Q136" t="str">
        <x:v>789faf2a7a91e08b88b2843fd828db6f98905720ed29ad59cfc78668f2c840cc</x:v>
      </x:c>
      <x:c r="R136" t="str">
        <x:v>14007ce1d2d9f1bec784fc2b4b58a31493ae1d7bcc5d4c8a3481f96832a78c25</x:v>
      </x:c>
      <x:c r="S136" t="n">
        <x:v>6</x:v>
      </x:c>
      <x:c r="T136" t="str">
        <x:v>2018-12-31|2019-12-31</x:v>
      </x:c>
      <x:c r="U136" s="57" t="n">
        <x:v>76583.33050148396</x:v>
      </x:c>
      <x:c r="V136" s="57" t="n">
        <x:v>-0.41982325377663665</x:v>
      </x:c>
      <x:c r="W136" t="n">
        <x:v>40</x:v>
      </x:c>
      <x:c r="X136" t="n">
        <x:v>4</x:v>
      </x:c>
      <x:c r="Y136" s="38" t="n">
        <x:v>0.6409090909090909</x:v>
      </x:c>
      <x:c r="Z136" s="38" t="n">
        <x:v>0.7017224672267075</x:v>
      </x:c>
      <x:c r="AA136"/>
    </x:row>
    <x:row r="137">
      <x:c r="A137" s="54" t="n">
        <x:v>43921</x:v>
      </x:c>
      <x:c r="B137" t="n">
        <x:v>43921.624999988424</x:v>
      </x:c>
      <x:c r="C137" t="str">
        <x:v>023590</x:v>
      </x:c>
      <x:c r="D137" t="str">
        <x:v>다우기술</x:v>
      </x:c>
      <x:c r="E137" t="str">
        <x:v>KOSPI</x:v>
      </x:c>
      <x:c r="F137" t="str">
        <x:v>LARGE</x:v>
      </x:c>
      <x:c r="G137" t="str">
        <x:v>DCF_SCREENING_EXCLUSION</x:v>
      </x:c>
      <x:c r="H137" t="str">
        <x:v>NON_POSITIVE_EQUITY_VALUE</x:v>
      </x:c>
      <x:c r="I137" s="54" t="n">
        <x:v>43921</x:v>
      </x:c>
      <x:c r="J137" s="55" t="n">
        <x:v>14800</x:v>
      </x:c>
      <x:c r="K137" s="55" t="n">
        <x:v>664025931600</x:v>
      </x:c>
      <x:c r="L137" s="55" t="n">
        <x:v>44866617</x:v>
      </x:c>
      <x:c r="M137" t="str">
        <x:v>20200330004643</x:v>
      </x:c>
      <x:c r="N137" t="n">
        <x:v>43920.624999988424</x:v>
      </x:c>
      <x:c r="O137" s="54" t="n">
        <x:v>43830</x:v>
      </x:c>
      <x:c r="P137" t="str">
        <x:v>False</x:v>
      </x:c>
      <x:c r="Q137" t="str">
        <x:v>2141ccc71183cf5f6c11d701e37ca529ebfbfe796a6b25b4d5cdba72ef13c08d</x:v>
      </x:c>
      <x:c r="R137" t="str">
        <x:v>8c4dc3ef7094456ee8503c7b9a0cac48c4ca2a29876ed6566312a134a1969762</x:v>
      </x:c>
      <x:c r="S137" t="n">
        <x:v>7</x:v>
      </x:c>
      <x:c r="T137" t="str">
        <x:v>2018-12-31|2019-12-31</x:v>
      </x:c>
      <x:c r="U137" s="57" t="n">
        <x:v>-30236.949757827184</x:v>
      </x:c>
      <x:c r="V137" s="57" t="n">
        <x:v>-3.043037145799134</x:v>
      </x:c>
      <x:c r="W137"/>
      <x:c r="X137"/>
      <x:c r="Y137" s="38" t="n">
        <x:v>0.6409090909090909</x:v>
      </x:c>
      <x:c r="Z137" s="38" t="n">
        <x:v>0.7074953251162477</x:v>
      </x:c>
      <x:c r="AA137" t="str">
        <x:v>NON_POSITIVE_EQUITY_VALUE</x:v>
      </x:c>
    </x:row>
    <x:row r="138">
      <x:c r="A138" s="54" t="n">
        <x:v>43921</x:v>
      </x:c>
      <x:c r="B138" t="n">
        <x:v>43921.624999988424</x:v>
      </x:c>
      <x:c r="C138" t="str">
        <x:v>300720</x:v>
      </x:c>
      <x:c r="D138" t="str">
        <x:v>한일시멘트</x:v>
      </x:c>
      <x:c r="E138" t="str">
        <x:v>KOSPI</x:v>
      </x:c>
      <x:c r="F138" t="str">
        <x:v>LARGE</x:v>
      </x:c>
      <x:c r="G138" t="str">
        <x:v>ELIGIBLE</x:v>
      </x:c>
      <x:c r="H138"/>
      <x:c r="I138" s="54" t="n">
        <x:v>43921</x:v>
      </x:c>
      <x:c r="J138" s="55" t="n">
        <x:v>61400</x:v>
      </x:c>
      <x:c r="K138" s="55" t="n">
        <x:v>254501158000</x:v>
      </x:c>
      <x:c r="L138" s="55" t="n">
        <x:v>4144970</x:v>
      </x:c>
      <x:c r="M138" t="str">
        <x:v>20200330004593</x:v>
      </x:c>
      <x:c r="N138" t="n">
        <x:v>43920.624999988424</x:v>
      </x:c>
      <x:c r="O138" s="54" t="n">
        <x:v>43830</x:v>
      </x:c>
      <x:c r="P138" t="str">
        <x:v>False</x:v>
      </x:c>
      <x:c r="Q138" t="str">
        <x:v>4de8a1695f451cb4196949f434ad9abdac925c905f09b98832673e465aeabcee</x:v>
      </x:c>
      <x:c r="R138" t="str">
        <x:v>da021ef4a039b5383bbde52a31888ccd2fff72f56b1a51af1a5fe8077e42a3b0</x:v>
      </x:c>
      <x:c r="S138" t="n">
        <x:v>6</x:v>
      </x:c>
      <x:c r="T138" t="str">
        <x:v>2019-12-31</x:v>
      </x:c>
      <x:c r="U138" s="57" t="n">
        <x:v>136185.63251122012</x:v>
      </x:c>
      <x:c r="V138" s="57" t="n">
        <x:v>1.2180070441566793</x:v>
      </x:c>
      <x:c r="W138" t="n">
        <x:v>10</x:v>
      </x:c>
      <x:c r="X138" t="n">
        <x:v>1</x:v>
      </x:c>
      <x:c r="Y138" s="38" t="n">
        <x:v>0.6409090909090909</x:v>
      </x:c>
      <x:c r="Z138" s="38" t="n">
        <x:v>0.7013426708992583</x:v>
      </x:c>
      <x:c r="AA138"/>
    </x:row>
    <x:row r="139">
      <x:c r="A139" s="54" t="n">
        <x:v>43921</x:v>
      </x:c>
      <x:c r="B139" t="n">
        <x:v>43921.624999988424</x:v>
      </x:c>
      <x:c r="C139" t="str">
        <x:v>007070</x:v>
      </x:c>
      <x:c r="D139" t="str">
        <x:v>GS리테일</x:v>
      </x:c>
      <x:c r="E139" t="str">
        <x:v>KOSPI</x:v>
      </x:c>
      <x:c r="F139" t="str">
        <x:v>LARGE</x:v>
      </x:c>
      <x:c r="G139" t="str">
        <x:v>ELIGIBLE</x:v>
      </x:c>
      <x:c r="H139"/>
      <x:c r="I139" s="54" t="n">
        <x:v>43921</x:v>
      </x:c>
      <x:c r="J139" s="55" t="n">
        <x:v>30900</x:v>
      </x:c>
      <x:c r="K139" s="55" t="n">
        <x:v>2379300000000</x:v>
      </x:c>
      <x:c r="L139" s="55" t="n">
        <x:v>77000000</x:v>
      </x:c>
      <x:c r="M139" t="str">
        <x:v>20200330002113</x:v>
      </x:c>
      <x:c r="N139" t="n">
        <x:v>43920.624999988424</x:v>
      </x:c>
      <x:c r="O139" s="54" t="n">
        <x:v>43830</x:v>
      </x:c>
      <x:c r="P139" t="str">
        <x:v>False</x:v>
      </x:c>
      <x:c r="Q139" t="str">
        <x:v>5309518f8083c97d0ea86e2ea6cb517aaaaa0453c7675c4cefc54bd7f2d77744</x:v>
      </x:c>
      <x:c r="R139" t="str">
        <x:v>8962e5987eaca5619787ae5460b4ce742d42130ef040019b81c49b6bfda52daa</x:v>
      </x:c>
      <x:c r="S139" t="n">
        <x:v>5</x:v>
      </x:c>
      <x:c r="T139" t="str">
        <x:v>2018-12-31|2019-12-31</x:v>
      </x:c>
      <x:c r="U139" s="57" t="n">
        <x:v>15170.912532063267</x:v>
      </x:c>
      <x:c r="V139" s="57" t="n">
        <x:v>-0.5090319568911564</x:v>
      </x:c>
      <x:c r="W139" t="n">
        <x:v>43</x:v>
      </x:c>
      <x:c r="X139" t="n">
        <x:v>4</x:v>
      </x:c>
      <x:c r="Y139" s="38" t="n">
        <x:v>0.6409090909090909</x:v>
      </x:c>
      <x:c r="Z139" s="38" t="n">
        <x:v>0.6752491604821305</x:v>
      </x:c>
      <x:c r="AA139"/>
    </x:row>
    <x:row r="140">
      <x:c r="A140" s="54" t="n">
        <x:v>43921</x:v>
      </x:c>
      <x:c r="B140" t="n">
        <x:v>43921.624999988424</x:v>
      </x:c>
      <x:c r="C140" t="str">
        <x:v>280360</x:v>
      </x:c>
      <x:c r="D140" t="str">
        <x:v>롯데웰푸드</x:v>
      </x:c>
      <x:c r="E140" t="str">
        <x:v>KOSPI</x:v>
      </x:c>
      <x:c r="F140" t="str">
        <x:v>LARGE</x:v>
      </x:c>
      <x:c r="G140" t="str">
        <x:v>ELIGIBLE</x:v>
      </x:c>
      <x:c r="H140"/>
      <x:c r="I140" s="54" t="n">
        <x:v>43921</x:v>
      </x:c>
      <x:c r="J140" s="55" t="n">
        <x:v>105500</x:v>
      </x:c>
      <x:c r="K140" s="55" t="n">
        <x:v>676963643500</x:v>
      </x:c>
      <x:c r="L140" s="55" t="n">
        <x:v>6416717</x:v>
      </x:c>
      <x:c r="M140" t="str">
        <x:v>20200330004070</x:v>
      </x:c>
      <x:c r="N140" t="n">
        <x:v>43920.624999988424</x:v>
      </x:c>
      <x:c r="O140" s="54" t="n">
        <x:v>43830</x:v>
      </x:c>
      <x:c r="P140" t="str">
        <x:v>False</x:v>
      </x:c>
      <x:c r="Q140" t="str">
        <x:v>f49b6c0c20ff0684447f15f101d49d1e47ad1510e992e5ff7bd83f1cbd36cb91</x:v>
      </x:c>
      <x:c r="R140" t="str">
        <x:v>40005f91daca10fc3c2b36dd94092130e9ecdc5b20f68462816a735c814fa45b</x:v>
      </x:c>
      <x:c r="S140" t="n">
        <x:v>5</x:v>
      </x:c>
      <x:c r="T140" t="str">
        <x:v>2018-12-31|2019-12-31</x:v>
      </x:c>
      <x:c r="U140" s="57" t="n">
        <x:v>330137.22375057806</x:v>
      </x:c>
      <x:c r="V140" s="57" t="n">
        <x:v>2.129262784365669</x:v>
      </x:c>
      <x:c r="W140" t="n">
        <x:v>5</x:v>
      </x:c>
      <x:c r="X140" t="n">
        <x:v>1</x:v>
      </x:c>
      <x:c r="Y140" s="38" t="n">
        <x:v>0.6409090909090909</x:v>
      </x:c>
      <x:c r="Z140" s="38" t="n">
        <x:v>0.7429356110829911</x:v>
      </x:c>
      <x:c r="AA140"/>
    </x:row>
    <x:row r="141">
      <x:c r="A141" s="54" t="n">
        <x:v>43921</x:v>
      </x:c>
      <x:c r="B141" t="n">
        <x:v>43921.624999988424</x:v>
      </x:c>
      <x:c r="C141" t="str">
        <x:v>039130</x:v>
      </x:c>
      <x:c r="D141" t="str">
        <x:v>하나투어</x:v>
      </x:c>
      <x:c r="E141" t="str">
        <x:v>KOSPI</x:v>
      </x:c>
      <x:c r="F141" t="str">
        <x:v>LARGE</x:v>
      </x:c>
      <x:c r="G141" t="str">
        <x:v>DCF_SCREENING_EXCLUSION</x:v>
      </x:c>
      <x:c r="H141" t="str">
        <x:v>NON_POSITIVE_EQUITY_VALUE</x:v>
      </x:c>
      <x:c r="I141" s="54" t="n">
        <x:v>43921</x:v>
      </x:c>
      <x:c r="J141" s="55" t="n">
        <x:v>37100</x:v>
      </x:c>
      <x:c r="K141" s="55" t="n">
        <x:v>517143763500</x:v>
      </x:c>
      <x:c r="L141" s="55" t="n">
        <x:v>13939185</x:v>
      </x:c>
      <x:c r="M141" t="str">
        <x:v>20200330002664</x:v>
      </x:c>
      <x:c r="N141" t="n">
        <x:v>43920.624999988424</x:v>
      </x:c>
      <x:c r="O141" s="54" t="n">
        <x:v>43830</x:v>
      </x:c>
      <x:c r="P141" t="str">
        <x:v>False</x:v>
      </x:c>
      <x:c r="Q141" t="str">
        <x:v>fbe751059989d62ca8f4f7478e672785cff95737f635cf3e78e1833343d2658b</x:v>
      </x:c>
      <x:c r="R141" t="str">
        <x:v>a37625ffb3f594ef74475b89b8d6a51a35605e2e1d18560e49b3e0e6549208e4</x:v>
      </x:c>
      <x:c r="S141" t="n">
        <x:v>5</x:v>
      </x:c>
      <x:c r="T141" t="str">
        <x:v>2018-12-31|2019-12-31</x:v>
      </x:c>
      <x:c r="U141" s="57" t="n">
        <x:v>-14937.544681896548</x:v>
      </x:c>
      <x:c r="V141" s="57" t="n">
        <x:v>-1.4026292367088018</x:v>
      </x:c>
      <x:c r="W141"/>
      <x:c r="X141"/>
      <x:c r="Y141" s="38" t="n">
        <x:v>0.6409090909090909</x:v>
      </x:c>
      <x:c r="Z141" s="38" t="n">
        <x:v>0.6865240790654953</x:v>
      </x:c>
      <x:c r="AA141" t="str">
        <x:v>NON_POSITIVE_EQUITY_VALUE</x:v>
      </x:c>
    </x:row>
    <x:row r="142">
      <x:c r="A142" s="54" t="n">
        <x:v>43921</x:v>
      </x:c>
      <x:c r="B142" t="n">
        <x:v>43921.624999988424</x:v>
      </x:c>
      <x:c r="C142" t="str">
        <x:v>005690</x:v>
      </x:c>
      <x:c r="D142" t="str">
        <x:v>파미셀</x:v>
      </x:c>
      <x:c r="E142" t="str">
        <x:v>KOSPI</x:v>
      </x:c>
      <x:c r="F142" t="str">
        <x:v>LARGE</x:v>
      </x:c>
      <x:c r="G142" t="str">
        <x:v>DCF_SCREENING_EXCLUSION</x:v>
      </x:c>
      <x:c r="H142" t="str">
        <x:v>NON_POSITIVE_ENTERPRISE_VALUE|NON_POSITIVE_TERMINAL_FCF</x:v>
      </x:c>
      <x:c r="I142" s="54" t="n">
        <x:v>43921</x:v>
      </x:c>
      <x:c r="J142" s="55" t="n">
        <x:v>20600</x:v>
      </x:c>
      <x:c r="K142" s="55" t="n">
        <x:v>1235154370000</x:v>
      </x:c>
      <x:c r="L142" s="55" t="n">
        <x:v>59958950</x:v>
      </x:c>
      <x:c r="M142" t="str">
        <x:v>20200330004368</x:v>
      </x:c>
      <x:c r="N142" t="n">
        <x:v>43920.624999988424</x:v>
      </x:c>
      <x:c r="O142" s="54" t="n">
        <x:v>43830</x:v>
      </x:c>
      <x:c r="P142" t="str">
        <x:v>False</x:v>
      </x:c>
      <x:c r="Q142" t="str">
        <x:v>bfcc085538d0dda9438b3fc945e9299777a5a3bf4af27e167faf8ac8f363954e</x:v>
      </x:c>
      <x:c r="R142" t="str">
        <x:v>eb3eebdb03d8dcb54137662ae290b73052fa7c43cb22fef18a7b9e1113c65bea</x:v>
      </x:c>
      <x:c r="S142" t="n">
        <x:v>6</x:v>
      </x:c>
      <x:c r="T142" t="str">
        <x:v>2018-12-31|2019-12-31</x:v>
      </x:c>
      <x:c r="U142" s="57" t="n">
        <x:v>75.33653788615449</x:v>
      </x:c>
      <x:c r="V142" s="57" t="n">
        <x:v>-0.9963428865103808</x:v>
      </x:c>
      <x:c r="W142"/>
      <x:c r="X142"/>
      <x:c r="Y142" s="38" t="n">
        <x:v>0.6409090909090909</x:v>
      </x:c>
      <x:c r="Z142" s="38" t="n">
        <x:v>0.5858711725692298</x:v>
      </x:c>
      <x:c r="AA142" t="str">
        <x:v>NON_POSITIVE_ENTERPRISE_VALUE|NON_POSITIVE_TERMINAL_FCF</x:v>
      </x:c>
    </x:row>
    <x:row r="143">
      <x:c r="A143" s="54" t="n">
        <x:v>43921</x:v>
      </x:c>
      <x:c r="B143" t="n">
        <x:v>43921.624999988424</x:v>
      </x:c>
      <x:c r="C143" t="str">
        <x:v>002030</x:v>
      </x:c>
      <x:c r="D143" t="str">
        <x:v>아세아</x:v>
      </x:c>
      <x:c r="E143" t="str">
        <x:v>KOSPI</x:v>
      </x:c>
      <x:c r="F143" t="str">
        <x:v>LARGE</x:v>
      </x:c>
      <x:c r="G143" t="str">
        <x:v>ELIGIBLE</x:v>
      </x:c>
      <x:c r="H143"/>
      <x:c r="I143" s="54" t="n">
        <x:v>43921</x:v>
      </x:c>
      <x:c r="J143" s="55" t="n">
        <x:v>74800</x:v>
      </x:c>
      <x:c r="K143" s="55" t="n">
        <x:v>163888595200</x:v>
      </x:c>
      <x:c r="L143" s="55" t="n">
        <x:v>2191024</x:v>
      </x:c>
      <x:c r="M143" t="str">
        <x:v>20200330004716</x:v>
      </x:c>
      <x:c r="N143" t="n">
        <x:v>43920.624999988424</x:v>
      </x:c>
      <x:c r="O143" s="54" t="n">
        <x:v>43830</x:v>
      </x:c>
      <x:c r="P143" t="str">
        <x:v>False</x:v>
      </x:c>
      <x:c r="Q143" t="str">
        <x:v>8e6c1c7d3fef97f129cd30373d0f84183b8125c1e47c44c23fbf9ca80abd0bb4</x:v>
      </x:c>
      <x:c r="R143" t="str">
        <x:v>36c2ce2a210a189504f3a476df367cb0ec6d1c508b6806944f1a26ee8a267c02</x:v>
      </x:c>
      <x:c r="S143" t="n">
        <x:v>6</x:v>
      </x:c>
      <x:c r="T143" t="str">
        <x:v>2018-12-31|2019-12-31</x:v>
      </x:c>
      <x:c r="U143" s="57" t="n">
        <x:v>506948.9154582979</x:v>
      </x:c>
      <x:c r="V143" s="57" t="n">
        <x:v>5.777391917891683</x:v>
      </x:c>
      <x:c r="W143" t="n">
        <x:v>1</x:v>
      </x:c>
      <x:c r="X143" t="n">
        <x:v>1</x:v>
      </x:c>
      <x:c r="Y143" s="38" t="n">
        <x:v>0.6409090909090909</x:v>
      </x:c>
      <x:c r="Z143" s="38" t="n">
        <x:v>0.6790236450854973</x:v>
      </x:c>
      <x:c r="AA143"/>
    </x:row>
    <x:row r="144">
      <x:c r="A144" s="54" t="n">
        <x:v>43921</x:v>
      </x:c>
      <x:c r="B144" t="n">
        <x:v>43921.624999988424</x:v>
      </x:c>
      <x:c r="C144" t="str">
        <x:v>009410</x:v>
      </x:c>
      <x:c r="D144" t="str">
        <x:v>태영건설</x:v>
      </x:c>
      <x:c r="E144" t="str">
        <x:v>KOSPI</x:v>
      </x:c>
      <x:c r="F144" t="str">
        <x:v>LARGE</x:v>
      </x:c>
      <x:c r="G144" t="str">
        <x:v>ELIGIBLE</x:v>
      </x:c>
      <x:c r="H144"/>
      <x:c r="I144" s="54" t="n">
        <x:v>43921</x:v>
      </x:c>
      <x:c r="J144" s="55" t="n">
        <x:v>11450</x:v>
      </x:c>
      <x:c r="K144" s="55" t="n">
        <x:v>874780000000</x:v>
      </x:c>
      <x:c r="L144" s="55" t="n">
        <x:v>76400000</x:v>
      </x:c>
      <x:c r="M144" t="str">
        <x:v>20200330003911</x:v>
      </x:c>
      <x:c r="N144" t="n">
        <x:v>43920.624999988424</x:v>
      </x:c>
      <x:c r="O144" s="54" t="n">
        <x:v>43830</x:v>
      </x:c>
      <x:c r="P144" t="str">
        <x:v>False</x:v>
      </x:c>
      <x:c r="Q144" t="str">
        <x:v>1447c7502e035cd4deff36d3d9312df24e301a5a48ea1ebbba9d611d0f917a21</x:v>
      </x:c>
      <x:c r="R144" t="str">
        <x:v>a13ffe9a3c7db90d4c6ac6b110415d85fc9fde7ace4b09440c8dba9a08634efa</x:v>
      </x:c>
      <x:c r="S144" t="n">
        <x:v>6</x:v>
      </x:c>
      <x:c r="T144" t="str">
        <x:v>2018-12-31|2019-12-31</x:v>
      </x:c>
      <x:c r="U144" s="57" t="n">
        <x:v>40158.63299810239</x:v>
      </x:c>
      <x:c r="V144" s="57" t="n">
        <x:v>2.507304191974008</x:v>
      </x:c>
      <x:c r="W144" t="n">
        <x:v>3</x:v>
      </x:c>
      <x:c r="X144" t="n">
        <x:v>1</x:v>
      </x:c>
      <x:c r="Y144" s="38" t="n">
        <x:v>0.6409090909090909</x:v>
      </x:c>
      <x:c r="Z144" s="38" t="n">
        <x:v>0.7132993121748787</x:v>
      </x:c>
      <x:c r="AA144"/>
    </x:row>
    <x:row r="145">
      <x:c r="A145" s="54" t="n">
        <x:v>43921</x:v>
      </x:c>
      <x:c r="B145" t="n">
        <x:v>43921.624999988424</x:v>
      </x:c>
      <x:c r="C145" t="str">
        <x:v>010780</x:v>
      </x:c>
      <x:c r="D145" t="str">
        <x:v>아이에스동서</x:v>
      </x:c>
      <x:c r="E145" t="str">
        <x:v>KOSPI</x:v>
      </x:c>
      <x:c r="F145" t="str">
        <x:v>LARGE</x:v>
      </x:c>
      <x:c r="G145" t="str">
        <x:v>ELIGIBLE</x:v>
      </x:c>
      <x:c r="H145"/>
      <x:c r="I145" s="54" t="n">
        <x:v>43921</x:v>
      </x:c>
      <x:c r="J145" s="55" t="n">
        <x:v>22450</x:v>
      </x:c>
      <x:c r="K145" s="55" t="n">
        <x:v>693539004700</x:v>
      </x:c>
      <x:c r="L145" s="55" t="n">
        <x:v>30892606</x:v>
      </x:c>
      <x:c r="M145" t="str">
        <x:v>20200330004452</x:v>
      </x:c>
      <x:c r="N145" t="n">
        <x:v>43920.624999988424</x:v>
      </x:c>
      <x:c r="O145" s="54" t="n">
        <x:v>43830</x:v>
      </x:c>
      <x:c r="P145" t="str">
        <x:v>False</x:v>
      </x:c>
      <x:c r="Q145" t="str">
        <x:v>9f1492ed6c55e8b05f4c7f5a45a1d2fe155f138dd2b8ab11cd6bff4abe56d5c7</x:v>
      </x:c>
      <x:c r="R145" t="str">
        <x:v>fbe8c69f3f39d7af7a7669cbf92bc5363cdc63a9e378e143711d437883d2c467</x:v>
      </x:c>
      <x:c r="S145" t="n">
        <x:v>6</x:v>
      </x:c>
      <x:c r="T145" t="str">
        <x:v>2018-12-31|2019-12-31</x:v>
      </x:c>
      <x:c r="U145" s="57" t="n">
        <x:v>24992.20993951776</x:v>
      </x:c>
      <x:c r="V145" s="57" t="n">
        <x:v>0.11323875008987795</x:v>
      </x:c>
      <x:c r="W145" t="n">
        <x:v>25</x:v>
      </x:c>
      <x:c r="X145" t="n">
        <x:v>2</x:v>
      </x:c>
      <x:c r="Y145" s="38" t="n">
        <x:v>0.6409090909090909</x:v>
      </x:c>
      <x:c r="Z145" s="38" t="n">
        <x:v>0.7064734758802966</x:v>
      </x:c>
      <x:c r="AA145"/>
    </x:row>
    <x:row r="146">
      <x:c r="A146" s="54" t="n">
        <x:v>43921</x:v>
      </x:c>
      <x:c r="B146" t="n">
        <x:v>43921.624999988424</x:v>
      </x:c>
      <x:c r="C146" t="str">
        <x:v>453340</x:v>
      </x:c>
      <x:c r="D146" t="str">
        <x:v>현대그린푸드</x:v>
      </x:c>
      <x:c r="E146" t="str">
        <x:v>KOSPI</x:v>
      </x:c>
      <x:c r="F146" t="str">
        <x:v>LARGE</x:v>
      </x:c>
      <x:c r="G146" t="str">
        <x:v>NOT_LISTED_OR_NO_PRICE</x:v>
      </x:c>
      <x:c r="H146"/>
      <x:c r="I146" s="54"/>
      <x:c r="J146" s="55"/>
      <x:c r="K146" s="55"/>
      <x:c r="L146" s="55"/>
      <x:c r="M146"/>
      <x:c r="N146"/>
      <x:c r="O146" s="54"/>
      <x:c r="P146"/>
      <x:c r="Q146"/>
      <x:c r="R146"/>
      <x:c r="S146"/>
      <x:c r="T146"/>
      <x:c r="U146" s="57"/>
      <x:c r="V146" s="57"/>
      <x:c r="W146"/>
      <x:c r="X146"/>
      <x:c r="Y146" s="38"/>
      <x:c r="Z146" s="38"/>
      <x:c r="AA146"/>
    </x:row>
    <x:row r="147">
      <x:c r="A147" s="54" t="n">
        <x:v>43921</x:v>
      </x:c>
      <x:c r="B147" t="n">
        <x:v>43921.624999988424</x:v>
      </x:c>
      <x:c r="C147" t="str">
        <x:v>006220</x:v>
      </x:c>
      <x:c r="D147" t="str">
        <x:v>제주은행</x:v>
      </x:c>
      <x:c r="E147" t="str">
        <x:v>KOSPI</x:v>
      </x:c>
      <x:c r="F147" t="str">
        <x:v>LARGE</x:v>
      </x:c>
      <x:c r="G147" t="str">
        <x:v>EXCLUDED_ARCHETYPE</x:v>
      </x:c>
      <x:c r="H147" t="str">
        <x:v>FCFF_NOT_COMPARABLE_FOR_FINANCE_OR_HOLDING_HINT</x:v>
      </x:c>
      <x:c r="I147" s="54"/>
      <x:c r="J147" s="55"/>
      <x:c r="K147" s="55"/>
      <x:c r="L147" s="55"/>
      <x:c r="M147"/>
      <x:c r="N147"/>
      <x:c r="O147" s="54"/>
      <x:c r="P147"/>
      <x:c r="Q147"/>
      <x:c r="R147"/>
      <x:c r="S147"/>
      <x:c r="T147"/>
      <x:c r="U147" s="57"/>
      <x:c r="V147" s="57"/>
      <x:c r="W147"/>
      <x:c r="X147"/>
      <x:c r="Y147" s="38"/>
      <x:c r="Z147" s="38"/>
      <x:c r="AA147"/>
    </x:row>
    <x:row r="148">
      <x:c r="A148" s="54" t="n">
        <x:v>43921</x:v>
      </x:c>
      <x:c r="B148" t="n">
        <x:v>43921.624999988424</x:v>
      </x:c>
      <x:c r="C148" t="str">
        <x:v>094800</x:v>
      </x:c>
      <x:c r="D148" t="str">
        <x:v>맵스리얼티1</x:v>
      </x:c>
      <x:c r="E148" t="str">
        <x:v>KOSPI</x:v>
      </x:c>
      <x:c r="F148" t="str">
        <x:v>LARGE</x:v>
      </x:c>
      <x:c r="G148" t="str">
        <x:v>NO_PIT_FINANCIALS</x:v>
      </x:c>
      <x:c r="H148"/>
      <x:c r="I148" s="54" t="n">
        <x:v>43921</x:v>
      </x:c>
      <x:c r="J148" s="55" t="n">
        <x:v>4145</x:v>
      </x:c>
      <x:c r="K148" s="55" t="n">
        <x:v>384798301995</x:v>
      </x:c>
      <x:c r="L148" s="55" t="n">
        <x:v>92834331</x:v>
      </x:c>
      <x:c r="M148"/>
      <x:c r="N148"/>
      <x:c r="O148" s="54"/>
      <x:c r="P148"/>
      <x:c r="Q148"/>
      <x:c r="R148"/>
      <x:c r="S148"/>
      <x:c r="T148"/>
      <x:c r="U148" s="57"/>
      <x:c r="V148" s="57"/>
      <x:c r="W148"/>
      <x:c r="X148"/>
      <x:c r="Y148" s="38"/>
      <x:c r="Z148" s="38"/>
      <x:c r="AA148"/>
    </x:row>
    <x:row r="149">
      <x:c r="A149" s="54" t="n">
        <x:v>43921</x:v>
      </x:c>
      <x:c r="B149" t="n">
        <x:v>43921.624999988424</x:v>
      </x:c>
      <x:c r="C149" t="str">
        <x:v>003160</x:v>
      </x:c>
      <x:c r="D149" t="str">
        <x:v>디아이</x:v>
      </x:c>
      <x:c r="E149" t="str">
        <x:v>KOSPI</x:v>
      </x:c>
      <x:c r="F149" t="str">
        <x:v>LARGE</x:v>
      </x:c>
      <x:c r="G149" t="str">
        <x:v>DCF_SCREENING_EXCLUSION</x:v>
      </x:c>
      <x:c r="H149" t="str">
        <x:v>NON_POSITIVE_ENTERPRISE_VALUE|NON_POSITIVE_EQUITY_VALUE|NON_POSITIVE_TERMINAL_FCF</x:v>
      </x:c>
      <x:c r="I149" s="54" t="n">
        <x:v>43921</x:v>
      </x:c>
      <x:c r="J149" s="55" t="n">
        <x:v>2400</x:v>
      </x:c>
      <x:c r="K149" s="55" t="n">
        <x:v>75592284000</x:v>
      </x:c>
      <x:c r="L149" s="55" t="n">
        <x:v>31496785</x:v>
      </x:c>
      <x:c r="M149" t="str">
        <x:v>20200330003463</x:v>
      </x:c>
      <x:c r="N149" t="n">
        <x:v>43920.624999988424</x:v>
      </x:c>
      <x:c r="O149" s="54" t="n">
        <x:v>43830</x:v>
      </x:c>
      <x:c r="P149" t="str">
        <x:v>False</x:v>
      </x:c>
      <x:c r="Q149" t="str">
        <x:v>2c9d26a13fb91a7897133f5d4181ea50b14f29018bdea81421148d222d049e90</x:v>
      </x:c>
      <x:c r="R149" t="str">
        <x:v>950ea701b3bd25d531df2e7f61c753710e6726cf120fcfb0505eea39b55f555f</x:v>
      </x:c>
      <x:c r="S149" t="n">
        <x:v>6</x:v>
      </x:c>
      <x:c r="T149" t="str">
        <x:v>2018-12-31|2019-12-31</x:v>
      </x:c>
      <x:c r="U149" s="57" t="n">
        <x:v>-1228.0531534836705</x:v>
      </x:c>
      <x:c r="V149" s="57" t="n">
        <x:v>-1.5116888139515294</x:v>
      </x:c>
      <x:c r="W149"/>
      <x:c r="X149"/>
      <x:c r="Y149" s="38" t="n">
        <x:v>0.6409090909090909</x:v>
      </x:c>
      <x:c r="Z149" s="38" t="n">
        <x:v>0.5343254520509092</x:v>
      </x:c>
      <x:c r="AA149" t="str">
        <x:v>NON_POSITIVE_ENTERPRISE_VALUE|NON_POSITIVE_EQUITY_VALUE|NON_POSITIVE_TERMINAL_FCF</x:v>
      </x:c>
    </x:row>
    <x:row r="150">
      <x:c r="A150" s="54" t="n">
        <x:v>43921</x:v>
      </x:c>
      <x:c r="B150" t="n">
        <x:v>43921.624999988424</x:v>
      </x:c>
      <x:c r="C150" t="str">
        <x:v>001940</x:v>
      </x:c>
      <x:c r="D150" t="str">
        <x:v>KISCO홀딩스</x:v>
      </x:c>
      <x:c r="E150" t="str">
        <x:v>KOSPI</x:v>
      </x:c>
      <x:c r="F150" t="str">
        <x:v>LARGE</x:v>
      </x:c>
      <x:c r="G150" t="str">
        <x:v>EXCLUDED_ARCHETYPE</x:v>
      </x:c>
      <x:c r="H150" t="str">
        <x:v>FCFF_NOT_COMPARABLE_FOR_FINANCE_OR_HOLDING_HINT</x:v>
      </x:c>
      <x:c r="I150" s="54"/>
      <x:c r="J150" s="55"/>
      <x:c r="K150" s="55"/>
      <x:c r="L150" s="55"/>
      <x:c r="M150"/>
      <x:c r="N150"/>
      <x:c r="O150" s="54"/>
      <x:c r="P150"/>
      <x:c r="Q150"/>
      <x:c r="R150"/>
      <x:c r="S150"/>
      <x:c r="T150"/>
      <x:c r="U150" s="57"/>
      <x:c r="V150" s="57"/>
      <x:c r="W150"/>
      <x:c r="X150"/>
      <x:c r="Y150" s="38"/>
      <x:c r="Z150" s="38"/>
      <x:c r="AA150"/>
    </x:row>
    <x:row r="151">
      <x:c r="A151" s="54" t="n">
        <x:v>43921</x:v>
      </x:c>
      <x:c r="B151" t="n">
        <x:v>43921.624999988424</x:v>
      </x:c>
      <x:c r="C151" t="str">
        <x:v>009290</x:v>
      </x:c>
      <x:c r="D151" t="str">
        <x:v>광동제약</x:v>
      </x:c>
      <x:c r="E151" t="str">
        <x:v>KOSPI</x:v>
      </x:c>
      <x:c r="F151" t="str">
        <x:v>LARGE</x:v>
      </x:c>
      <x:c r="G151" t="str">
        <x:v>ELIGIBLE</x:v>
      </x:c>
      <x:c r="H151"/>
      <x:c r="I151" s="54" t="n">
        <x:v>43921</x:v>
      </x:c>
      <x:c r="J151" s="55" t="n">
        <x:v>5690</x:v>
      </x:c>
      <x:c r="K151" s="55" t="n">
        <x:v>298274642190</x:v>
      </x:c>
      <x:c r="L151" s="55" t="n">
        <x:v>52420851</x:v>
      </x:c>
      <x:c r="M151" t="str">
        <x:v>20200330002372</x:v>
      </x:c>
      <x:c r="N151" t="n">
        <x:v>43920.624999988424</x:v>
      </x:c>
      <x:c r="O151" s="54" t="n">
        <x:v>43830</x:v>
      </x:c>
      <x:c r="P151" t="str">
        <x:v>False</x:v>
      </x:c>
      <x:c r="Q151" t="str">
        <x:v>a12d7ccdb27c289d6b06e61d33b23da31b8c0ea8af860870017a08baecb958d7</x:v>
      </x:c>
      <x:c r="R151" t="str">
        <x:v>3e58c327a845a3a4c23f9f84fbb8c83e24d1ad92468bbcd7c9dc2c86f66658f3</x:v>
      </x:c>
      <x:c r="S151" t="n">
        <x:v>6</x:v>
      </x:c>
      <x:c r="T151" t="str">
        <x:v>2018-12-31|2019-12-31</x:v>
      </x:c>
      <x:c r="U151" s="57" t="n">
        <x:v>5510.422302971301</x:v>
      </x:c>
      <x:c r="V151" s="57" t="n">
        <x:v>-0.03156022794880465</x:v>
      </x:c>
      <x:c r="W151" t="n">
        <x:v>26</x:v>
      </x:c>
      <x:c r="X151" t="n">
        <x:v>3</x:v>
      </x:c>
      <x:c r="Y151" s="38" t="n">
        <x:v>0.6409090909090909</x:v>
      </x:c>
      <x:c r="Z151" s="38" t="n">
        <x:v>0.7188634599914384</x:v>
      </x:c>
      <x:c r="AA151"/>
    </x:row>
    <x:row r="152">
      <x:c r="A152" s="54" t="n">
        <x:v>44012</x:v>
      </x:c>
      <x:c r="B152" t="n">
        <x:v>44012.624999988424</x:v>
      </x:c>
      <x:c r="C152" t="str">
        <x:v>168330</x:v>
      </x:c>
      <x:c r="D152" t="str">
        <x:v>내츄럴엔도텍</x:v>
      </x:c>
      <x:c r="E152" t="str">
        <x:v>KOSDAQ</x:v>
      </x:c>
      <x:c r="F152" t="str">
        <x:v>SMALL</x:v>
      </x:c>
      <x:c r="G152" t="str">
        <x:v>DCF_SCREENING_EXCLUSION</x:v>
      </x:c>
      <x:c r="H152" t="str">
        <x:v>NON_POSITIVE_ENTERPRISE_VALUE|NON_POSITIVE_EQUITY_VALUE|NON_POSITIVE_TERMINAL_FCF</x:v>
      </x:c>
      <x:c r="I152" s="54" t="n">
        <x:v>44012</x:v>
      </x:c>
      <x:c r="J152" s="55" t="n">
        <x:v>2525</x:v>
      </x:c>
      <x:c r="K152" s="55" t="n">
        <x:v>52181200550</x:v>
      </x:c>
      <x:c r="L152" s="55" t="n">
        <x:v>20665822</x:v>
      </x:c>
      <x:c r="M152" t="str">
        <x:v>20200401001922</x:v>
      </x:c>
      <x:c r="N152" t="n">
        <x:v>43922.624999988424</x:v>
      </x:c>
      <x:c r="O152" s="54" t="n">
        <x:v>43830</x:v>
      </x:c>
      <x:c r="P152" t="str">
        <x:v>True</x:v>
      </x:c>
      <x:c r="Q152" t="str">
        <x:v>7ea5ffe1d0d2b913b64d2c20d5ba5881d5ecb6ee00edd9a23394c56e7d278ea2</x:v>
      </x:c>
      <x:c r="R152" t="str">
        <x:v>69033779d0f8a886f48408da3ded847f3c86a22f8c8fe7a27e6dd1fea47648d5</x:v>
      </x:c>
      <x:c r="S152" t="n">
        <x:v>7</x:v>
      </x:c>
      <x:c r="T152" t="str">
        <x:v>2018-12-31|2019-12-31</x:v>
      </x:c>
      <x:c r="U152" s="57" t="n">
        <x:v>-3503.391373201611</x:v>
      </x:c>
      <x:c r="V152" s="57" t="n">
        <x:v>-2.3874817319610337</x:v>
      </x:c>
      <x:c r="W152"/>
      <x:c r="X152"/>
      <x:c r="Y152" s="38" t="n">
        <x:v>0.6409090909090909</x:v>
      </x:c>
      <x:c r="Z152" s="38" t="n">
        <x:v>0.6382433896552948</x:v>
      </x:c>
      <x:c r="AA152" t="str">
        <x:v>NON_POSITIVE_ENTERPRISE_VALUE|NON_POSITIVE_EQUITY_VALUE|NON_POSITIVE_TERMINAL_FCF</x:v>
      </x:c>
    </x:row>
    <x:row r="153">
      <x:c r="A153" s="54" t="n">
        <x:v>44012</x:v>
      </x:c>
      <x:c r="B153" t="n">
        <x:v>44012.624999988424</x:v>
      </x:c>
      <x:c r="C153" t="str">
        <x:v>120240</x:v>
      </x:c>
      <x:c r="D153" t="str">
        <x:v>대정화금</x:v>
      </x:c>
      <x:c r="E153" t="str">
        <x:v>KOSDAQ</x:v>
      </x:c>
      <x:c r="F153" t="str">
        <x:v>SMALL</x:v>
      </x:c>
      <x:c r="G153" t="str">
        <x:v>DCF_SCREENING_EXCLUSION</x:v>
      </x:c>
      <x:c r="H153" t="str">
        <x:v>NON_POSITIVE_ENTERPRISE_VALUE|NON_POSITIVE_EQUITY_VALUE|NON_POSITIVE_TERMINAL_FCF</x:v>
      </x:c>
      <x:c r="I153" s="54" t="n">
        <x:v>44012</x:v>
      </x:c>
      <x:c r="J153" s="55" t="n">
        <x:v>18250</x:v>
      </x:c>
      <x:c r="K153" s="55" t="n">
        <x:v>129582135750</x:v>
      </x:c>
      <x:c r="L153" s="55" t="n">
        <x:v>7100391</x:v>
      </x:c>
      <x:c r="M153" t="str">
        <x:v>20200330002175</x:v>
      </x:c>
      <x:c r="N153" t="n">
        <x:v>43920.624999988424</x:v>
      </x:c>
      <x:c r="O153" s="54" t="n">
        <x:v>43830</x:v>
      </x:c>
      <x:c r="P153" t="str">
        <x:v>False</x:v>
      </x:c>
      <x:c r="Q153" t="str">
        <x:v>6e32cecfd116216d63e50ca240f3c0414512602ddd66fa298ca7ba1fe4873cbe</x:v>
      </x:c>
      <x:c r="R153" t="str">
        <x:v>89928948e3367e7b93ccb0d432c1272b93bc9b4b5aa0d41133188f85c3657bd7</x:v>
      </x:c>
      <x:c r="S153" t="n">
        <x:v>7</x:v>
      </x:c>
      <x:c r="T153" t="str">
        <x:v>2018-12-31|2019-12-31</x:v>
      </x:c>
      <x:c r="U153" s="57" t="n">
        <x:v>-2154.4866344063385</x:v>
      </x:c>
      <x:c r="V153" s="57" t="n">
        <x:v>-1.1180540621592514</x:v>
      </x:c>
      <x:c r="W153"/>
      <x:c r="X153"/>
      <x:c r="Y153" s="38" t="n">
        <x:v>0.6409090909090909</x:v>
      </x:c>
      <x:c r="Z153" s="38" t="n">
        <x:v>0.6375338642560864</x:v>
      </x:c>
      <x:c r="AA153" t="str">
        <x:v>NON_POSITIVE_ENTERPRISE_VALUE|NON_POSITIVE_EQUITY_VALUE|NON_POSITIVE_TERMINAL_FCF</x:v>
      </x:c>
    </x:row>
    <x:row r="154">
      <x:c r="A154" s="54" t="n">
        <x:v>44012</x:v>
      </x:c>
      <x:c r="B154" t="n">
        <x:v>44012.624999988424</x:v>
      </x:c>
      <x:c r="C154" t="str">
        <x:v>348350</x:v>
      </x:c>
      <x:c r="D154" t="str">
        <x:v>위드텍</x:v>
      </x:c>
      <x:c r="E154" t="str">
        <x:v>KOSDAQ</x:v>
      </x:c>
      <x:c r="F154" t="str">
        <x:v>SMALL</x:v>
      </x:c>
      <x:c r="G154" t="str">
        <x:v>NOT_LISTED_OR_NO_PRICE</x:v>
      </x:c>
      <x:c r="H154"/>
      <x:c r="I154" s="54"/>
      <x:c r="J154" s="55"/>
      <x:c r="K154" s="55"/>
      <x:c r="L154" s="55"/>
      <x:c r="M154"/>
      <x:c r="N154"/>
      <x:c r="O154" s="54"/>
      <x:c r="P154"/>
      <x:c r="Q154"/>
      <x:c r="R154"/>
      <x:c r="S154"/>
      <x:c r="T154"/>
      <x:c r="U154" s="57"/>
      <x:c r="V154" s="57"/>
      <x:c r="W154"/>
      <x:c r="X154"/>
      <x:c r="Y154" s="38"/>
      <x:c r="Z154" s="38"/>
      <x:c r="AA154"/>
    </x:row>
    <x:row r="155">
      <x:c r="A155" s="54" t="n">
        <x:v>44012</x:v>
      </x:c>
      <x:c r="B155" t="n">
        <x:v>44012.624999988424</x:v>
      </x:c>
      <x:c r="C155" t="str">
        <x:v>226330</x:v>
      </x:c>
      <x:c r="D155" t="str">
        <x:v>신테카바이오</x:v>
      </x:c>
      <x:c r="E155" t="str">
        <x:v>KOSDAQ</x:v>
      </x:c>
      <x:c r="F155" t="str">
        <x:v>SMALL</x:v>
      </x:c>
      <x:c r="G155" t="str">
        <x:v>DCF_SCREENING_EXCLUSION</x:v>
      </x:c>
      <x:c r="H155" t="str">
        <x:v>NON_POSITIVE_ENTERPRISE_VALUE|NON_POSITIVE_TERMINAL_FCF</x:v>
      </x:c>
      <x:c r="I155" s="54" t="n">
        <x:v>44012</x:v>
      </x:c>
      <x:c r="J155" s="55" t="n">
        <x:v>12900</x:v>
      </x:c>
      <x:c r="K155" s="55" t="n">
        <x:v>170822006400</x:v>
      </x:c>
      <x:c r="L155" s="55" t="n">
        <x:v>13242016</x:v>
      </x:c>
      <x:c r="M155" t="str">
        <x:v>20200330002788</x:v>
      </x:c>
      <x:c r="N155" t="n">
        <x:v>43920.624999988424</x:v>
      </x:c>
      <x:c r="O155" s="54" t="n">
        <x:v>43830</x:v>
      </x:c>
      <x:c r="P155" t="str">
        <x:v>False</x:v>
      </x:c>
      <x:c r="Q155" t="str">
        <x:v>6daebb8f4beeea3517dda3da03a2c1c53b2f64b3b782ad5ddbc0ff0d294f0921</x:v>
      </x:c>
      <x:c r="R155" t="str">
        <x:v>1052b731fe0fc2d8419ea72409def3bfa12f94d43406a0e3034860f25ec72e53</x:v>
      </x:c>
      <x:c r="S155" t="n">
        <x:v>7</x:v>
      </x:c>
      <x:c r="T155" t="str">
        <x:v>2019-12-31</x:v>
      </x:c>
      <x:c r="U155" s="57" t="n">
        <x:v>1206.7108844137329</x:v>
      </x:c>
      <x:c r="V155" s="57" t="n">
        <x:v>-0.9064565205880827</x:v>
      </x:c>
      <x:c r="W155"/>
      <x:c r="X155"/>
      <x:c r="Y155" s="38" t="n">
        <x:v>0.6409090909090909</x:v>
      </x:c>
      <x:c r="Z155" s="38" t="n">
        <x:v>0.6264850986190418</x:v>
      </x:c>
      <x:c r="AA155" t="str">
        <x:v>NON_POSITIVE_ENTERPRISE_VALUE|NON_POSITIVE_TERMINAL_FCF</x:v>
      </x:c>
    </x:row>
    <x:row r="156">
      <x:c r="A156" s="54" t="n">
        <x:v>44012</x:v>
      </x:c>
      <x:c r="B156" t="n">
        <x:v>44012.624999988424</x:v>
      </x:c>
      <x:c r="C156" t="str">
        <x:v>215090</x:v>
      </x:c>
      <x:c r="D156" t="str">
        <x:v>솔디펜스</x:v>
      </x:c>
      <x:c r="E156" t="str">
        <x:v>KOSDAQ</x:v>
      </x:c>
      <x:c r="F156" t="str">
        <x:v>SMALL</x:v>
      </x:c>
      <x:c r="G156" t="str">
        <x:v>DCF_SCREENING_EXCLUSION</x:v>
      </x:c>
      <x:c r="H156" t="str">
        <x:v>NON_POSITIVE_ENTERPRISE_VALUE|NON_POSITIVE_EQUITY_VALUE|NON_POSITIVE_TERMINAL_FCF</x:v>
      </x:c>
      <x:c r="I156" s="54" t="n">
        <x:v>44012</x:v>
      </x:c>
      <x:c r="J156" s="55" t="n">
        <x:v>1015</x:v>
      </x:c>
      <x:c r="K156" s="55" t="n">
        <x:v>26536897905</x:v>
      </x:c>
      <x:c r="L156" s="55" t="n">
        <x:v>26144727</x:v>
      </x:c>
      <x:c r="M156" t="str">
        <x:v>20200330002996</x:v>
      </x:c>
      <x:c r="N156" t="n">
        <x:v>43920.624999988424</x:v>
      </x:c>
      <x:c r="O156" s="54" t="n">
        <x:v>43830</x:v>
      </x:c>
      <x:c r="P156" t="str">
        <x:v>False</x:v>
      </x:c>
      <x:c r="Q156" t="str">
        <x:v>b57dc913b68113d2e41e8b7b6bf4646dfc8b8caa4899764bc0f92a284419ce26</x:v>
      </x:c>
      <x:c r="R156" t="str">
        <x:v>73269b6a6989053b779e35b35b738ef612e0e6b12d3929ccef6a1d4e2590e1e9</x:v>
      </x:c>
      <x:c r="S156" t="n">
        <x:v>6</x:v>
      </x:c>
      <x:c r="T156" t="str">
        <x:v>2018-12-31|2019-12-31</x:v>
      </x:c>
      <x:c r="U156" s="57" t="n">
        <x:v>-527.2288089072475</x:v>
      </x:c>
      <x:c r="V156" s="57" t="n">
        <x:v>-1.5194372501549236</x:v>
      </x:c>
      <x:c r="W156"/>
      <x:c r="X156"/>
      <x:c r="Y156" s="38" t="n">
        <x:v>0.6409090909090909</x:v>
      </x:c>
      <x:c r="Z156" s="38" t="n">
        <x:v>0.5231366214978009</x:v>
      </x:c>
      <x:c r="AA156" t="str">
        <x:v>NON_POSITIVE_ENTERPRISE_VALUE|NON_POSITIVE_EQUITY_VALUE|NON_POSITIVE_TERMINAL_FCF</x:v>
      </x:c>
    </x:row>
    <x:row r="157">
      <x:c r="A157" s="54" t="n">
        <x:v>44012</x:v>
      </x:c>
      <x:c r="B157" t="n">
        <x:v>44012.624999988424</x:v>
      </x:c>
      <x:c r="C157" t="str">
        <x:v>185490</x:v>
      </x:c>
      <x:c r="D157" t="str">
        <x:v>아이진</x:v>
      </x:c>
      <x:c r="E157" t="str">
        <x:v>KOSDAQ</x:v>
      </x:c>
      <x:c r="F157" t="str">
        <x:v>SMALL</x:v>
      </x:c>
      <x:c r="G157" t="str">
        <x:v>DCF_SCREENING_EXCLUSION</x:v>
      </x:c>
      <x:c r="H157" t="str">
        <x:v>NON_POSITIVE_ENTERPRISE_VALUE|NON_POSITIVE_EQUITY_VALUE|NON_POSITIVE_TERMINAL_FCF</x:v>
      </x:c>
      <x:c r="I157" s="54" t="n">
        <x:v>44012</x:v>
      </x:c>
      <x:c r="J157" s="55" t="n">
        <x:v>10850</x:v>
      </x:c>
      <x:c r="K157" s="55" t="n">
        <x:v>124650821750</x:v>
      </x:c>
      <x:c r="L157" s="55" t="n">
        <x:v>11488555</x:v>
      </x:c>
      <x:c r="M157" t="str">
        <x:v>20200330004564</x:v>
      </x:c>
      <x:c r="N157" t="n">
        <x:v>43920.624999988424</x:v>
      </x:c>
      <x:c r="O157" s="54" t="n">
        <x:v>43830</x:v>
      </x:c>
      <x:c r="P157" t="str">
        <x:v>False</x:v>
      </x:c>
      <x:c r="Q157" t="str">
        <x:v>e7331e812233f02472153e9f9eb45fedaf58f470fc5259825ea470c89ee425f5</x:v>
      </x:c>
      <x:c r="R157" t="str">
        <x:v>095df92f85dd7397d3292171d983613617788dfa7501cc529ef5f750facc06c5</x:v>
      </x:c>
      <x:c r="S157" t="n">
        <x:v>5</x:v>
      </x:c>
      <x:c r="T157" t="str">
        <x:v>2018-12-31|2019-12-31</x:v>
      </x:c>
      <x:c r="U157" s="57" t="n">
        <x:v>-1833.6112981153005</x:v>
      </x:c>
      <x:c r="V157" s="57" t="n">
        <x:v>-1.1689964330060185</x:v>
      </x:c>
      <x:c r="W157"/>
      <x:c r="X157"/>
      <x:c r="Y157" s="38" t="n">
        <x:v>0.6409090909090909</x:v>
      </x:c>
      <x:c r="Z157" s="38" t="n">
        <x:v>0.6422566574366064</x:v>
      </x:c>
      <x:c r="AA157" t="str">
        <x:v>NON_POSITIVE_ENTERPRISE_VALUE|NON_POSITIVE_EQUITY_VALUE|NON_POSITIVE_TERMINAL_FCF</x:v>
      </x:c>
    </x:row>
    <x:row r="158">
      <x:c r="A158" s="54" t="n">
        <x:v>44012</x:v>
      </x:c>
      <x:c r="B158" t="n">
        <x:v>44012.624999988424</x:v>
      </x:c>
      <x:c r="C158" t="str">
        <x:v>333620</x:v>
      </x:c>
      <x:c r="D158" t="str">
        <x:v>엔시스</x:v>
      </x:c>
      <x:c r="E158" t="str">
        <x:v>KOSDAQ</x:v>
      </x:c>
      <x:c r="F158" t="str">
        <x:v>SMALL</x:v>
      </x:c>
      <x:c r="G158" t="str">
        <x:v>NOT_LISTED_OR_NO_PRICE</x:v>
      </x:c>
      <x:c r="H158"/>
      <x:c r="I158" s="54"/>
      <x:c r="J158" s="55"/>
      <x:c r="K158" s="55"/>
      <x:c r="L158" s="55"/>
      <x:c r="M158"/>
      <x:c r="N158"/>
      <x:c r="O158" s="54"/>
      <x:c r="P158"/>
      <x:c r="Q158"/>
      <x:c r="R158"/>
      <x:c r="S158"/>
      <x:c r="T158"/>
      <x:c r="U158" s="57"/>
      <x:c r="V158" s="57"/>
      <x:c r="W158"/>
      <x:c r="X158"/>
      <x:c r="Y158" s="38"/>
      <x:c r="Z158" s="38"/>
      <x:c r="AA158"/>
    </x:row>
    <x:row r="159">
      <x:c r="A159" s="54" t="n">
        <x:v>44012</x:v>
      </x:c>
      <x:c r="B159" t="n">
        <x:v>44012.624999988424</x:v>
      </x:c>
      <x:c r="C159" t="str">
        <x:v>036710</x:v>
      </x:c>
      <x:c r="D159" t="str">
        <x:v>심텍홀딩스</x:v>
      </x:c>
      <x:c r="E159" t="str">
        <x:v>KOSDAQ</x:v>
      </x:c>
      <x:c r="F159" t="str">
        <x:v>SMALL</x:v>
      </x:c>
      <x:c r="G159" t="str">
        <x:v>EXCLUDED_ARCHETYPE</x:v>
      </x:c>
      <x:c r="H159" t="str">
        <x:v>FCFF_NOT_COMPARABLE_FOR_FINANCE_OR_HOLDING_HINT</x:v>
      </x:c>
      <x:c r="I159" s="54"/>
      <x:c r="J159" s="55"/>
      <x:c r="K159" s="55"/>
      <x:c r="L159" s="55"/>
      <x:c r="M159"/>
      <x:c r="N159"/>
      <x:c r="O159" s="54"/>
      <x:c r="P159"/>
      <x:c r="Q159"/>
      <x:c r="R159"/>
      <x:c r="S159"/>
      <x:c r="T159"/>
      <x:c r="U159" s="57"/>
      <x:c r="V159" s="57"/>
      <x:c r="W159"/>
      <x:c r="X159"/>
      <x:c r="Y159" s="38"/>
      <x:c r="Z159" s="38"/>
      <x:c r="AA159"/>
    </x:row>
    <x:row r="160">
      <x:c r="A160" s="54" t="n">
        <x:v>44012</x:v>
      </x:c>
      <x:c r="B160" t="n">
        <x:v>44012.624999988424</x:v>
      </x:c>
      <x:c r="C160" t="str">
        <x:v>049480</x:v>
      </x:c>
      <x:c r="D160" t="str">
        <x:v>오픈베이스</x:v>
      </x:c>
      <x:c r="E160" t="str">
        <x:v>KOSDAQ</x:v>
      </x:c>
      <x:c r="F160" t="str">
        <x:v>SMALL</x:v>
      </x:c>
      <x:c r="G160" t="str">
        <x:v>DCF_SCREENING_EXCLUSION</x:v>
      </x:c>
      <x:c r="H160" t="str">
        <x:v>NON_POSITIVE_ENTERPRISE_VALUE|NON_POSITIVE_TERMINAL_FCF|UNRELIABLE_TERMINAL_VALUE_SHARE</x:v>
      </x:c>
      <x:c r="I160" s="54" t="n">
        <x:v>44012</x:v>
      </x:c>
      <x:c r="J160" s="55" t="n">
        <x:v>3090</x:v>
      </x:c>
      <x:c r="K160" s="55" t="n">
        <x:v>97095163470</x:v>
      </x:c>
      <x:c r="L160" s="55" t="n">
        <x:v>31422383</x:v>
      </x:c>
      <x:c r="M160" t="str">
        <x:v>20200330002421</x:v>
      </x:c>
      <x:c r="N160" t="n">
        <x:v>43920.624999988424</x:v>
      </x:c>
      <x:c r="O160" s="54" t="n">
        <x:v>43830</x:v>
      </x:c>
      <x:c r="P160" t="str">
        <x:v>False</x:v>
      </x:c>
      <x:c r="Q160" t="str">
        <x:v>a80a1e04d75a6cf279cedcc018265987ab81e0b440daf2631cfaf8d327a7d2b8</x:v>
      </x:c>
      <x:c r="R160" t="str">
        <x:v>8fc8dd8b71f7cc0fddace493c9cc4e00cd3df9a0f540034dd8e8d02658b25113</x:v>
      </x:c>
      <x:c r="S160" t="n">
        <x:v>6</x:v>
      </x:c>
      <x:c r="T160" t="str">
        <x:v>2018-12-31|2019-12-31</x:v>
      </x:c>
      <x:c r="U160" s="57" t="n">
        <x:v>165.67116845342238</x:v>
      </x:c>
      <x:c r="V160" s="57" t="n">
        <x:v>-0.9463847351283423</x:v>
      </x:c>
      <x:c r="W160"/>
      <x:c r="X160"/>
      <x:c r="Y160" s="38" t="n">
        <x:v>0.6409090909090909</x:v>
      </x:c>
      <x:c r="Z160" s="38" t="n">
        <x:v>132.0632423192667</x:v>
      </x:c>
      <x:c r="AA160" t="str">
        <x:v>NON_POSITIVE_ENTERPRISE_VALUE|NON_POSITIVE_TERMINAL_FCF|UNRELIABLE_TERMINAL_VALUE_SHARE</x:v>
      </x:c>
    </x:row>
    <x:row r="161">
      <x:c r="A161" s="54" t="n">
        <x:v>44012</x:v>
      </x:c>
      <x:c r="B161" t="n">
        <x:v>44012.624999988424</x:v>
      </x:c>
      <x:c r="C161" t="str">
        <x:v>302430</x:v>
      </x:c>
      <x:c r="D161" t="str">
        <x:v>이노메트리</x:v>
      </x:c>
      <x:c r="E161" t="str">
        <x:v>KOSDAQ</x:v>
      </x:c>
      <x:c r="F161" t="str">
        <x:v>SMALL</x:v>
      </x:c>
      <x:c r="G161" t="str">
        <x:v>ELIGIBLE</x:v>
      </x:c>
      <x:c r="H161"/>
      <x:c r="I161" s="54" t="n">
        <x:v>44012</x:v>
      </x:c>
      <x:c r="J161" s="55" t="n">
        <x:v>19400</x:v>
      </x:c>
      <x:c r="K161" s="55" t="n">
        <x:v>187214190400</x:v>
      </x:c>
      <x:c r="L161" s="55" t="n">
        <x:v>9650216</x:v>
      </x:c>
      <x:c r="M161" t="str">
        <x:v>20200327001949</x:v>
      </x:c>
      <x:c r="N161" t="n">
        <x:v>43917.624999988424</x:v>
      </x:c>
      <x:c r="O161" s="54" t="n">
        <x:v>43830</x:v>
      </x:c>
      <x:c r="P161" t="str">
        <x:v>False</x:v>
      </x:c>
      <x:c r="Q161" t="str">
        <x:v>9439fe9eee7e7027087c8aac09f236db02b328d3f48a7762ddc282e722916be6</x:v>
      </x:c>
      <x:c r="R161" t="str">
        <x:v>a0543e65ba4dcb52330531b24f2a6f526b9b7313f55a60e09c1593ff529413bc</x:v>
      </x:c>
      <x:c r="S161" t="n">
        <x:v>6</x:v>
      </x:c>
      <x:c r="T161" t="str">
        <x:v>2018-12-31|2019-12-31</x:v>
      </x:c>
      <x:c r="U161" s="57" t="n">
        <x:v>4196.108244323621</x:v>
      </x:c>
      <x:c r="V161" s="57" t="n">
        <x:v>-0.7837057606018751</x:v>
      </x:c>
      <x:c r="W161" t="n">
        <x:v>55</x:v>
      </x:c>
      <x:c r="X161" t="n">
        <x:v>5</x:v>
      </x:c>
      <x:c r="Y161" s="38" t="n">
        <x:v>0.6409090909090909</x:v>
      </x:c>
      <x:c r="Z161" s="38" t="n">
        <x:v>0.654245628778656</x:v>
      </x:c>
      <x:c r="AA161"/>
    </x:row>
    <x:row r="162">
      <x:c r="A162" s="54" t="n">
        <x:v>44012</x:v>
      </x:c>
      <x:c r="B162" t="n">
        <x:v>44012.624999988424</x:v>
      </x:c>
      <x:c r="C162" t="str">
        <x:v>288620</x:v>
      </x:c>
      <x:c r="D162" t="str">
        <x:v>에스퓨얼셀</x:v>
      </x:c>
      <x:c r="E162" t="str">
        <x:v>KOSDAQ</x:v>
      </x:c>
      <x:c r="F162" t="str">
        <x:v>SMALL</x:v>
      </x:c>
      <x:c r="G162" t="str">
        <x:v>DCF_SCREENING_EXCLUSION</x:v>
      </x:c>
      <x:c r="H162" t="str">
        <x:v>UNRELIABLE_TERMINAL_VALUE_SHARE</x:v>
      </x:c>
      <x:c r="I162" s="54" t="n">
        <x:v>44012</x:v>
      </x:c>
      <x:c r="J162" s="55" t="n">
        <x:v>44000</x:v>
      </x:c>
      <x:c r="K162" s="55" t="n">
        <x:v>252749904000</x:v>
      </x:c>
      <x:c r="L162" s="55" t="n">
        <x:v>5744316</x:v>
      </x:c>
      <x:c r="M162" t="str">
        <x:v>20200330004143</x:v>
      </x:c>
      <x:c r="N162" t="n">
        <x:v>43920.624999988424</x:v>
      </x:c>
      <x:c r="O162" s="54" t="n">
        <x:v>43830</x:v>
      </x:c>
      <x:c r="P162" t="str">
        <x:v>False</x:v>
      </x:c>
      <x:c r="Q162" t="str">
        <x:v>7434c53b7d28e7d6824609c979bc19f88a71849df366c5c682c6ff2ee0402435</x:v>
      </x:c>
      <x:c r="R162" t="str">
        <x:v>0c0cea23382728c122dd388b34cfdf35e1dd29bed5364809d3f4462aae932258</x:v>
      </x:c>
      <x:c r="S162" t="n">
        <x:v>6</x:v>
      </x:c>
      <x:c r="T162" t="str">
        <x:v>2018-12-31|2019-12-31</x:v>
      </x:c>
      <x:c r="U162" s="57" t="n">
        <x:v>617.2510382636931</x:v>
      </x:c>
      <x:c r="V162" s="57" t="n">
        <x:v>-0.9859715673121888</x:v>
      </x:c>
      <x:c r="W162"/>
      <x:c r="X162"/>
      <x:c r="Y162" s="38" t="n">
        <x:v>0.6409090909090909</x:v>
      </x:c>
      <x:c r="Z162" s="38" t="n">
        <x:v>0.982965917448867</x:v>
      </x:c>
      <x:c r="AA162" t="str">
        <x:v>UNRELIABLE_TERMINAL_VALUE_SHARE</x:v>
      </x:c>
    </x:row>
    <x:row r="163">
      <x:c r="A163" s="54" t="n">
        <x:v>44012</x:v>
      </x:c>
      <x:c r="B163" t="n">
        <x:v>44012.624999988424</x:v>
      </x:c>
      <x:c r="C163" t="str">
        <x:v>094840</x:v>
      </x:c>
      <x:c r="D163" t="str">
        <x:v>슈프리마에이치큐</x:v>
      </x:c>
      <x:c r="E163" t="str">
        <x:v>KOSDAQ</x:v>
      </x:c>
      <x:c r="F163" t="str">
        <x:v>SMALL</x:v>
      </x:c>
      <x:c r="G163" t="str">
        <x:v>ELIGIBLE</x:v>
      </x:c>
      <x:c r="H163"/>
      <x:c r="I163" s="54" t="n">
        <x:v>44012</x:v>
      </x:c>
      <x:c r="J163" s="55" t="n">
        <x:v>4820</x:v>
      </x:c>
      <x:c r="K163" s="55" t="n">
        <x:v>50474268800</x:v>
      </x:c>
      <x:c r="L163" s="55" t="n">
        <x:v>10471840</x:v>
      </x:c>
      <x:c r="M163" t="str">
        <x:v>20200407002394</x:v>
      </x:c>
      <x:c r="N163" t="n">
        <x:v>43928.624999988424</x:v>
      </x:c>
      <x:c r="O163" s="54" t="n">
        <x:v>43830</x:v>
      </x:c>
      <x:c r="P163" t="str">
        <x:v>True</x:v>
      </x:c>
      <x:c r="Q163" t="str">
        <x:v>a3f89608e644eb6ff0639c198306cd340a5a8114c9decdfc85db2a2bd9ded52c</x:v>
      </x:c>
      <x:c r="R163" t="str">
        <x:v>7eae6391321b1e1f1afce974d81dd270324ad40ec6663e40acdec085b0439564</x:v>
      </x:c>
      <x:c r="S163" t="n">
        <x:v>6</x:v>
      </x:c>
      <x:c r="T163" t="str">
        <x:v>2018-12-31|2019-12-31</x:v>
      </x:c>
      <x:c r="U163" s="57" t="n">
        <x:v>2903.3884132538665</x:v>
      </x:c>
      <x:c r="V163" s="57" t="n">
        <x:v>-0.39763725866102356</x:v>
      </x:c>
      <x:c r="W163" t="n">
        <x:v>33</x:v>
      </x:c>
      <x:c r="X163" t="n">
        <x:v>3</x:v>
      </x:c>
      <x:c r="Y163" s="38" t="n">
        <x:v>0.6409090909090909</x:v>
      </x:c>
      <x:c r="Z163" s="38" t="n">
        <x:v>0.6640299967652187</x:v>
      </x:c>
      <x:c r="AA163"/>
    </x:row>
    <x:row r="164">
      <x:c r="A164" s="54" t="n">
        <x:v>44012</x:v>
      </x:c>
      <x:c r="B164" t="n">
        <x:v>44012.624999988424</x:v>
      </x:c>
      <x:c r="C164" t="str">
        <x:v>019990</x:v>
      </x:c>
      <x:c r="D164" t="str">
        <x:v>에너토크</x:v>
      </x:c>
      <x:c r="E164" t="str">
        <x:v>KOSDAQ</x:v>
      </x:c>
      <x:c r="F164" t="str">
        <x:v>SMALL</x:v>
      </x:c>
      <x:c r="G164" t="str">
        <x:v>DCF_SCREENING_EXCLUSION</x:v>
      </x:c>
      <x:c r="H164" t="str">
        <x:v>NON_POSITIVE_ENTERPRISE_VALUE|NON_POSITIVE_EQUITY_VALUE|NON_POSITIVE_TERMINAL_FCF</x:v>
      </x:c>
      <x:c r="I164" s="54" t="n">
        <x:v>44012</x:v>
      </x:c>
      <x:c r="J164" s="55" t="n">
        <x:v>3530</x:v>
      </x:c>
      <x:c r="K164" s="55" t="n">
        <x:v>34438990640</x:v>
      </x:c>
      <x:c r="L164" s="55" t="n">
        <x:v>9756088</x:v>
      </x:c>
      <x:c r="M164" t="str">
        <x:v>20200330001788</x:v>
      </x:c>
      <x:c r="N164" t="n">
        <x:v>43920.624999988424</x:v>
      </x:c>
      <x:c r="O164" s="54" t="n">
        <x:v>43830</x:v>
      </x:c>
      <x:c r="P164" t="str">
        <x:v>False</x:v>
      </x:c>
      <x:c r="Q164" t="str">
        <x:v>f2e2396ad6831135dea94697f5e2ed05be027bcbc6fd7f725b66ee39afb94a22</x:v>
      </x:c>
      <x:c r="R164" t="str">
        <x:v>f7893d7a7a04135bbf21a2e2e4878fa7ed6695df6bfc13fcb336eac4f1109c29</x:v>
      </x:c>
      <x:c r="S164" t="n">
        <x:v>7</x:v>
      </x:c>
      <x:c r="T164" t="str">
        <x:v>2018-12-31|2019-12-31</x:v>
      </x:c>
      <x:c r="U164" s="57" t="n">
        <x:v>-309.37462625571885</x:v>
      </x:c>
      <x:c r="V164" s="57" t="n">
        <x:v>-1.0876415371829231</x:v>
      </x:c>
      <x:c r="W164"/>
      <x:c r="X164"/>
      <x:c r="Y164" s="38" t="n">
        <x:v>0.6409090909090909</x:v>
      </x:c>
      <x:c r="Z164" s="38" t="n">
        <x:v>0.5445814290277464</x:v>
      </x:c>
      <x:c r="AA164" t="str">
        <x:v>NON_POSITIVE_ENTERPRISE_VALUE|NON_POSITIVE_EQUITY_VALUE|NON_POSITIVE_TERMINAL_FCF</x:v>
      </x:c>
    </x:row>
    <x:row r="165">
      <x:c r="A165" s="54" t="n">
        <x:v>44012</x:v>
      </x:c>
      <x:c r="B165" t="n">
        <x:v>44012.624999988424</x:v>
      </x:c>
      <x:c r="C165" t="str">
        <x:v>024740</x:v>
      </x:c>
      <x:c r="D165" t="str">
        <x:v>한일단조</x:v>
      </x:c>
      <x:c r="E165" t="str">
        <x:v>KOSDAQ</x:v>
      </x:c>
      <x:c r="F165" t="str">
        <x:v>SMALL</x:v>
      </x:c>
      <x:c r="G165" t="str">
        <x:v>DCF_SCREENING_EXCLUSION</x:v>
      </x:c>
      <x:c r="H165" t="str">
        <x:v>NON_POSITIVE_ENTERPRISE_VALUE|NON_POSITIVE_EQUITY_VALUE|NON_POSITIVE_TERMINAL_FCF</x:v>
      </x:c>
      <x:c r="I165" s="54" t="n">
        <x:v>44012</x:v>
      </x:c>
      <x:c r="J165" s="55" t="n">
        <x:v>1695</x:v>
      </x:c>
      <x:c r="K165" s="55" t="n">
        <x:v>50665800960</x:v>
      </x:c>
      <x:c r="L165" s="55" t="n">
        <x:v>29891328</x:v>
      </x:c>
      <x:c r="M165" t="str">
        <x:v>20200330001710</x:v>
      </x:c>
      <x:c r="N165" t="n">
        <x:v>43920.624999988424</x:v>
      </x:c>
      <x:c r="O165" s="54" t="n">
        <x:v>43830</x:v>
      </x:c>
      <x:c r="P165" t="str">
        <x:v>False</x:v>
      </x:c>
      <x:c r="Q165" t="str">
        <x:v>d15e948aa9dfe94fbd968cd0dae581849a839f3ef47e6a407973ebc195b6f374</x:v>
      </x:c>
      <x:c r="R165" t="str">
        <x:v>78446e23cb8a76ce3efd073c15c4a71203d3c7c8bd55b4f2ae85b3a04229b857</x:v>
      </x:c>
      <x:c r="S165" t="n">
        <x:v>7</x:v>
      </x:c>
      <x:c r="T165" t="str">
        <x:v>2018-12-31|2019-12-31</x:v>
      </x:c>
      <x:c r="U165" s="57" t="n">
        <x:v>-3038.605511049091</x:v>
      </x:c>
      <x:c r="V165" s="57" t="n">
        <x:v>-2.7926876171381068</x:v>
      </x:c>
      <x:c r="W165"/>
      <x:c r="X165"/>
      <x:c r="Y165" s="38" t="n">
        <x:v>0.6409090909090909</x:v>
      </x:c>
      <x:c r="Z165" s="38" t="n">
        <x:v>0.7128505204548261</x:v>
      </x:c>
      <x:c r="AA165" t="str">
        <x:v>NON_POSITIVE_ENTERPRISE_VALUE|NON_POSITIVE_EQUITY_VALUE|NON_POSITIVE_TERMINAL_FCF</x:v>
      </x:c>
    </x:row>
    <x:row r="166">
      <x:c r="A166" s="54" t="n">
        <x:v>44012</x:v>
      </x:c>
      <x:c r="B166" t="n">
        <x:v>44012.624999988424</x:v>
      </x:c>
      <x:c r="C166" t="str">
        <x:v>340930</x:v>
      </x:c>
      <x:c r="D166" t="str">
        <x:v>유일에너테크</x:v>
      </x:c>
      <x:c r="E166" t="str">
        <x:v>KOSDAQ</x:v>
      </x:c>
      <x:c r="F166" t="str">
        <x:v>SMALL</x:v>
      </x:c>
      <x:c r="G166" t="str">
        <x:v>NOT_LISTED_OR_NO_PRICE</x:v>
      </x:c>
      <x:c r="H166"/>
      <x:c r="I166" s="54"/>
      <x:c r="J166" s="55"/>
      <x:c r="K166" s="55"/>
      <x:c r="L166" s="55"/>
      <x:c r="M166"/>
      <x:c r="N166"/>
      <x:c r="O166" s="54"/>
      <x:c r="P166"/>
      <x:c r="Q166"/>
      <x:c r="R166"/>
      <x:c r="S166"/>
      <x:c r="T166"/>
      <x:c r="U166" s="57"/>
      <x:c r="V166" s="57"/>
      <x:c r="W166"/>
      <x:c r="X166"/>
      <x:c r="Y166" s="38"/>
      <x:c r="Z166" s="38"/>
      <x:c r="AA166"/>
    </x:row>
    <x:row r="167">
      <x:c r="A167" s="54" t="n">
        <x:v>44012</x:v>
      </x:c>
      <x:c r="B167" t="n">
        <x:v>44012.624999988424</x:v>
      </x:c>
      <x:c r="C167" t="str">
        <x:v>057030</x:v>
      </x:c>
      <x:c r="D167" t="str">
        <x:v>YBM넷</x:v>
      </x:c>
      <x:c r="E167" t="str">
        <x:v>KOSDAQ</x:v>
      </x:c>
      <x:c r="F167" t="str">
        <x:v>SMALL</x:v>
      </x:c>
      <x:c r="G167" t="str">
        <x:v>ELIGIBLE</x:v>
      </x:c>
      <x:c r="H167"/>
      <x:c r="I167" s="54" t="n">
        <x:v>44012</x:v>
      </x:c>
      <x:c r="J167" s="55" t="n">
        <x:v>7310</x:v>
      </x:c>
      <x:c r="K167" s="55" t="n">
        <x:v>119245815070</x:v>
      </x:c>
      <x:c r="L167" s="55" t="n">
        <x:v>16312697</x:v>
      </x:c>
      <x:c r="M167" t="str">
        <x:v>20200330002871</x:v>
      </x:c>
      <x:c r="N167" t="n">
        <x:v>43920.624999988424</x:v>
      </x:c>
      <x:c r="O167" s="54" t="n">
        <x:v>43830</x:v>
      </x:c>
      <x:c r="P167" t="str">
        <x:v>False</x:v>
      </x:c>
      <x:c r="Q167" t="str">
        <x:v>31bfa98f3484f6e39f01291319bd7997853a67bb35d73559fb8f28fcccbc1709</x:v>
      </x:c>
      <x:c r="R167" t="str">
        <x:v>21915651b2c89caf18110e90c277571770e447f5f8360d31f38649cb509448fa</x:v>
      </x:c>
      <x:c r="S167" t="n">
        <x:v>6</x:v>
      </x:c>
      <x:c r="T167" t="str">
        <x:v>2018-12-31|2019-12-31</x:v>
      </x:c>
      <x:c r="U167" s="57" t="n">
        <x:v>250.81223785625028</x:v>
      </x:c>
      <x:c r="V167" s="57" t="n">
        <x:v>-0.9656891603479821</x:v>
      </x:c>
      <x:c r="W167" t="n">
        <x:v>63</x:v>
      </x:c>
      <x:c r="X167" t="n">
        <x:v>5</x:v>
      </x:c>
      <x:c r="Y167" s="38" t="n">
        <x:v>0.6409090909090909</x:v>
      </x:c>
      <x:c r="Z167" s="38" t="n">
        <x:v>0.5055006343771669</x:v>
      </x:c>
      <x:c r="AA167"/>
    </x:row>
    <x:row r="168">
      <x:c r="A168" s="54" t="n">
        <x:v>44012</x:v>
      </x:c>
      <x:c r="B168" t="n">
        <x:v>44012.624999988424</x:v>
      </x:c>
      <x:c r="C168" t="str">
        <x:v>053160</x:v>
      </x:c>
      <x:c r="D168" t="str">
        <x:v>프리엠스</x:v>
      </x:c>
      <x:c r="E168" t="str">
        <x:v>KOSDAQ</x:v>
      </x:c>
      <x:c r="F168" t="str">
        <x:v>SMALL</x:v>
      </x:c>
      <x:c r="G168" t="str">
        <x:v>DCF_SCREENING_EXCLUSION</x:v>
      </x:c>
      <x:c r="H168" t="str">
        <x:v>UNRELIABLE_TERMINAL_VALUE_SHARE</x:v>
      </x:c>
      <x:c r="I168" s="54" t="n">
        <x:v>44012</x:v>
      </x:c>
      <x:c r="J168" s="55" t="n">
        <x:v>6120</x:v>
      </x:c>
      <x:c r="K168" s="55" t="n">
        <x:v>36720000000</x:v>
      </x:c>
      <x:c r="L168" s="55" t="n">
        <x:v>6000000</x:v>
      </x:c>
      <x:c r="M168" t="str">
        <x:v>20200330000416</x:v>
      </x:c>
      <x:c r="N168" t="n">
        <x:v>43920.624999988424</x:v>
      </x:c>
      <x:c r="O168" s="54" t="n">
        <x:v>43830</x:v>
      </x:c>
      <x:c r="P168" t="str">
        <x:v>False</x:v>
      </x:c>
      <x:c r="Q168" t="str">
        <x:v>b8d8d57690688396554de3a51b42deab1fbc22dae9ba62af4b83812081529be9</x:v>
      </x:c>
      <x:c r="R168" t="str">
        <x:v>119800ddc8d32cf6b2b081a667caada1ac28788814c9a2944ba8da87888bf3a3</x:v>
      </x:c>
      <x:c r="S168" t="n">
        <x:v>7</x:v>
      </x:c>
      <x:c r="T168" t="str">
        <x:v>2018-12-31|2019-12-31</x:v>
      </x:c>
      <x:c r="U168" s="57" t="n">
        <x:v>142.32722732995737</x:v>
      </x:c>
      <x:c r="V168" s="57" t="n">
        <x:v>-0.9767439171029482</x:v>
      </x:c>
      <x:c r="W168"/>
      <x:c r="X168"/>
      <x:c r="Y168" s="38" t="n">
        <x:v>0.6409090909090909</x:v>
      </x:c>
      <x:c r="Z168" s="38" t="n">
        <x:v>1.219784346278681</x:v>
      </x:c>
      <x:c r="AA168" t="str">
        <x:v>UNRELIABLE_TERMINAL_VALUE_SHARE</x:v>
      </x:c>
    </x:row>
    <x:row r="169">
      <x:c r="A169" s="54" t="n">
        <x:v>44012</x:v>
      </x:c>
      <x:c r="B169" t="n">
        <x:v>44012.624999988424</x:v>
      </x:c>
      <x:c r="C169" t="str">
        <x:v>038620</x:v>
      </x:c>
      <x:c r="D169" t="str">
        <x:v>위즈코프</x:v>
      </x:c>
      <x:c r="E169" t="str">
        <x:v>KOSDAQ</x:v>
      </x:c>
      <x:c r="F169" t="str">
        <x:v>SMALL</x:v>
      </x:c>
      <x:c r="G169" t="str">
        <x:v>ELIGIBLE</x:v>
      </x:c>
      <x:c r="H169"/>
      <x:c r="I169" s="54" t="n">
        <x:v>44012</x:v>
      </x:c>
      <x:c r="J169" s="55" t="n">
        <x:v>940</x:v>
      </x:c>
      <x:c r="K169" s="55" t="n">
        <x:v>36500925680</x:v>
      </x:c>
      <x:c r="L169" s="55" t="n">
        <x:v>38830772</x:v>
      </x:c>
      <x:c r="M169" t="str">
        <x:v>20200330003512</x:v>
      </x:c>
      <x:c r="N169" t="n">
        <x:v>43920.624999988424</x:v>
      </x:c>
      <x:c r="O169" s="54" t="n">
        <x:v>43830</x:v>
      </x:c>
      <x:c r="P169" t="str">
        <x:v>False</x:v>
      </x:c>
      <x:c r="Q169" t="str">
        <x:v>0be21a4afbbce00f84fbac53bc2c696c7b14834ea8be19a4e7b4c345190d050f</x:v>
      </x:c>
      <x:c r="R169" t="str">
        <x:v>9352fd7f0b93a3069f8c48b36974d51f96b14f9af18d42251c468565da6460ab</x:v>
      </x:c>
      <x:c r="S169" t="n">
        <x:v>5</x:v>
      </x:c>
      <x:c r="T169" t="str">
        <x:v>2018-12-31|2019-12-31</x:v>
      </x:c>
      <x:c r="U169" s="57" t="n">
        <x:v>282.9420430892279</x:v>
      </x:c>
      <x:c r="V169" s="57" t="n">
        <x:v>-0.6989978265008213</x:v>
      </x:c>
      <x:c r="W169" t="n">
        <x:v>50</x:v>
      </x:c>
      <x:c r="X169" t="n">
        <x:v>4</x:v>
      </x:c>
      <x:c r="Y169" s="38" t="n">
        <x:v>0.6409090909090909</x:v>
      </x:c>
      <x:c r="Z169" s="38" t="n">
        <x:v>0.5351541615818943</x:v>
      </x:c>
      <x:c r="AA169"/>
    </x:row>
    <x:row r="170">
      <x:c r="A170" s="54" t="n">
        <x:v>44012</x:v>
      </x:c>
      <x:c r="B170" t="n">
        <x:v>44012.624999988424</x:v>
      </x:c>
      <x:c r="C170" t="str">
        <x:v>313760</x:v>
      </x:c>
      <x:c r="D170" t="str">
        <x:v>캐리</x:v>
      </x:c>
      <x:c r="E170" t="str">
        <x:v>KOSDAQ</x:v>
      </x:c>
      <x:c r="F170" t="str">
        <x:v>SMALL</x:v>
      </x:c>
      <x:c r="G170" t="str">
        <x:v>ELIGIBLE</x:v>
      </x:c>
      <x:c r="H170"/>
      <x:c r="I170" s="54" t="n">
        <x:v>44012</x:v>
      </x:c>
      <x:c r="J170" s="55" t="n">
        <x:v>12450</x:v>
      </x:c>
      <x:c r="K170" s="55" t="n">
        <x:v>60531900000</x:v>
      </x:c>
      <x:c r="L170" s="55" t="n">
        <x:v>4862000</x:v>
      </x:c>
      <x:c r="M170" t="str">
        <x:v>20200330001096</x:v>
      </x:c>
      <x:c r="N170" t="n">
        <x:v>43920.624999988424</x:v>
      </x:c>
      <x:c r="O170" s="54" t="n">
        <x:v>43830</x:v>
      </x:c>
      <x:c r="P170" t="str">
        <x:v>False</x:v>
      </x:c>
      <x:c r="Q170" t="str">
        <x:v>5eaf0d13b8aa602f0473d18b94ec4985e2122f7d7f192c687da13bed10975db5</x:v>
      </x:c>
      <x:c r="R170" t="str">
        <x:v>adc6b1b633668d036c516f5c32b7415d332ccaccfea5831ebea865a1d3bb1d82</x:v>
      </x:c>
      <x:c r="S170" t="n">
        <x:v>5</x:v>
      </x:c>
      <x:c r="T170" t="str">
        <x:v>2019-12-31</x:v>
      </x:c>
      <x:c r="U170" s="57" t="n">
        <x:v>4050.8466663379677</x:v>
      </x:c>
      <x:c r="V170" s="57" t="n">
        <x:v>-0.674630789852372</x:v>
      </x:c>
      <x:c r="W170" t="n">
        <x:v>47</x:v>
      </x:c>
      <x:c r="X170" t="n">
        <x:v>4</x:v>
      </x:c>
      <x:c r="Y170" s="38" t="n">
        <x:v>0.6409090909090909</x:v>
      </x:c>
      <x:c r="Z170" s="38" t="n">
        <x:v>0.6264850986190418</x:v>
      </x:c>
      <x:c r="AA170"/>
    </x:row>
    <x:row r="171">
      <x:c r="A171" s="54" t="n">
        <x:v>44012</x:v>
      </x:c>
      <x:c r="B171" t="n">
        <x:v>44012.624999988424</x:v>
      </x:c>
      <x:c r="C171" t="str">
        <x:v>372800</x:v>
      </x:c>
      <x:c r="D171" t="str">
        <x:v>아이티아이즈</x:v>
      </x:c>
      <x:c r="E171" t="str">
        <x:v>KOSDAQ</x:v>
      </x:c>
      <x:c r="F171" t="str">
        <x:v>SMALL</x:v>
      </x:c>
      <x:c r="G171" t="str">
        <x:v>NOT_LISTED_OR_NO_PRICE</x:v>
      </x:c>
      <x:c r="H171"/>
      <x:c r="I171" s="54"/>
      <x:c r="J171" s="55"/>
      <x:c r="K171" s="55"/>
      <x:c r="L171" s="55"/>
      <x:c r="M171"/>
      <x:c r="N171"/>
      <x:c r="O171" s="54"/>
      <x:c r="P171"/>
      <x:c r="Q171"/>
      <x:c r="R171"/>
      <x:c r="S171"/>
      <x:c r="T171"/>
      <x:c r="U171" s="57"/>
      <x:c r="V171" s="57"/>
      <x:c r="W171"/>
      <x:c r="X171"/>
      <x:c r="Y171" s="38"/>
      <x:c r="Z171" s="38"/>
      <x:c r="AA171"/>
    </x:row>
    <x:row r="172">
      <x:c r="A172" s="54" t="n">
        <x:v>44012</x:v>
      </x:c>
      <x:c r="B172" t="n">
        <x:v>44012.624999988424</x:v>
      </x:c>
      <x:c r="C172" t="str">
        <x:v>332290</x:v>
      </x:c>
      <x:c r="D172" t="str">
        <x:v>누보</x:v>
      </x:c>
      <x:c r="E172" t="str">
        <x:v>KOSDAQ</x:v>
      </x:c>
      <x:c r="F172" t="str">
        <x:v>SMALL</x:v>
      </x:c>
      <x:c r="G172" t="str">
        <x:v>NO_PIT_FINANCIALS</x:v>
      </x:c>
      <x:c r="H172"/>
      <x:c r="I172" s="54" t="n">
        <x:v>44012</x:v>
      </x:c>
      <x:c r="J172" s="55" t="n">
        <x:v>2025</x:v>
      </x:c>
      <x:c r="K172" s="55" t="n">
        <x:v>10540125000</x:v>
      </x:c>
      <x:c r="L172" s="55" t="n">
        <x:v>5205000</x:v>
      </x:c>
      <x:c r="M172"/>
      <x:c r="N172"/>
      <x:c r="O172" s="54"/>
      <x:c r="P172"/>
      <x:c r="Q172"/>
      <x:c r="R172"/>
      <x:c r="S172"/>
      <x:c r="T172"/>
      <x:c r="U172" s="57"/>
      <x:c r="V172" s="57"/>
      <x:c r="W172"/>
      <x:c r="X172"/>
      <x:c r="Y172" s="38"/>
      <x:c r="Z172" s="38"/>
      <x:c r="AA172"/>
    </x:row>
    <x:row r="173">
      <x:c r="A173" s="54" t="n">
        <x:v>44012</x:v>
      </x:c>
      <x:c r="B173" t="n">
        <x:v>44012.624999988424</x:v>
      </x:c>
      <x:c r="C173" t="str">
        <x:v>059100</x:v>
      </x:c>
      <x:c r="D173" t="str">
        <x:v>아이컴포넌트</x:v>
      </x:c>
      <x:c r="E173" t="str">
        <x:v>KOSDAQ</x:v>
      </x:c>
      <x:c r="F173" t="str">
        <x:v>SMALL</x:v>
      </x:c>
      <x:c r="G173" t="str">
        <x:v>DCF_SCREENING_EXCLUSION</x:v>
      </x:c>
      <x:c r="H173" t="str">
        <x:v>NON_POSITIVE_EQUITY_VALUE</x:v>
      </x:c>
      <x:c r="I173" s="54" t="n">
        <x:v>44012</x:v>
      </x:c>
      <x:c r="J173" s="55" t="n">
        <x:v>4070</x:v>
      </x:c>
      <x:c r="K173" s="55" t="n">
        <x:v>28778400200</x:v>
      </x:c>
      <x:c r="L173" s="55" t="n">
        <x:v>7070860</x:v>
      </x:c>
      <x:c r="M173" t="str">
        <x:v>20200327000138</x:v>
      </x:c>
      <x:c r="N173" t="n">
        <x:v>43917.624999988424</x:v>
      </x:c>
      <x:c r="O173" s="54" t="n">
        <x:v>43830</x:v>
      </x:c>
      <x:c r="P173" t="str">
        <x:v>False</x:v>
      </x:c>
      <x:c r="Q173" t="str">
        <x:v>4d12405d1f4469a25a3b0cee1621423c78c5b833745fd5449520dd27aab8ae64</x:v>
      </x:c>
      <x:c r="R173" t="str">
        <x:v>305e8d117f3b26f0ebe134331e51961606afb375206f1694033ad71ffbaa5375</x:v>
      </x:c>
      <x:c r="S173" t="n">
        <x:v>7</x:v>
      </x:c>
      <x:c r="T173" t="str">
        <x:v>2018-12-31|2019-12-31</x:v>
      </x:c>
      <x:c r="U173" s="57" t="n">
        <x:v>-517.9732228110661</x:v>
      </x:c>
      <x:c r="V173" s="57" t="n">
        <x:v>-1.127266148110827</x:v>
      </x:c>
      <x:c r="W173"/>
      <x:c r="X173"/>
      <x:c r="Y173" s="38" t="n">
        <x:v>0.6409090909090909</x:v>
      </x:c>
      <x:c r="Z173" s="38" t="n">
        <x:v>0.6202274730231017</x:v>
      </x:c>
      <x:c r="AA173" t="str">
        <x:v>NON_POSITIVE_EQUITY_VALUE</x:v>
      </x:c>
    </x:row>
    <x:row r="174">
      <x:c r="A174" s="54" t="n">
        <x:v>44012</x:v>
      </x:c>
      <x:c r="B174" t="n">
        <x:v>44012.624999988424</x:v>
      </x:c>
      <x:c r="C174" t="str">
        <x:v>060900</x:v>
      </x:c>
      <x:c r="D174" t="str">
        <x:v>DGP</x:v>
      </x:c>
      <x:c r="E174" t="str">
        <x:v>KOSDAQ</x:v>
      </x:c>
      <x:c r="F174" t="str">
        <x:v>SMALL</x:v>
      </x:c>
      <x:c r="G174" t="str">
        <x:v>DCF_SCREENING_EXCLUSION</x:v>
      </x:c>
      <x:c r="H174" t="str">
        <x:v>NON_POSITIVE_ENTERPRISE_VALUE|NON_POSITIVE_EQUITY_VALUE|NON_POSITIVE_TERMINAL_FCF</x:v>
      </x:c>
      <x:c r="I174" s="54" t="n">
        <x:v>44012</x:v>
      </x:c>
      <x:c r="J174" s="55" t="n">
        <x:v>1195</x:v>
      </x:c>
      <x:c r="K174" s="55" t="n">
        <x:v>161515006195</x:v>
      </x:c>
      <x:c r="L174" s="55" t="n">
        <x:v>135159001</x:v>
      </x:c>
      <x:c r="M174" t="str">
        <x:v>20200331002242</x:v>
      </x:c>
      <x:c r="N174" t="n">
        <x:v>43921.624999988424</x:v>
      </x:c>
      <x:c r="O174" s="54" t="n">
        <x:v>43830</x:v>
      </x:c>
      <x:c r="P174" t="str">
        <x:v>True</x:v>
      </x:c>
      <x:c r="Q174" t="str">
        <x:v>ac50e7e79003451d6c3ef8f2db1976662fecb89d432a540a13b72785abeff2ae</x:v>
      </x:c>
      <x:c r="R174" t="str">
        <x:v>ebc1ff8d1acc2ff5dec2c6a71422731b5ff8f9eab544b1cf7d4333ee990e85a4</x:v>
      </x:c>
      <x:c r="S174" t="n">
        <x:v>5</x:v>
      </x:c>
      <x:c r="T174" t="str">
        <x:v>2018-12-31|2019-12-31</x:v>
      </x:c>
      <x:c r="U174" s="57" t="n">
        <x:v>-240.98077359705906</x:v>
      </x:c>
      <x:c r="V174" s="57" t="n">
        <x:v>-1.201657551127246</x:v>
      </x:c>
      <x:c r="W174"/>
      <x:c r="X174"/>
      <x:c r="Y174" s="38" t="n">
        <x:v>0.6409090909090909</x:v>
      </x:c>
      <x:c r="Z174" s="38" t="n">
        <x:v>0.6282819266558984</x:v>
      </x:c>
      <x:c r="AA174" t="str">
        <x:v>NON_POSITIVE_ENTERPRISE_VALUE|NON_POSITIVE_EQUITY_VALUE|NON_POSITIVE_TERMINAL_FCF</x:v>
      </x:c>
    </x:row>
    <x:row r="175">
      <x:c r="A175" s="54" t="n">
        <x:v>44012</x:v>
      </x:c>
      <x:c r="B175" t="n">
        <x:v>44012.624999988424</x:v>
      </x:c>
      <x:c r="C175" t="str">
        <x:v>232830</x:v>
      </x:c>
      <x:c r="D175" t="str">
        <x:v>아이티센피엔에스</x:v>
      </x:c>
      <x:c r="E175" t="str">
        <x:v>KOSDAQ</x:v>
      </x:c>
      <x:c r="F175" t="str">
        <x:v>SMALL</x:v>
      </x:c>
      <x:c r="G175" t="str">
        <x:v>NO_PIT_FINANCIALS</x:v>
      </x:c>
      <x:c r="H175"/>
      <x:c r="I175" s="54" t="n">
        <x:v>44012</x:v>
      </x:c>
      <x:c r="J175" s="55" t="n">
        <x:v>13500</x:v>
      </x:c>
      <x:c r="K175" s="55" t="n">
        <x:v>21682026000</x:v>
      </x:c>
      <x:c r="L175" s="55" t="n">
        <x:v>1606076</x:v>
      </x:c>
      <x:c r="M175"/>
      <x:c r="N175"/>
      <x:c r="O175" s="54"/>
      <x:c r="P175"/>
      <x:c r="Q175"/>
      <x:c r="R175"/>
      <x:c r="S175"/>
      <x:c r="T175"/>
      <x:c r="U175" s="57"/>
      <x:c r="V175" s="57"/>
      <x:c r="W175"/>
      <x:c r="X175"/>
      <x:c r="Y175" s="38"/>
      <x:c r="Z175" s="38"/>
      <x:c r="AA175"/>
    </x:row>
    <x:row r="176">
      <x:c r="A176" s="54" t="n">
        <x:v>44012</x:v>
      </x:c>
      <x:c r="B176" t="n">
        <x:v>44012.624999988424</x:v>
      </x:c>
      <x:c r="C176" t="str">
        <x:v>070590</x:v>
      </x:c>
      <x:c r="D176" t="str">
        <x:v>한솔인티큐브</x:v>
      </x:c>
      <x:c r="E176" t="str">
        <x:v>KOSDAQ</x:v>
      </x:c>
      <x:c r="F176" t="str">
        <x:v>SMALL</x:v>
      </x:c>
      <x:c r="G176" t="str">
        <x:v>DCF_SCREENING_EXCLUSION</x:v>
      </x:c>
      <x:c r="H176" t="str">
        <x:v>NON_POSITIVE_ENTERPRISE_VALUE|NON_POSITIVE_EQUITY_VALUE|NON_POSITIVE_TERMINAL_FCF</x:v>
      </x:c>
      <x:c r="I176" s="54" t="n">
        <x:v>44012</x:v>
      </x:c>
      <x:c r="J176" s="55" t="n">
        <x:v>3190</x:v>
      </x:c>
      <x:c r="K176" s="55" t="n">
        <x:v>44275671990</x:v>
      </x:c>
      <x:c r="L176" s="55" t="n">
        <x:v>13879521</x:v>
      </x:c>
      <x:c r="M176" t="str">
        <x:v>20200330001085</x:v>
      </x:c>
      <x:c r="N176" t="n">
        <x:v>43920.624999988424</x:v>
      </x:c>
      <x:c r="O176" s="54" t="n">
        <x:v>43830</x:v>
      </x:c>
      <x:c r="P176" t="str">
        <x:v>False</x:v>
      </x:c>
      <x:c r="Q176" t="str">
        <x:v>9e3b02b74a2cf3d4848b75e855c95121a0ac21914d6696344cca86be1b268944</x:v>
      </x:c>
      <x:c r="R176" t="str">
        <x:v>3e69b12c4118b8a1b37a381adc908d621d8915ec2af0ba814d7e4fa91122bf9c</x:v>
      </x:c>
      <x:c r="S176" t="n">
        <x:v>6</x:v>
      </x:c>
      <x:c r="T176" t="str">
        <x:v>2018-12-31|2019-12-31</x:v>
      </x:c>
      <x:c r="U176" s="57" t="n">
        <x:v>-176.62002709958338</x:v>
      </x:c>
      <x:c r="V176" s="57" t="n">
        <x:v>-1.0553667796550419</x:v>
      </x:c>
      <x:c r="W176"/>
      <x:c r="X176"/>
      <x:c r="Y176" s="38" t="n">
        <x:v>0.6409090909090909</x:v>
      </x:c>
      <x:c r="Z176" s="38" t="n">
        <x:v>0.627829623617984</x:v>
      </x:c>
      <x:c r="AA176" t="str">
        <x:v>NON_POSITIVE_ENTERPRISE_VALUE|NON_POSITIVE_EQUITY_VALUE|NON_POSITIVE_TERMINAL_FCF</x:v>
      </x:c>
    </x:row>
    <x:row r="177">
      <x:c r="A177" s="54" t="n">
        <x:v>44012</x:v>
      </x:c>
      <x:c r="B177" t="n">
        <x:v>44012.624999988424</x:v>
      </x:c>
      <x:c r="C177" t="str">
        <x:v>163560</x:v>
      </x:c>
      <x:c r="D177" t="str">
        <x:v>동일고무벨트</x:v>
      </x:c>
      <x:c r="E177" t="str">
        <x:v>KOSPI</x:v>
      </x:c>
      <x:c r="F177" t="str">
        <x:v>SMALL</x:v>
      </x:c>
      <x:c r="G177" t="str">
        <x:v>ELIGIBLE</x:v>
      </x:c>
      <x:c r="H177"/>
      <x:c r="I177" s="54" t="n">
        <x:v>44012</x:v>
      </x:c>
      <x:c r="J177" s="55" t="n">
        <x:v>7790</x:v>
      </x:c>
      <x:c r="K177" s="55" t="n">
        <x:v>106333500000</x:v>
      </x:c>
      <x:c r="L177" s="55" t="n">
        <x:v>13650000</x:v>
      </x:c>
      <x:c r="M177" t="str">
        <x:v>20200330002649</x:v>
      </x:c>
      <x:c r="N177" t="n">
        <x:v>43920.624999988424</x:v>
      </x:c>
      <x:c r="O177" s="54" t="n">
        <x:v>43830</x:v>
      </x:c>
      <x:c r="P177" t="str">
        <x:v>False</x:v>
      </x:c>
      <x:c r="Q177" t="str">
        <x:v>dd18381d36a84123259d2f9d5abef82c3cd9eec87fc7c9d6a8c3704b9d8a9553</x:v>
      </x:c>
      <x:c r="R177" t="str">
        <x:v>92a6150dd322930e92b3969c0d88cbaa02568b454b922b2eca367da7090de13b</x:v>
      </x:c>
      <x:c r="S177" t="n">
        <x:v>5</x:v>
      </x:c>
      <x:c r="T177" t="str">
        <x:v>2018-12-31|2019-12-31</x:v>
      </x:c>
      <x:c r="U177" s="57" t="n">
        <x:v>6112.946267903413</x:v>
      </x:c>
      <x:c r="V177" s="57" t="n">
        <x:v>-0.21528289243858625</x:v>
      </x:c>
      <x:c r="W177" t="n">
        <x:v>27</x:v>
      </x:c>
      <x:c r="X177" t="n">
        <x:v>3</x:v>
      </x:c>
      <x:c r="Y177" s="38" t="n">
        <x:v>0.6409090909090909</x:v>
      </x:c>
      <x:c r="Z177" s="38" t="n">
        <x:v>0.6061242165613651</x:v>
      </x:c>
      <x:c r="AA177"/>
    </x:row>
    <x:row r="178">
      <x:c r="A178" s="54" t="n">
        <x:v>44012</x:v>
      </x:c>
      <x:c r="B178" t="n">
        <x:v>44012.624999988424</x:v>
      </x:c>
      <x:c r="C178" t="str">
        <x:v>004830</x:v>
      </x:c>
      <x:c r="D178" t="str">
        <x:v>덕성</x:v>
      </x:c>
      <x:c r="E178" t="str">
        <x:v>KOSPI</x:v>
      </x:c>
      <x:c r="F178" t="str">
        <x:v>SMALL</x:v>
      </x:c>
      <x:c r="G178" t="str">
        <x:v>DCF_SCREENING_EXCLUSION</x:v>
      </x:c>
      <x:c r="H178" t="str">
        <x:v>NON_POSITIVE_ENTERPRISE_VALUE|NON_POSITIVE_EQUITY_VALUE|NON_POSITIVE_TERMINAL_FCF|UNRELIABLE_TERMINAL_VALUE_SHARE</x:v>
      </x:c>
      <x:c r="I178" s="54" t="n">
        <x:v>44012</x:v>
      </x:c>
      <x:c r="J178" s="55" t="n">
        <x:v>4440</x:v>
      </x:c>
      <x:c r="K178" s="55" t="n">
        <x:v>69619200000</x:v>
      </x:c>
      <x:c r="L178" s="55" t="n">
        <x:v>15680000</x:v>
      </x:c>
      <x:c r="M178" t="str">
        <x:v>20200330001224</x:v>
      </x:c>
      <x:c r="N178" t="n">
        <x:v>43920.624999988424</x:v>
      </x:c>
      <x:c r="O178" s="54" t="n">
        <x:v>43830</x:v>
      </x:c>
      <x:c r="P178" t="str">
        <x:v>False</x:v>
      </x:c>
      <x:c r="Q178" t="str">
        <x:v>29b49876d642cfd4c870ba4a24e9e0814e5e078d39c0657247368f09139f5a51</x:v>
      </x:c>
      <x:c r="R178" t="str">
        <x:v>140fb8c686ef4f5215f46198c133daf53715e99f38a9f5c3a711618e80ffaf54</x:v>
      </x:c>
      <x:c r="S178" t="n">
        <x:v>7</x:v>
      </x:c>
      <x:c r="T178" t="str">
        <x:v>2018-12-31|2019-12-31</x:v>
      </x:c>
      <x:c r="U178" s="57" t="n">
        <x:v>-1243.3350860461567</x:v>
      </x:c>
      <x:c r="V178" s="57" t="n">
        <x:v>-1.2800304247851704</x:v>
      </x:c>
      <x:c r="W178"/>
      <x:c r="X178"/>
      <x:c r="Y178" s="38" t="n">
        <x:v>0.6409090909090909</x:v>
      </x:c>
      <x:c r="Z178" s="38" t="n">
        <x:v>1.771178029767202</x:v>
      </x:c>
      <x:c r="AA178" t="str">
        <x:v>NON_POSITIVE_ENTERPRISE_VALUE|NON_POSITIVE_EQUITY_VALUE|NON_POSITIVE_TERMINAL_FCF|UNRELIABLE_TERMINAL_VALUE_SHARE</x:v>
      </x:c>
    </x:row>
    <x:row r="179">
      <x:c r="A179" s="54" t="n">
        <x:v>44012</x:v>
      </x:c>
      <x:c r="B179" t="n">
        <x:v>44012.624999988424</x:v>
      </x:c>
      <x:c r="C179" t="str">
        <x:v>014440</x:v>
      </x:c>
      <x:c r="D179" t="str">
        <x:v>영보화학</x:v>
      </x:c>
      <x:c r="E179" t="str">
        <x:v>KOSPI</x:v>
      </x:c>
      <x:c r="F179" t="str">
        <x:v>SMALL</x:v>
      </x:c>
      <x:c r="G179" t="str">
        <x:v>ELIGIBLE</x:v>
      </x:c>
      <x:c r="H179"/>
      <x:c r="I179" s="54" t="n">
        <x:v>44012</x:v>
      </x:c>
      <x:c r="J179" s="55" t="n">
        <x:v>2685</x:v>
      </x:c>
      <x:c r="K179" s="55" t="n">
        <x:v>53700000000</x:v>
      </x:c>
      <x:c r="L179" s="55" t="n">
        <x:v>20000000</x:v>
      </x:c>
      <x:c r="M179" t="str">
        <x:v>20200330001293</x:v>
      </x:c>
      <x:c r="N179" t="n">
        <x:v>43920.624999988424</x:v>
      </x:c>
      <x:c r="O179" s="54" t="n">
        <x:v>43830</x:v>
      </x:c>
      <x:c r="P179" t="str">
        <x:v>False</x:v>
      </x:c>
      <x:c r="Q179" t="str">
        <x:v>5d556c2a6e81a8be16d513371202402c75aa3603036c8fbbd9d5858b59582c24</x:v>
      </x:c>
      <x:c r="R179" t="str">
        <x:v>f1227c63e6f2915d351b241d4dbc1c6ae73340efb324308b279eb55a91b61703</x:v>
      </x:c>
      <x:c r="S179" t="n">
        <x:v>6</x:v>
      </x:c>
      <x:c r="T179" t="str">
        <x:v>2018-12-31|2019-12-31</x:v>
      </x:c>
      <x:c r="U179" s="57" t="n">
        <x:v>1718.4461924132418</x:v>
      </x:c>
      <x:c r="V179" s="57" t="n">
        <x:v>-0.35998279612169765</x:v>
      </x:c>
      <x:c r="W179" t="n">
        <x:v>32</x:v>
      </x:c>
      <x:c r="X179" t="n">
        <x:v>3</x:v>
      </x:c>
      <x:c r="Y179" s="38" t="n">
        <x:v>0.6409090909090909</x:v>
      </x:c>
      <x:c r="Z179" s="38" t="n">
        <x:v>0.3797612797825899</x:v>
      </x:c>
      <x:c r="AA179"/>
    </x:row>
    <x:row r="180">
      <x:c r="A180" s="54" t="n">
        <x:v>44012</x:v>
      </x:c>
      <x:c r="B180" t="n">
        <x:v>44012.624999988424</x:v>
      </x:c>
      <x:c r="C180" t="str">
        <x:v>009180</x:v>
      </x:c>
      <x:c r="D180" t="str">
        <x:v>한솔로지스틱스</x:v>
      </x:c>
      <x:c r="E180" t="str">
        <x:v>KOSPI</x:v>
      </x:c>
      <x:c r="F180" t="str">
        <x:v>SMALL</x:v>
      </x:c>
      <x:c r="G180" t="str">
        <x:v>ELIGIBLE</x:v>
      </x:c>
      <x:c r="H180"/>
      <x:c r="I180" s="54" t="n">
        <x:v>44012</x:v>
      </x:c>
      <x:c r="J180" s="55" t="n">
        <x:v>1880</x:v>
      </x:c>
      <x:c r="K180" s="55" t="n">
        <x:v>51657559000</x:v>
      </x:c>
      <x:c r="L180" s="55" t="n">
        <x:v>27477425</x:v>
      </x:c>
      <x:c r="M180" t="str">
        <x:v>20200330002411</x:v>
      </x:c>
      <x:c r="N180" t="n">
        <x:v>43920.624999988424</x:v>
      </x:c>
      <x:c r="O180" s="54" t="n">
        <x:v>43830</x:v>
      </x:c>
      <x:c r="P180" t="str">
        <x:v>False</x:v>
      </x:c>
      <x:c r="Q180" t="str">
        <x:v>c5a4f1aa5865a474678e19d8dd30912b4c7a1414e379cf00e00083829d740456</x:v>
      </x:c>
      <x:c r="R180" t="str">
        <x:v>8822a47582eb9f48a0de6b130a4403e825d1784ad68975b0bdc9fb4d7044647b</x:v>
      </x:c>
      <x:c r="S180" t="n">
        <x:v>6</x:v>
      </x:c>
      <x:c r="T180" t="str">
        <x:v>2018-12-31|2019-12-31</x:v>
      </x:c>
      <x:c r="U180" s="57" t="n">
        <x:v>93.87103692528059</x:v>
      </x:c>
      <x:c r="V180" s="57" t="n">
        <x:v>-0.9500685973801699</x:v>
      </x:c>
      <x:c r="W180" t="n">
        <x:v>61</x:v>
      </x:c>
      <x:c r="X180" t="n">
        <x:v>5</x:v>
      </x:c>
      <x:c r="Y180" s="38" t="n">
        <x:v>0.6409090909090909</x:v>
      </x:c>
      <x:c r="Z180" s="38" t="n">
        <x:v>0.5762308840541649</x:v>
      </x:c>
      <x:c r="AA180"/>
    </x:row>
    <x:row r="181">
      <x:c r="A181" s="54" t="n">
        <x:v>44012</x:v>
      </x:c>
      <x:c r="B181" t="n">
        <x:v>44012.624999988424</x:v>
      </x:c>
      <x:c r="C181" t="str">
        <x:v>004910</x:v>
      </x:c>
      <x:c r="D181" t="str">
        <x:v>조광페인트</x:v>
      </x:c>
      <x:c r="E181" t="str">
        <x:v>KOSPI</x:v>
      </x:c>
      <x:c r="F181" t="str">
        <x:v>SMALL</x:v>
      </x:c>
      <x:c r="G181" t="str">
        <x:v>DCF_SCREENING_EXCLUSION</x:v>
      </x:c>
      <x:c r="H181" t="str">
        <x:v>NON_POSITIVE_ENTERPRISE_VALUE|NON_POSITIVE_EQUITY_VALUE|NON_POSITIVE_TERMINAL_FCF</x:v>
      </x:c>
      <x:c r="I181" s="54" t="n">
        <x:v>44012</x:v>
      </x:c>
      <x:c r="J181" s="55" t="n">
        <x:v>5320</x:v>
      </x:c>
      <x:c r="K181" s="55" t="n">
        <x:v>68096000000</x:v>
      </x:c>
      <x:c r="L181" s="55" t="n">
        <x:v>12800000</x:v>
      </x:c>
      <x:c r="M181" t="str">
        <x:v>20200330000972</x:v>
      </x:c>
      <x:c r="N181" t="n">
        <x:v>43920.624999988424</x:v>
      </x:c>
      <x:c r="O181" s="54" t="n">
        <x:v>43830</x:v>
      </x:c>
      <x:c r="P181" t="str">
        <x:v>False</x:v>
      </x:c>
      <x:c r="Q181" t="str">
        <x:v>3c7f251237cf2fecc7e569116a35a89e18d6b3f451c040c64ceccb5ad2a2b6a9</x:v>
      </x:c>
      <x:c r="R181" t="str">
        <x:v>16a61f56044c27f53ebeafe9d4577de8cb36dba379e89c5de160e3110106f7f0</x:v>
      </x:c>
      <x:c r="S181" t="n">
        <x:v>6</x:v>
      </x:c>
      <x:c r="T181" t="str">
        <x:v>2018-12-31|2019-12-31</x:v>
      </x:c>
      <x:c r="U181" s="57" t="n">
        <x:v>-9428.349657775905</x:v>
      </x:c>
      <x:c r="V181" s="57" t="n">
        <x:v>-2.7722461762736663</x:v>
      </x:c>
      <x:c r="W181"/>
      <x:c r="X181"/>
      <x:c r="Y181" s="38" t="n">
        <x:v>0.6409090909090909</x:v>
      </x:c>
      <x:c r="Z181" s="38" t="n">
        <x:v>0.629446326186738</x:v>
      </x:c>
      <x:c r="AA181" t="str">
        <x:v>NON_POSITIVE_ENTERPRISE_VALUE|NON_POSITIVE_EQUITY_VALUE|NON_POSITIVE_TERMINAL_FCF</x:v>
      </x:c>
    </x:row>
    <x:row r="182">
      <x:c r="A182" s="54" t="n">
        <x:v>44012</x:v>
      </x:c>
      <x:c r="B182" t="n">
        <x:v>44012.624999988424</x:v>
      </x:c>
      <x:c r="C182" t="str">
        <x:v>004870</x:v>
      </x:c>
      <x:c r="D182" t="str">
        <x:v>티웨이홀딩스</x:v>
      </x:c>
      <x:c r="E182" t="str">
        <x:v>KOSPI</x:v>
      </x:c>
      <x:c r="F182" t="str">
        <x:v>SMALL</x:v>
      </x:c>
      <x:c r="G182" t="str">
        <x:v>EXCLUDED_ARCHETYPE</x:v>
      </x:c>
      <x:c r="H182" t="str">
        <x:v>FCFF_NOT_COMPARABLE_FOR_FINANCE_OR_HOLDING_HINT</x:v>
      </x:c>
      <x:c r="I182" s="54"/>
      <x:c r="J182" s="55"/>
      <x:c r="K182" s="55"/>
      <x:c r="L182" s="55"/>
      <x:c r="M182"/>
      <x:c r="N182"/>
      <x:c r="O182" s="54"/>
      <x:c r="P182"/>
      <x:c r="Q182"/>
      <x:c r="R182"/>
      <x:c r="S182"/>
      <x:c r="T182"/>
      <x:c r="U182" s="57"/>
      <x:c r="V182" s="57"/>
      <x:c r="W182"/>
      <x:c r="X182"/>
      <x:c r="Y182" s="38"/>
      <x:c r="Z182" s="38"/>
      <x:c r="AA182"/>
    </x:row>
    <x:row r="183">
      <x:c r="A183" s="54" t="n">
        <x:v>44012</x:v>
      </x:c>
      <x:c r="B183" t="n">
        <x:v>44012.624999988424</x:v>
      </x:c>
      <x:c r="C183" t="str">
        <x:v>010770</x:v>
      </x:c>
      <x:c r="D183" t="str">
        <x:v>평화홀딩스</x:v>
      </x:c>
      <x:c r="E183" t="str">
        <x:v>KOSPI</x:v>
      </x:c>
      <x:c r="F183" t="str">
        <x:v>SMALL</x:v>
      </x:c>
      <x:c r="G183" t="str">
        <x:v>EXCLUDED_ARCHETYPE</x:v>
      </x:c>
      <x:c r="H183" t="str">
        <x:v>FCFF_NOT_COMPARABLE_FOR_FINANCE_OR_HOLDING_HINT</x:v>
      </x:c>
      <x:c r="I183" s="54"/>
      <x:c r="J183" s="55"/>
      <x:c r="K183" s="55"/>
      <x:c r="L183" s="55"/>
      <x:c r="M183"/>
      <x:c r="N183"/>
      <x:c r="O183" s="54"/>
      <x:c r="P183"/>
      <x:c r="Q183"/>
      <x:c r="R183"/>
      <x:c r="S183"/>
      <x:c r="T183"/>
      <x:c r="U183" s="57"/>
      <x:c r="V183" s="57"/>
      <x:c r="W183"/>
      <x:c r="X183"/>
      <x:c r="Y183" s="38"/>
      <x:c r="Z183" s="38"/>
      <x:c r="AA183"/>
    </x:row>
    <x:row r="184">
      <x:c r="A184" s="54" t="n">
        <x:v>44012</x:v>
      </x:c>
      <x:c r="B184" t="n">
        <x:v>44012.624999988424</x:v>
      </x:c>
      <x:c r="C184" t="str">
        <x:v>001290</x:v>
      </x:c>
      <x:c r="D184" t="str">
        <x:v>상상인증권</x:v>
      </x:c>
      <x:c r="E184" t="str">
        <x:v>KOSPI</x:v>
      </x:c>
      <x:c r="F184" t="str">
        <x:v>SMALL</x:v>
      </x:c>
      <x:c r="G184" t="str">
        <x:v>EXCLUDED_ARCHETYPE</x:v>
      </x:c>
      <x:c r="H184" t="str">
        <x:v>FCFF_NOT_COMPARABLE_FOR_FINANCE_OR_HOLDING_HINT</x:v>
      </x:c>
      <x:c r="I184" s="54"/>
      <x:c r="J184" s="55"/>
      <x:c r="K184" s="55"/>
      <x:c r="L184" s="55"/>
      <x:c r="M184"/>
      <x:c r="N184"/>
      <x:c r="O184" s="54"/>
      <x:c r="P184"/>
      <x:c r="Q184"/>
      <x:c r="R184"/>
      <x:c r="S184"/>
      <x:c r="T184"/>
      <x:c r="U184" s="57"/>
      <x:c r="V184" s="57"/>
      <x:c r="W184"/>
      <x:c r="X184"/>
      <x:c r="Y184" s="38"/>
      <x:c r="Z184" s="38"/>
      <x:c r="AA184"/>
    </x:row>
    <x:row r="185">
      <x:c r="A185" s="54" t="n">
        <x:v>44012</x:v>
      </x:c>
      <x:c r="B185" t="n">
        <x:v>44012.624999988424</x:v>
      </x:c>
      <x:c r="C185" t="str">
        <x:v>047400</x:v>
      </x:c>
      <x:c r="D185" t="str">
        <x:v>유니온머티리얼</x:v>
      </x:c>
      <x:c r="E185" t="str">
        <x:v>KOSPI</x:v>
      </x:c>
      <x:c r="F185" t="str">
        <x:v>SMALL</x:v>
      </x:c>
      <x:c r="G185" t="str">
        <x:v>DCF_SCREENING_EXCLUSION</x:v>
      </x:c>
      <x:c r="H185" t="str">
        <x:v>NON_POSITIVE_ENTERPRISE_VALUE|NON_POSITIVE_EQUITY_VALUE|NON_POSITIVE_TERMINAL_FCF</x:v>
      </x:c>
      <x:c r="I185" s="54" t="n">
        <x:v>44012</x:v>
      </x:c>
      <x:c r="J185" s="55" t="n">
        <x:v>4115</x:v>
      </x:c>
      <x:c r="K185" s="55" t="n">
        <x:v>172830000000</x:v>
      </x:c>
      <x:c r="L185" s="55" t="n">
        <x:v>42000000</x:v>
      </x:c>
      <x:c r="M185" t="str">
        <x:v>20200330002957</x:v>
      </x:c>
      <x:c r="N185" t="n">
        <x:v>43920.624999988424</x:v>
      </x:c>
      <x:c r="O185" s="54" t="n">
        <x:v>43830</x:v>
      </x:c>
      <x:c r="P185" t="str">
        <x:v>False</x:v>
      </x:c>
      <x:c r="Q185" t="str">
        <x:v>0b5e9973a69d2d4bfadd10227ba7d7aa97981581c61e748614e0cb3c50baf275</x:v>
      </x:c>
      <x:c r="R185" t="str">
        <x:v>4ef81c860d64ce61559559bd0b2e141484a8b98c37b64cf698d10ca5ea45567e</x:v>
      </x:c>
      <x:c r="S185" t="n">
        <x:v>6</x:v>
      </x:c>
      <x:c r="T185" t="str">
        <x:v>2018-12-31|2019-12-31</x:v>
      </x:c>
      <x:c r="U185" s="57" t="n">
        <x:v>-1289.7333698896705</x:v>
      </x:c>
      <x:c r="V185" s="57" t="n">
        <x:v>-1.3134224471177813</x:v>
      </x:c>
      <x:c r="W185"/>
      <x:c r="X185"/>
      <x:c r="Y185" s="38" t="n">
        <x:v>0.6409090909090909</x:v>
      </x:c>
      <x:c r="Z185" s="38" t="n">
        <x:v>0.7785576727541164</x:v>
      </x:c>
      <x:c r="AA185" t="str">
        <x:v>NON_POSITIVE_ENTERPRISE_VALUE|NON_POSITIVE_EQUITY_VALUE|NON_POSITIVE_TERMINAL_FCF</x:v>
      </x:c>
    </x:row>
    <x:row r="186">
      <x:c r="A186" s="54" t="n">
        <x:v>44012</x:v>
      </x:c>
      <x:c r="B186" t="n">
        <x:v>44012.624999988424</x:v>
      </x:c>
      <x:c r="C186" t="str">
        <x:v>011300</x:v>
      </x:c>
      <x:c r="D186" t="str">
        <x:v>성안머티리얼스</x:v>
      </x:c>
      <x:c r="E186" t="str">
        <x:v>KOSPI</x:v>
      </x:c>
      <x:c r="F186" t="str">
        <x:v>SMALL</x:v>
      </x:c>
      <x:c r="G186" t="str">
        <x:v>DCF_SCREENING_EXCLUSION</x:v>
      </x:c>
      <x:c r="H186" t="str">
        <x:v>NON_POSITIVE_ENTERPRISE_VALUE|NON_POSITIVE_EQUITY_VALUE|NON_POSITIVE_TERMINAL_FCF|UNRELIABLE_TERMINAL_VALUE_SHARE</x:v>
      </x:c>
      <x:c r="I186" s="54" t="n">
        <x:v>44012</x:v>
      </x:c>
      <x:c r="J186" s="55" t="n">
        <x:v>433</x:v>
      </x:c>
      <x:c r="K186" s="55" t="n">
        <x:v>24619453380</x:v>
      </x:c>
      <x:c r="L186" s="55" t="n">
        <x:v>56857860</x:v>
      </x:c>
      <x:c r="M186" t="str">
        <x:v>20200330002300</x:v>
      </x:c>
      <x:c r="N186" t="n">
        <x:v>43920.624999988424</x:v>
      </x:c>
      <x:c r="O186" s="54" t="n">
        <x:v>43830</x:v>
      </x:c>
      <x:c r="P186" t="str">
        <x:v>False</x:v>
      </x:c>
      <x:c r="Q186" t="str">
        <x:v>5261a4c9bd0aa83893554e944642d0f875234dad49a73fb31223a3e3e9a54df2</x:v>
      </x:c>
      <x:c r="R186" t="str">
        <x:v>9d48ece75a4f5fda923c402116ea58bfb8689b2c2aabe16d8ddab0ecefc4bdc4</x:v>
      </x:c>
      <x:c r="S186" t="n">
        <x:v>7</x:v>
      </x:c>
      <x:c r="T186" t="str">
        <x:v>2018-12-31|2019-12-31</x:v>
      </x:c>
      <x:c r="U186" s="57" t="n">
        <x:v>-96.38273419389287</x:v>
      </x:c>
      <x:c r="V186" s="57" t="n">
        <x:v>-1.2225929196163807</x:v>
      </x:c>
      <x:c r="W186"/>
      <x:c r="X186"/>
      <x:c r="Y186" s="38" t="n">
        <x:v>0.6409090909090909</x:v>
      </x:c>
      <x:c r="Z186" s="38" t="n">
        <x:v>2.9198639441139567</x:v>
      </x:c>
      <x:c r="AA186" t="str">
        <x:v>NON_POSITIVE_ENTERPRISE_VALUE|NON_POSITIVE_EQUITY_VALUE|NON_POSITIVE_TERMINAL_FCF|UNRELIABLE_TERMINAL_VALUE_SHARE</x:v>
      </x:c>
    </x:row>
    <x:row r="187">
      <x:c r="A187" s="54" t="n">
        <x:v>44012</x:v>
      </x:c>
      <x:c r="B187" t="n">
        <x:v>44012.624999988424</x:v>
      </x:c>
      <x:c r="C187" t="str">
        <x:v>018500</x:v>
      </x:c>
      <x:c r="D187" t="str">
        <x:v>동원금속</x:v>
      </x:c>
      <x:c r="E187" t="str">
        <x:v>KOSPI</x:v>
      </x:c>
      <x:c r="F187" t="str">
        <x:v>SMALL</x:v>
      </x:c>
      <x:c r="G187" t="str">
        <x:v>DCF_SCREENING_EXCLUSION</x:v>
      </x:c>
      <x:c r="H187" t="str">
        <x:v>NON_POSITIVE_ENTERPRISE_VALUE|NON_POSITIVE_EQUITY_VALUE|NON_POSITIVE_TERMINAL_FCF</x:v>
      </x:c>
      <x:c r="I187" s="54" t="n">
        <x:v>44012</x:v>
      </x:c>
      <x:c r="J187" s="55" t="n">
        <x:v>700</x:v>
      </x:c>
      <x:c r="K187" s="55" t="n">
        <x:v>32728453100</x:v>
      </x:c>
      <x:c r="L187" s="55" t="n">
        <x:v>46754933</x:v>
      </x:c>
      <x:c r="M187" t="str">
        <x:v>20200629000448</x:v>
      </x:c>
      <x:c r="N187" t="n">
        <x:v>44011.624999988424</x:v>
      </x:c>
      <x:c r="O187" s="54" t="n">
        <x:v>43921</x:v>
      </x:c>
      <x:c r="P187" t="str">
        <x:v>False</x:v>
      </x:c>
      <x:c r="Q187" t="str">
        <x:v>4078bfbeb64f6068bfe485f31adede65f2ccd676ce8bb90fc589e636c66bcfb2</x:v>
      </x:c>
      <x:c r="R187" t="str">
        <x:v>4baefba43fedcc0bd0ac454910e79f98deedee1fb1981f58313b003f1f2f2bcb</x:v>
      </x:c>
      <x:c r="S187" t="n">
        <x:v>6</x:v>
      </x:c>
      <x:c r="T187" t="str">
        <x:v>2019-03-31|2020-03-31</x:v>
      </x:c>
      <x:c r="U187" s="57" t="n">
        <x:v>-5189.122300360644</x:v>
      </x:c>
      <x:c r="V187" s="57" t="n">
        <x:v>-8.413031857658062</x:v>
      </x:c>
      <x:c r="W187"/>
      <x:c r="X187"/>
      <x:c r="Y187" s="38" t="n">
        <x:v>0.6409090909090909</x:v>
      </x:c>
      <x:c r="Z187" s="38" t="n">
        <x:v>0.7733146802971264</x:v>
      </x:c>
      <x:c r="AA187" t="str">
        <x:v>NON_POSITIVE_ENTERPRISE_VALUE|NON_POSITIVE_EQUITY_VALUE|NON_POSITIVE_TERMINAL_FCF</x:v>
      </x:c>
    </x:row>
    <x:row r="188">
      <x:c r="A188" s="54" t="n">
        <x:v>44012</x:v>
      </x:c>
      <x:c r="B188" t="n">
        <x:v>44012.624999988424</x:v>
      </x:c>
      <x:c r="C188" t="str">
        <x:v>004770</x:v>
      </x:c>
      <x:c r="D188" t="str">
        <x:v>써니전자</x:v>
      </x:c>
      <x:c r="E188" t="str">
        <x:v>KOSPI</x:v>
      </x:c>
      <x:c r="F188" t="str">
        <x:v>SMALL</x:v>
      </x:c>
      <x:c r="G188" t="str">
        <x:v>ELIGIBLE</x:v>
      </x:c>
      <x:c r="H188"/>
      <x:c r="I188" s="54" t="n">
        <x:v>44012</x:v>
      </x:c>
      <x:c r="J188" s="55" t="n">
        <x:v>2985</x:v>
      </x:c>
      <x:c r="K188" s="55" t="n">
        <x:v>104012357835</x:v>
      </x:c>
      <x:c r="L188" s="55" t="n">
        <x:v>34845011</x:v>
      </x:c>
      <x:c r="M188" t="str">
        <x:v>20200327001141</x:v>
      </x:c>
      <x:c r="N188" t="n">
        <x:v>43917.624999988424</x:v>
      </x:c>
      <x:c r="O188" s="54" t="n">
        <x:v>43830</x:v>
      </x:c>
      <x:c r="P188" t="str">
        <x:v>False</x:v>
      </x:c>
      <x:c r="Q188" t="str">
        <x:v>36f7212cac5955b2bbbbf71ec4ea301733504ba17fb41d25d77209fb61400ff4</x:v>
      </x:c>
      <x:c r="R188" t="str">
        <x:v>300aad4fbf97a0014b3e9b60efa12b1ff25746820253b21b78cfded83568880a</x:v>
      </x:c>
      <x:c r="S188" t="n">
        <x:v>7</x:v>
      </x:c>
      <x:c r="T188" t="str">
        <x:v>2018-12-31|2019-12-31</x:v>
      </x:c>
      <x:c r="U188" s="57" t="n">
        <x:v>996.9963660487754</x:v>
      </x:c>
      <x:c r="V188" s="57" t="n">
        <x:v>-0.6659978673203433</x:v>
      </x:c>
      <x:c r="W188" t="n">
        <x:v>46</x:v>
      </x:c>
      <x:c r="X188" t="n">
        <x:v>4</x:v>
      </x:c>
      <x:c r="Y188" s="38" t="n">
        <x:v>0.6409090909090909</x:v>
      </x:c>
      <x:c r="Z188" s="38" t="n">
        <x:v>0.596676519286712</x:v>
      </x:c>
      <x:c r="AA188"/>
    </x:row>
    <x:row r="189">
      <x:c r="A189" s="54" t="n">
        <x:v>44012</x:v>
      </x:c>
      <x:c r="B189" t="n">
        <x:v>44012.624999988424</x:v>
      </x:c>
      <x:c r="C189" t="str">
        <x:v>000890</x:v>
      </x:c>
      <x:c r="D189" t="str">
        <x:v>보해양조</x:v>
      </x:c>
      <x:c r="E189" t="str">
        <x:v>KOSPI</x:v>
      </x:c>
      <x:c r="F189" t="str">
        <x:v>SMALL</x:v>
      </x:c>
      <x:c r="G189" t="str">
        <x:v>DCF_SCREENING_EXCLUSION</x:v>
      </x:c>
      <x:c r="H189" t="str">
        <x:v>NON_POSITIVE_ENTERPRISE_VALUE|NON_POSITIVE_EQUITY_VALUE|NON_POSITIVE_TERMINAL_FCF</x:v>
      </x:c>
      <x:c r="I189" s="54" t="n">
        <x:v>44012</x:v>
      </x:c>
      <x:c r="J189" s="55" t="n">
        <x:v>756</x:v>
      </x:c>
      <x:c r="K189" s="55" t="n">
        <x:v>96351725988</x:v>
      </x:c>
      <x:c r="L189" s="55" t="n">
        <x:v>127449373</x:v>
      </x:c>
      <x:c r="M189" t="str">
        <x:v>20200330001020</x:v>
      </x:c>
      <x:c r="N189" t="n">
        <x:v>43920.624999988424</x:v>
      </x:c>
      <x:c r="O189" s="54" t="n">
        <x:v>43830</x:v>
      </x:c>
      <x:c r="P189" t="str">
        <x:v>False</x:v>
      </x:c>
      <x:c r="Q189" t="str">
        <x:v>50391569b26597bb0c5579214cffeabaca14a8437933cda01623d3c148e67732</x:v>
      </x:c>
      <x:c r="R189" t="str">
        <x:v>a31e9850724b207c93bfa91804bbe0c3017b99ccf01cea1f96c6329d79b15e3e</x:v>
      </x:c>
      <x:c r="S189" t="n">
        <x:v>6</x:v>
      </x:c>
      <x:c r="T189" t="str">
        <x:v>2018-12-31|2019-12-31</x:v>
      </x:c>
      <x:c r="U189" s="57" t="n">
        <x:v>-758.76659079861</x:v>
      </x:c>
      <x:c r="V189" s="57" t="n">
        <x:v>-2.003659511638373</x:v>
      </x:c>
      <x:c r="W189"/>
      <x:c r="X189"/>
      <x:c r="Y189" s="38" t="n">
        <x:v>0.6409090909090909</x:v>
      </x:c>
      <x:c r="Z189" s="38" t="n">
        <x:v>0.6352970122174221</x:v>
      </x:c>
      <x:c r="AA189" t="str">
        <x:v>NON_POSITIVE_ENTERPRISE_VALUE|NON_POSITIVE_EQUITY_VALUE|NON_POSITIVE_TERMINAL_FCF</x:v>
      </x:c>
    </x:row>
    <x:row r="190">
      <x:c r="A190" s="54" t="n">
        <x:v>44012</x:v>
      </x:c>
      <x:c r="B190" t="n">
        <x:v>44012.624999988424</x:v>
      </x:c>
      <x:c r="C190" t="str">
        <x:v>021050</x:v>
      </x:c>
      <x:c r="D190" t="str">
        <x:v>서원</x:v>
      </x:c>
      <x:c r="E190" t="str">
        <x:v>KOSPI</x:v>
      </x:c>
      <x:c r="F190" t="str">
        <x:v>SMALL</x:v>
      </x:c>
      <x:c r="G190" t="str">
        <x:v>DCF_SCREENING_EXCLUSION</x:v>
      </x:c>
      <x:c r="H190" t="str">
        <x:v>NON_POSITIVE_EQUITY_VALUE</x:v>
      </x:c>
      <x:c r="I190" s="54" t="n">
        <x:v>44012</x:v>
      </x:c>
      <x:c r="J190" s="55" t="n">
        <x:v>4125</x:v>
      </x:c>
      <x:c r="K190" s="55" t="n">
        <x:v>195832683750</x:v>
      </x:c>
      <x:c r="L190" s="55" t="n">
        <x:v>47474590</x:v>
      </x:c>
      <x:c r="M190" t="str">
        <x:v>20200330001276</x:v>
      </x:c>
      <x:c r="N190" t="n">
        <x:v>43920.624999988424</x:v>
      </x:c>
      <x:c r="O190" s="54" t="n">
        <x:v>43830</x:v>
      </x:c>
      <x:c r="P190" t="str">
        <x:v>False</x:v>
      </x:c>
      <x:c r="Q190" t="str">
        <x:v>be1eb5ac3cf4380862664c53ec949951356a5b31ca7ce64ffc5d6018a7385cc7</x:v>
      </x:c>
      <x:c r="R190" t="str">
        <x:v>fd6a080ab3015a7487b136652e4add24618b9e85836f462e955246bfb340a280</x:v>
      </x:c>
      <x:c r="S190" t="n">
        <x:v>6</x:v>
      </x:c>
      <x:c r="T190" t="str">
        <x:v>2018-12-31|2019-12-31</x:v>
      </x:c>
      <x:c r="U190" s="57" t="n">
        <x:v>-1038.8719357404905</x:v>
      </x:c>
      <x:c r="V190" s="57" t="n">
        <x:v>-1.2518477419976946</x:v>
      </x:c>
      <x:c r="W190"/>
      <x:c r="X190"/>
      <x:c r="Y190" s="38" t="n">
        <x:v>0.6409090909090909</x:v>
      </x:c>
      <x:c r="Z190" s="38" t="n">
        <x:v>0.5823844167369767</x:v>
      </x:c>
      <x:c r="AA190" t="str">
        <x:v>NON_POSITIVE_EQUITY_VALUE</x:v>
      </x:c>
    </x:row>
    <x:row r="191">
      <x:c r="A191" s="54" t="n">
        <x:v>44012</x:v>
      </x:c>
      <x:c r="B191" t="n">
        <x:v>44012.624999988424</x:v>
      </x:c>
      <x:c r="C191" t="str">
        <x:v>134790</x:v>
      </x:c>
      <x:c r="D191" t="str">
        <x:v>시디즈</x:v>
      </x:c>
      <x:c r="E191" t="str">
        <x:v>KOSPI</x:v>
      </x:c>
      <x:c r="F191" t="str">
        <x:v>SMALL</x:v>
      </x:c>
      <x:c r="G191" t="str">
        <x:v>ELIGIBLE</x:v>
      </x:c>
      <x:c r="H191"/>
      <x:c r="I191" s="54" t="n">
        <x:v>44012</x:v>
      </x:c>
      <x:c r="J191" s="55" t="n">
        <x:v>48300</x:v>
      </x:c>
      <x:c r="K191" s="55" t="n">
        <x:v>96600000000</x:v>
      </x:c>
      <x:c r="L191" s="55" t="n">
        <x:v>2000000</x:v>
      </x:c>
      <x:c r="M191" t="str">
        <x:v>20200330002460</x:v>
      </x:c>
      <x:c r="N191" t="n">
        <x:v>43920.624999988424</x:v>
      </x:c>
      <x:c r="O191" s="54" t="n">
        <x:v>43830</x:v>
      </x:c>
      <x:c r="P191" t="str">
        <x:v>False</x:v>
      </x:c>
      <x:c r="Q191" t="str">
        <x:v>a46f52aca9731f0f0694a563ebb22133208a263595e37e4a7369a5e25b997b08</x:v>
      </x:c>
      <x:c r="R191" t="str">
        <x:v>342b241dab25c0ef3819e39571fc63ac0ea9264f97be74cfdd3a32c575603dfa</x:v>
      </x:c>
      <x:c r="S191" t="n">
        <x:v>5</x:v>
      </x:c>
      <x:c r="T191" t="str">
        <x:v>2018-12-31|2019-12-31</x:v>
      </x:c>
      <x:c r="U191" s="57" t="n">
        <x:v>39063.956056007715</x:v>
      </x:c>
      <x:c r="V191" s="57" t="n">
        <x:v>-0.19122244190460222</x:v>
      </x:c>
      <x:c r="W191" t="n">
        <x:v>25</x:v>
      </x:c>
      <x:c r="X191" t="n">
        <x:v>2</x:v>
      </x:c>
      <x:c r="Y191" s="38" t="n">
        <x:v>0.6409090909090909</x:v>
      </x:c>
      <x:c r="Z191" s="38" t="n">
        <x:v>0.6293328918665538</x:v>
      </x:c>
      <x:c r="AA191"/>
    </x:row>
    <x:row r="192">
      <x:c r="A192" s="54" t="n">
        <x:v>44012</x:v>
      </x:c>
      <x:c r="B192" t="n">
        <x:v>44012.624999988424</x:v>
      </x:c>
      <x:c r="C192" t="str">
        <x:v>004920</x:v>
      </x:c>
      <x:c r="D192" t="str">
        <x:v>씨아이테크</x:v>
      </x:c>
      <x:c r="E192" t="str">
        <x:v>KOSPI</x:v>
      </x:c>
      <x:c r="F192" t="str">
        <x:v>SMALL</x:v>
      </x:c>
      <x:c r="G192" t="str">
        <x:v>DCF_SCREENING_EXCLUSION</x:v>
      </x:c>
      <x:c r="H192" t="str">
        <x:v>NON_POSITIVE_ENTERPRISE_VALUE|NON_POSITIVE_EQUITY_VALUE|NON_POSITIVE_TERMINAL_FCF</x:v>
      </x:c>
      <x:c r="I192" s="54" t="n">
        <x:v>44012</x:v>
      </x:c>
      <x:c r="J192" s="55" t="n">
        <x:v>1050</x:v>
      </x:c>
      <x:c r="K192" s="55" t="n">
        <x:v>25274310600</x:v>
      </x:c>
      <x:c r="L192" s="55" t="n">
        <x:v>24070772</x:v>
      </x:c>
      <x:c r="M192" t="str">
        <x:v>20200330001199</x:v>
      </x:c>
      <x:c r="N192" t="n">
        <x:v>43920.624999988424</x:v>
      </x:c>
      <x:c r="O192" s="54" t="n">
        <x:v>43830</x:v>
      </x:c>
      <x:c r="P192" t="str">
        <x:v>False</x:v>
      </x:c>
      <x:c r="Q192" t="str">
        <x:v>755a4236ba6a89b6882694a6b5e753574834800b6014f15f8342cb189c524817</x:v>
      </x:c>
      <x:c r="R192" t="str">
        <x:v>1b1f26d6ce0c684235930612fcdf320a747fb728f1ee5efedadf87ede029ec6c</x:v>
      </x:c>
      <x:c r="S192" t="n">
        <x:v>6</x:v>
      </x:c>
      <x:c r="T192" t="str">
        <x:v>2018-12-31|2019-12-31</x:v>
      </x:c>
      <x:c r="U192" s="57" t="n">
        <x:v>-1705.822536366566</x:v>
      </x:c>
      <x:c r="V192" s="57" t="n">
        <x:v>-2.6245928917776817</x:v>
      </x:c>
      <x:c r="W192"/>
      <x:c r="X192"/>
      <x:c r="Y192" s="38" t="n">
        <x:v>0.6409090909090909</x:v>
      </x:c>
      <x:c r="Z192" s="38" t="n">
        <x:v>0.6101308946092188</x:v>
      </x:c>
      <x:c r="AA192" t="str">
        <x:v>NON_POSITIVE_ENTERPRISE_VALUE|NON_POSITIVE_EQUITY_VALUE|NON_POSITIVE_TERMINAL_FCF</x:v>
      </x:c>
    </x:row>
    <x:row r="193">
      <x:c r="A193" s="54" t="n">
        <x:v>44012</x:v>
      </x:c>
      <x:c r="B193" t="n">
        <x:v>44012.624999988424</x:v>
      </x:c>
      <x:c r="C193" t="str">
        <x:v>058730</x:v>
      </x:c>
      <x:c r="D193" t="str">
        <x:v>다스코</x:v>
      </x:c>
      <x:c r="E193" t="str">
        <x:v>KOSPI</x:v>
      </x:c>
      <x:c r="F193" t="str">
        <x:v>SMALL</x:v>
      </x:c>
      <x:c r="G193" t="str">
        <x:v>DCF_SCREENING_EXCLUSION</x:v>
      </x:c>
      <x:c r="H193" t="str">
        <x:v>NON_POSITIVE_EQUITY_VALUE</x:v>
      </x:c>
      <x:c r="I193" s="54" t="n">
        <x:v>44012</x:v>
      </x:c>
      <x:c r="J193" s="55" t="n">
        <x:v>4840</x:v>
      </x:c>
      <x:c r="K193" s="55" t="n">
        <x:v>74536000000</x:v>
      </x:c>
      <x:c r="L193" s="55" t="n">
        <x:v>15400000</x:v>
      </x:c>
      <x:c r="M193" t="str">
        <x:v>20200330001086</x:v>
      </x:c>
      <x:c r="N193" t="n">
        <x:v>43920.624999988424</x:v>
      </x:c>
      <x:c r="O193" s="54" t="n">
        <x:v>43830</x:v>
      </x:c>
      <x:c r="P193" t="str">
        <x:v>False</x:v>
      </x:c>
      <x:c r="Q193" t="str">
        <x:v>ccc22d5bc71b5b581b8608b86ef201dd503440b221199b2d31829a825297c90f</x:v>
      </x:c>
      <x:c r="R193" t="str">
        <x:v>e9d5efc428d650efef11343c23675b71f97cc7866d7b8b5e581c6f044806174d</x:v>
      </x:c>
      <x:c r="S193" t="n">
        <x:v>7</x:v>
      </x:c>
      <x:c r="T193" t="str">
        <x:v>2019-12-31</x:v>
      </x:c>
      <x:c r="U193" s="57" t="n">
        <x:v>-858.4296299397403</x:v>
      </x:c>
      <x:c r="V193" s="57" t="n">
        <x:v>-1.1773614937892025</x:v>
      </x:c>
      <x:c r="W193"/>
      <x:c r="X193"/>
      <x:c r="Y193" s="38" t="n">
        <x:v>0.6409090909090909</x:v>
      </x:c>
      <x:c r="Z193" s="38" t="n">
        <x:v>0.6264850986190418</x:v>
      </x:c>
      <x:c r="AA193" t="str">
        <x:v>NON_POSITIVE_EQUITY_VALUE</x:v>
      </x:c>
    </x:row>
    <x:row r="194">
      <x:c r="A194" s="54" t="n">
        <x:v>44012</x:v>
      </x:c>
      <x:c r="B194" t="n">
        <x:v>44012.624999988424</x:v>
      </x:c>
      <x:c r="C194" t="str">
        <x:v>465770</x:v>
      </x:c>
      <x:c r="D194" t="str">
        <x:v>STX그린로지스</x:v>
      </x:c>
      <x:c r="E194" t="str">
        <x:v>KOSPI</x:v>
      </x:c>
      <x:c r="F194" t="str">
        <x:v>SMALL</x:v>
      </x:c>
      <x:c r="G194" t="str">
        <x:v>NOT_LISTED_OR_NO_PRICE</x:v>
      </x:c>
      <x:c r="H194"/>
      <x:c r="I194" s="54"/>
      <x:c r="J194" s="55"/>
      <x:c r="K194" s="55"/>
      <x:c r="L194" s="55"/>
      <x:c r="M194"/>
      <x:c r="N194"/>
      <x:c r="O194" s="54"/>
      <x:c r="P194"/>
      <x:c r="Q194"/>
      <x:c r="R194"/>
      <x:c r="S194"/>
      <x:c r="T194"/>
      <x:c r="U194" s="57"/>
      <x:c r="V194" s="57"/>
      <x:c r="W194"/>
      <x:c r="X194"/>
      <x:c r="Y194" s="38"/>
      <x:c r="Z194" s="38"/>
      <x:c r="AA194"/>
    </x:row>
    <x:row r="195">
      <x:c r="A195" s="54" t="n">
        <x:v>44012</x:v>
      </x:c>
      <x:c r="B195" t="n">
        <x:v>44012.624999988424</x:v>
      </x:c>
      <x:c r="C195" t="str">
        <x:v>000950</x:v>
      </x:c>
      <x:c r="D195" t="str">
        <x:v>전방</x:v>
      </x:c>
      <x:c r="E195" t="str">
        <x:v>KOSPI</x:v>
      </x:c>
      <x:c r="F195" t="str">
        <x:v>SMALL</x:v>
      </x:c>
      <x:c r="G195" t="str">
        <x:v>DCF_SCREENING_EXCLUSION</x:v>
      </x:c>
      <x:c r="H195" t="str">
        <x:v>NON_POSITIVE_ENTERPRISE_VALUE|NON_POSITIVE_EQUITY_VALUE|NON_POSITIVE_TERMINAL_FCF</x:v>
      </x:c>
      <x:c r="I195" s="54" t="n">
        <x:v>44012</x:v>
      </x:c>
      <x:c r="J195" s="55" t="n">
        <x:v>19200</x:v>
      </x:c>
      <x:c r="K195" s="55" t="n">
        <x:v>32256000000</x:v>
      </x:c>
      <x:c r="L195" s="55" t="n">
        <x:v>1680000</x:v>
      </x:c>
      <x:c r="M195" t="str">
        <x:v>20200330003342</x:v>
      </x:c>
      <x:c r="N195" t="n">
        <x:v>43920.624999988424</x:v>
      </x:c>
      <x:c r="O195" s="54" t="n">
        <x:v>43830</x:v>
      </x:c>
      <x:c r="P195" t="str">
        <x:v>False</x:v>
      </x:c>
      <x:c r="Q195" t="str">
        <x:v>d37a995ab75af5058a65fe6350a8034a0683d0929924512ef0bea4a8ad758fe5</x:v>
      </x:c>
      <x:c r="R195" t="str">
        <x:v>436e5dce599534e31efa6ebfac505210fb8df932489c5a943b4a6323ad21c373</x:v>
      </x:c>
      <x:c r="S195" t="n">
        <x:v>6</x:v>
      </x:c>
      <x:c r="T195" t="str">
        <x:v>2018-12-31|2019-12-31</x:v>
      </x:c>
      <x:c r="U195" s="57" t="n">
        <x:v>-194134.81381388978</x:v>
      </x:c>
      <x:c r="V195" s="57" t="n">
        <x:v>-11.111188219473425</x:v>
      </x:c>
      <x:c r="W195"/>
      <x:c r="X195"/>
      <x:c r="Y195" s="38" t="n">
        <x:v>0.6409090909090909</x:v>
      </x:c>
      <x:c r="Z195" s="38" t="n">
        <x:v>0.5879471041668033</x:v>
      </x:c>
      <x:c r="AA195" t="str">
        <x:v>NON_POSITIVE_ENTERPRISE_VALUE|NON_POSITIVE_EQUITY_VALUE|NON_POSITIVE_TERMINAL_FCF</x:v>
      </x:c>
    </x:row>
    <x:row r="196">
      <x:c r="A196" s="54" t="n">
        <x:v>44012</x:v>
      </x:c>
      <x:c r="B196" t="n">
        <x:v>44012.624999988424</x:v>
      </x:c>
      <x:c r="C196" t="str">
        <x:v>019180</x:v>
      </x:c>
      <x:c r="D196" t="str">
        <x:v>티에이치엔</x:v>
      </x:c>
      <x:c r="E196" t="str">
        <x:v>KOSPI</x:v>
      </x:c>
      <x:c r="F196" t="str">
        <x:v>SMALL</x:v>
      </x:c>
      <x:c r="G196" t="str">
        <x:v>ELIGIBLE</x:v>
      </x:c>
      <x:c r="H196"/>
      <x:c r="I196" s="54" t="n">
        <x:v>44012</x:v>
      </x:c>
      <x:c r="J196" s="55" t="n">
        <x:v>2580</x:v>
      </x:c>
      <x:c r="K196" s="55" t="n">
        <x:v>46440000000</x:v>
      </x:c>
      <x:c r="L196" s="55" t="n">
        <x:v>18000000</x:v>
      </x:c>
      <x:c r="M196" t="str">
        <x:v>20200330004530</x:v>
      </x:c>
      <x:c r="N196" t="n">
        <x:v>43920.624999988424</x:v>
      </x:c>
      <x:c r="O196" s="54" t="n">
        <x:v>43830</x:v>
      </x:c>
      <x:c r="P196" t="str">
        <x:v>False</x:v>
      </x:c>
      <x:c r="Q196" t="str">
        <x:v>68216fb88b1a317246b475734369fb25facd12f5f4512ce66fa4639ef15b17ce</x:v>
      </x:c>
      <x:c r="R196" t="str">
        <x:v>d2e46042d1ceff8b2a9c9623f3e88dfcb3808ae33e684ca58d553c0ffb0687aa</x:v>
      </x:c>
      <x:c r="S196" t="n">
        <x:v>6</x:v>
      </x:c>
      <x:c r="T196" t="str">
        <x:v>2018-12-31|2019-12-31</x:v>
      </x:c>
      <x:c r="U196" s="57" t="n">
        <x:v>3940.127164987125</x:v>
      </x:c>
      <x:c r="V196" s="57" t="n">
        <x:v>0.5271810717004362</x:v>
      </x:c>
      <x:c r="W196" t="n">
        <x:v>13</x:v>
      </x:c>
      <x:c r="X196" t="n">
        <x:v>1</x:v>
      </x:c>
      <x:c r="Y196" s="38" t="n">
        <x:v>0.6409090909090909</x:v>
      </x:c>
      <x:c r="Z196" s="38" t="n">
        <x:v>0.5901293254205667</x:v>
      </x:c>
      <x:c r="AA196"/>
    </x:row>
    <x:row r="197">
      <x:c r="A197" s="54" t="n">
        <x:v>44012</x:v>
      </x:c>
      <x:c r="B197" t="n">
        <x:v>44012.624999988424</x:v>
      </x:c>
      <x:c r="C197" t="str">
        <x:v>020760</x:v>
      </x:c>
      <x:c r="D197" t="str">
        <x:v>일진디스플</x:v>
      </x:c>
      <x:c r="E197" t="str">
        <x:v>KOSPI</x:v>
      </x:c>
      <x:c r="F197" t="str">
        <x:v>SMALL</x:v>
      </x:c>
      <x:c r="G197" t="str">
        <x:v>DCF_SCREENING_EXCLUSION</x:v>
      </x:c>
      <x:c r="H197" t="str">
        <x:v>NON_POSITIVE_ENTERPRISE_VALUE|NON_POSITIVE_EQUITY_VALUE|NON_POSITIVE_TERMINAL_FCF</x:v>
      </x:c>
      <x:c r="I197" s="54" t="n">
        <x:v>44012</x:v>
      </x:c>
      <x:c r="J197" s="55" t="n">
        <x:v>2850</x:v>
      </x:c>
      <x:c r="K197" s="55" t="n">
        <x:v>80696154000</x:v>
      </x:c>
      <x:c r="L197" s="55" t="n">
        <x:v>28314440</x:v>
      </x:c>
      <x:c r="M197" t="str">
        <x:v>20200330001399</x:v>
      </x:c>
      <x:c r="N197" t="n">
        <x:v>43920.624999988424</x:v>
      </x:c>
      <x:c r="O197" s="54" t="n">
        <x:v>43830</x:v>
      </x:c>
      <x:c r="P197" t="str">
        <x:v>False</x:v>
      </x:c>
      <x:c r="Q197" t="str">
        <x:v>db157d99f0d4f0676948476f9a72b6225c32b500b9933d68ba0be9a06c1cc8ed</x:v>
      </x:c>
      <x:c r="R197" t="str">
        <x:v>a386523c6ca32a1de7ee2465d75295041cb4433c2d8f2e1a226cce410f316d04</x:v>
      </x:c>
      <x:c r="S197" t="n">
        <x:v>6</x:v>
      </x:c>
      <x:c r="T197" t="str">
        <x:v>2018-12-31|2019-12-31</x:v>
      </x:c>
      <x:c r="U197" s="57" t="n">
        <x:v>-5326.370333110132</x:v>
      </x:c>
      <x:c r="V197" s="57" t="n">
        <x:v>-2.868901871266713</x:v>
      </x:c>
      <x:c r="W197"/>
      <x:c r="X197"/>
      <x:c r="Y197" s="38" t="n">
        <x:v>0.6409090909090909</x:v>
      </x:c>
      <x:c r="Z197" s="38" t="n">
        <x:v>0.5871397980731997</x:v>
      </x:c>
      <x:c r="AA197" t="str">
        <x:v>NON_POSITIVE_ENTERPRISE_VALUE|NON_POSITIVE_EQUITY_VALUE|NON_POSITIVE_TERMINAL_FCF</x:v>
      </x:c>
    </x:row>
    <x:row r="198">
      <x:c r="A198" s="54" t="n">
        <x:v>44012</x:v>
      </x:c>
      <x:c r="B198" t="n">
        <x:v>44012.624999988424</x:v>
      </x:c>
      <x:c r="C198" t="str">
        <x:v>069640</x:v>
      </x:c>
      <x:c r="D198" t="str">
        <x:v>한세엠케이</x:v>
      </x:c>
      <x:c r="E198" t="str">
        <x:v>KOSPI</x:v>
      </x:c>
      <x:c r="F198" t="str">
        <x:v>SMALL</x:v>
      </x:c>
      <x:c r="G198" t="str">
        <x:v>DCF_SCREENING_EXCLUSION</x:v>
      </x:c>
      <x:c r="H198" t="str">
        <x:v>NON_POSITIVE_ENTERPRISE_VALUE|NON_POSITIVE_EQUITY_VALUE|NON_POSITIVE_TERMINAL_FCF</x:v>
      </x:c>
      <x:c r="I198" s="54" t="n">
        <x:v>44012</x:v>
      </x:c>
      <x:c r="J198" s="55" t="n">
        <x:v>2830</x:v>
      </x:c>
      <x:c r="K198" s="55" t="n">
        <x:v>36533381260</x:v>
      </x:c>
      <x:c r="L198" s="55" t="n">
        <x:v>12909322</x:v>
      </x:c>
      <x:c r="M198" t="str">
        <x:v>20200330003907</x:v>
      </x:c>
      <x:c r="N198" t="n">
        <x:v>43920.624999988424</x:v>
      </x:c>
      <x:c r="O198" s="54" t="n">
        <x:v>43830</x:v>
      </x:c>
      <x:c r="P198" t="str">
        <x:v>False</x:v>
      </x:c>
      <x:c r="Q198" t="str">
        <x:v>d582b638edf54a77993e4c57f8907871545a652959e3b1059944451377cae74c</x:v>
      </x:c>
      <x:c r="R198" t="str">
        <x:v>0a27ded62679dd2528856bd9d6e3bebf08e92f009aac7b00113f02d3b5a50055</x:v>
      </x:c>
      <x:c r="S198" t="n">
        <x:v>6</x:v>
      </x:c>
      <x:c r="T198" t="str">
        <x:v>2018-12-31|2019-12-31</x:v>
      </x:c>
      <x:c r="U198" s="57" t="n">
        <x:v>-11602.608488693524</x:v>
      </x:c>
      <x:c r="V198" s="57" t="n">
        <x:v>-5.099861656782164</x:v>
      </x:c>
      <x:c r="W198"/>
      <x:c r="X198"/>
      <x:c r="Y198" s="38" t="n">
        <x:v>0.6409090909090909</x:v>
      </x:c>
      <x:c r="Z198" s="38" t="n">
        <x:v>0.5784421593253344</x:v>
      </x:c>
      <x:c r="AA198" t="str">
        <x:v>NON_POSITIVE_ENTERPRISE_VALUE|NON_POSITIVE_EQUITY_VALUE|NON_POSITIVE_TERMINAL_FCF</x:v>
      </x:c>
    </x:row>
    <x:row r="199">
      <x:c r="A199" s="54" t="n">
        <x:v>44012</x:v>
      </x:c>
      <x:c r="B199" t="n">
        <x:v>44012.624999988424</x:v>
      </x:c>
      <x:c r="C199" t="str">
        <x:v>000040</x:v>
      </x:c>
      <x:c r="D199" t="str">
        <x:v>KR모터스</x:v>
      </x:c>
      <x:c r="E199" t="str">
        <x:v>KOSPI</x:v>
      </x:c>
      <x:c r="F199" t="str">
        <x:v>SMALL</x:v>
      </x:c>
      <x:c r="G199" t="str">
        <x:v>DCF_SCREENING_EXCLUSION</x:v>
      </x:c>
      <x:c r="H199" t="str">
        <x:v>NON_POSITIVE_ENTERPRISE_VALUE|NON_POSITIVE_EQUITY_VALUE|NON_POSITIVE_TERMINAL_FCF</x:v>
      </x:c>
      <x:c r="I199" s="54" t="n">
        <x:v>44012</x:v>
      </x:c>
      <x:c r="J199" s="55" t="n">
        <x:v>668</x:v>
      </x:c>
      <x:c r="K199" s="55" t="n">
        <x:v>61229560024</x:v>
      </x:c>
      <x:c r="L199" s="55" t="n">
        <x:v>91661018</x:v>
      </x:c>
      <x:c r="M199" t="str">
        <x:v>20200519000184</x:v>
      </x:c>
      <x:c r="N199" t="n">
        <x:v>43970.624999988424</x:v>
      </x:c>
      <x:c r="O199" s="54" t="n">
        <x:v>43830</x:v>
      </x:c>
      <x:c r="P199" t="str">
        <x:v>True</x:v>
      </x:c>
      <x:c r="Q199" t="str">
        <x:v>34c0806c1c8d44add89c49f0baca97eac277fb493035f681e7bf8aec1094cd82</x:v>
      </x:c>
      <x:c r="R199" t="str">
        <x:v>f87153fba01b4aa875f0517ae3f37b769c7423c1f1463f4ff75adfe019199f16</x:v>
      </x:c>
      <x:c r="S199" t="n">
        <x:v>6</x:v>
      </x:c>
      <x:c r="T199" t="str">
        <x:v>2018-12-31|2019-12-31</x:v>
      </x:c>
      <x:c r="U199" s="57" t="n">
        <x:v>-3872.5928397499765</x:v>
      </x:c>
      <x:c r="V199" s="57" t="n">
        <x:v>-6.797294670284396</x:v>
      </x:c>
      <x:c r="W199"/>
      <x:c r="X199"/>
      <x:c r="Y199" s="38" t="n">
        <x:v>0.6409090909090909</x:v>
      </x:c>
      <x:c r="Z199" s="38" t="n">
        <x:v>0.6474817543038013</x:v>
      </x:c>
      <x:c r="AA199" t="str">
        <x:v>NON_POSITIVE_ENTERPRISE_VALUE|NON_POSITIVE_EQUITY_VALUE|NON_POSITIVE_TERMINAL_FCF</x:v>
      </x:c>
    </x:row>
    <x:row r="200">
      <x:c r="A200" s="54" t="n">
        <x:v>44012</x:v>
      </x:c>
      <x:c r="B200" t="n">
        <x:v>44012.624999988424</x:v>
      </x:c>
      <x:c r="C200" t="str">
        <x:v>003680</x:v>
      </x:c>
      <x:c r="D200" t="str">
        <x:v>한성기업</x:v>
      </x:c>
      <x:c r="E200" t="str">
        <x:v>KOSPI</x:v>
      </x:c>
      <x:c r="F200" t="str">
        <x:v>SMALL</x:v>
      </x:c>
      <x:c r="G200" t="str">
        <x:v>DCF_SCREENING_EXCLUSION</x:v>
      </x:c>
      <x:c r="H200" t="str">
        <x:v>NON_POSITIVE_ENTERPRISE_VALUE|NON_POSITIVE_EQUITY_VALUE|NON_POSITIVE_TERMINAL_FCF</x:v>
      </x:c>
      <x:c r="I200" s="54" t="n">
        <x:v>44012</x:v>
      </x:c>
      <x:c r="J200" s="55" t="n">
        <x:v>10400</x:v>
      </x:c>
      <x:c r="K200" s="55" t="n">
        <x:v>64578956000</x:v>
      </x:c>
      <x:c r="L200" s="55" t="n">
        <x:v>6209515</x:v>
      </x:c>
      <x:c r="M200" t="str">
        <x:v>20200330004211</x:v>
      </x:c>
      <x:c r="N200" t="n">
        <x:v>43920.624999988424</x:v>
      </x:c>
      <x:c r="O200" s="54" t="n">
        <x:v>43830</x:v>
      </x:c>
      <x:c r="P200" t="str">
        <x:v>False</x:v>
      </x:c>
      <x:c r="Q200" t="str">
        <x:v>b6c33c7411c8ff5095f894b66c6f3da044f8e20c07af25a5a3a0f719a4091286</x:v>
      </x:c>
      <x:c r="R200" t="str">
        <x:v>9eb855d088bb513330027b21190e897b5e5c5dfc71bb8af1138dea6a41967dfd</x:v>
      </x:c>
      <x:c r="S200" t="n">
        <x:v>7</x:v>
      </x:c>
      <x:c r="T200" t="str">
        <x:v>2018-12-31|2019-12-31</x:v>
      </x:c>
      <x:c r="U200" s="57" t="n">
        <x:v>-20036.250794547082</x:v>
      </x:c>
      <x:c r="V200" s="57" t="n">
        <x:v>-2.926562576398758</x:v>
      </x:c>
      <x:c r="W200"/>
      <x:c r="X200"/>
      <x:c r="Y200" s="38" t="n">
        <x:v>0.6409090909090909</x:v>
      </x:c>
      <x:c r="Z200" s="38" t="n">
        <x:v>0.5076943890299815</x:v>
      </x:c>
      <x:c r="AA200" t="str">
        <x:v>NON_POSITIVE_ENTERPRISE_VALUE|NON_POSITIVE_EQUITY_VALUE|NON_POSITIVE_TERMINAL_FCF</x:v>
      </x:c>
    </x:row>
    <x:row r="201">
      <x:c r="A201" s="54" t="n">
        <x:v>44012</x:v>
      </x:c>
      <x:c r="B201" t="n">
        <x:v>44012.624999988424</x:v>
      </x:c>
      <x:c r="C201" t="str">
        <x:v>008600</x:v>
      </x:c>
      <x:c r="D201" t="str">
        <x:v>윌비스</x:v>
      </x:c>
      <x:c r="E201" t="str">
        <x:v>KOSPI</x:v>
      </x:c>
      <x:c r="F201" t="str">
        <x:v>SMALL</x:v>
      </x:c>
      <x:c r="G201" t="str">
        <x:v>DCF_SCREENING_EXCLUSION</x:v>
      </x:c>
      <x:c r="H201" t="str">
        <x:v>NON_POSITIVE_ENTERPRISE_VALUE|NON_POSITIVE_EQUITY_VALUE|NON_POSITIVE_TERMINAL_FCF</x:v>
      </x:c>
      <x:c r="I201" s="54" t="n">
        <x:v>44012</x:v>
      </x:c>
      <x:c r="J201" s="55" t="n">
        <x:v>1250</x:v>
      </x:c>
      <x:c r="K201" s="55" t="n">
        <x:v>80899103750</x:v>
      </x:c>
      <x:c r="L201" s="55" t="n">
        <x:v>64719283</x:v>
      </x:c>
      <x:c r="M201" t="str">
        <x:v>20200330003123</x:v>
      </x:c>
      <x:c r="N201" t="n">
        <x:v>43920.624999988424</x:v>
      </x:c>
      <x:c r="O201" s="54" t="n">
        <x:v>43830</x:v>
      </x:c>
      <x:c r="P201" t="str">
        <x:v>False</x:v>
      </x:c>
      <x:c r="Q201" t="str">
        <x:v>7e8fd51560f40a1a662fa919b163c172d060dc71957e0620218cc1897d5ad541</x:v>
      </x:c>
      <x:c r="R201" t="str">
        <x:v>04f371472a0b93f1aba2b5efe86d5d03779c91e01ad3060f274de7654ac2b769</x:v>
      </x:c>
      <x:c r="S201" t="n">
        <x:v>6</x:v>
      </x:c>
      <x:c r="T201" t="str">
        <x:v>2018-12-31|2019-12-31</x:v>
      </x:c>
      <x:c r="U201" s="57" t="n">
        <x:v>-3501.7170710504615</x:v>
      </x:c>
      <x:c r="V201" s="57" t="n">
        <x:v>-3.8013736568403695</x:v>
      </x:c>
      <x:c r="W201"/>
      <x:c r="X201"/>
      <x:c r="Y201" s="38" t="n">
        <x:v>0.6409090909090909</x:v>
      </x:c>
      <x:c r="Z201" s="38" t="n">
        <x:v>0.5663409703975026</x:v>
      </x:c>
      <x:c r="AA201" t="str">
        <x:v>NON_POSITIVE_ENTERPRISE_VALUE|NON_POSITIVE_EQUITY_VALUE|NON_POSITIVE_TERMINAL_FCF</x:v>
      </x:c>
    </x:row>
    <x:row r="202">
      <x:c r="A202" s="54" t="n">
        <x:v>44012</x:v>
      </x:c>
      <x:c r="B202" t="n">
        <x:v>44012.624999988424</x:v>
      </x:c>
      <x:c r="C202" t="str">
        <x:v>018310</x:v>
      </x:c>
      <x:c r="D202" t="str">
        <x:v>삼목에스폼</x:v>
      </x:c>
      <x:c r="E202" t="str">
        <x:v>KOSDAQ</x:v>
      </x:c>
      <x:c r="F202" t="str">
        <x:v>MID</x:v>
      </x:c>
      <x:c r="G202" t="str">
        <x:v>ELIGIBLE</x:v>
      </x:c>
      <x:c r="H202"/>
      <x:c r="I202" s="54" t="n">
        <x:v>44012</x:v>
      </x:c>
      <x:c r="J202" s="55" t="n">
        <x:v>7720</x:v>
      </x:c>
      <x:c r="K202" s="55" t="n">
        <x:v>113484000000</x:v>
      </x:c>
      <x:c r="L202" s="55" t="n">
        <x:v>14700000</x:v>
      </x:c>
      <x:c r="M202" t="str">
        <x:v>20200330002433</x:v>
      </x:c>
      <x:c r="N202" t="n">
        <x:v>43920.624999988424</x:v>
      </x:c>
      <x:c r="O202" s="54" t="n">
        <x:v>43830</x:v>
      </x:c>
      <x:c r="P202" t="str">
        <x:v>False</x:v>
      </x:c>
      <x:c r="Q202" t="str">
        <x:v>165898838cd69ad40369c26b1fa45961c942ece56f8a7dbfffb4d74e40a358e7</x:v>
      </x:c>
      <x:c r="R202" t="str">
        <x:v>d60a7dcf4afd70be0a2a367ebf14f199fe1721ac1b45ad9ac406ffbe097cc6d0</x:v>
      </x:c>
      <x:c r="S202" t="n">
        <x:v>5</x:v>
      </x:c>
      <x:c r="T202" t="str">
        <x:v>2018-12-31|2019-12-31</x:v>
      </x:c>
      <x:c r="U202" s="57" t="n">
        <x:v>6651.212683986018</x:v>
      </x:c>
      <x:c r="V202" s="57" t="n">
        <x:v>-0.13844395285155203</x:v>
      </x:c>
      <x:c r="W202" t="n">
        <x:v>24</x:v>
      </x:c>
      <x:c r="X202" t="n">
        <x:v>2</x:v>
      </x:c>
      <x:c r="Y202" s="38" t="n">
        <x:v>0.6409090909090909</x:v>
      </x:c>
      <x:c r="Z202" s="38" t="n">
        <x:v>0.7638335065934094</x:v>
      </x:c>
      <x:c r="AA202"/>
    </x:row>
    <x:row r="203">
      <x:c r="A203" s="54" t="n">
        <x:v>44012</x:v>
      </x:c>
      <x:c r="B203" t="n">
        <x:v>44012.624999988424</x:v>
      </x:c>
      <x:c r="C203" t="str">
        <x:v>090360</x:v>
      </x:c>
      <x:c r="D203" t="str">
        <x:v>로보스타</x:v>
      </x:c>
      <x:c r="E203" t="str">
        <x:v>KOSDAQ</x:v>
      </x:c>
      <x:c r="F203" t="str">
        <x:v>MID</x:v>
      </x:c>
      <x:c r="G203" t="str">
        <x:v>DCF_SCREENING_EXCLUSION</x:v>
      </x:c>
      <x:c r="H203" t="str">
        <x:v>NON_POSITIVE_ENTERPRISE_VALUE|NON_POSITIVE_EQUITY_VALUE|NON_POSITIVE_TERMINAL_FCF</x:v>
      </x:c>
      <x:c r="I203" s="54" t="n">
        <x:v>44012</x:v>
      </x:c>
      <x:c r="J203" s="55" t="n">
        <x:v>14650</x:v>
      </x:c>
      <x:c r="K203" s="55" t="n">
        <x:v>142837500000</x:v>
      </x:c>
      <x:c r="L203" s="55" t="n">
        <x:v>9750000</x:v>
      </x:c>
      <x:c r="M203" t="str">
        <x:v>20200330004227</x:v>
      </x:c>
      <x:c r="N203" t="n">
        <x:v>43920.624999988424</x:v>
      </x:c>
      <x:c r="O203" s="54" t="n">
        <x:v>43830</x:v>
      </x:c>
      <x:c r="P203" t="str">
        <x:v>False</x:v>
      </x:c>
      <x:c r="Q203" t="str">
        <x:v>7cad18e461b2964c30b4d657a679f043e79ee242b52751cb6ffb53e6a1c5e5bc</x:v>
      </x:c>
      <x:c r="R203" t="str">
        <x:v>e326df905f70cf48b5dfe1216a9cb1a5e975932ce8d9984619c113ff1cc4bd1b</x:v>
      </x:c>
      <x:c r="S203" t="n">
        <x:v>5</x:v>
      </x:c>
      <x:c r="T203" t="str">
        <x:v>2018-12-31|2019-12-31</x:v>
      </x:c>
      <x:c r="U203" s="57" t="n">
        <x:v>-983.5331588588693</x:v>
      </x:c>
      <x:c r="V203" s="57" t="n">
        <x:v>-1.0671353692053835</x:v>
      </x:c>
      <x:c r="W203"/>
      <x:c r="X203"/>
      <x:c r="Y203" s="38" t="n">
        <x:v>0.6409090909090909</x:v>
      </x:c>
      <x:c r="Z203" s="38" t="n">
        <x:v>0.5517478406566056</x:v>
      </x:c>
      <x:c r="AA203" t="str">
        <x:v>NON_POSITIVE_ENTERPRISE_VALUE|NON_POSITIVE_EQUITY_VALUE|NON_POSITIVE_TERMINAL_FCF</x:v>
      </x:c>
    </x:row>
    <x:row r="204">
      <x:c r="A204" s="54" t="n">
        <x:v>44012</x:v>
      </x:c>
      <x:c r="B204" t="n">
        <x:v>44012.624999988424</x:v>
      </x:c>
      <x:c r="C204" t="str">
        <x:v>144960</x:v>
      </x:c>
      <x:c r="D204" t="str">
        <x:v>뉴파워프라즈마</x:v>
      </x:c>
      <x:c r="E204" t="str">
        <x:v>KOSDAQ</x:v>
      </x:c>
      <x:c r="F204" t="str">
        <x:v>MID</x:v>
      </x:c>
      <x:c r="G204" t="str">
        <x:v>ELIGIBLE</x:v>
      </x:c>
      <x:c r="H204"/>
      <x:c r="I204" s="54" t="n">
        <x:v>44012</x:v>
      </x:c>
      <x:c r="J204" s="55" t="n">
        <x:v>4800</x:v>
      </x:c>
      <x:c r="K204" s="55" t="n">
        <x:v>198368088000</x:v>
      </x:c>
      <x:c r="L204" s="55" t="n">
        <x:v>41326685</x:v>
      </x:c>
      <x:c r="M204" t="str">
        <x:v>20200330003611</x:v>
      </x:c>
      <x:c r="N204" t="n">
        <x:v>43920.624999988424</x:v>
      </x:c>
      <x:c r="O204" s="54" t="n">
        <x:v>43830</x:v>
      </x:c>
      <x:c r="P204" t="str">
        <x:v>False</x:v>
      </x:c>
      <x:c r="Q204" t="str">
        <x:v>8de8cc407cf36453da7a36c0c631d6f70e15f223e09b2b161a328a8b0b0e274d</x:v>
      </x:c>
      <x:c r="R204" t="str">
        <x:v>6d4c85e8edf23b57315e94db856a6d89d1cd1b83c2474ed8aa669e8f32dd4a0f</x:v>
      </x:c>
      <x:c r="S204" t="n">
        <x:v>6</x:v>
      </x:c>
      <x:c r="T204" t="str">
        <x:v>2018-12-31|2019-12-31</x:v>
      </x:c>
      <x:c r="U204" s="57" t="n">
        <x:v>638.9965382920287</x:v>
      </x:c>
      <x:c r="V204" s="57" t="n">
        <x:v>-0.8668757211891607</x:v>
      </x:c>
      <x:c r="W204" t="n">
        <x:v>58</x:v>
      </x:c>
      <x:c r="X204" t="n">
        <x:v>5</x:v>
      </x:c>
      <x:c r="Y204" s="38" t="n">
        <x:v>0.6409090909090909</x:v>
      </x:c>
      <x:c r="Z204" s="38" t="n">
        <x:v>0.7291259709349471</x:v>
      </x:c>
      <x:c r="AA204"/>
    </x:row>
    <x:row r="205">
      <x:c r="A205" s="54" t="n">
        <x:v>44012</x:v>
      </x:c>
      <x:c r="B205" t="n">
        <x:v>44012.624999988424</x:v>
      </x:c>
      <x:c r="C205" t="str">
        <x:v>065660</x:v>
      </x:c>
      <x:c r="D205" t="str">
        <x:v>안트로젠</x:v>
      </x:c>
      <x:c r="E205" t="str">
        <x:v>KOSDAQ</x:v>
      </x:c>
      <x:c r="F205" t="str">
        <x:v>MID</x:v>
      </x:c>
      <x:c r="G205" t="str">
        <x:v>DCF_SCREENING_EXCLUSION</x:v>
      </x:c>
      <x:c r="H205" t="str">
        <x:v>NON_POSITIVE_ENTERPRISE_VALUE|NON_POSITIVE_TERMINAL_FCF</x:v>
      </x:c>
      <x:c r="I205" s="54" t="n">
        <x:v>44012</x:v>
      </x:c>
      <x:c r="J205" s="55" t="n">
        <x:v>70500</x:v>
      </x:c>
      <x:c r="K205" s="55" t="n">
        <x:v>631395673500</x:v>
      </x:c>
      <x:c r="L205" s="55" t="n">
        <x:v>8955967</x:v>
      </x:c>
      <x:c r="M205" t="str">
        <x:v>20200327000620</x:v>
      </x:c>
      <x:c r="N205" t="n">
        <x:v>43917.624999988424</x:v>
      </x:c>
      <x:c r="O205" s="54" t="n">
        <x:v>43830</x:v>
      </x:c>
      <x:c r="P205" t="str">
        <x:v>False</x:v>
      </x:c>
      <x:c r="Q205" t="str">
        <x:v>e393b791c5128fd52c22b5f9a30acb3eab1a1ea9e6d0296769d8f122da5a913b</x:v>
      </x:c>
      <x:c r="R205" t="str">
        <x:v>0eaa0820dd6320358f91fc416d8f116d7562d0d57503cf9c1eb3484d3c360c02</x:v>
      </x:c>
      <x:c r="S205" t="n">
        <x:v>5</x:v>
      </x:c>
      <x:c r="T205" t="str">
        <x:v>2018-12-31|2019-12-31</x:v>
      </x:c>
      <x:c r="U205" s="57" t="n">
        <x:v>3147.5289127787964</x:v>
      </x:c>
      <x:c r="V205" s="57" t="n">
        <x:v>-0.9553541998187405</x:v>
      </x:c>
      <x:c r="W205"/>
      <x:c r="X205"/>
      <x:c r="Y205" s="38" t="n">
        <x:v>0.6409090909090909</x:v>
      </x:c>
      <x:c r="Z205" s="38" t="n">
        <x:v>0.6635957394517747</x:v>
      </x:c>
      <x:c r="AA205" t="str">
        <x:v>NON_POSITIVE_ENTERPRISE_VALUE|NON_POSITIVE_TERMINAL_FCF</x:v>
      </x:c>
    </x:row>
    <x:row r="206">
      <x:c r="A206" s="54" t="n">
        <x:v>44012</x:v>
      </x:c>
      <x:c r="B206" t="n">
        <x:v>44012.624999988424</x:v>
      </x:c>
      <x:c r="C206" t="str">
        <x:v>255220</x:v>
      </x:c>
      <x:c r="D206" t="str">
        <x:v>SG</x:v>
      </x:c>
      <x:c r="E206" t="str">
        <x:v>KOSDAQ</x:v>
      </x:c>
      <x:c r="F206" t="str">
        <x:v>MID</x:v>
      </x:c>
      <x:c r="G206" t="str">
        <x:v>DCF_SCREENING_EXCLUSION</x:v>
      </x:c>
      <x:c r="H206" t="str">
        <x:v>NON_POSITIVE_EQUITY_VALUE</x:v>
      </x:c>
      <x:c r="I206" s="54" t="n">
        <x:v>44012</x:v>
      </x:c>
      <x:c r="J206" s="55" t="n">
        <x:v>2060</x:v>
      </x:c>
      <x:c r="K206" s="55" t="n">
        <x:v>75643255620</x:v>
      </x:c>
      <x:c r="L206" s="55" t="n">
        <x:v>36720027</x:v>
      </x:c>
      <x:c r="M206" t="str">
        <x:v>20200330002142</x:v>
      </x:c>
      <x:c r="N206" t="n">
        <x:v>43920.624999988424</x:v>
      </x:c>
      <x:c r="O206" s="54" t="n">
        <x:v>43830</x:v>
      </x:c>
      <x:c r="P206" t="str">
        <x:v>False</x:v>
      </x:c>
      <x:c r="Q206" t="str">
        <x:v>c19d966ea0c3e188aef328dfae11253fde0293673b1d88e53b090542924e246c</x:v>
      </x:c>
      <x:c r="R206" t="str">
        <x:v>e96e2156cbff1ce8f673d16811513cbc20272538b93262a6e065e0763eb33535</x:v>
      </x:c>
      <x:c r="S206" t="n">
        <x:v>6</x:v>
      </x:c>
      <x:c r="T206" t="str">
        <x:v>2018-12-31|2019-12-31</x:v>
      </x:c>
      <x:c r="U206" s="57" t="n">
        <x:v>-274.1292153525808</x:v>
      </x:c>
      <x:c r="V206" s="57" t="n">
        <x:v>-1.1330724346371752</x:v>
      </x:c>
      <x:c r="W206"/>
      <x:c r="X206"/>
      <x:c r="Y206" s="38" t="n">
        <x:v>0.6409090909090909</x:v>
      </x:c>
      <x:c r="Z206" s="38" t="n">
        <x:v>0.6622124389251648</x:v>
      </x:c>
      <x:c r="AA206" t="str">
        <x:v>NON_POSITIVE_EQUITY_VALUE</x:v>
      </x:c>
    </x:row>
    <x:row r="207">
      <x:c r="A207" s="54" t="n">
        <x:v>44012</x:v>
      </x:c>
      <x:c r="B207" t="n">
        <x:v>44012.624999988424</x:v>
      </x:c>
      <x:c r="C207" t="str">
        <x:v>356680</x:v>
      </x:c>
      <x:c r="D207" t="str">
        <x:v>엑스게이트</x:v>
      </x:c>
      <x:c r="E207" t="str">
        <x:v>KOSDAQ</x:v>
      </x:c>
      <x:c r="F207" t="str">
        <x:v>MID</x:v>
      </x:c>
      <x:c r="G207" t="str">
        <x:v>NOT_LISTED_OR_NO_PRICE</x:v>
      </x:c>
      <x:c r="H207"/>
      <x:c r="I207" s="54"/>
      <x:c r="J207" s="55"/>
      <x:c r="K207" s="55"/>
      <x:c r="L207" s="55"/>
      <x:c r="M207"/>
      <x:c r="N207"/>
      <x:c r="O207" s="54"/>
      <x:c r="P207"/>
      <x:c r="Q207"/>
      <x:c r="R207"/>
      <x:c r="S207"/>
      <x:c r="T207"/>
      <x:c r="U207" s="57"/>
      <x:c r="V207" s="57"/>
      <x:c r="W207"/>
      <x:c r="X207"/>
      <x:c r="Y207" s="38"/>
      <x:c r="Z207" s="38"/>
      <x:c r="AA207"/>
    </x:row>
    <x:row r="208">
      <x:c r="A208" s="54" t="n">
        <x:v>44012</x:v>
      </x:c>
      <x:c r="B208" t="n">
        <x:v>44012.624999988424</x:v>
      </x:c>
      <x:c r="C208" t="str">
        <x:v>038390</x:v>
      </x:c>
      <x:c r="D208" t="str">
        <x:v>레드캡투어</x:v>
      </x:c>
      <x:c r="E208" t="str">
        <x:v>KOSDAQ</x:v>
      </x:c>
      <x:c r="F208" t="str">
        <x:v>MID</x:v>
      </x:c>
      <x:c r="G208" t="str">
        <x:v>ELIGIBLE</x:v>
      </x:c>
      <x:c r="H208"/>
      <x:c r="I208" s="54" t="n">
        <x:v>44012</x:v>
      </x:c>
      <x:c r="J208" s="55" t="n">
        <x:v>13000</x:v>
      </x:c>
      <x:c r="K208" s="55" t="n">
        <x:v>111663240000</x:v>
      </x:c>
      <x:c r="L208" s="55" t="n">
        <x:v>8589480</x:v>
      </x:c>
      <x:c r="M208" t="str">
        <x:v>20200330001056</x:v>
      </x:c>
      <x:c r="N208" t="n">
        <x:v>43920.624999988424</x:v>
      </x:c>
      <x:c r="O208" s="54" t="n">
        <x:v>43830</x:v>
      </x:c>
      <x:c r="P208" t="str">
        <x:v>False</x:v>
      </x:c>
      <x:c r="Q208" t="str">
        <x:v>0ed4d7e76fec63b8aaef9e570a935e91f1c114de8e88e76028d6576bd56dfe1c</x:v>
      </x:c>
      <x:c r="R208" t="str">
        <x:v>9ca028bc32b84d8c11c49b231ccb0cb4a9fdaf6127f7ed9a607c722190daca14</x:v>
      </x:c>
      <x:c r="S208" t="n">
        <x:v>6</x:v>
      </x:c>
      <x:c r="T208" t="str">
        <x:v>2018-12-31|2019-12-31</x:v>
      </x:c>
      <x:c r="U208" s="57" t="n">
        <x:v>19218.41668035128</x:v>
      </x:c>
      <x:c r="V208" s="57" t="n">
        <x:v>0.4783397446424062</x:v>
      </x:c>
      <x:c r="W208" t="n">
        <x:v>15</x:v>
      </x:c>
      <x:c r="X208" t="n">
        <x:v>2</x:v>
      </x:c>
      <x:c r="Y208" s="38" t="n">
        <x:v>0.6409090909090909</x:v>
      </x:c>
      <x:c r="Z208" s="38" t="n">
        <x:v>0.6509275162397761</x:v>
      </x:c>
      <x:c r="AA208"/>
    </x:row>
    <x:row r="209">
      <x:c r="A209" s="54" t="n">
        <x:v>44012</x:v>
      </x:c>
      <x:c r="B209" t="n">
        <x:v>44012.624999988424</x:v>
      </x:c>
      <x:c r="C209" t="str">
        <x:v>083930</x:v>
      </x:c>
      <x:c r="D209" t="str">
        <x:v>아바코</x:v>
      </x:c>
      <x:c r="E209" t="str">
        <x:v>KOSDAQ</x:v>
      </x:c>
      <x:c r="F209" t="str">
        <x:v>MID</x:v>
      </x:c>
      <x:c r="G209" t="str">
        <x:v>ELIGIBLE</x:v>
      </x:c>
      <x:c r="H209"/>
      <x:c r="I209" s="54" t="n">
        <x:v>44012</x:v>
      </x:c>
      <x:c r="J209" s="55" t="n">
        <x:v>7050</x:v>
      </x:c>
      <x:c r="K209" s="55" t="n">
        <x:v>112775360250</x:v>
      </x:c>
      <x:c r="L209" s="55" t="n">
        <x:v>15996505</x:v>
      </x:c>
      <x:c r="M209" t="str">
        <x:v>20200330003217</x:v>
      </x:c>
      <x:c r="N209" t="n">
        <x:v>43920.624999988424</x:v>
      </x:c>
      <x:c r="O209" s="54" t="n">
        <x:v>43830</x:v>
      </x:c>
      <x:c r="P209" t="str">
        <x:v>False</x:v>
      </x:c>
      <x:c r="Q209" t="str">
        <x:v>6fe112766ead0fff9903fdac4ab584f8524a512815d8a732af0c90eaa77b57bf</x:v>
      </x:c>
      <x:c r="R209" t="str">
        <x:v>3b615f1fd988c1c5033d71762dd36efa6dd6dd19d7b2282334628ddd2d2fc2cb</x:v>
      </x:c>
      <x:c r="S209" t="n">
        <x:v>7</x:v>
      </x:c>
      <x:c r="T209" t="str">
        <x:v>2018-12-31|2019-12-31</x:v>
      </x:c>
      <x:c r="U209" s="57" t="n">
        <x:v>10676.00656311258</x:v>
      </x:c>
      <x:c r="V209" s="57" t="n">
        <x:v>0.5143271720727065</x:v>
      </x:c>
      <x:c r="W209" t="n">
        <x:v>14</x:v>
      </x:c>
      <x:c r="X209" t="n">
        <x:v>2</x:v>
      </x:c>
      <x:c r="Y209" s="38" t="n">
        <x:v>0.6409090909090909</x:v>
      </x:c>
      <x:c r="Z209" s="38" t="n">
        <x:v>0.5946474082816877</x:v>
      </x:c>
      <x:c r="AA209"/>
    </x:row>
    <x:row r="210">
      <x:c r="A210" s="54" t="n">
        <x:v>44012</x:v>
      </x:c>
      <x:c r="B210" t="n">
        <x:v>44012.624999988424</x:v>
      </x:c>
      <x:c r="C210" t="str">
        <x:v>089600</x:v>
      </x:c>
      <x:c r="D210" t="str">
        <x:v>KT나스미디어</x:v>
      </x:c>
      <x:c r="E210" t="str">
        <x:v>KOSDAQ</x:v>
      </x:c>
      <x:c r="F210" t="str">
        <x:v>MID</x:v>
      </x:c>
      <x:c r="G210" t="str">
        <x:v>ELIGIBLE</x:v>
      </x:c>
      <x:c r="H210"/>
      <x:c r="I210" s="54" t="n">
        <x:v>44012</x:v>
      </x:c>
      <x:c r="J210" s="55" t="n">
        <x:v>28100</x:v>
      </x:c>
      <x:c r="K210" s="55" t="n">
        <x:v>246006817100</x:v>
      </x:c>
      <x:c r="L210" s="55" t="n">
        <x:v>8754691</x:v>
      </x:c>
      <x:c r="M210" t="str">
        <x:v>20200330003971</x:v>
      </x:c>
      <x:c r="N210" t="n">
        <x:v>43920.624999988424</x:v>
      </x:c>
      <x:c r="O210" s="54" t="n">
        <x:v>43830</x:v>
      </x:c>
      <x:c r="P210" t="str">
        <x:v>False</x:v>
      </x:c>
      <x:c r="Q210" t="str">
        <x:v>7366a9a946afb807904d9c068adeee1c2b11b8f4ce52b600edd8231e0270e3af</x:v>
      </x:c>
      <x:c r="R210" t="str">
        <x:v>a1780843cd2e0dc320178dfa80fdea6a1484ec5b2418439dcb6c1f6bfc73acf5</x:v>
      </x:c>
      <x:c r="S210" t="n">
        <x:v>6</x:v>
      </x:c>
      <x:c r="T210" t="str">
        <x:v>2019-12-31</x:v>
      </x:c>
      <x:c r="U210" s="57" t="n">
        <x:v>32148.67306797827</x:v>
      </x:c>
      <x:c r="V210" s="57" t="n">
        <x:v>0.14408089209887087</x:v>
      </x:c>
      <x:c r="W210" t="n">
        <x:v>20</x:v>
      </x:c>
      <x:c r="X210" t="n">
        <x:v>2</x:v>
      </x:c>
      <x:c r="Y210" s="38" t="n">
        <x:v>0.6409090909090909</x:v>
      </x:c>
      <x:c r="Z210" s="38" t="n">
        <x:v>0.6701769222689359</x:v>
      </x:c>
      <x:c r="AA210"/>
    </x:row>
    <x:row r="211">
      <x:c r="A211" s="54" t="n">
        <x:v>44012</x:v>
      </x:c>
      <x:c r="B211" t="n">
        <x:v>44012.624999988424</x:v>
      </x:c>
      <x:c r="C211" t="str">
        <x:v>091120</x:v>
      </x:c>
      <x:c r="D211" t="str">
        <x:v>이엠텍</x:v>
      </x:c>
      <x:c r="E211" t="str">
        <x:v>KOSDAQ</x:v>
      </x:c>
      <x:c r="F211" t="str">
        <x:v>MID</x:v>
      </x:c>
      <x:c r="G211" t="str">
        <x:v>DCF_SCREENING_EXCLUSION</x:v>
      </x:c>
      <x:c r="H211" t="str">
        <x:v>NON_POSITIVE_ENTERPRISE_VALUE|NON_POSITIVE_EQUITY_VALUE|NON_POSITIVE_TERMINAL_FCF</x:v>
      </x:c>
      <x:c r="I211" s="54" t="n">
        <x:v>44012</x:v>
      </x:c>
      <x:c r="J211" s="55" t="n">
        <x:v>13450</x:v>
      </x:c>
      <x:c r="K211" s="55" t="n">
        <x:v>216019589200</x:v>
      </x:c>
      <x:c r="L211" s="55" t="n">
        <x:v>16060936</x:v>
      </x:c>
      <x:c r="M211" t="str">
        <x:v>20200327001294</x:v>
      </x:c>
      <x:c r="N211" t="n">
        <x:v>43917.624999988424</x:v>
      </x:c>
      <x:c r="O211" s="54" t="n">
        <x:v>43830</x:v>
      </x:c>
      <x:c r="P211" t="str">
        <x:v>False</x:v>
      </x:c>
      <x:c r="Q211" t="str">
        <x:v>2d24983f4c6ef246eb83385f0559caa906d62eb07d0c727c440087294d8e0ac1</x:v>
      </x:c>
      <x:c r="R211" t="str">
        <x:v>47b28b8cb7206e847ab0c31138de31f5f565461bc77cf232929bb0bd4e51f734</x:v>
      </x:c>
      <x:c r="S211" t="n">
        <x:v>6</x:v>
      </x:c>
      <x:c r="T211" t="str">
        <x:v>2018-12-31|2019-12-31</x:v>
      </x:c>
      <x:c r="U211" s="57" t="n">
        <x:v>-486.89593659803876</x:v>
      </x:c>
      <x:c r="V211" s="57" t="n">
        <x:v>-1.036200441382754</x:v>
      </x:c>
      <x:c r="W211"/>
      <x:c r="X211"/>
      <x:c r="Y211" s="38" t="n">
        <x:v>0.6409090909090909</x:v>
      </x:c>
      <x:c r="Z211" s="38" t="n">
        <x:v>0.4477369167724004</x:v>
      </x:c>
      <x:c r="AA211" t="str">
        <x:v>NON_POSITIVE_ENTERPRISE_VALUE|NON_POSITIVE_EQUITY_VALUE|NON_POSITIVE_TERMINAL_FCF</x:v>
      </x:c>
    </x:row>
    <x:row r="212">
      <x:c r="A212" s="54" t="n">
        <x:v>44012</x:v>
      </x:c>
      <x:c r="B212" t="n">
        <x:v>44012.624999988424</x:v>
      </x:c>
      <x:c r="C212" t="str">
        <x:v>353810</x:v>
      </x:c>
      <x:c r="D212" t="str">
        <x:v>이지바이오</x:v>
      </x:c>
      <x:c r="E212" t="str">
        <x:v>KOSDAQ</x:v>
      </x:c>
      <x:c r="F212" t="str">
        <x:v>MID</x:v>
      </x:c>
      <x:c r="G212" t="str">
        <x:v>NO_PIT_FINANCIALS</x:v>
      </x:c>
      <x:c r="H212"/>
      <x:c r="I212" s="54" t="n">
        <x:v>44012</x:v>
      </x:c>
      <x:c r="J212" s="55" t="n">
        <x:v>52000</x:v>
      </x:c>
      <x:c r="K212" s="55" t="n">
        <x:v>118909856000</x:v>
      </x:c>
      <x:c r="L212" s="55" t="n">
        <x:v>2286728</x:v>
      </x:c>
      <x:c r="M212"/>
      <x:c r="N212"/>
      <x:c r="O212" s="54"/>
      <x:c r="P212"/>
      <x:c r="Q212"/>
      <x:c r="R212"/>
      <x:c r="S212"/>
      <x:c r="T212"/>
      <x:c r="U212" s="57"/>
      <x:c r="V212" s="57"/>
      <x:c r="W212"/>
      <x:c r="X212"/>
      <x:c r="Y212" s="38"/>
      <x:c r="Z212" s="38"/>
      <x:c r="AA212"/>
    </x:row>
    <x:row r="213">
      <x:c r="A213" s="54" t="n">
        <x:v>44012</x:v>
      </x:c>
      <x:c r="B213" t="n">
        <x:v>44012.624999988424</x:v>
      </x:c>
      <x:c r="C213" t="str">
        <x:v>203650</x:v>
      </x:c>
      <x:c r="D213" t="str">
        <x:v>드림시큐리티</x:v>
      </x:c>
      <x:c r="E213" t="str">
        <x:v>KOSDAQ</x:v>
      </x:c>
      <x:c r="F213" t="str">
        <x:v>MID</x:v>
      </x:c>
      <x:c r="G213" t="str">
        <x:v>ELIGIBLE</x:v>
      </x:c>
      <x:c r="H213"/>
      <x:c r="I213" s="54" t="n">
        <x:v>44012</x:v>
      </x:c>
      <x:c r="J213" s="55" t="n">
        <x:v>3300</x:v>
      </x:c>
      <x:c r="K213" s="55" t="n">
        <x:v>166998988200</x:v>
      </x:c>
      <x:c r="L213" s="55" t="n">
        <x:v>50605754</x:v>
      </x:c>
      <x:c r="M213" t="str">
        <x:v>20200330002245</x:v>
      </x:c>
      <x:c r="N213" t="n">
        <x:v>43920.624999988424</x:v>
      </x:c>
      <x:c r="O213" s="54" t="n">
        <x:v>43830</x:v>
      </x:c>
      <x:c r="P213" t="str">
        <x:v>False</x:v>
      </x:c>
      <x:c r="Q213" t="str">
        <x:v>57c3d3517db60ca075b2c8d11f58e42070e7165608af392777e68b9ef42f02de</x:v>
      </x:c>
      <x:c r="R213" t="str">
        <x:v>6df67fc742d01a8516ea913e46378977817ffd387d4cef500e4488e05bc9a1be</x:v>
      </x:c>
      <x:c r="S213" t="n">
        <x:v>6</x:v>
      </x:c>
      <x:c r="T213" t="str">
        <x:v>2018-12-31|2019-12-31</x:v>
      </x:c>
      <x:c r="U213" s="57" t="n">
        <x:v>234.19899304557862</x:v>
      </x:c>
      <x:c r="V213" s="57" t="n">
        <x:v>-0.9290306081680065</x:v>
      </x:c>
      <x:c r="W213" t="n">
        <x:v>60</x:v>
      </x:c>
      <x:c r="X213" t="n">
        <x:v>5</x:v>
      </x:c>
      <x:c r="Y213" s="38" t="n">
        <x:v>0.6409090909090909</x:v>
      </x:c>
      <x:c r="Z213" s="38" t="n">
        <x:v>0.7096876554646769</x:v>
      </x:c>
      <x:c r="AA213"/>
    </x:row>
    <x:row r="214">
      <x:c r="A214" s="54" t="n">
        <x:v>44012</x:v>
      </x:c>
      <x:c r="B214" t="n">
        <x:v>44012.624999988424</x:v>
      </x:c>
      <x:c r="C214" t="str">
        <x:v>251120</x:v>
      </x:c>
      <x:c r="D214" t="str">
        <x:v>바이오에프디엔씨</x:v>
      </x:c>
      <x:c r="E214" t="str">
        <x:v>KOSDAQ</x:v>
      </x:c>
      <x:c r="F214" t="str">
        <x:v>MID</x:v>
      </x:c>
      <x:c r="G214" t="str">
        <x:v>NOT_LISTED_OR_NO_PRICE</x:v>
      </x:c>
      <x:c r="H214"/>
      <x:c r="I214" s="54"/>
      <x:c r="J214" s="55"/>
      <x:c r="K214" s="55"/>
      <x:c r="L214" s="55"/>
      <x:c r="M214"/>
      <x:c r="N214"/>
      <x:c r="O214" s="54"/>
      <x:c r="P214"/>
      <x:c r="Q214"/>
      <x:c r="R214"/>
      <x:c r="S214"/>
      <x:c r="T214"/>
      <x:c r="U214" s="57"/>
      <x:c r="V214" s="57"/>
      <x:c r="W214"/>
      <x:c r="X214"/>
      <x:c r="Y214" s="38"/>
      <x:c r="Z214" s="38"/>
      <x:c r="AA214"/>
    </x:row>
    <x:row r="215">
      <x:c r="A215" s="54" t="n">
        <x:v>44012</x:v>
      </x:c>
      <x:c r="B215" t="n">
        <x:v>44012.624999988424</x:v>
      </x:c>
      <x:c r="C215" t="str">
        <x:v>094820</x:v>
      </x:c>
      <x:c r="D215" t="str">
        <x:v>일진파워</x:v>
      </x:c>
      <x:c r="E215" t="str">
        <x:v>KOSDAQ</x:v>
      </x:c>
      <x:c r="F215" t="str">
        <x:v>MID</x:v>
      </x:c>
      <x:c r="G215" t="str">
        <x:v>ELIGIBLE</x:v>
      </x:c>
      <x:c r="H215"/>
      <x:c r="I215" s="54" t="n">
        <x:v>44012</x:v>
      </x:c>
      <x:c r="J215" s="55" t="n">
        <x:v>4690</x:v>
      </x:c>
      <x:c r="K215" s="55" t="n">
        <x:v>70719145210</x:v>
      </x:c>
      <x:c r="L215" s="55" t="n">
        <x:v>15078709</x:v>
      </x:c>
      <x:c r="M215" t="str">
        <x:v>20200330003625</x:v>
      </x:c>
      <x:c r="N215" t="n">
        <x:v>43920.624999988424</x:v>
      </x:c>
      <x:c r="O215" s="54" t="n">
        <x:v>43830</x:v>
      </x:c>
      <x:c r="P215" t="str">
        <x:v>False</x:v>
      </x:c>
      <x:c r="Q215" t="str">
        <x:v>b59d85b4dcc8495f35c926f0be8e9fc82a38a7e715e631d2aaa36b6ab594f7a5</x:v>
      </x:c>
      <x:c r="R215" t="str">
        <x:v>433d6a7d85480f55117e65b211d43de0f789d445ad6e9cd7e61d82eccb9873d8</x:v>
      </x:c>
      <x:c r="S215" t="n">
        <x:v>5</x:v>
      </x:c>
      <x:c r="T215" t="str">
        <x:v>2018-12-31|2019-12-31</x:v>
      </x:c>
      <x:c r="U215" s="57" t="n">
        <x:v>14773.966135425591</x:v>
      </x:c>
      <x:c r="V215" s="57" t="n">
        <x:v>2.150099389216544</x:v>
      </x:c>
      <x:c r="W215" t="n">
        <x:v>2</x:v>
      </x:c>
      <x:c r="X215" t="n">
        <x:v>1</x:v>
      </x:c>
      <x:c r="Y215" s="38" t="n">
        <x:v>0.6409090909090909</x:v>
      </x:c>
      <x:c r="Z215" s="38" t="n">
        <x:v>0.7315079400342607</x:v>
      </x:c>
      <x:c r="AA215"/>
    </x:row>
    <x:row r="216">
      <x:c r="A216" s="54" t="n">
        <x:v>44012</x:v>
      </x:c>
      <x:c r="B216" t="n">
        <x:v>44012.624999988424</x:v>
      </x:c>
      <x:c r="C216" t="str">
        <x:v>333430</x:v>
      </x:c>
      <x:c r="D216" t="str">
        <x:v>일승</x:v>
      </x:c>
      <x:c r="E216" t="str">
        <x:v>KOSDAQ</x:v>
      </x:c>
      <x:c r="F216" t="str">
        <x:v>MID</x:v>
      </x:c>
      <x:c r="G216" t="str">
        <x:v>NO_PIT_FINANCIALS</x:v>
      </x:c>
      <x:c r="H216"/>
      <x:c r="I216" s="54" t="n">
        <x:v>44012</x:v>
      </x:c>
      <x:c r="J216" s="55" t="n">
        <x:v>2015</x:v>
      </x:c>
      <x:c r="K216" s="55" t="n">
        <x:v>8845850000</x:v>
      </x:c>
      <x:c r="L216" s="55" t="n">
        <x:v>4390000</x:v>
      </x:c>
      <x:c r="M216"/>
      <x:c r="N216"/>
      <x:c r="O216" s="54"/>
      <x:c r="P216"/>
      <x:c r="Q216"/>
      <x:c r="R216"/>
      <x:c r="S216"/>
      <x:c r="T216"/>
      <x:c r="U216" s="57"/>
      <x:c r="V216" s="57"/>
      <x:c r="W216"/>
      <x:c r="X216"/>
      <x:c r="Y216" s="38"/>
      <x:c r="Z216" s="38"/>
      <x:c r="AA216"/>
    </x:row>
    <x:row r="217">
      <x:c r="A217" s="54" t="n">
        <x:v>44012</x:v>
      </x:c>
      <x:c r="B217" t="n">
        <x:v>44012.624999988424</x:v>
      </x:c>
      <x:c r="C217" t="str">
        <x:v>041440</x:v>
      </x:c>
      <x:c r="D217" t="str">
        <x:v>현대에버다임</x:v>
      </x:c>
      <x:c r="E217" t="str">
        <x:v>KOSDAQ</x:v>
      </x:c>
      <x:c r="F217" t="str">
        <x:v>MID</x:v>
      </x:c>
      <x:c r="G217" t="str">
        <x:v>ELIGIBLE</x:v>
      </x:c>
      <x:c r="H217"/>
      <x:c r="I217" s="54" t="n">
        <x:v>44012</x:v>
      </x:c>
      <x:c r="J217" s="55" t="n">
        <x:v>3450</x:v>
      </x:c>
      <x:c r="K217" s="55" t="n">
        <x:v>61810006800</x:v>
      </x:c>
      <x:c r="L217" s="55" t="n">
        <x:v>17915944</x:v>
      </x:c>
      <x:c r="M217" t="str">
        <x:v>20200330003194</x:v>
      </x:c>
      <x:c r="N217" t="n">
        <x:v>43920.624999988424</x:v>
      </x:c>
      <x:c r="O217" s="54" t="n">
        <x:v>43830</x:v>
      </x:c>
      <x:c r="P217" t="str">
        <x:v>False</x:v>
      </x:c>
      <x:c r="Q217" t="str">
        <x:v>16997b4392a0bd28ea72e13e4e114acc5a569dcbee456947a306d17b34b51b31</x:v>
      </x:c>
      <x:c r="R217" t="str">
        <x:v>3b14c0c6043d928661a22489109067489d88031687d22b7a5311c2499b3d669e</x:v>
      </x:c>
      <x:c r="S217" t="n">
        <x:v>7</x:v>
      </x:c>
      <x:c r="T217" t="str">
        <x:v>2018-12-31|2019-12-31</x:v>
      </x:c>
      <x:c r="U217" s="57" t="n">
        <x:v>2614.9217888781814</x:v>
      </x:c>
      <x:c r="V217" s="57" t="n">
        <x:v>-0.24205165539762855</x:v>
      </x:c>
      <x:c r="W217" t="n">
        <x:v>29</x:v>
      </x:c>
      <x:c r="X217" t="n">
        <x:v>3</x:v>
      </x:c>
      <x:c r="Y217" s="38" t="n">
        <x:v>0.6409090909090909</x:v>
      </x:c>
      <x:c r="Z217" s="38" t="n">
        <x:v>0.5430879733724859</x:v>
      </x:c>
      <x:c r="AA217"/>
    </x:row>
    <x:row r="218">
      <x:c r="A218" s="54" t="n">
        <x:v>44012</x:v>
      </x:c>
      <x:c r="B218" t="n">
        <x:v>44012.624999988424</x:v>
      </x:c>
      <x:c r="C218" t="str">
        <x:v>067990</x:v>
      </x:c>
      <x:c r="D218" t="str">
        <x:v>도이치모터스</x:v>
      </x:c>
      <x:c r="E218" t="str">
        <x:v>KOSDAQ</x:v>
      </x:c>
      <x:c r="F218" t="str">
        <x:v>MID</x:v>
      </x:c>
      <x:c r="G218" t="str">
        <x:v>ELIGIBLE</x:v>
      </x:c>
      <x:c r="H218"/>
      <x:c r="I218" s="54" t="n">
        <x:v>44012</x:v>
      </x:c>
      <x:c r="J218" s="55" t="n">
        <x:v>6300</x:v>
      </x:c>
      <x:c r="K218" s="55" t="n">
        <x:v>176635273500</x:v>
      </x:c>
      <x:c r="L218" s="55" t="n">
        <x:v>28037345</x:v>
      </x:c>
      <x:c r="M218" t="str">
        <x:v>20200330002842</x:v>
      </x:c>
      <x:c r="N218" t="n">
        <x:v>43920.624999988424</x:v>
      </x:c>
      <x:c r="O218" s="54" t="n">
        <x:v>43830</x:v>
      </x:c>
      <x:c r="P218" t="str">
        <x:v>False</x:v>
      </x:c>
      <x:c r="Q218" t="str">
        <x:v>aeacc35410dd89cf6139f4be6bb14aba09ed69b2f5d811329db7df6416017ded</x:v>
      </x:c>
      <x:c r="R218" t="str">
        <x:v>b2fb1a002fe7969aba9cfd8a3177ce8fd1e9db6221a2beade61bbc30173bcc11</x:v>
      </x:c>
      <x:c r="S218" t="n">
        <x:v>6</x:v>
      </x:c>
      <x:c r="T218" t="str">
        <x:v>2016-12-31|2018-12-31|2019-12-31</x:v>
      </x:c>
      <x:c r="U218" s="57" t="n">
        <x:v>222.42427504847294</x:v>
      </x:c>
      <x:c r="V218" s="57" t="n">
        <x:v>-0.9646945595161154</x:v>
      </x:c>
      <x:c r="W218" t="n">
        <x:v>62</x:v>
      </x:c>
      <x:c r="X218" t="n">
        <x:v>5</x:v>
      </x:c>
      <x:c r="Y218" s="38" t="n">
        <x:v>0.6409090909090909</x:v>
      </x:c>
      <x:c r="Z218" s="38" t="n">
        <x:v>0.6888518992756371</x:v>
      </x:c>
      <x:c r="AA218"/>
    </x:row>
    <x:row r="219">
      <x:c r="A219" s="54" t="n">
        <x:v>44012</x:v>
      </x:c>
      <x:c r="B219" t="n">
        <x:v>44012.624999988424</x:v>
      </x:c>
      <x:c r="C219" t="str">
        <x:v>037070</x:v>
      </x:c>
      <x:c r="D219" t="str">
        <x:v>파세코</x:v>
      </x:c>
      <x:c r="E219" t="str">
        <x:v>KOSDAQ</x:v>
      </x:c>
      <x:c r="F219" t="str">
        <x:v>MID</x:v>
      </x:c>
      <x:c r="G219" t="str">
        <x:v>ELIGIBLE</x:v>
      </x:c>
      <x:c r="H219"/>
      <x:c r="I219" s="54" t="n">
        <x:v>44012</x:v>
      </x:c>
      <x:c r="J219" s="55" t="n">
        <x:v>14500</x:v>
      </x:c>
      <x:c r="K219" s="55" t="n">
        <x:v>203000000000</x:v>
      </x:c>
      <x:c r="L219" s="55" t="n">
        <x:v>14000000</x:v>
      </x:c>
      <x:c r="M219" t="str">
        <x:v>20200330000501</x:v>
      </x:c>
      <x:c r="N219" t="n">
        <x:v>43920.624999988424</x:v>
      </x:c>
      <x:c r="O219" s="54" t="n">
        <x:v>43830</x:v>
      </x:c>
      <x:c r="P219" t="str">
        <x:v>False</x:v>
      </x:c>
      <x:c r="Q219" t="str">
        <x:v>1440c88124d8765b5f68d20b777357d7374aa8b1e0c49a3563a248e24267c8ad</x:v>
      </x:c>
      <x:c r="R219" t="str">
        <x:v>83c055e1264fdcdfca2ec0cb820207c239f947ecafcf9ebf65e7828b84f8d22e</x:v>
      </x:c>
      <x:c r="S219" t="n">
        <x:v>7</x:v>
      </x:c>
      <x:c r="T219" t="str">
        <x:v>2018-12-31|2019-12-31</x:v>
      </x:c>
      <x:c r="U219" s="57" t="n">
        <x:v>5223.088421177067</x:v>
      </x:c>
      <x:c r="V219" s="57" t="n">
        <x:v>-0.6397870054360644</x:v>
      </x:c>
      <x:c r="W219" t="n">
        <x:v>45</x:v>
      </x:c>
      <x:c r="X219" t="n">
        <x:v>4</x:v>
      </x:c>
      <x:c r="Y219" s="38" t="n">
        <x:v>0.6409090909090909</x:v>
      </x:c>
      <x:c r="Z219" s="38" t="n">
        <x:v>0.6978683163387078</x:v>
      </x:c>
      <x:c r="AA219"/>
    </x:row>
    <x:row r="220">
      <x:c r="A220" s="54" t="n">
        <x:v>44012</x:v>
      </x:c>
      <x:c r="B220" t="n">
        <x:v>44012.624999988424</x:v>
      </x:c>
      <x:c r="C220" t="str">
        <x:v>365330</x:v>
      </x:c>
      <x:c r="D220" t="str">
        <x:v>에스와이스틸텍</x:v>
      </x:c>
      <x:c r="E220" t="str">
        <x:v>KOSDAQ</x:v>
      </x:c>
      <x:c r="F220" t="str">
        <x:v>MID</x:v>
      </x:c>
      <x:c r="G220" t="str">
        <x:v>NOT_LISTED_OR_NO_PRICE</x:v>
      </x:c>
      <x:c r="H220"/>
      <x:c r="I220" s="54"/>
      <x:c r="J220" s="55"/>
      <x:c r="K220" s="55"/>
      <x:c r="L220" s="55"/>
      <x:c r="M220"/>
      <x:c r="N220"/>
      <x:c r="O220" s="54"/>
      <x:c r="P220"/>
      <x:c r="Q220"/>
      <x:c r="R220"/>
      <x:c r="S220"/>
      <x:c r="T220"/>
      <x:c r="U220" s="57"/>
      <x:c r="V220" s="57"/>
      <x:c r="W220"/>
      <x:c r="X220"/>
      <x:c r="Y220" s="38"/>
      <x:c r="Z220" s="38"/>
      <x:c r="AA220"/>
    </x:row>
    <x:row r="221">
      <x:c r="A221" s="54" t="n">
        <x:v>44012</x:v>
      </x:c>
      <x:c r="B221" t="n">
        <x:v>44012.624999988424</x:v>
      </x:c>
      <x:c r="C221" t="str">
        <x:v>086960</x:v>
      </x:c>
      <x:c r="D221" t="str">
        <x:v>MDS테크</x:v>
      </x:c>
      <x:c r="E221" t="str">
        <x:v>KOSDAQ</x:v>
      </x:c>
      <x:c r="F221" t="str">
        <x:v>MID</x:v>
      </x:c>
      <x:c r="G221" t="str">
        <x:v>ELIGIBLE</x:v>
      </x:c>
      <x:c r="H221"/>
      <x:c r="I221" s="54" t="n">
        <x:v>44012</x:v>
      </x:c>
      <x:c r="J221" s="55" t="n">
        <x:v>12450</x:v>
      </x:c>
      <x:c r="K221" s="55" t="n">
        <x:v>109916169600</x:v>
      </x:c>
      <x:c r="L221" s="55" t="n">
        <x:v>8828608</x:v>
      </x:c>
      <x:c r="M221" t="str">
        <x:v>20200330004715</x:v>
      </x:c>
      <x:c r="N221" t="n">
        <x:v>43920.624999988424</x:v>
      </x:c>
      <x:c r="O221" s="54" t="n">
        <x:v>43830</x:v>
      </x:c>
      <x:c r="P221" t="str">
        <x:v>False</x:v>
      </x:c>
      <x:c r="Q221" t="str">
        <x:v>e12cfe4d5ff5e5c542ec0d8495e3843c8348276f8555fb7d98bb89e81e3665a2</x:v>
      </x:c>
      <x:c r="R221" t="str">
        <x:v>b0c66fc2fb6fac40330559f877804f0bff7ac374b2575a6ea395c9a9b70e3167</x:v>
      </x:c>
      <x:c r="S221" t="n">
        <x:v>6</x:v>
      </x:c>
      <x:c r="T221" t="str">
        <x:v>2018-12-31|2019-12-31</x:v>
      </x:c>
      <x:c r="U221" s="57" t="n">
        <x:v>6344.674242254344</x:v>
      </x:c>
      <x:c r="V221" s="57" t="n">
        <x:v>-0.49038761106390816</x:v>
      </x:c>
      <x:c r="W221" t="n">
        <x:v>38</x:v>
      </x:c>
      <x:c r="X221" t="n">
        <x:v>3</x:v>
      </x:c>
      <x:c r="Y221" s="38" t="n">
        <x:v>0.6409090909090909</x:v>
      </x:c>
      <x:c r="Z221" s="38" t="n">
        <x:v>0.6982440714901555</x:v>
      </x:c>
      <x:c r="AA221"/>
    </x:row>
    <x:row r="222">
      <x:c r="A222" s="54" t="n">
        <x:v>44012</x:v>
      </x:c>
      <x:c r="B222" t="n">
        <x:v>44012.624999988424</x:v>
      </x:c>
      <x:c r="C222" t="str">
        <x:v>014970</x:v>
      </x:c>
      <x:c r="D222" t="str">
        <x:v>삼륭물산</x:v>
      </x:c>
      <x:c r="E222" t="str">
        <x:v>KOSDAQ</x:v>
      </x:c>
      <x:c r="F222" t="str">
        <x:v>MID</x:v>
      </x:c>
      <x:c r="G222" t="str">
        <x:v>DCF_SCREENING_EXCLUSION</x:v>
      </x:c>
      <x:c r="H222" t="str">
        <x:v>NON_POSITIVE_ENTERPRISE_VALUE|NON_POSITIVE_EQUITY_VALUE|NON_POSITIVE_TERMINAL_FCF</x:v>
      </x:c>
      <x:c r="I222" s="54" t="n">
        <x:v>44012</x:v>
      </x:c>
      <x:c r="J222" s="55" t="n">
        <x:v>7790</x:v>
      </x:c>
      <x:c r="K222" s="55" t="n">
        <x:v>117823750000</x:v>
      </x:c>
      <x:c r="L222" s="55" t="n">
        <x:v>15125000</x:v>
      </x:c>
      <x:c r="M222" t="str">
        <x:v>20200330001231</x:v>
      </x:c>
      <x:c r="N222" t="n">
        <x:v>43920.624999988424</x:v>
      </x:c>
      <x:c r="O222" s="54" t="n">
        <x:v>43830</x:v>
      </x:c>
      <x:c r="P222" t="str">
        <x:v>False</x:v>
      </x:c>
      <x:c r="Q222" t="str">
        <x:v>21a6612fa1d8adc381bb8d3396631928e9039f8bd05fa7ea91072d692a3dfb47</x:v>
      </x:c>
      <x:c r="R222" t="str">
        <x:v>70478854bbb12305e24bddc0c290cb6ad246ff20271c970a5769219bf7c4b2a1</x:v>
      </x:c>
      <x:c r="S222" t="n">
        <x:v>6</x:v>
      </x:c>
      <x:c r="T222" t="str">
        <x:v>2018-12-31|2019-12-31</x:v>
      </x:c>
      <x:c r="U222" s="57" t="n">
        <x:v>-1768.3349650620855</x:v>
      </x:c>
      <x:c r="V222" s="57" t="n">
        <x:v>-1.227000637363554</x:v>
      </x:c>
      <x:c r="W222"/>
      <x:c r="X222"/>
      <x:c r="Y222" s="38" t="n">
        <x:v>0.6409090909090909</x:v>
      </x:c>
      <x:c r="Z222" s="38" t="n">
        <x:v>0.7248643288015433</x:v>
      </x:c>
      <x:c r="AA222" t="str">
        <x:v>NON_POSITIVE_ENTERPRISE_VALUE|NON_POSITIVE_EQUITY_VALUE|NON_POSITIVE_TERMINAL_FCF</x:v>
      </x:c>
    </x:row>
    <x:row r="223">
      <x:c r="A223" s="54" t="n">
        <x:v>44012</x:v>
      </x:c>
      <x:c r="B223" t="n">
        <x:v>44012.624999988424</x:v>
      </x:c>
      <x:c r="C223" t="str">
        <x:v>088390</x:v>
      </x:c>
      <x:c r="D223" t="str">
        <x:v>이녹스</x:v>
      </x:c>
      <x:c r="E223" t="str">
        <x:v>KOSDAQ</x:v>
      </x:c>
      <x:c r="F223" t="str">
        <x:v>MID</x:v>
      </x:c>
      <x:c r="G223" t="str">
        <x:v>DCF_SCREENING_EXCLUSION</x:v>
      </x:c>
      <x:c r="H223" t="str">
        <x:v>NON_POSITIVE_ENTERPRISE_VALUE|NON_POSITIVE_EQUITY_VALUE|NON_POSITIVE_TERMINAL_FCF</x:v>
      </x:c>
      <x:c r="I223" s="54" t="n">
        <x:v>44012</x:v>
      </x:c>
      <x:c r="J223" s="55" t="n">
        <x:v>6510</x:v>
      </x:c>
      <x:c r="K223" s="55" t="n">
        <x:v>60873994440</x:v>
      </x:c>
      <x:c r="L223" s="55" t="n">
        <x:v>9350844</x:v>
      </x:c>
      <x:c r="M223" t="str">
        <x:v>20200330003059</x:v>
      </x:c>
      <x:c r="N223" t="n">
        <x:v>43920.624999988424</x:v>
      </x:c>
      <x:c r="O223" s="54" t="n">
        <x:v>43830</x:v>
      </x:c>
      <x:c r="P223" t="str">
        <x:v>False</x:v>
      </x:c>
      <x:c r="Q223" t="str">
        <x:v>bc74951a1639cf1eb7676d69b4515777f215d2150d9cc50f3a866f2f129cfa12</x:v>
      </x:c>
      <x:c r="R223" t="str">
        <x:v>c320bc3acef0433b509301378d65f9638ccdc3066bcb82e31a33138a991f6cc8</x:v>
      </x:c>
      <x:c r="S223" t="n">
        <x:v>6</x:v>
      </x:c>
      <x:c r="T223" t="str">
        <x:v>2018-12-31|2019-12-31</x:v>
      </x:c>
      <x:c r="U223" s="57" t="n">
        <x:v>-4282.590892540294</x:v>
      </x:c>
      <x:c r="V223" s="57" t="n">
        <x:v>-1.6578480633702448</x:v>
      </x:c>
      <x:c r="W223"/>
      <x:c r="X223"/>
      <x:c r="Y223" s="38" t="n">
        <x:v>0.6409090909090909</x:v>
      </x:c>
      <x:c r="Z223" s="38" t="n">
        <x:v>0.5105267656336687</x:v>
      </x:c>
      <x:c r="AA223" t="str">
        <x:v>NON_POSITIVE_ENTERPRISE_VALUE|NON_POSITIVE_EQUITY_VALUE|NON_POSITIVE_TERMINAL_FCF</x:v>
      </x:c>
    </x:row>
    <x:row r="224">
      <x:c r="A224" s="54" t="n">
        <x:v>44012</x:v>
      </x:c>
      <x:c r="B224" t="n">
        <x:v>44012.624999988424</x:v>
      </x:c>
      <x:c r="C224" t="str">
        <x:v>170920</x:v>
      </x:c>
      <x:c r="D224" t="str">
        <x:v>엘티씨</x:v>
      </x:c>
      <x:c r="E224" t="str">
        <x:v>KOSDAQ</x:v>
      </x:c>
      <x:c r="F224" t="str">
        <x:v>MID</x:v>
      </x:c>
      <x:c r="G224" t="str">
        <x:v>DCF_SCREENING_EXCLUSION</x:v>
      </x:c>
      <x:c r="H224" t="str">
        <x:v>NON_POSITIVE_EQUITY_VALUE</x:v>
      </x:c>
      <x:c r="I224" s="54" t="n">
        <x:v>44012</x:v>
      </x:c>
      <x:c r="J224" s="55" t="n">
        <x:v>9330</x:v>
      </x:c>
      <x:c r="K224" s="55" t="n">
        <x:v>70161068190</x:v>
      </x:c>
      <x:c r="L224" s="55" t="n">
        <x:v>7519943</x:v>
      </x:c>
      <x:c r="M224" t="str">
        <x:v>20200330003521</x:v>
      </x:c>
      <x:c r="N224" t="n">
        <x:v>43920.624999988424</x:v>
      </x:c>
      <x:c r="O224" s="54" t="n">
        <x:v>43830</x:v>
      </x:c>
      <x:c r="P224" t="str">
        <x:v>False</x:v>
      </x:c>
      <x:c r="Q224" t="str">
        <x:v>094b43a9646c14cf4b4a5028aadf065471abca6a1e429841fa075ddc6ffb9ae6</x:v>
      </x:c>
      <x:c r="R224" t="str">
        <x:v>91da179e879255be3a36e278d740050e160054052e5419ce38085511ef1ad2ae</x:v>
      </x:c>
      <x:c r="S224" t="n">
        <x:v>6</x:v>
      </x:c>
      <x:c r="T224" t="str">
        <x:v>2018-12-31|2019-12-31</x:v>
      </x:c>
      <x:c r="U224" s="57" t="n">
        <x:v>-1777.6876373590053</x:v>
      </x:c>
      <x:c r="V224" s="57" t="n">
        <x:v>-1.1905345806386929</x:v>
      </x:c>
      <x:c r="W224"/>
      <x:c r="X224"/>
      <x:c r="Y224" s="38" t="n">
        <x:v>0.6409090909090909</x:v>
      </x:c>
      <x:c r="Z224" s="38" t="n">
        <x:v>0.5969398834129253</x:v>
      </x:c>
      <x:c r="AA224" t="str">
        <x:v>NON_POSITIVE_EQUITY_VALUE</x:v>
      </x:c>
    </x:row>
    <x:row r="225">
      <x:c r="A225" s="54" t="n">
        <x:v>44012</x:v>
      </x:c>
      <x:c r="B225" t="n">
        <x:v>44012.624999988424</x:v>
      </x:c>
      <x:c r="C225" t="str">
        <x:v>021080</x:v>
      </x:c>
      <x:c r="D225" t="str">
        <x:v>에이티넘인베스트</x:v>
      </x:c>
      <x:c r="E225" t="str">
        <x:v>KOSDAQ</x:v>
      </x:c>
      <x:c r="F225" t="str">
        <x:v>MID</x:v>
      </x:c>
      <x:c r="G225" t="str">
        <x:v>ELIGIBLE</x:v>
      </x:c>
      <x:c r="H225"/>
      <x:c r="I225" s="54" t="n">
        <x:v>44012</x:v>
      </x:c>
      <x:c r="J225" s="55" t="n">
        <x:v>1555</x:v>
      </x:c>
      <x:c r="K225" s="55" t="n">
        <x:v>74640000000</x:v>
      </x:c>
      <x:c r="L225" s="55" t="n">
        <x:v>48000000</x:v>
      </x:c>
      <x:c r="M225" t="str">
        <x:v>20200330003524</x:v>
      </x:c>
      <x:c r="N225" t="n">
        <x:v>43920.624999988424</x:v>
      </x:c>
      <x:c r="O225" s="54" t="n">
        <x:v>43830</x:v>
      </x:c>
      <x:c r="P225" t="str">
        <x:v>False</x:v>
      </x:c>
      <x:c r="Q225" t="str">
        <x:v>4a1503d8d4033756eda0e402269fd4db602c588edd5b9d49d25c05133d6133b9</x:v>
      </x:c>
      <x:c r="R225" t="str">
        <x:v>183e8dac3ff116c45a343bdb7d1009c227b9783593b404c7fa730133890b20ca</x:v>
      </x:c>
      <x:c r="S225" t="n">
        <x:v>4</x:v>
      </x:c>
      <x:c r="T225" t="str">
        <x:v>2018-12-31|2019-12-31</x:v>
      </x:c>
      <x:c r="U225" s="57" t="n">
        <x:v>2127.1860994390026</x:v>
      </x:c>
      <x:c r="V225" s="57" t="n">
        <x:v>0.3679653372598088</x:v>
      </x:c>
      <x:c r="W225" t="n">
        <x:v>16</x:v>
      </x:c>
      <x:c r="X225" t="n">
        <x:v>2</x:v>
      </x:c>
      <x:c r="Y225" s="38" t="n">
        <x:v>0.6409090909090909</x:v>
      </x:c>
      <x:c r="Z225" s="38" t="n">
        <x:v>0.6847587029208964</x:v>
      </x:c>
      <x:c r="AA225"/>
    </x:row>
    <x:row r="226">
      <x:c r="A226" s="54" t="n">
        <x:v>44012</x:v>
      </x:c>
      <x:c r="B226" t="n">
        <x:v>44012.624999988424</x:v>
      </x:c>
      <x:c r="C226" t="str">
        <x:v>302550</x:v>
      </x:c>
      <x:c r="D226" t="str">
        <x:v>리메드</x:v>
      </x:c>
      <x:c r="E226" t="str">
        <x:v>KOSDAQ</x:v>
      </x:c>
      <x:c r="F226" t="str">
        <x:v>MID</x:v>
      </x:c>
      <x:c r="G226" t="str">
        <x:v>ELIGIBLE</x:v>
      </x:c>
      <x:c r="H226"/>
      <x:c r="I226" s="54" t="n">
        <x:v>44012</x:v>
      </x:c>
      <x:c r="J226" s="55" t="n">
        <x:v>30350</x:v>
      </x:c>
      <x:c r="K226" s="55" t="n">
        <x:v>181057356100</x:v>
      </x:c>
      <x:c r="L226" s="55" t="n">
        <x:v>5965646</x:v>
      </x:c>
      <x:c r="M226" t="str">
        <x:v>20200330001899</x:v>
      </x:c>
      <x:c r="N226" t="n">
        <x:v>43920.624999988424</x:v>
      </x:c>
      <x:c r="O226" s="54" t="n">
        <x:v>43830</x:v>
      </x:c>
      <x:c r="P226" t="str">
        <x:v>False</x:v>
      </x:c>
      <x:c r="Q226" t="str">
        <x:v>2b0ad29a1cfb9a47d8efbd13c5809b4b269b2288d58cb9ad87afaeed110c9e0f</x:v>
      </x:c>
      <x:c r="R226" t="str">
        <x:v>eee307bc967bc425dc1ce9041607c54274cce8e19f9bd043dd7982e8ebedb5b9</x:v>
      </x:c>
      <x:c r="S226" t="n">
        <x:v>6</x:v>
      </x:c>
      <x:c r="T226" t="str">
        <x:v>2019-12-31</x:v>
      </x:c>
      <x:c r="U226" s="57" t="n">
        <x:v>8443.338294826943</x:v>
      </x:c>
      <x:c r="V226" s="57" t="n">
        <x:v>-0.7218010446515011</x:v>
      </x:c>
      <x:c r="W226" t="n">
        <x:v>52</x:v>
      </x:c>
      <x:c r="X226" t="n">
        <x:v>5</x:v>
      </x:c>
      <x:c r="Y226" s="38" t="n">
        <x:v>0.6409090909090909</x:v>
      </x:c>
      <x:c r="Z226" s="38" t="n">
        <x:v>0.6701769222689359</x:v>
      </x:c>
      <x:c r="AA226"/>
    </x:row>
    <x:row r="227">
      <x:c r="A227" s="54" t="n">
        <x:v>44012</x:v>
      </x:c>
      <x:c r="B227" t="n">
        <x:v>44012.624999988424</x:v>
      </x:c>
      <x:c r="C227" t="str">
        <x:v>011760</x:v>
      </x:c>
      <x:c r="D227" t="str">
        <x:v>현대코퍼레이션</x:v>
      </x:c>
      <x:c r="E227" t="str">
        <x:v>KOSPI</x:v>
      </x:c>
      <x:c r="F227" t="str">
        <x:v>MID</x:v>
      </x:c>
      <x:c r="G227" t="str">
        <x:v>ELIGIBLE</x:v>
      </x:c>
      <x:c r="H227"/>
      <x:c r="I227" s="54" t="n">
        <x:v>44012</x:v>
      </x:c>
      <x:c r="J227" s="55" t="n">
        <x:v>13150</x:v>
      </x:c>
      <x:c r="K227" s="55" t="n">
        <x:v>173960902900</x:v>
      </x:c>
      <x:c r="L227" s="55" t="n">
        <x:v>13228966</x:v>
      </x:c>
      <x:c r="M227" t="str">
        <x:v>20200330004653</x:v>
      </x:c>
      <x:c r="N227" t="n">
        <x:v>43920.624999988424</x:v>
      </x:c>
      <x:c r="O227" s="54" t="n">
        <x:v>43830</x:v>
      </x:c>
      <x:c r="P227" t="str">
        <x:v>False</x:v>
      </x:c>
      <x:c r="Q227" t="str">
        <x:v>4754479f417b4793bded3ca7cbf60241a92ecdd53b38aac7f22e80c41b078630</x:v>
      </x:c>
      <x:c r="R227" t="str">
        <x:v>345e1c1bfe86df966199fededb4e3499dd1c54aad8ed206a86eda695c6f72506</x:v>
      </x:c>
      <x:c r="S227" t="n">
        <x:v>6</x:v>
      </x:c>
      <x:c r="T227" t="str">
        <x:v>2018-12-31|2019-12-31</x:v>
      </x:c>
      <x:c r="U227" s="57" t="n">
        <x:v>6395.226270204237</x:v>
      </x:c>
      <x:c r="V227" s="57" t="n">
        <x:v>-0.5136710060681189</x:v>
      </x:c>
      <x:c r="W227" t="n">
        <x:v>40</x:v>
      </x:c>
      <x:c r="X227" t="n">
        <x:v>4</x:v>
      </x:c>
      <x:c r="Y227" s="38" t="n">
        <x:v>0.6409090909090909</x:v>
      </x:c>
      <x:c r="Z227" s="38" t="n">
        <x:v>0.6599730728439424</x:v>
      </x:c>
      <x:c r="AA227"/>
    </x:row>
    <x:row r="228">
      <x:c r="A228" s="54" t="n">
        <x:v>44012</x:v>
      </x:c>
      <x:c r="B228" t="n">
        <x:v>44012.624999988424</x:v>
      </x:c>
      <x:c r="C228" t="str">
        <x:v>010690</x:v>
      </x:c>
      <x:c r="D228" t="str">
        <x:v>화신</x:v>
      </x:c>
      <x:c r="E228" t="str">
        <x:v>KOSPI</x:v>
      </x:c>
      <x:c r="F228" t="str">
        <x:v>MID</x:v>
      </x:c>
      <x:c r="G228" t="str">
        <x:v>DCF_SCREENING_EXCLUSION</x:v>
      </x:c>
      <x:c r="H228" t="str">
        <x:v>NON_POSITIVE_ENTERPRISE_VALUE|NON_POSITIVE_EQUITY_VALUE|NON_POSITIVE_TERMINAL_FCF</x:v>
      </x:c>
      <x:c r="I228" s="54" t="n">
        <x:v>44012</x:v>
      </x:c>
      <x:c r="J228" s="55" t="n">
        <x:v>1940</x:v>
      </x:c>
      <x:c r="K228" s="55" t="n">
        <x:v>67745595400</x:v>
      </x:c>
      <x:c r="L228" s="55" t="n">
        <x:v>34920410</x:v>
      </x:c>
      <x:c r="M228" t="str">
        <x:v>20200330003805</x:v>
      </x:c>
      <x:c r="N228" t="n">
        <x:v>43920.624999988424</x:v>
      </x:c>
      <x:c r="O228" s="54" t="n">
        <x:v>43830</x:v>
      </x:c>
      <x:c r="P228" t="str">
        <x:v>False</x:v>
      </x:c>
      <x:c r="Q228" t="str">
        <x:v>e5349b639aea9edae9ddaf2116118d2c44d3dc42d9e779caf4a3bd7bf411a356</x:v>
      </x:c>
      <x:c r="R228" t="str">
        <x:v>303b8e71869a33739dc6a9e96be06f9e3d9e00525955e6642963471d5acbc7fb</x:v>
      </x:c>
      <x:c r="S228" t="n">
        <x:v>6</x:v>
      </x:c>
      <x:c r="T228" t="str">
        <x:v>2018-12-31|2019-12-31</x:v>
      </x:c>
      <x:c r="U228" s="57" t="n">
        <x:v>-16790.20368228414</x:v>
      </x:c>
      <x:c r="V228" s="57" t="n">
        <x:v>-9.654744166125846</x:v>
      </x:c>
      <x:c r="W228"/>
      <x:c r="X228"/>
      <x:c r="Y228" s="38" t="n">
        <x:v>0.6409090909090909</x:v>
      </x:c>
      <x:c r="Z228" s="38" t="n">
        <x:v>0.6757018488650337</x:v>
      </x:c>
      <x:c r="AA228" t="str">
        <x:v>NON_POSITIVE_ENTERPRISE_VALUE|NON_POSITIVE_EQUITY_VALUE|NON_POSITIVE_TERMINAL_FCF</x:v>
      </x:c>
    </x:row>
    <x:row r="229">
      <x:c r="A229" s="54" t="n">
        <x:v>44012</x:v>
      </x:c>
      <x:c r="B229" t="n">
        <x:v>44012.624999988424</x:v>
      </x:c>
      <x:c r="C229" t="str">
        <x:v>029460</x:v>
      </x:c>
      <x:c r="D229" t="str">
        <x:v>케이씨</x:v>
      </x:c>
      <x:c r="E229" t="str">
        <x:v>KOSPI</x:v>
      </x:c>
      <x:c r="F229" t="str">
        <x:v>MID</x:v>
      </x:c>
      <x:c r="G229" t="str">
        <x:v>ELIGIBLE</x:v>
      </x:c>
      <x:c r="H229"/>
      <x:c r="I229" s="54" t="n">
        <x:v>44012</x:v>
      </x:c>
      <x:c r="J229" s="55" t="n">
        <x:v>18800</x:v>
      </x:c>
      <x:c r="K229" s="55" t="n">
        <x:v>254816027200</x:v>
      </x:c>
      <x:c r="L229" s="55" t="n">
        <x:v>13554044</x:v>
      </x:c>
      <x:c r="M229" t="str">
        <x:v>20200330003680</x:v>
      </x:c>
      <x:c r="N229" t="n">
        <x:v>43920.624999988424</x:v>
      </x:c>
      <x:c r="O229" s="54" t="n">
        <x:v>43830</x:v>
      </x:c>
      <x:c r="P229" t="str">
        <x:v>False</x:v>
      </x:c>
      <x:c r="Q229" t="str">
        <x:v>8397eb6fa51d712105008c8373cccd6b5f75f10d1d867ad3390941246d3a2e7e</x:v>
      </x:c>
      <x:c r="R229" t="str">
        <x:v>70e08960c5f4eea7dcaf5d24bb9ae9ce7d34a1dfd0548a782e8d954e46659e6c</x:v>
      </x:c>
      <x:c r="S229" t="n">
        <x:v>7</x:v>
      </x:c>
      <x:c r="T229" t="str">
        <x:v>2018-12-31|2019-12-31</x:v>
      </x:c>
      <x:c r="U229" s="57" t="n">
        <x:v>43847.58292424807</x:v>
      </x:c>
      <x:c r="V229" s="57" t="n">
        <x:v>1.3323182406514928</x:v>
      </x:c>
      <x:c r="W229" t="n">
        <x:v>6</x:v>
      </x:c>
      <x:c r="X229" t="n">
        <x:v>1</x:v>
      </x:c>
      <x:c r="Y229" s="38" t="n">
        <x:v>0.6409090909090909</x:v>
      </x:c>
      <x:c r="Z229" s="38" t="n">
        <x:v>0.6714636094857921</x:v>
      </x:c>
      <x:c r="AA229"/>
    </x:row>
    <x:row r="230">
      <x:c r="A230" s="54" t="n">
        <x:v>44012</x:v>
      </x:c>
      <x:c r="B230" t="n">
        <x:v>44012.624999988424</x:v>
      </x:c>
      <x:c r="C230" t="str">
        <x:v>122900</x:v>
      </x:c>
      <x:c r="D230" t="str">
        <x:v>아이마켓코리아</x:v>
      </x:c>
      <x:c r="E230" t="str">
        <x:v>KOSPI</x:v>
      </x:c>
      <x:c r="F230" t="str">
        <x:v>MID</x:v>
      </x:c>
      <x:c r="G230" t="str">
        <x:v>ELIGIBLE</x:v>
      </x:c>
      <x:c r="H230"/>
      <x:c r="I230" s="54" t="n">
        <x:v>44012</x:v>
      </x:c>
      <x:c r="J230" s="55" t="n">
        <x:v>8710</x:v>
      </x:c>
      <x:c r="K230" s="55" t="n">
        <x:v>313066491400</x:v>
      </x:c>
      <x:c r="L230" s="55" t="n">
        <x:v>35943340</x:v>
      </x:c>
      <x:c r="M230" t="str">
        <x:v>20200402002288</x:v>
      </x:c>
      <x:c r="N230" t="n">
        <x:v>43923.624999988424</x:v>
      </x:c>
      <x:c r="O230" s="54" t="n">
        <x:v>43830</x:v>
      </x:c>
      <x:c r="P230" t="str">
        <x:v>True</x:v>
      </x:c>
      <x:c r="Q230" t="str">
        <x:v>564f1e474d45626fcdd8b0a59937e9f30e966910c20c1477132b2eb32f5b3374</x:v>
      </x:c>
      <x:c r="R230" t="str">
        <x:v>af22ec3185291a526bf90871769e82c85f3656e2a9ce2bba4cff342ca52006e5</x:v>
      </x:c>
      <x:c r="S230" t="n">
        <x:v>7</x:v>
      </x:c>
      <x:c r="T230" t="str">
        <x:v>2018-12-31|2019-12-31</x:v>
      </x:c>
      <x:c r="U230" s="57" t="n">
        <x:v>8578.1469138047</x:v>
      </x:c>
      <x:c r="V230" s="57" t="n">
        <x:v>-0.01513812700290468</x:v>
      </x:c>
      <x:c r="W230" t="n">
        <x:v>21</x:v>
      </x:c>
      <x:c r="X230" t="n">
        <x:v>2</x:v>
      </x:c>
      <x:c r="Y230" s="38" t="n">
        <x:v>0.6409090909090909</x:v>
      </x:c>
      <x:c r="Z230" s="38" t="n">
        <x:v>0.6304476342571812</x:v>
      </x:c>
      <x:c r="AA230"/>
    </x:row>
    <x:row r="231">
      <x:c r="A231" s="54" t="n">
        <x:v>44012</x:v>
      </x:c>
      <x:c r="B231" t="n">
        <x:v>44012.624999988424</x:v>
      </x:c>
      <x:c r="C231" t="str">
        <x:v>001820</x:v>
      </x:c>
      <x:c r="D231" t="str">
        <x:v>삼화콘덴서</x:v>
      </x:c>
      <x:c r="E231" t="str">
        <x:v>KOSPI</x:v>
      </x:c>
      <x:c r="F231" t="str">
        <x:v>MID</x:v>
      </x:c>
      <x:c r="G231" t="str">
        <x:v>ELIGIBLE</x:v>
      </x:c>
      <x:c r="H231"/>
      <x:c r="I231" s="54" t="n">
        <x:v>44012</x:v>
      </x:c>
      <x:c r="J231" s="55" t="n">
        <x:v>53300</x:v>
      </x:c>
      <x:c r="K231" s="55" t="n">
        <x:v>554053500000</x:v>
      </x:c>
      <x:c r="L231" s="55" t="n">
        <x:v>10395000</x:v>
      </x:c>
      <x:c r="M231" t="str">
        <x:v>20200330002899</x:v>
      </x:c>
      <x:c r="N231" t="n">
        <x:v>43920.624999988424</x:v>
      </x:c>
      <x:c r="O231" s="54" t="n">
        <x:v>43830</x:v>
      </x:c>
      <x:c r="P231" t="str">
        <x:v>False</x:v>
      </x:c>
      <x:c r="Q231" t="str">
        <x:v>99c078a33c5fc908ff1beb8dbc163cdd2dce6fa00366ec10c2666a9abba05955</x:v>
      </x:c>
      <x:c r="R231" t="str">
        <x:v>aed10e91a3a899ae6a09ccde78576755cca230a3385eb9ff6652a844ea4e38e8</x:v>
      </x:c>
      <x:c r="S231" t="n">
        <x:v>6</x:v>
      </x:c>
      <x:c r="T231" t="str">
        <x:v>2018-12-31|2019-12-31</x:v>
      </x:c>
      <x:c r="U231" s="57" t="n">
        <x:v>28891.873319226353</x:v>
      </x:c>
      <x:c r="V231" s="57" t="n">
        <x:v>-0.4579385868813067</x:v>
      </x:c>
      <x:c r="W231" t="n">
        <x:v>36</x:v>
      </x:c>
      <x:c r="X231" t="n">
        <x:v>3</x:v>
      </x:c>
      <x:c r="Y231" s="38" t="n">
        <x:v>0.6409090909090909</x:v>
      </x:c>
      <x:c r="Z231" s="38" t="n">
        <x:v>0.7180339568037247</x:v>
      </x:c>
      <x:c r="AA231"/>
    </x:row>
    <x:row r="232">
      <x:c r="A232" s="54" t="n">
        <x:v>44012</x:v>
      </x:c>
      <x:c r="B232" t="n">
        <x:v>44012.624999988424</x:v>
      </x:c>
      <x:c r="C232" t="str">
        <x:v>001790</x:v>
      </x:c>
      <x:c r="D232" t="str">
        <x:v>대한제당</x:v>
      </x:c>
      <x:c r="E232" t="str">
        <x:v>KOSPI</x:v>
      </x:c>
      <x:c r="F232" t="str">
        <x:v>MID</x:v>
      </x:c>
      <x:c r="G232" t="str">
        <x:v>ELIGIBLE</x:v>
      </x:c>
      <x:c r="H232"/>
      <x:c r="I232" s="54" t="n">
        <x:v>44012</x:v>
      </x:c>
      <x:c r="J232" s="55" t="n">
        <x:v>19700</x:v>
      </x:c>
      <x:c r="K232" s="55" t="n">
        <x:v>176702262600</x:v>
      </x:c>
      <x:c r="L232" s="55" t="n">
        <x:v>8969658</x:v>
      </x:c>
      <x:c r="M232" t="str">
        <x:v>20200330002117</x:v>
      </x:c>
      <x:c r="N232" t="n">
        <x:v>43920.624999988424</x:v>
      </x:c>
      <x:c r="O232" s="54" t="n">
        <x:v>43830</x:v>
      </x:c>
      <x:c r="P232" t="str">
        <x:v>False</x:v>
      </x:c>
      <x:c r="Q232" t="str">
        <x:v>c083b7cf10d3aebfee764ce1ac5e537e432b37701e33cf0f62d249678606903c</x:v>
      </x:c>
      <x:c r="R232" t="str">
        <x:v>265131ceb1d219122acae4cf0dbceb5a5b03543d503b229a50b3cce4dad26d26</x:v>
      </x:c>
      <x:c r="S232" t="n">
        <x:v>6</x:v>
      </x:c>
      <x:c r="T232" t="str">
        <x:v>2018-12-31|2019-12-31</x:v>
      </x:c>
      <x:c r="U232" s="57" t="n">
        <x:v>6256.13382557168</x:v>
      </x:c>
      <x:c r="V232" s="57" t="n">
        <x:v>-0.6824297550471228</x:v>
      </x:c>
      <x:c r="W232" t="n">
        <x:v>48</x:v>
      </x:c>
      <x:c r="X232" t="n">
        <x:v>4</x:v>
      </x:c>
      <x:c r="Y232" s="38" t="n">
        <x:v>0.6409090909090909</x:v>
      </x:c>
      <x:c r="Z232" s="38" t="n">
        <x:v>0.6305036695454717</x:v>
      </x:c>
      <x:c r="AA232"/>
    </x:row>
    <x:row r="233">
      <x:c r="A233" s="54" t="n">
        <x:v>44012</x:v>
      </x:c>
      <x:c r="B233" t="n">
        <x:v>44012.624999988424</x:v>
      </x:c>
      <x:c r="C233" t="str">
        <x:v>001340</x:v>
      </x:c>
      <x:c r="D233" t="str">
        <x:v>PKC</x:v>
      </x:c>
      <x:c r="E233" t="str">
        <x:v>KOSPI</x:v>
      </x:c>
      <x:c r="F233" t="str">
        <x:v>MID</x:v>
      </x:c>
      <x:c r="G233" t="str">
        <x:v>ELIGIBLE</x:v>
      </x:c>
      <x:c r="H233"/>
      <x:c r="I233" s="54" t="n">
        <x:v>44012</x:v>
      </x:c>
      <x:c r="J233" s="55" t="n">
        <x:v>2600</x:v>
      </x:c>
      <x:c r="K233" s="55" t="n">
        <x:v>116787858200</x:v>
      </x:c>
      <x:c r="L233" s="55" t="n">
        <x:v>44918407</x:v>
      </x:c>
      <x:c r="M233" t="str">
        <x:v>20200330003056</x:v>
      </x:c>
      <x:c r="N233" t="n">
        <x:v>43920.624999988424</x:v>
      </x:c>
      <x:c r="O233" s="54" t="n">
        <x:v>43830</x:v>
      </x:c>
      <x:c r="P233" t="str">
        <x:v>False</x:v>
      </x:c>
      <x:c r="Q233" t="str">
        <x:v>acc8e968cd81637994e834a70458c05a41a169062c904ea19abc1942c1d53f3c</x:v>
      </x:c>
      <x:c r="R233" t="str">
        <x:v>388ae882bda0091d495ab408e0cebd39e9760ce033da1b7161336eabd3d15b38</x:v>
      </x:c>
      <x:c r="S233" t="n">
        <x:v>6</x:v>
      </x:c>
      <x:c r="T233" t="str">
        <x:v>2016-12-31|2017-12-31|2018-12-31|2019-12-31</x:v>
      </x:c>
      <x:c r="U233" s="57" t="n">
        <x:v>1314.5568614023782</x:v>
      </x:c>
      <x:c r="V233" s="57" t="n">
        <x:v>-0.4944012071529315</x:v>
      </x:c>
      <x:c r="W233" t="n">
        <x:v>39</x:v>
      </x:c>
      <x:c r="X233" t="n">
        <x:v>4</x:v>
      </x:c>
      <x:c r="Y233" s="38" t="n">
        <x:v>0.6409090909090909</x:v>
      </x:c>
      <x:c r="Z233" s="38" t="n">
        <x:v>0.6203188155150424</x:v>
      </x:c>
      <x:c r="AA233"/>
    </x:row>
    <x:row r="234">
      <x:c r="A234" s="54" t="n">
        <x:v>44012</x:v>
      </x:c>
      <x:c r="B234" t="n">
        <x:v>44012.624999988424</x:v>
      </x:c>
      <x:c r="C234" t="str">
        <x:v>096760</x:v>
      </x:c>
      <x:c r="D234" t="str">
        <x:v>JW홀딩스</x:v>
      </x:c>
      <x:c r="E234" t="str">
        <x:v>KOSPI</x:v>
      </x:c>
      <x:c r="F234" t="str">
        <x:v>MID</x:v>
      </x:c>
      <x:c r="G234" t="str">
        <x:v>EXCLUDED_ARCHETYPE</x:v>
      </x:c>
      <x:c r="H234" t="str">
        <x:v>FCFF_NOT_COMPARABLE_FOR_FINANCE_OR_HOLDING_HINT</x:v>
      </x:c>
      <x:c r="I234" s="54"/>
      <x:c r="J234" s="55"/>
      <x:c r="K234" s="55"/>
      <x:c r="L234" s="55"/>
      <x:c r="M234"/>
      <x:c r="N234"/>
      <x:c r="O234" s="54"/>
      <x:c r="P234"/>
      <x:c r="Q234"/>
      <x:c r="R234"/>
      <x:c r="S234"/>
      <x:c r="T234"/>
      <x:c r="U234" s="57"/>
      <x:c r="V234" s="57"/>
      <x:c r="W234"/>
      <x:c r="X234"/>
      <x:c r="Y234" s="38"/>
      <x:c r="Z234" s="38"/>
      <x:c r="AA234"/>
    </x:row>
    <x:row r="235">
      <x:c r="A235" s="54" t="n">
        <x:v>44012</x:v>
      </x:c>
      <x:c r="B235" t="n">
        <x:v>44012.624999988424</x:v>
      </x:c>
      <x:c r="C235" t="str">
        <x:v>005010</x:v>
      </x:c>
      <x:c r="D235" t="str">
        <x:v>휴스틸</x:v>
      </x:c>
      <x:c r="E235" t="str">
        <x:v>KOSPI</x:v>
      </x:c>
      <x:c r="F235" t="str">
        <x:v>MID</x:v>
      </x:c>
      <x:c r="G235" t="str">
        <x:v>DCF_SCREENING_EXCLUSION</x:v>
      </x:c>
      <x:c r="H235" t="str">
        <x:v>NON_POSITIVE_ENTERPRISE_VALUE|NON_POSITIVE_EQUITY_VALUE|NON_POSITIVE_TERMINAL_FCF</x:v>
      </x:c>
      <x:c r="I235" s="54" t="n">
        <x:v>44012</x:v>
      </x:c>
      <x:c r="J235" s="55" t="n">
        <x:v>6440</x:v>
      </x:c>
      <x:c r="K235" s="55" t="n">
        <x:v>49083541920</x:v>
      </x:c>
      <x:c r="L235" s="55" t="n">
        <x:v>7621668</x:v>
      </x:c>
      <x:c r="M235" t="str">
        <x:v>20200330004131</x:v>
      </x:c>
      <x:c r="N235" t="n">
        <x:v>43920.624999988424</x:v>
      </x:c>
      <x:c r="O235" s="54" t="n">
        <x:v>43830</x:v>
      </x:c>
      <x:c r="P235" t="str">
        <x:v>False</x:v>
      </x:c>
      <x:c r="Q235" t="str">
        <x:v>2474b54ef3f4da0a6f47f43740c2e4a1b887d622fd15ff66754d4541b65cbac1</x:v>
      </x:c>
      <x:c r="R235" t="str">
        <x:v>7b6761afac314597c99c5e25dc68ce5ce5ce5a1a8b5bc6214347bacfb3030bc8</x:v>
      </x:c>
      <x:c r="S235" t="n">
        <x:v>7</x:v>
      </x:c>
      <x:c r="T235" t="str">
        <x:v>2018-12-31|2019-12-31</x:v>
      </x:c>
      <x:c r="U235" s="57" t="n">
        <x:v>-11237.475653582416</x:v>
      </x:c>
      <x:c r="V235" s="57" t="n">
        <x:v>-2.7449496356494434</x:v>
      </x:c>
      <x:c r="W235"/>
      <x:c r="X235"/>
      <x:c r="Y235" s="38" t="n">
        <x:v>0.6409090909090909</x:v>
      </x:c>
      <x:c r="Z235" s="38" t="n">
        <x:v>0.5305323535895214</x:v>
      </x:c>
      <x:c r="AA235" t="str">
        <x:v>NON_POSITIVE_ENTERPRISE_VALUE|NON_POSITIVE_EQUITY_VALUE|NON_POSITIVE_TERMINAL_FCF</x:v>
      </x:c>
    </x:row>
    <x:row r="236">
      <x:c r="A236" s="54" t="n">
        <x:v>44012</x:v>
      </x:c>
      <x:c r="B236" t="n">
        <x:v>44012.624999988424</x:v>
      </x:c>
      <x:c r="C236" t="str">
        <x:v>001630</x:v>
      </x:c>
      <x:c r="D236" t="str">
        <x:v>종근당홀딩스</x:v>
      </x:c>
      <x:c r="E236" t="str">
        <x:v>KOSPI</x:v>
      </x:c>
      <x:c r="F236" t="str">
        <x:v>MID</x:v>
      </x:c>
      <x:c r="G236" t="str">
        <x:v>EXCLUDED_ARCHETYPE</x:v>
      </x:c>
      <x:c r="H236" t="str">
        <x:v>FCFF_NOT_COMPARABLE_FOR_FINANCE_OR_HOLDING_HINT</x:v>
      </x:c>
      <x:c r="I236" s="54"/>
      <x:c r="J236" s="55"/>
      <x:c r="K236" s="55"/>
      <x:c r="L236" s="55"/>
      <x:c r="M236"/>
      <x:c r="N236"/>
      <x:c r="O236" s="54"/>
      <x:c r="P236"/>
      <x:c r="Q236"/>
      <x:c r="R236"/>
      <x:c r="S236"/>
      <x:c r="T236"/>
      <x:c r="U236" s="57"/>
      <x:c r="V236" s="57"/>
      <x:c r="W236"/>
      <x:c r="X236"/>
      <x:c r="Y236" s="38"/>
      <x:c r="Z236" s="38"/>
      <x:c r="AA236"/>
    </x:row>
    <x:row r="237">
      <x:c r="A237" s="54" t="n">
        <x:v>44012</x:v>
      </x:c>
      <x:c r="B237" t="n">
        <x:v>44012.624999988424</x:v>
      </x:c>
      <x:c r="C237" t="str">
        <x:v>005680</x:v>
      </x:c>
      <x:c r="D237" t="str">
        <x:v>삼영전자</x:v>
      </x:c>
      <x:c r="E237" t="str">
        <x:v>KOSPI</x:v>
      </x:c>
      <x:c r="F237" t="str">
        <x:v>MID</x:v>
      </x:c>
      <x:c r="G237" t="str">
        <x:v>ELIGIBLE</x:v>
      </x:c>
      <x:c r="H237"/>
      <x:c r="I237" s="54" t="n">
        <x:v>44012</x:v>
      </x:c>
      <x:c r="J237" s="55" t="n">
        <x:v>7140</x:v>
      </x:c>
      <x:c r="K237" s="55" t="n">
        <x:v>142800000000</x:v>
      </x:c>
      <x:c r="L237" s="55" t="n">
        <x:v>20000000</x:v>
      </x:c>
      <x:c r="M237" t="str">
        <x:v>20200330000493</x:v>
      </x:c>
      <x:c r="N237" t="n">
        <x:v>43920.624999988424</x:v>
      </x:c>
      <x:c r="O237" s="54" t="n">
        <x:v>43830</x:v>
      </x:c>
      <x:c r="P237" t="str">
        <x:v>False</x:v>
      </x:c>
      <x:c r="Q237" t="str">
        <x:v>ee27736ea1a689291a82d2b77e773f57a1bfe6bdfe09a4cf48a9071e817a5758</x:v>
      </x:c>
      <x:c r="R237" t="str">
        <x:v>e737d0a6caf4c5f5f7c07c0a31f9883fad28993b98106c1fbf6beba15ed21580</x:v>
      </x:c>
      <x:c r="S237" t="n">
        <x:v>6</x:v>
      </x:c>
      <x:c r="T237" t="str">
        <x:v>2018-12-31|2019-12-31</x:v>
      </x:c>
      <x:c r="U237" s="57" t="n">
        <x:v>2760.929315699904</x:v>
      </x:c>
      <x:c r="V237" s="57" t="n">
        <x:v>-0.6133152218907698</x:v>
      </x:c>
      <x:c r="W237" t="n">
        <x:v>42</x:v>
      </x:c>
      <x:c r="X237" t="n">
        <x:v>4</x:v>
      </x:c>
      <x:c r="Y237" s="38" t="n">
        <x:v>0.6409090909090909</x:v>
      </x:c>
      <x:c r="Z237" s="38" t="n">
        <x:v>0.4222058451118061</x:v>
      </x:c>
      <x:c r="AA237"/>
    </x:row>
    <x:row r="238">
      <x:c r="A238" s="54" t="n">
        <x:v>44012</x:v>
      </x:c>
      <x:c r="B238" t="n">
        <x:v>44012.624999988424</x:v>
      </x:c>
      <x:c r="C238" t="str">
        <x:v>028100</x:v>
      </x:c>
      <x:c r="D238" t="str">
        <x:v>동아지질</x:v>
      </x:c>
      <x:c r="E238" t="str">
        <x:v>KOSPI</x:v>
      </x:c>
      <x:c r="F238" t="str">
        <x:v>MID</x:v>
      </x:c>
      <x:c r="G238" t="str">
        <x:v>ELIGIBLE</x:v>
      </x:c>
      <x:c r="H238"/>
      <x:c r="I238" s="54" t="n">
        <x:v>44012</x:v>
      </x:c>
      <x:c r="J238" s="55" t="n">
        <x:v>14050</x:v>
      </x:c>
      <x:c r="K238" s="55" t="n">
        <x:v>161575000000</x:v>
      </x:c>
      <x:c r="L238" s="55" t="n">
        <x:v>11500000</x:v>
      </x:c>
      <x:c r="M238" t="str">
        <x:v>20200605000203</x:v>
      </x:c>
      <x:c r="N238" t="n">
        <x:v>43987.624999988424</x:v>
      </x:c>
      <x:c r="O238" s="54" t="n">
        <x:v>43830</x:v>
      </x:c>
      <x:c r="P238" t="str">
        <x:v>True</x:v>
      </x:c>
      <x:c r="Q238" t="str">
        <x:v>8d69796995c0341749da12439146cb63fa25deac0045601c8e12a9778203e74d</x:v>
      </x:c>
      <x:c r="R238" t="str">
        <x:v>4cbf451f44278bdd6b815a9664affb63bc894c1eaa95c1ad93b3c82d1a7e5bd4</x:v>
      </x:c>
      <x:c r="S238" t="n">
        <x:v>7</x:v>
      </x:c>
      <x:c r="T238" t="str">
        <x:v>2018-12-31|2019-12-31</x:v>
      </x:c>
      <x:c r="U238" s="57" t="n">
        <x:v>9314.379669635025</x:v>
      </x:c>
      <x:c r="V238" s="57" t="n">
        <x:v>-0.337054827783984</x:v>
      </x:c>
      <x:c r="W238" t="n">
        <x:v>31</x:v>
      </x:c>
      <x:c r="X238" t="n">
        <x:v>3</x:v>
      </x:c>
      <x:c r="Y238" s="38" t="n">
        <x:v>0.6409090909090909</x:v>
      </x:c>
      <x:c r="Z238" s="38" t="n">
        <x:v>0.7154675060987346</x:v>
      </x:c>
      <x:c r="AA238"/>
    </x:row>
    <x:row r="239">
      <x:c r="A239" s="54" t="n">
        <x:v>44012</x:v>
      </x:c>
      <x:c r="B239" t="n">
        <x:v>44012.624999988424</x:v>
      </x:c>
      <x:c r="C239" t="str">
        <x:v>001750</x:v>
      </x:c>
      <x:c r="D239" t="str">
        <x:v>한양증권</x:v>
      </x:c>
      <x:c r="E239" t="str">
        <x:v>KOSPI</x:v>
      </x:c>
      <x:c r="F239" t="str">
        <x:v>MID</x:v>
      </x:c>
      <x:c r="G239" t="str">
        <x:v>EXCLUDED_ARCHETYPE</x:v>
      </x:c>
      <x:c r="H239" t="str">
        <x:v>FCFF_NOT_COMPARABLE_FOR_FINANCE_OR_HOLDING_HINT</x:v>
      </x:c>
      <x:c r="I239" s="54"/>
      <x:c r="J239" s="55"/>
      <x:c r="K239" s="55"/>
      <x:c r="L239" s="55"/>
      <x:c r="M239"/>
      <x:c r="N239"/>
      <x:c r="O239" s="54"/>
      <x:c r="P239"/>
      <x:c r="Q239"/>
      <x:c r="R239"/>
      <x:c r="S239"/>
      <x:c r="T239"/>
      <x:c r="U239" s="57"/>
      <x:c r="V239" s="57"/>
      <x:c r="W239"/>
      <x:c r="X239"/>
      <x:c r="Y239" s="38"/>
      <x:c r="Z239" s="38"/>
      <x:c r="AA239"/>
    </x:row>
    <x:row r="240">
      <x:c r="A240" s="54" t="n">
        <x:v>44012</x:v>
      </x:c>
      <x:c r="B240" t="n">
        <x:v>44012.624999988424</x:v>
      </x:c>
      <x:c r="C240" t="str">
        <x:v>102460</x:v>
      </x:c>
      <x:c r="D240" t="str">
        <x:v>이연제약</x:v>
      </x:c>
      <x:c r="E240" t="str">
        <x:v>KOSPI</x:v>
      </x:c>
      <x:c r="F240" t="str">
        <x:v>MID</x:v>
      </x:c>
      <x:c r="G240" t="str">
        <x:v>ELIGIBLE</x:v>
      </x:c>
      <x:c r="H240"/>
      <x:c r="I240" s="54" t="n">
        <x:v>44012</x:v>
      </x:c>
      <x:c r="J240" s="55" t="n">
        <x:v>16500</x:v>
      </x:c>
      <x:c r="K240" s="55" t="n">
        <x:v>276705000000</x:v>
      </x:c>
      <x:c r="L240" s="55" t="n">
        <x:v>16770000</x:v>
      </x:c>
      <x:c r="M240" t="str">
        <x:v>20200330004583</x:v>
      </x:c>
      <x:c r="N240" t="n">
        <x:v>43920.624999988424</x:v>
      </x:c>
      <x:c r="O240" s="54" t="n">
        <x:v>43830</x:v>
      </x:c>
      <x:c r="P240" t="str">
        <x:v>False</x:v>
      </x:c>
      <x:c r="Q240" t="str">
        <x:v>841f82d6f87d6c1c37525d79fbae0d5eb5445369de6402bd7d62c7048b57c859</x:v>
      </x:c>
      <x:c r="R240" t="str">
        <x:v>edc7318d9f15732135f029aab155ce5b6226bb7178139b555f2df6b6cbab770f</x:v>
      </x:c>
      <x:c r="S240" t="n">
        <x:v>4</x:v>
      </x:c>
      <x:c r="T240" t="str">
        <x:v>2018-12-31|2019-12-31</x:v>
      </x:c>
      <x:c r="U240" s="57" t="n">
        <x:v>2437.0272432602983</x:v>
      </x:c>
      <x:c r="V240" s="57" t="n">
        <x:v>-0.8523013791963455</x:v>
      </x:c>
      <x:c r="W240" t="n">
        <x:v>57</x:v>
      </x:c>
      <x:c r="X240" t="n">
        <x:v>5</x:v>
      </x:c>
      <x:c r="Y240" s="38" t="n">
        <x:v>0.6409090909090909</x:v>
      </x:c>
      <x:c r="Z240" s="38" t="n">
        <x:v>0.6277316350657505</x:v>
      </x:c>
      <x:c r="AA240"/>
    </x:row>
    <x:row r="241">
      <x:c r="A241" s="54" t="n">
        <x:v>44012</x:v>
      </x:c>
      <x:c r="B241" t="n">
        <x:v>44012.624999988424</x:v>
      </x:c>
      <x:c r="C241" t="str">
        <x:v>053690</x:v>
      </x:c>
      <x:c r="D241" t="str">
        <x:v>한미글로벌</x:v>
      </x:c>
      <x:c r="E241" t="str">
        <x:v>KOSPI</x:v>
      </x:c>
      <x:c r="F241" t="str">
        <x:v>MID</x:v>
      </x:c>
      <x:c r="G241" t="str">
        <x:v>ELIGIBLE</x:v>
      </x:c>
      <x:c r="H241"/>
      <x:c r="I241" s="54" t="n">
        <x:v>44012</x:v>
      </x:c>
      <x:c r="J241" s="55" t="n">
        <x:v>6830</x:v>
      </x:c>
      <x:c r="K241" s="55" t="n">
        <x:v>74840066500</x:v>
      </x:c>
      <x:c r="L241" s="55" t="n">
        <x:v>10957550</x:v>
      </x:c>
      <x:c r="M241" t="str">
        <x:v>20200330003518</x:v>
      </x:c>
      <x:c r="N241" t="n">
        <x:v>43920.624999988424</x:v>
      </x:c>
      <x:c r="O241" s="54" t="n">
        <x:v>43830</x:v>
      </x:c>
      <x:c r="P241" t="str">
        <x:v>False</x:v>
      </x:c>
      <x:c r="Q241" t="str">
        <x:v>67a27cabb893bdb895dd50a8955d88a1e32ad56aa9de6b468fbffa2df17289e8</x:v>
      </x:c>
      <x:c r="R241" t="str">
        <x:v>b658827c2523f90506cdc711f156b1902c5bc5b8ed017467e4d4d0aacdef398e</x:v>
      </x:c>
      <x:c r="S241" t="n">
        <x:v>6</x:v>
      </x:c>
      <x:c r="T241" t="str">
        <x:v>2018-12-31|2019-12-31</x:v>
      </x:c>
      <x:c r="U241" s="57" t="n">
        <x:v>20146.717122432205</x:v>
      </x:c>
      <x:c r="V241" s="57" t="n">
        <x:v>1.949738963752885</x:v>
      </x:c>
      <x:c r="W241" t="n">
        <x:v>4</x:v>
      </x:c>
      <x:c r="X241" t="n">
        <x:v>1</x:v>
      </x:c>
      <x:c r="Y241" s="38" t="n">
        <x:v>0.6409090909090909</x:v>
      </x:c>
      <x:c r="Z241" s="38" t="n">
        <x:v>0.6948654288748654</x:v>
      </x:c>
      <x:c r="AA241"/>
    </x:row>
    <x:row r="242">
      <x:c r="A242" s="54" t="n">
        <x:v>44012</x:v>
      </x:c>
      <x:c r="B242" t="n">
        <x:v>44012.624999988424</x:v>
      </x:c>
      <x:c r="C242" t="str">
        <x:v>213500</x:v>
      </x:c>
      <x:c r="D242" t="str">
        <x:v>한솔제지</x:v>
      </x:c>
      <x:c r="E242" t="str">
        <x:v>KOSPI</x:v>
      </x:c>
      <x:c r="F242" t="str">
        <x:v>MID</x:v>
      </x:c>
      <x:c r="G242" t="str">
        <x:v>ELIGIBLE</x:v>
      </x:c>
      <x:c r="H242"/>
      <x:c r="I242" s="54" t="n">
        <x:v>44012</x:v>
      </x:c>
      <x:c r="J242" s="55" t="n">
        <x:v>13950</x:v>
      </x:c>
      <x:c r="K242" s="55" t="n">
        <x:v>332018035200</x:v>
      </x:c>
      <x:c r="L242" s="55" t="n">
        <x:v>23800576</x:v>
      </x:c>
      <x:c r="M242" t="str">
        <x:v>20200325000999</x:v>
      </x:c>
      <x:c r="N242" t="n">
        <x:v>43915.624999988424</x:v>
      </x:c>
      <x:c r="O242" s="54" t="n">
        <x:v>43830</x:v>
      </x:c>
      <x:c r="P242" t="str">
        <x:v>False</x:v>
      </x:c>
      <x:c r="Q242" t="str">
        <x:v>692399356fba85e309d5c708f5d65e510a92fb9eec652991b3a9f272805fd0aa</x:v>
      </x:c>
      <x:c r="R242" t="str">
        <x:v>c6578357446409148135ea79abee07b4b979d63ade76372865acdaf66f164674</x:v>
      </x:c>
      <x:c r="S242" t="n">
        <x:v>6</x:v>
      </x:c>
      <x:c r="T242" t="str">
        <x:v>2018-12-31|2019-12-31</x:v>
      </x:c>
      <x:c r="U242" s="57" t="n">
        <x:v>18621.598812478103</x:v>
      </x:c>
      <x:c r="V242" s="57" t="n">
        <x:v>0.33488163530308984</x:v>
      </x:c>
      <x:c r="W242" t="n">
        <x:v>18</x:v>
      </x:c>
      <x:c r="X242" t="n">
        <x:v>2</x:v>
      </x:c>
      <x:c r="Y242" s="38" t="n">
        <x:v>0.6409090909090909</x:v>
      </x:c>
      <x:c r="Z242" s="38" t="n">
        <x:v>0.6986420377854025</x:v>
      </x:c>
      <x:c r="AA242"/>
    </x:row>
    <x:row r="243">
      <x:c r="A243" s="54" t="n">
        <x:v>44012</x:v>
      </x:c>
      <x:c r="B243" t="n">
        <x:v>44012.624999988424</x:v>
      </x:c>
      <x:c r="C243" t="str">
        <x:v>005430</x:v>
      </x:c>
      <x:c r="D243" t="str">
        <x:v>한국공항</x:v>
      </x:c>
      <x:c r="E243" t="str">
        <x:v>KOSPI</x:v>
      </x:c>
      <x:c r="F243" t="str">
        <x:v>MID</x:v>
      </x:c>
      <x:c r="G243" t="str">
        <x:v>ELIGIBLE</x:v>
      </x:c>
      <x:c r="H243"/>
      <x:c r="I243" s="54" t="n">
        <x:v>44012</x:v>
      </x:c>
      <x:c r="J243" s="55" t="n">
        <x:v>33950</x:v>
      </x:c>
      <x:c r="K243" s="55" t="n">
        <x:v>107497752250</x:v>
      </x:c>
      <x:c r="L243" s="55" t="n">
        <x:v>3166355</x:v>
      </x:c>
      <x:c r="M243" t="str">
        <x:v>20200330004590</x:v>
      </x:c>
      <x:c r="N243" t="n">
        <x:v>43920.624999988424</x:v>
      </x:c>
      <x:c r="O243" s="54" t="n">
        <x:v>43830</x:v>
      </x:c>
      <x:c r="P243" t="str">
        <x:v>False</x:v>
      </x:c>
      <x:c r="Q243" t="str">
        <x:v>852f9aae649b8a3410b87bc3bbd094ee69f67ab2afe4a3bd838332c8fd824770</x:v>
      </x:c>
      <x:c r="R243" t="str">
        <x:v>33ab0f509a472c4b83c9f004fbc07436d48661f26a5c00deb28f0f27de90c6e4</x:v>
      </x:c>
      <x:c r="S243" t="n">
        <x:v>7</x:v>
      </x:c>
      <x:c r="T243" t="str">
        <x:v>2018-12-31|2019-12-31</x:v>
      </x:c>
      <x:c r="U243" s="57" t="n">
        <x:v>72841.83177870208</x:v>
      </x:c>
      <x:c r="V243" s="57" t="n">
        <x:v>1.145562055337322</x:v>
      </x:c>
      <x:c r="W243" t="n">
        <x:v>7</x:v>
      </x:c>
      <x:c r="X243" t="n">
        <x:v>1</x:v>
      </x:c>
      <x:c r="Y243" s="38" t="n">
        <x:v>0.6409090909090909</x:v>
      </x:c>
      <x:c r="Z243" s="38" t="n">
        <x:v>0.6743256080208252</x:v>
      </x:c>
      <x:c r="AA243"/>
    </x:row>
    <x:row r="244">
      <x:c r="A244" s="54" t="n">
        <x:v>44012</x:v>
      </x:c>
      <x:c r="B244" t="n">
        <x:v>44012.624999988424</x:v>
      </x:c>
      <x:c r="C244" t="str">
        <x:v>003460</x:v>
      </x:c>
      <x:c r="D244" t="str">
        <x:v>유화증권</x:v>
      </x:c>
      <x:c r="E244" t="str">
        <x:v>KOSPI</x:v>
      </x:c>
      <x:c r="F244" t="str">
        <x:v>MID</x:v>
      </x:c>
      <x:c r="G244" t="str">
        <x:v>EXCLUDED_ARCHETYPE</x:v>
      </x:c>
      <x:c r="H244" t="str">
        <x:v>FCFF_NOT_COMPARABLE_FOR_FINANCE_OR_HOLDING_HINT</x:v>
      </x:c>
      <x:c r="I244" s="54"/>
      <x:c r="J244" s="55"/>
      <x:c r="K244" s="55"/>
      <x:c r="L244" s="55"/>
      <x:c r="M244"/>
      <x:c r="N244"/>
      <x:c r="O244" s="54"/>
      <x:c r="P244"/>
      <x:c r="Q244"/>
      <x:c r="R244"/>
      <x:c r="S244"/>
      <x:c r="T244"/>
      <x:c r="U244" s="57"/>
      <x:c r="V244" s="57"/>
      <x:c r="W244"/>
      <x:c r="X244"/>
      <x:c r="Y244" s="38"/>
      <x:c r="Z244" s="38"/>
      <x:c r="AA244"/>
    </x:row>
    <x:row r="245">
      <x:c r="A245" s="54" t="n">
        <x:v>44012</x:v>
      </x:c>
      <x:c r="B245" t="n">
        <x:v>44012.624999988424</x:v>
      </x:c>
      <x:c r="C245" t="str">
        <x:v>004140</x:v>
      </x:c>
      <x:c r="D245" t="str">
        <x:v>동방</x:v>
      </x:c>
      <x:c r="E245" t="str">
        <x:v>KOSPI</x:v>
      </x:c>
      <x:c r="F245" t="str">
        <x:v>MID</x:v>
      </x:c>
      <x:c r="G245" t="str">
        <x:v>ELIGIBLE</x:v>
      </x:c>
      <x:c r="H245"/>
      <x:c r="I245" s="54" t="n">
        <x:v>44012</x:v>
      </x:c>
      <x:c r="J245" s="55" t="n">
        <x:v>1875</x:v>
      </x:c>
      <x:c r="K245" s="55" t="n">
        <x:v>62747977500</x:v>
      </x:c>
      <x:c r="L245" s="55" t="n">
        <x:v>33465588</x:v>
      </x:c>
      <x:c r="M245" t="str">
        <x:v>20200330003987</x:v>
      </x:c>
      <x:c r="N245" t="n">
        <x:v>43920.624999988424</x:v>
      </x:c>
      <x:c r="O245" s="54" t="n">
        <x:v>43830</x:v>
      </x:c>
      <x:c r="P245" t="str">
        <x:v>False</x:v>
      </x:c>
      <x:c r="Q245" t="str">
        <x:v>46ac67228e64535f85a4a0689b1dfcc0063d4286b357ca203fdfe76133d6497f</x:v>
      </x:c>
      <x:c r="R245" t="str">
        <x:v>add3a32413fc964b70dd1e0a674a71f8748dbdcfa1e06626305b2a21811f2589</x:v>
      </x:c>
      <x:c r="S245" t="n">
        <x:v>7</x:v>
      </x:c>
      <x:c r="T245" t="str">
        <x:v>2018-12-31|2019-12-31</x:v>
      </x:c>
      <x:c r="U245" s="57" t="n">
        <x:v>709.8053548643087</x:v>
      </x:c>
      <x:c r="V245" s="57" t="n">
        <x:v>-0.6214371440723687</x:v>
      </x:c>
      <x:c r="W245" t="n">
        <x:v>43</x:v>
      </x:c>
      <x:c r="X245" t="n">
        <x:v>4</x:v>
      </x:c>
      <x:c r="Y245" s="38" t="n">
        <x:v>0.6409090909090909</x:v>
      </x:c>
      <x:c r="Z245" s="38" t="n">
        <x:v>0.6716049770453923</x:v>
      </x:c>
      <x:c r="AA245"/>
    </x:row>
    <x:row r="246">
      <x:c r="A246" s="54" t="n">
        <x:v>44012</x:v>
      </x:c>
      <x:c r="B246" t="n">
        <x:v>44012.624999988424</x:v>
      </x:c>
      <x:c r="C246" t="str">
        <x:v>317400</x:v>
      </x:c>
      <x:c r="D246" t="str">
        <x:v>자이에스앤디</x:v>
      </x:c>
      <x:c r="E246" t="str">
        <x:v>KOSPI</x:v>
      </x:c>
      <x:c r="F246" t="str">
        <x:v>MID</x:v>
      </x:c>
      <x:c r="G246" t="str">
        <x:v>ELIGIBLE</x:v>
      </x:c>
      <x:c r="H246"/>
      <x:c r="I246" s="54" t="n">
        <x:v>44012</x:v>
      </x:c>
      <x:c r="J246" s="55" t="n">
        <x:v>6060</x:v>
      </x:c>
      <x:c r="K246" s="55" t="n">
        <x:v>162302071200</x:v>
      </x:c>
      <x:c r="L246" s="55" t="n">
        <x:v>26782520</x:v>
      </x:c>
      <x:c r="M246" t="str">
        <x:v>20200327000947</x:v>
      </x:c>
      <x:c r="N246" t="n">
        <x:v>43917.624999988424</x:v>
      </x:c>
      <x:c r="O246" s="54" t="n">
        <x:v>43830</x:v>
      </x:c>
      <x:c r="P246" t="str">
        <x:v>False</x:v>
      </x:c>
      <x:c r="Q246" t="str">
        <x:v>b12fa64867f28fbab0ad7b544f2a2f1cdd2c212114a842392a1957abd20354b4</x:v>
      </x:c>
      <x:c r="R246" t="str">
        <x:v>63371c38ca41f80f803d94e219c0ca1977eda2bec0e3cbb3cc52050bb355cd0c</x:v>
      </x:c>
      <x:c r="S246" t="n">
        <x:v>6</x:v>
      </x:c>
      <x:c r="T246" t="str">
        <x:v>2019-12-31</x:v>
      </x:c>
      <x:c r="U246" s="57" t="n">
        <x:v>6935.871302294737</x:v>
      </x:c>
      <x:c r="V246" s="57" t="n">
        <x:v>0.14453321820045156</x:v>
      </x:c>
      <x:c r="W246" t="n">
        <x:v>19</x:v>
      </x:c>
      <x:c r="X246" t="n">
        <x:v>2</x:v>
      </x:c>
      <x:c r="Y246" s="38" t="n">
        <x:v>0.6409090909090909</x:v>
      </x:c>
      <x:c r="Z246" s="38" t="n">
        <x:v>0.6701769222689359</x:v>
      </x:c>
      <x:c r="AA246"/>
    </x:row>
    <x:row r="247">
      <x:c r="A247" s="54" t="n">
        <x:v>44012</x:v>
      </x:c>
      <x:c r="B247" t="n">
        <x:v>44012.624999988424</x:v>
      </x:c>
      <x:c r="C247" t="str">
        <x:v>077500</x:v>
      </x:c>
      <x:c r="D247" t="str">
        <x:v>유니퀘스트</x:v>
      </x:c>
      <x:c r="E247" t="str">
        <x:v>KOSPI</x:v>
      </x:c>
      <x:c r="F247" t="str">
        <x:v>MID</x:v>
      </x:c>
      <x:c r="G247" t="str">
        <x:v>ELIGIBLE</x:v>
      </x:c>
      <x:c r="H247"/>
      <x:c r="I247" s="54" t="n">
        <x:v>44012</x:v>
      </x:c>
      <x:c r="J247" s="55" t="n">
        <x:v>10150</x:v>
      </x:c>
      <x:c r="K247" s="55" t="n">
        <x:v>276495896250</x:v>
      </x:c>
      <x:c r="L247" s="55" t="n">
        <x:v>27240975</x:v>
      </x:c>
      <x:c r="M247" t="str">
        <x:v>20200330004272</x:v>
      </x:c>
      <x:c r="N247" t="n">
        <x:v>43920.624999988424</x:v>
      </x:c>
      <x:c r="O247" s="54" t="n">
        <x:v>43830</x:v>
      </x:c>
      <x:c r="P247" t="str">
        <x:v>False</x:v>
      </x:c>
      <x:c r="Q247" t="str">
        <x:v>f02a31728b7870ed14585a0b158899ceb8452a1805c3c0e9d88cbf7adc750e9d</x:v>
      </x:c>
      <x:c r="R247" t="str">
        <x:v>df82c5ac1ec8e95ba893f06ac1655f0f67f7826216938a5fcc3eec39300a5313</x:v>
      </x:c>
      <x:c r="S247" t="n">
        <x:v>6</x:v>
      </x:c>
      <x:c r="T247" t="str">
        <x:v>2011-12-31|2012-12-31|2013-12-31|2014-12-31|2015-12-31|2016-12-31|2017-12-31|2018-12-31|2019-12-31</x:v>
      </x:c>
      <x:c r="U247" s="57" t="n">
        <x:v>1947.3462901878972</x:v>
      </x:c>
      <x:c r="V247" s="57" t="n">
        <x:v>-0.8081432226415864</x:v>
      </x:c>
      <x:c r="W247" t="n">
        <x:v>56</x:v>
      </x:c>
      <x:c r="X247" t="n">
        <x:v>5</x:v>
      </x:c>
      <x:c r="Y247" s="38" t="n">
        <x:v>0.6409090909090909</x:v>
      </x:c>
      <x:c r="Z247" s="38" t="n">
        <x:v>0.731247750122653</x:v>
      </x:c>
      <x:c r="AA247"/>
    </x:row>
    <x:row r="248">
      <x:c r="A248" s="54" t="n">
        <x:v>44012</x:v>
      </x:c>
      <x:c r="B248" t="n">
        <x:v>44012.624999988424</x:v>
      </x:c>
      <x:c r="C248" t="str">
        <x:v>012800</x:v>
      </x:c>
      <x:c r="D248" t="str">
        <x:v>대창</x:v>
      </x:c>
      <x:c r="E248" t="str">
        <x:v>KOSPI</x:v>
      </x:c>
      <x:c r="F248" t="str">
        <x:v>MID</x:v>
      </x:c>
      <x:c r="G248" t="str">
        <x:v>DCF_SCREENING_EXCLUSION</x:v>
      </x:c>
      <x:c r="H248" t="str">
        <x:v>NON_POSITIVE_EQUITY_VALUE</x:v>
      </x:c>
      <x:c r="I248" s="54" t="n">
        <x:v>44012</x:v>
      </x:c>
      <x:c r="J248" s="55" t="n">
        <x:v>1195</x:v>
      </x:c>
      <x:c r="K248" s="55" t="n">
        <x:v>108912896305</x:v>
      </x:c>
      <x:c r="L248" s="55" t="n">
        <x:v>91140499</x:v>
      </x:c>
      <x:c r="M248" t="str">
        <x:v>20200330001326</x:v>
      </x:c>
      <x:c r="N248" t="n">
        <x:v>43920.624999988424</x:v>
      </x:c>
      <x:c r="O248" s="54" t="n">
        <x:v>43830</x:v>
      </x:c>
      <x:c r="P248" t="str">
        <x:v>False</x:v>
      </x:c>
      <x:c r="Q248" t="str">
        <x:v>498080458de2d5ef2bd3152e3d969187ee38dfbc94b9f8422a74209e83040d81</x:v>
      </x:c>
      <x:c r="R248" t="str">
        <x:v>28f1d7b11b4f317d2b458ea28e2060475272aae7f10bba248ee9a1eb83e4d84f</x:v>
      </x:c>
      <x:c r="S248" t="n">
        <x:v>6</x:v>
      </x:c>
      <x:c r="T248" t="str">
        <x:v>2018-12-31|2019-12-31</x:v>
      </x:c>
      <x:c r="U248" s="57" t="n">
        <x:v>-1690.4590138700046</x:v>
      </x:c>
      <x:c r="V248" s="57" t="n">
        <x:v>-2.4146100534477024</x:v>
      </x:c>
      <x:c r="W248"/>
      <x:c r="X248"/>
      <x:c r="Y248" s="38" t="n">
        <x:v>0.6409090909090909</x:v>
      </x:c>
      <x:c r="Z248" s="38" t="n">
        <x:v>0.65771556088542</x:v>
      </x:c>
      <x:c r="AA248" t="str">
        <x:v>NON_POSITIVE_EQUITY_VALUE</x:v>
      </x:c>
    </x:row>
    <x:row r="249">
      <x:c r="A249" s="54" t="n">
        <x:v>44012</x:v>
      </x:c>
      <x:c r="B249" t="n">
        <x:v>44012.624999988424</x:v>
      </x:c>
      <x:c r="C249" t="str">
        <x:v>063160</x:v>
      </x:c>
      <x:c r="D249" t="str">
        <x:v>종근당바이오</x:v>
      </x:c>
      <x:c r="E249" t="str">
        <x:v>KOSPI</x:v>
      </x:c>
      <x:c r="F249" t="str">
        <x:v>MID</x:v>
      </x:c>
      <x:c r="G249" t="str">
        <x:v>ELIGIBLE</x:v>
      </x:c>
      <x:c r="H249"/>
      <x:c r="I249" s="54" t="n">
        <x:v>44012</x:v>
      </x:c>
      <x:c r="J249" s="55" t="n">
        <x:v>39400</x:v>
      </x:c>
      <x:c r="K249" s="55" t="n">
        <x:v>216146902800</x:v>
      </x:c>
      <x:c r="L249" s="55" t="n">
        <x:v>5485962</x:v>
      </x:c>
      <x:c r="M249" t="str">
        <x:v>20200330003082</x:v>
      </x:c>
      <x:c r="N249" t="n">
        <x:v>43920.624999988424</x:v>
      </x:c>
      <x:c r="O249" s="54" t="n">
        <x:v>43830</x:v>
      </x:c>
      <x:c r="P249" t="str">
        <x:v>False</x:v>
      </x:c>
      <x:c r="Q249" t="str">
        <x:v>7526d35ca61fda1190528cefa3e0c17a6574a47f02a5c5be57b9687ba0644905</x:v>
      </x:c>
      <x:c r="R249" t="str">
        <x:v>e5b260bf3ea6427d4c8f71876a29e6cfbe3c4613d2a066a6807bca5ce224a529</x:v>
      </x:c>
      <x:c r="S249" t="n">
        <x:v>6</x:v>
      </x:c>
      <x:c r="T249" t="str">
        <x:v>2018-12-31|2019-12-31</x:v>
      </x:c>
      <x:c r="U249" s="57" t="n">
        <x:v>3675.5112327711754</x:v>
      </x:c>
      <x:c r="V249" s="57" t="n">
        <x:v>-0.906712912873828</x:v>
      </x:c>
      <x:c r="W249" t="n">
        <x:v>59</x:v>
      </x:c>
      <x:c r="X249" t="n">
        <x:v>5</x:v>
      </x:c>
      <x:c r="Y249" s="38" t="n">
        <x:v>0.6409090909090909</x:v>
      </x:c>
      <x:c r="Z249" s="38" t="n">
        <x:v>0.6952202293915488</x:v>
      </x:c>
      <x:c r="AA249"/>
    </x:row>
    <x:row r="250">
      <x:c r="A250" s="54" t="n">
        <x:v>44012</x:v>
      </x:c>
      <x:c r="B250" t="n">
        <x:v>44012.624999988424</x:v>
      </x:c>
      <x:c r="C250" t="str">
        <x:v>013570</x:v>
      </x:c>
      <x:c r="D250" t="str">
        <x:v>디와이</x:v>
      </x:c>
      <x:c r="E250" t="str">
        <x:v>KOSPI</x:v>
      </x:c>
      <x:c r="F250" t="str">
        <x:v>MID</x:v>
      </x:c>
      <x:c r="G250" t="str">
        <x:v>ELIGIBLE</x:v>
      </x:c>
      <x:c r="H250"/>
      <x:c r="I250" s="54" t="n">
        <x:v>44012</x:v>
      </x:c>
      <x:c r="J250" s="55" t="n">
        <x:v>3745</x:v>
      </x:c>
      <x:c r="K250" s="55" t="n">
        <x:v>98567025585</x:v>
      </x:c>
      <x:c r="L250" s="55" t="n">
        <x:v>26319633</x:v>
      </x:c>
      <x:c r="M250" t="str">
        <x:v>20200330003559</x:v>
      </x:c>
      <x:c r="N250" t="n">
        <x:v>43920.624999988424</x:v>
      </x:c>
      <x:c r="O250" s="54" t="n">
        <x:v>43830</x:v>
      </x:c>
      <x:c r="P250" t="str">
        <x:v>False</x:v>
      </x:c>
      <x:c r="Q250" t="str">
        <x:v>c78f20d0b3aef6385ceb685359560cdab6d539bc512dfb59d6982cee937a717f</x:v>
      </x:c>
      <x:c r="R250" t="str">
        <x:v>5bff211939d071f76b6413850f18d8b6bf95a4df390178e8a48cb89c681ed2e4</x:v>
      </x:c>
      <x:c r="S250" t="n">
        <x:v>7</x:v>
      </x:c>
      <x:c r="T250" t="str">
        <x:v>2018-12-31|2019-12-31</x:v>
      </x:c>
      <x:c r="U250" s="57" t="n">
        <x:v>6839.065234736271</x:v>
      </x:c>
      <x:c r="V250" s="57" t="n">
        <x:v>0.826185643454278</x:v>
      </x:c>
      <x:c r="W250" t="n">
        <x:v>10</x:v>
      </x:c>
      <x:c r="X250" t="n">
        <x:v>1</x:v>
      </x:c>
      <x:c r="Y250" s="38" t="n">
        <x:v>0.6409090909090909</x:v>
      </x:c>
      <x:c r="Z250" s="38" t="n">
        <x:v>0.5847338959435144</x:v>
      </x:c>
      <x:c r="AA250"/>
    </x:row>
    <x:row r="251">
      <x:c r="A251" s="54" t="n">
        <x:v>44012</x:v>
      </x:c>
      <x:c r="B251" t="n">
        <x:v>44012.624999988424</x:v>
      </x:c>
      <x:c r="C251" t="str">
        <x:v>227840</x:v>
      </x:c>
      <x:c r="D251" t="str">
        <x:v>현대코퍼레이션홀딩스</x:v>
      </x:c>
      <x:c r="E251" t="str">
        <x:v>KOSPI</x:v>
      </x:c>
      <x:c r="F251" t="str">
        <x:v>MID</x:v>
      </x:c>
      <x:c r="G251" t="str">
        <x:v>EXCLUDED_ARCHETYPE</x:v>
      </x:c>
      <x:c r="H251" t="str">
        <x:v>FCFF_NOT_COMPARABLE_FOR_FINANCE_OR_HOLDING_HINT</x:v>
      </x:c>
      <x:c r="I251" s="54"/>
      <x:c r="J251" s="55"/>
      <x:c r="K251" s="55"/>
      <x:c r="L251" s="55"/>
      <x:c r="M251"/>
      <x:c r="N251"/>
      <x:c r="O251" s="54"/>
      <x:c r="P251"/>
      <x:c r="Q251"/>
      <x:c r="R251"/>
      <x:c r="S251"/>
      <x:c r="T251"/>
      <x:c r="U251" s="57"/>
      <x:c r="V251" s="57"/>
      <x:c r="W251"/>
      <x:c r="X251"/>
      <x:c r="Y251" s="38"/>
      <x:c r="Z251" s="38"/>
      <x:c r="AA251"/>
    </x:row>
    <x:row r="252">
      <x:c r="A252" s="54" t="n">
        <x:v>44012</x:v>
      </x:c>
      <x:c r="B252" t="n">
        <x:v>44012.624999988424</x:v>
      </x:c>
      <x:c r="C252" t="str">
        <x:v>247540</x:v>
      </x:c>
      <x:c r="D252" t="str">
        <x:v>에코프로비엠</x:v>
      </x:c>
      <x:c r="E252" t="str">
        <x:v>KOSDAQ</x:v>
      </x:c>
      <x:c r="F252" t="str">
        <x:v>LARGE</x:v>
      </x:c>
      <x:c r="G252" t="str">
        <x:v>DCF_SCREENING_EXCLUSION</x:v>
      </x:c>
      <x:c r="H252" t="str">
        <x:v>NON_POSITIVE_ENTERPRISE_VALUE|NON_POSITIVE_EQUITY_VALUE|NON_POSITIVE_TERMINAL_FCF</x:v>
      </x:c>
      <x:c r="I252" s="54" t="n">
        <x:v>44012</x:v>
      </x:c>
      <x:c r="J252" s="55" t="n">
        <x:v>120500</x:v>
      </x:c>
      <x:c r="K252" s="55" t="n">
        <x:v>2526182003000</x:v>
      </x:c>
      <x:c r="L252" s="55" t="n">
        <x:v>20964166</x:v>
      </x:c>
      <x:c r="M252" t="str">
        <x:v>20200330004369</x:v>
      </x:c>
      <x:c r="N252" t="n">
        <x:v>43920.624999988424</x:v>
      </x:c>
      <x:c r="O252" s="54" t="n">
        <x:v>43830</x:v>
      </x:c>
      <x:c r="P252" t="str">
        <x:v>False</x:v>
      </x:c>
      <x:c r="Q252" t="str">
        <x:v>3597bcb81acefe374299e3309d77437744c4161a0c8d4cbc6a6d72d56b2fa4ec</x:v>
      </x:c>
      <x:c r="R252" t="str">
        <x:v>a5125dedbae87640a30e6344a78e09761f8a6ef5373d8e477eb08137d1a6e442</x:v>
      </x:c>
      <x:c r="S252" t="n">
        <x:v>7</x:v>
      </x:c>
      <x:c r="T252" t="str">
        <x:v>2018-12-31|2019-12-31</x:v>
      </x:c>
      <x:c r="U252" s="57" t="n">
        <x:v>-27586.16047811216</x:v>
      </x:c>
      <x:c r="V252" s="57" t="n">
        <x:v>-1.2289307923494786</x:v>
      </x:c>
      <x:c r="W252"/>
      <x:c r="X252"/>
      <x:c r="Y252" s="38" t="n">
        <x:v>0.6409090909090909</x:v>
      </x:c>
      <x:c r="Z252" s="38" t="n">
        <x:v>0.6742941324327638</x:v>
      </x:c>
      <x:c r="AA252" t="str">
        <x:v>NON_POSITIVE_ENTERPRISE_VALUE|NON_POSITIVE_EQUITY_VALUE|NON_POSITIVE_TERMINAL_FCF</x:v>
      </x:c>
    </x:row>
    <x:row r="253">
      <x:c r="A253" s="54" t="n">
        <x:v>44012</x:v>
      </x:c>
      <x:c r="B253" t="n">
        <x:v>44012.624999988424</x:v>
      </x:c>
      <x:c r="C253" t="str">
        <x:v>086520</x:v>
      </x:c>
      <x:c r="D253" t="str">
        <x:v>에코프로</x:v>
      </x:c>
      <x:c r="E253" t="str">
        <x:v>KOSDAQ</x:v>
      </x:c>
      <x:c r="F253" t="str">
        <x:v>LARGE</x:v>
      </x:c>
      <x:c r="G253" t="str">
        <x:v>DCF_SCREENING_EXCLUSION</x:v>
      </x:c>
      <x:c r="H253" t="str">
        <x:v>UNRELIABLE_TERMINAL_VALUE_SHARE</x:v>
      </x:c>
      <x:c r="I253" s="54" t="n">
        <x:v>44012</x:v>
      </x:c>
      <x:c r="J253" s="55" t="n">
        <x:v>29450</x:v>
      </x:c>
      <x:c r="K253" s="55" t="n">
        <x:v>650556124950</x:v>
      </x:c>
      <x:c r="L253" s="55" t="n">
        <x:v>22090191</x:v>
      </x:c>
      <x:c r="M253" t="str">
        <x:v>20200330004613</x:v>
      </x:c>
      <x:c r="N253" t="n">
        <x:v>43920.624999988424</x:v>
      </x:c>
      <x:c r="O253" s="54" t="n">
        <x:v>43830</x:v>
      </x:c>
      <x:c r="P253" t="str">
        <x:v>False</x:v>
      </x:c>
      <x:c r="Q253" t="str">
        <x:v>1c2282847103a39eaa6bcecec4b85f229e4355ac1793db3112a590599b4f15a2</x:v>
      </x:c>
      <x:c r="R253" t="str">
        <x:v>1bef9106e1b24b123d824c45e61a4053c4eb1605a48e35993d9d9d8a2598b57c</x:v>
      </x:c>
      <x:c r="S253" t="n">
        <x:v>6</x:v>
      </x:c>
      <x:c r="T253" t="str">
        <x:v>2018-12-31|2019-12-31</x:v>
      </x:c>
      <x:c r="U253" s="57" t="n">
        <x:v>4709.94088047829</x:v>
      </x:c>
      <x:c r="V253" s="57" t="n">
        <x:v>-0.8400699191688187</x:v>
      </x:c>
      <x:c r="W253"/>
      <x:c r="X253"/>
      <x:c r="Y253" s="38" t="n">
        <x:v>0.6409090909090909</x:v>
      </x:c>
      <x:c r="Z253" s="38" t="n">
        <x:v>0.9913912690782153</x:v>
      </x:c>
      <x:c r="AA253" t="str">
        <x:v>UNRELIABLE_TERMINAL_VALUE_SHARE</x:v>
      </x:c>
    </x:row>
    <x:row r="254">
      <x:c r="A254" s="54" t="n">
        <x:v>44012</x:v>
      </x:c>
      <x:c r="B254" t="n">
        <x:v>44012.624999988424</x:v>
      </x:c>
      <x:c r="C254" t="str">
        <x:v>214450</x:v>
      </x:c>
      <x:c r="D254" t="str">
        <x:v>파마리서치</x:v>
      </x:c>
      <x:c r="E254" t="str">
        <x:v>KOSDAQ</x:v>
      </x:c>
      <x:c r="F254" t="str">
        <x:v>LARGE</x:v>
      </x:c>
      <x:c r="G254" t="str">
        <x:v>ELIGIBLE</x:v>
      </x:c>
      <x:c r="H254"/>
      <x:c r="I254" s="54" t="n">
        <x:v>44012</x:v>
      </x:c>
      <x:c r="J254" s="55" t="n">
        <x:v>54300</x:v>
      </x:c>
      <x:c r="K254" s="55" t="n">
        <x:v>522781014900</x:v>
      </x:c>
      <x:c r="L254" s="55" t="n">
        <x:v>9627643</x:v>
      </x:c>
      <x:c r="M254" t="str">
        <x:v>20200327000355</x:v>
      </x:c>
      <x:c r="N254" t="n">
        <x:v>43917.624999988424</x:v>
      </x:c>
      <x:c r="O254" s="54" t="n">
        <x:v>43830</x:v>
      </x:c>
      <x:c r="P254" t="str">
        <x:v>False</x:v>
      </x:c>
      <x:c r="Q254" t="str">
        <x:v>fd03303d7bd776279dc75309bfa6c4cbbc8a7bec1d7cbd61f199a105644001d4</x:v>
      </x:c>
      <x:c r="R254" t="str">
        <x:v>a386e837ac17da6bd37ed7a5c4ff15782dda931014c70cd151d017558380c76a</x:v>
      </x:c>
      <x:c r="S254" t="n">
        <x:v>6</x:v>
      </x:c>
      <x:c r="T254" t="str">
        <x:v>2018-12-31|2019-12-31</x:v>
      </x:c>
      <x:c r="U254" s="57" t="n">
        <x:v>16735.20375761735</x:v>
      </x:c>
      <x:c r="V254" s="57" t="n">
        <x:v>-0.6918010357713195</x:v>
      </x:c>
      <x:c r="W254" t="n">
        <x:v>49</x:v>
      </x:c>
      <x:c r="X254" t="n">
        <x:v>4</x:v>
      </x:c>
      <x:c r="Y254" s="38" t="n">
        <x:v>0.6409090909090909</x:v>
      </x:c>
      <x:c r="Z254" s="38" t="n">
        <x:v>0.6897281984708911</x:v>
      </x:c>
      <x:c r="AA254"/>
    </x:row>
    <x:row r="255">
      <x:c r="A255" s="54" t="n">
        <x:v>44012</x:v>
      </x:c>
      <x:c r="B255" t="n">
        <x:v>44012.624999988424</x:v>
      </x:c>
      <x:c r="C255" t="str">
        <x:v>277810</x:v>
      </x:c>
      <x:c r="D255" t="str">
        <x:v>레인보우로보틱스</x:v>
      </x:c>
      <x:c r="E255" t="str">
        <x:v>KOSDAQ</x:v>
      </x:c>
      <x:c r="F255" t="str">
        <x:v>LARGE</x:v>
      </x:c>
      <x:c r="G255" t="str">
        <x:v>NOT_LISTED_OR_NO_PRICE</x:v>
      </x:c>
      <x:c r="H255"/>
      <x:c r="I255" s="54"/>
      <x:c r="J255" s="55"/>
      <x:c r="K255" s="55"/>
      <x:c r="L255" s="55"/>
      <x:c r="M255"/>
      <x:c r="N255"/>
      <x:c r="O255" s="54"/>
      <x:c r="P255"/>
      <x:c r="Q255"/>
      <x:c r="R255"/>
      <x:c r="S255"/>
      <x:c r="T255"/>
      <x:c r="U255" s="57"/>
      <x:c r="V255" s="57"/>
      <x:c r="W255"/>
      <x:c r="X255"/>
      <x:c r="Y255" s="38"/>
      <x:c r="Z255" s="38"/>
      <x:c r="AA255"/>
    </x:row>
    <x:row r="256">
      <x:c r="A256" s="54" t="n">
        <x:v>44012</x:v>
      </x:c>
      <x:c r="B256" t="n">
        <x:v>44012.624999988424</x:v>
      </x:c>
      <x:c r="C256" t="str">
        <x:v>310210</x:v>
      </x:c>
      <x:c r="D256" t="str">
        <x:v>보로노이</x:v>
      </x:c>
      <x:c r="E256" t="str">
        <x:v>KOSDAQ</x:v>
      </x:c>
      <x:c r="F256" t="str">
        <x:v>LARGE</x:v>
      </x:c>
      <x:c r="G256" t="str">
        <x:v>NOT_LISTED_OR_NO_PRICE</x:v>
      </x:c>
      <x:c r="H256"/>
      <x:c r="I256" s="54"/>
      <x:c r="J256" s="55"/>
      <x:c r="K256" s="55"/>
      <x:c r="L256" s="55"/>
      <x:c r="M256"/>
      <x:c r="N256"/>
      <x:c r="O256" s="54"/>
      <x:c r="P256"/>
      <x:c r="Q256"/>
      <x:c r="R256"/>
      <x:c r="S256"/>
      <x:c r="T256"/>
      <x:c r="U256" s="57"/>
      <x:c r="V256" s="57"/>
      <x:c r="W256"/>
      <x:c r="X256"/>
      <x:c r="Y256" s="38"/>
      <x:c r="Z256" s="38"/>
      <x:c r="AA256"/>
    </x:row>
    <x:row r="257">
      <x:c r="A257" s="54" t="n">
        <x:v>44012</x:v>
      </x:c>
      <x:c r="B257" t="n">
        <x:v>44012.624999988424</x:v>
      </x:c>
      <x:c r="C257" t="str">
        <x:v>195940</x:v>
      </x:c>
      <x:c r="D257" t="str">
        <x:v>HK이노엔</x:v>
      </x:c>
      <x:c r="E257" t="str">
        <x:v>KOSDAQ</x:v>
      </x:c>
      <x:c r="F257" t="str">
        <x:v>LARGE</x:v>
      </x:c>
      <x:c r="G257" t="str">
        <x:v>NOT_LISTED_OR_NO_PRICE</x:v>
      </x:c>
      <x:c r="H257"/>
      <x:c r="I257" s="54"/>
      <x:c r="J257" s="55"/>
      <x:c r="K257" s="55"/>
      <x:c r="L257" s="55"/>
      <x:c r="M257"/>
      <x:c r="N257"/>
      <x:c r="O257" s="54"/>
      <x:c r="P257"/>
      <x:c r="Q257"/>
      <x:c r="R257"/>
      <x:c r="S257"/>
      <x:c r="T257"/>
      <x:c r="U257" s="57"/>
      <x:c r="V257" s="57"/>
      <x:c r="W257"/>
      <x:c r="X257"/>
      <x:c r="Y257" s="38"/>
      <x:c r="Z257" s="38"/>
      <x:c r="AA257"/>
    </x:row>
    <x:row r="258">
      <x:c r="A258" s="54" t="n">
        <x:v>44012</x:v>
      </x:c>
      <x:c r="B258" t="n">
        <x:v>44012.624999988424</x:v>
      </x:c>
      <x:c r="C258" t="str">
        <x:v>039200</x:v>
      </x:c>
      <x:c r="D258" t="str">
        <x:v>오스코텍</x:v>
      </x:c>
      <x:c r="E258" t="str">
        <x:v>KOSDAQ</x:v>
      </x:c>
      <x:c r="F258" t="str">
        <x:v>LARGE</x:v>
      </x:c>
      <x:c r="G258" t="str">
        <x:v>DCF_SCREENING_EXCLUSION</x:v>
      </x:c>
      <x:c r="H258" t="str">
        <x:v>NON_POSITIVE_ENTERPRISE_VALUE|NON_POSITIVE_TERMINAL_FCF</x:v>
      </x:c>
      <x:c r="I258" s="54" t="n">
        <x:v>44012</x:v>
      </x:c>
      <x:c r="J258" s="55" t="n">
        <x:v>24850</x:v>
      </x:c>
      <x:c r="K258" s="55" t="n">
        <x:v>725627728350</x:v>
      </x:c>
      <x:c r="L258" s="55" t="n">
        <x:v>29200311</x:v>
      </x:c>
      <x:c r="M258" t="str">
        <x:v>20200330002576</x:v>
      </x:c>
      <x:c r="N258" t="n">
        <x:v>43920.624999988424</x:v>
      </x:c>
      <x:c r="O258" s="54" t="n">
        <x:v>43830</x:v>
      </x:c>
      <x:c r="P258" t="str">
        <x:v>False</x:v>
      </x:c>
      <x:c r="Q258" t="str">
        <x:v>c42e31430f046a3ee830ef9bb901e7a336ad0968a534b3592d2521b6d1120ba4</x:v>
      </x:c>
      <x:c r="R258" t="str">
        <x:v>9a0d7e047df089371e003de8b56d997379b966290e29e4646dc2bbc48fd37603</x:v>
      </x:c>
      <x:c r="S258" t="n">
        <x:v>6</x:v>
      </x:c>
      <x:c r="T258" t="str">
        <x:v>2018-12-31|2019-12-31</x:v>
      </x:c>
      <x:c r="U258" s="57" t="n">
        <x:v>1328.548992188751</x:v>
      </x:c>
      <x:c r="V258" s="57" t="n">
        <x:v>-0.9465372638958249</x:v>
      </x:c>
      <x:c r="W258"/>
      <x:c r="X258"/>
      <x:c r="Y258" s="38" t="n">
        <x:v>0.6409090909090909</x:v>
      </x:c>
      <x:c r="Z258" s="38" t="n">
        <x:v>0.7197094049882916</x:v>
      </x:c>
      <x:c r="AA258" t="str">
        <x:v>NON_POSITIVE_ENTERPRISE_VALUE|NON_POSITIVE_TERMINAL_FCF</x:v>
      </x:c>
    </x:row>
    <x:row r="259">
      <x:c r="A259" s="54" t="n">
        <x:v>44012</x:v>
      </x:c>
      <x:c r="B259" t="n">
        <x:v>44012.624999988424</x:v>
      </x:c>
      <x:c r="C259" t="str">
        <x:v>084370</x:v>
      </x:c>
      <x:c r="D259" t="str">
        <x:v>유진테크</x:v>
      </x:c>
      <x:c r="E259" t="str">
        <x:v>KOSDAQ</x:v>
      </x:c>
      <x:c r="F259" t="str">
        <x:v>LARGE</x:v>
      </x:c>
      <x:c r="G259" t="str">
        <x:v>ELIGIBLE</x:v>
      </x:c>
      <x:c r="H259"/>
      <x:c r="I259" s="54" t="n">
        <x:v>44012</x:v>
      </x:c>
      <x:c r="J259" s="55" t="n">
        <x:v>27300</x:v>
      </x:c>
      <x:c r="K259" s="55" t="n">
        <x:v>625607946600</x:v>
      </x:c>
      <x:c r="L259" s="55" t="n">
        <x:v>22916042</x:v>
      </x:c>
      <x:c r="M259" t="str">
        <x:v>20200327001867</x:v>
      </x:c>
      <x:c r="N259" t="n">
        <x:v>43917.624999988424</x:v>
      </x:c>
      <x:c r="O259" s="54" t="n">
        <x:v>43830</x:v>
      </x:c>
      <x:c r="P259" t="str">
        <x:v>False</x:v>
      </x:c>
      <x:c r="Q259" t="str">
        <x:v>60271e62f85dcbe367c8b6cbbb59648ce1add688fcab42ff804b3aac9dc19bdd</x:v>
      </x:c>
      <x:c r="R259" t="str">
        <x:v>f9959762c8064e09c1b11b196b6a9c92f4ef0a610c26b4d2cf681f3d176d462c</x:v>
      </x:c>
      <x:c r="S259" t="n">
        <x:v>5</x:v>
      </x:c>
      <x:c r="T259" t="str">
        <x:v>2018-12-31|2019-12-31</x:v>
      </x:c>
      <x:c r="U259" s="57" t="n">
        <x:v>8060.634405309973</x:v>
      </x:c>
      <x:c r="V259" s="57" t="n">
        <x:v>-0.7047386664721622</x:v>
      </x:c>
      <x:c r="W259" t="n">
        <x:v>51</x:v>
      </x:c>
      <x:c r="X259" t="n">
        <x:v>4</x:v>
      </x:c>
      <x:c r="Y259" s="38" t="n">
        <x:v>0.6409090909090909</x:v>
      </x:c>
      <x:c r="Z259" s="38" t="n">
        <x:v>0.7079967318019821</x:v>
      </x:c>
      <x:c r="AA259"/>
    </x:row>
    <x:row r="260">
      <x:c r="A260" s="54" t="n">
        <x:v>44012</x:v>
      </x:c>
      <x:c r="B260" t="n">
        <x:v>44012.624999988424</x:v>
      </x:c>
      <x:c r="C260" t="str">
        <x:v>160190</x:v>
      </x:c>
      <x:c r="D260" t="str">
        <x:v>하이젠알앤엠</x:v>
      </x:c>
      <x:c r="E260" t="str">
        <x:v>KOSDAQ</x:v>
      </x:c>
      <x:c r="F260" t="str">
        <x:v>LARGE</x:v>
      </x:c>
      <x:c r="G260" t="str">
        <x:v>NOT_LISTED_OR_NO_PRICE</x:v>
      </x:c>
      <x:c r="H260"/>
      <x:c r="I260" s="54"/>
      <x:c r="J260" s="55"/>
      <x:c r="K260" s="55"/>
      <x:c r="L260" s="55"/>
      <x:c r="M260"/>
      <x:c r="N260"/>
      <x:c r="O260" s="54"/>
      <x:c r="P260"/>
      <x:c r="Q260"/>
      <x:c r="R260"/>
      <x:c r="S260"/>
      <x:c r="T260"/>
      <x:c r="U260" s="57"/>
      <x:c r="V260" s="57"/>
      <x:c r="W260"/>
      <x:c r="X260"/>
      <x:c r="Y260" s="38"/>
      <x:c r="Z260" s="38"/>
      <x:c r="AA260"/>
    </x:row>
    <x:row r="261">
      <x:c r="A261" s="54" t="n">
        <x:v>44012</x:v>
      </x:c>
      <x:c r="B261" t="n">
        <x:v>44012.624999988424</x:v>
      </x:c>
      <x:c r="C261" t="str">
        <x:v>281740</x:v>
      </x:c>
      <x:c r="D261" t="str">
        <x:v>레이크머티리얼즈</x:v>
      </x:c>
      <x:c r="E261" t="str">
        <x:v>KOSDAQ</x:v>
      </x:c>
      <x:c r="F261" t="str">
        <x:v>LARGE</x:v>
      </x:c>
      <x:c r="G261" t="str">
        <x:v>NO_PIT_FINANCIALS</x:v>
      </x:c>
      <x:c r="H261"/>
      <x:c r="I261" s="54" t="n">
        <x:v>44012</x:v>
      </x:c>
      <x:c r="J261" s="55" t="n">
        <x:v>2105</x:v>
      </x:c>
      <x:c r="K261" s="55" t="n">
        <x:v>138362803540</x:v>
      </x:c>
      <x:c r="L261" s="55" t="n">
        <x:v>65730548</x:v>
      </x:c>
      <x:c r="M261"/>
      <x:c r="N261"/>
      <x:c r="O261" s="54"/>
      <x:c r="P261"/>
      <x:c r="Q261"/>
      <x:c r="R261"/>
      <x:c r="S261"/>
      <x:c r="T261"/>
      <x:c r="U261" s="57"/>
      <x:c r="V261" s="57"/>
      <x:c r="W261"/>
      <x:c r="X261"/>
      <x:c r="Y261" s="38"/>
      <x:c r="Z261" s="38"/>
      <x:c r="AA261"/>
    </x:row>
    <x:row r="262">
      <x:c r="A262" s="54" t="n">
        <x:v>44012</x:v>
      </x:c>
      <x:c r="B262" t="n">
        <x:v>44012.624999988424</x:v>
      </x:c>
      <x:c r="C262" t="str">
        <x:v>078130</x:v>
      </x:c>
      <x:c r="D262" t="str">
        <x:v>국일제지</x:v>
      </x:c>
      <x:c r="E262" t="str">
        <x:v>KOSDAQ</x:v>
      </x:c>
      <x:c r="F262" t="str">
        <x:v>LARGE</x:v>
      </x:c>
      <x:c r="G262" t="str">
        <x:v>DCF_SCREENING_EXCLUSION</x:v>
      </x:c>
      <x:c r="H262" t="str">
        <x:v>NON_POSITIVE_ENTERPRISE_VALUE|NON_POSITIVE_EQUITY_VALUE|NON_POSITIVE_TERMINAL_FCF</x:v>
      </x:c>
      <x:c r="I262" s="54" t="n">
        <x:v>44012</x:v>
      </x:c>
      <x:c r="J262" s="55" t="n">
        <x:v>5770</x:v>
      </x:c>
      <x:c r="K262" s="55" t="n">
        <x:v>729030175680</x:v>
      </x:c>
      <x:c r="L262" s="55" t="n">
        <x:v>126348384</x:v>
      </x:c>
      <x:c r="M262" t="str">
        <x:v>20200422000338</x:v>
      </x:c>
      <x:c r="N262" t="n">
        <x:v>43943.624999988424</x:v>
      </x:c>
      <x:c r="O262" s="54" t="n">
        <x:v>43830</x:v>
      </x:c>
      <x:c r="P262" t="str">
        <x:v>True</x:v>
      </x:c>
      <x:c r="Q262" t="str">
        <x:v>12a10de5a3ed854887f9b2dbb4c68843ad7ddd2b14cd6503c43de01a36a063d0</x:v>
      </x:c>
      <x:c r="R262" t="str">
        <x:v>bc59d31861ec13e47c25fb20e4c3fc5709e2453b201893f6d705714dea25b898</x:v>
      </x:c>
      <x:c r="S262" t="n">
        <x:v>7</x:v>
      </x:c>
      <x:c r="T262" t="str">
        <x:v>2018-12-31|2019-12-31</x:v>
      </x:c>
      <x:c r="U262" s="57" t="n">
        <x:v>-995.4081808467447</x:v>
      </x:c>
      <x:c r="V262" s="57" t="n">
        <x:v>-1.1725144160912901</x:v>
      </x:c>
      <x:c r="W262"/>
      <x:c r="X262"/>
      <x:c r="Y262" s="38" t="n">
        <x:v>0.6409090909090909</x:v>
      </x:c>
      <x:c r="Z262" s="38" t="n">
        <x:v>0.6438806626825183</x:v>
      </x:c>
      <x:c r="AA262" t="str">
        <x:v>NON_POSITIVE_ENTERPRISE_VALUE|NON_POSITIVE_EQUITY_VALUE|NON_POSITIVE_TERMINAL_FCF</x:v>
      </x:c>
    </x:row>
    <x:row r="263">
      <x:c r="A263" s="54" t="n">
        <x:v>44012</x:v>
      </x:c>
      <x:c r="B263" t="n">
        <x:v>44012.624999988424</x:v>
      </x:c>
      <x:c r="C263" t="str">
        <x:v>131970</x:v>
      </x:c>
      <x:c r="D263" t="str">
        <x:v>두산테스나</x:v>
      </x:c>
      <x:c r="E263" t="str">
        <x:v>KOSDAQ</x:v>
      </x:c>
      <x:c r="F263" t="str">
        <x:v>LARGE</x:v>
      </x:c>
      <x:c r="G263" t="str">
        <x:v>ELIGIBLE</x:v>
      </x:c>
      <x:c r="H263"/>
      <x:c r="I263" s="54" t="n">
        <x:v>44012</x:v>
      </x:c>
      <x:c r="J263" s="55" t="n">
        <x:v>60600</x:v>
      </x:c>
      <x:c r="K263" s="55" t="n">
        <x:v>442422480600</x:v>
      </x:c>
      <x:c r="L263" s="55" t="n">
        <x:v>7300701</x:v>
      </x:c>
      <x:c r="M263" t="str">
        <x:v>20200330002541</x:v>
      </x:c>
      <x:c r="N263" t="n">
        <x:v>43920.624999988424</x:v>
      </x:c>
      <x:c r="O263" s="54" t="n">
        <x:v>43830</x:v>
      </x:c>
      <x:c r="P263" t="str">
        <x:v>False</x:v>
      </x:c>
      <x:c r="Q263" t="str">
        <x:v>174cf2e7e5d7adbbf4428b7775e8fa66b45def4c0b6fe0ed67bd838c6faf172b</x:v>
      </x:c>
      <x:c r="R263" t="str">
        <x:v>e2e30cd1e50cb21708ef90932a2bca29a931a2a86063558508c6549b50cc660a</x:v>
      </x:c>
      <x:c r="S263" t="n">
        <x:v>5</x:v>
      </x:c>
      <x:c r="T263" t="str">
        <x:v>2018-12-31|2019-12-31</x:v>
      </x:c>
      <x:c r="U263" s="57" t="n">
        <x:v>42940.59229950571</x:v>
      </x:c>
      <x:c r="V263" s="57" t="n">
        <x:v>-0.2914093679949552</x:v>
      </x:c>
      <x:c r="W263" t="n">
        <x:v>30</x:v>
      </x:c>
      <x:c r="X263" t="n">
        <x:v>3</x:v>
      </x:c>
      <x:c r="Y263" s="38" t="n">
        <x:v>0.6409090909090909</x:v>
      </x:c>
      <x:c r="Z263" s="38" t="n">
        <x:v>0.7244345316347346</x:v>
      </x:c>
      <x:c r="AA263"/>
    </x:row>
    <x:row r="264">
      <x:c r="A264" s="54" t="n">
        <x:v>44012</x:v>
      </x:c>
      <x:c r="B264" t="n">
        <x:v>44012.624999988424</x:v>
      </x:c>
      <x:c r="C264" t="str">
        <x:v>025320</x:v>
      </x:c>
      <x:c r="D264" t="str">
        <x:v>시노펙스</x:v>
      </x:c>
      <x:c r="E264" t="str">
        <x:v>KOSDAQ</x:v>
      </x:c>
      <x:c r="F264" t="str">
        <x:v>LARGE</x:v>
      </x:c>
      <x:c r="G264" t="str">
        <x:v>ELIGIBLE</x:v>
      </x:c>
      <x:c r="H264"/>
      <x:c r="I264" s="54" t="n">
        <x:v>44012</x:v>
      </x:c>
      <x:c r="J264" s="55" t="n">
        <x:v>2940</x:v>
      </x:c>
      <x:c r="K264" s="55" t="n">
        <x:v>213329716320</x:v>
      </x:c>
      <x:c r="L264" s="55" t="n">
        <x:v>72561128</x:v>
      </x:c>
      <x:c r="M264" t="str">
        <x:v>20200330003989</x:v>
      </x:c>
      <x:c r="N264" t="n">
        <x:v>43920.624999988424</x:v>
      </x:c>
      <x:c r="O264" s="54" t="n">
        <x:v>43830</x:v>
      </x:c>
      <x:c r="P264" t="str">
        <x:v>False</x:v>
      </x:c>
      <x:c r="Q264" t="str">
        <x:v>7044785e3dd70cf8b3a62f236b6730909895713eba05a28c133a62e4c268bd32</x:v>
      </x:c>
      <x:c r="R264" t="str">
        <x:v>6c312ef2a9cfccb74e99dc0f4301a82209e9a6af70ed4e4b8f7afdaca9de1926</x:v>
      </x:c>
      <x:c r="S264" t="n">
        <x:v>6</x:v>
      </x:c>
      <x:c r="T264" t="str">
        <x:v>2018-12-31|2019-12-31</x:v>
      </x:c>
      <x:c r="U264" s="57" t="n">
        <x:v>811.6332939435208</x:v>
      </x:c>
      <x:c r="V264" s="57" t="n">
        <x:v>-0.7239342537607072</x:v>
      </x:c>
      <x:c r="W264" t="n">
        <x:v>53</x:v>
      </x:c>
      <x:c r="X264" t="n">
        <x:v>5</x:v>
      </x:c>
      <x:c r="Y264" s="38" t="n">
        <x:v>0.6409090909090909</x:v>
      </x:c>
      <x:c r="Z264" s="38" t="n">
        <x:v>0.5558118889209015</x:v>
      </x:c>
      <x:c r="AA264"/>
    </x:row>
    <x:row r="265">
      <x:c r="A265" s="54" t="n">
        <x:v>44012</x:v>
      </x:c>
      <x:c r="B265" t="n">
        <x:v>44012.624999988424</x:v>
      </x:c>
      <x:c r="C265" t="str">
        <x:v>347700</x:v>
      </x:c>
      <x:c r="D265" t="str">
        <x:v>스피어</x:v>
      </x:c>
      <x:c r="E265" t="str">
        <x:v>KOSDAQ</x:v>
      </x:c>
      <x:c r="F265" t="str">
        <x:v>LARGE</x:v>
      </x:c>
      <x:c r="G265" t="str">
        <x:v>NOT_LISTED_OR_NO_PRICE</x:v>
      </x:c>
      <x:c r="H265"/>
      <x:c r="I265" s="54"/>
      <x:c r="J265" s="55"/>
      <x:c r="K265" s="55"/>
      <x:c r="L265" s="55"/>
      <x:c r="M265"/>
      <x:c r="N265"/>
      <x:c r="O265" s="54"/>
      <x:c r="P265"/>
      <x:c r="Q265"/>
      <x:c r="R265"/>
      <x:c r="S265"/>
      <x:c r="T265"/>
      <x:c r="U265" s="57"/>
      <x:c r="V265" s="57"/>
      <x:c r="W265"/>
      <x:c r="X265"/>
      <x:c r="Y265" s="38"/>
      <x:c r="Z265" s="38"/>
      <x:c r="AA265"/>
    </x:row>
    <x:row r="266">
      <x:c r="A266" s="54" t="n">
        <x:v>44012</x:v>
      </x:c>
      <x:c r="B266" t="n">
        <x:v>44012.624999988424</x:v>
      </x:c>
      <x:c r="C266" t="str">
        <x:v>119850</x:v>
      </x:c>
      <x:c r="D266" t="str">
        <x:v>지엔씨에너지</x:v>
      </x:c>
      <x:c r="E266" t="str">
        <x:v>KOSDAQ</x:v>
      </x:c>
      <x:c r="F266" t="str">
        <x:v>LARGE</x:v>
      </x:c>
      <x:c r="G266" t="str">
        <x:v>ELIGIBLE</x:v>
      </x:c>
      <x:c r="H266"/>
      <x:c r="I266" s="54" t="n">
        <x:v>44012</x:v>
      </x:c>
      <x:c r="J266" s="55" t="n">
        <x:v>4900</x:v>
      </x:c>
      <x:c r="K266" s="55" t="n">
        <x:v>79849557200</x:v>
      </x:c>
      <x:c r="L266" s="55" t="n">
        <x:v>16295828</x:v>
      </x:c>
      <x:c r="M266" t="str">
        <x:v>20200330004281</x:v>
      </x:c>
      <x:c r="N266" t="n">
        <x:v>43920.624999988424</x:v>
      </x:c>
      <x:c r="O266" s="54" t="n">
        <x:v>43830</x:v>
      </x:c>
      <x:c r="P266" t="str">
        <x:v>False</x:v>
      </x:c>
      <x:c r="Q266" t="str">
        <x:v>8417e1ec351af38e02d4ffc9a37182dbc856d60e1cc58d214eb2411457a1ef6d</x:v>
      </x:c>
      <x:c r="R266" t="str">
        <x:v>6dd037efc870cf454f6bb48c6c442ad5bf291fd2c246553032e00a1a931d49b6</x:v>
      </x:c>
      <x:c r="S266" t="n">
        <x:v>6</x:v>
      </x:c>
      <x:c r="T266" t="str">
        <x:v>2018-12-31|2019-12-31</x:v>
      </x:c>
      <x:c r="U266" s="57" t="n">
        <x:v>4736.631875343494</x:v>
      </x:c>
      <x:c r="V266" s="57" t="n">
        <x:v>-0.03334043360336857</x:v>
      </x:c>
      <x:c r="W266" t="n">
        <x:v>22</x:v>
      </x:c>
      <x:c r="X266" t="n">
        <x:v>2</x:v>
      </x:c>
      <x:c r="Y266" s="38" t="n">
        <x:v>0.6409090909090909</x:v>
      </x:c>
      <x:c r="Z266" s="38" t="n">
        <x:v>0.7118530583614918</x:v>
      </x:c>
      <x:c r="AA266"/>
    </x:row>
    <x:row r="267">
      <x:c r="A267" s="54" t="n">
        <x:v>44012</x:v>
      </x:c>
      <x:c r="B267" t="n">
        <x:v>44012.624999988424</x:v>
      </x:c>
      <x:c r="C267" t="str">
        <x:v>084110</x:v>
      </x:c>
      <x:c r="D267" t="str">
        <x:v>휴온스글로벌</x:v>
      </x:c>
      <x:c r="E267" t="str">
        <x:v>KOSDAQ</x:v>
      </x:c>
      <x:c r="F267" t="str">
        <x:v>LARGE</x:v>
      </x:c>
      <x:c r="G267" t="str">
        <x:v>ELIGIBLE</x:v>
      </x:c>
      <x:c r="H267"/>
      <x:c r="I267" s="54" t="n">
        <x:v>44012</x:v>
      </x:c>
      <x:c r="J267" s="55" t="n">
        <x:v>31450</x:v>
      </x:c>
      <x:c r="K267" s="55" t="n">
        <x:v>360546794150</x:v>
      </x:c>
      <x:c r="L267" s="55" t="n">
        <x:v>11464127</x:v>
      </x:c>
      <x:c r="M267" t="str">
        <x:v>20200327001990</x:v>
      </x:c>
      <x:c r="N267" t="n">
        <x:v>43917.624999988424</x:v>
      </x:c>
      <x:c r="O267" s="54" t="n">
        <x:v>43830</x:v>
      </x:c>
      <x:c r="P267" t="str">
        <x:v>False</x:v>
      </x:c>
      <x:c r="Q267" t="str">
        <x:v>eb455f03802e72563fd6bd72ff9aa02990d04cdf6e4810f60b8090e9f8189f9a</x:v>
      </x:c>
      <x:c r="R267" t="str">
        <x:v>abb4dd4e19dbd229608f198849951e5cfa13879c5c6e18eac3a47f8c32c0572a</x:v>
      </x:c>
      <x:c r="S267" t="n">
        <x:v>6</x:v>
      </x:c>
      <x:c r="T267" t="str">
        <x:v>2018-12-31|2019-12-31</x:v>
      </x:c>
      <x:c r="U267" s="57" t="n">
        <x:v>66207.27415149733</x:v>
      </x:c>
      <x:c r="V267" s="57" t="n">
        <x:v>1.105159750445066</x:v>
      </x:c>
      <x:c r="W267" t="n">
        <x:v>8</x:v>
      </x:c>
      <x:c r="X267" t="n">
        <x:v>1</x:v>
      </x:c>
      <x:c r="Y267" s="38" t="n">
        <x:v>0.6409090909090909</x:v>
      </x:c>
      <x:c r="Z267" s="38" t="n">
        <x:v>0.7384070510009209</x:v>
      </x:c>
      <x:c r="AA267"/>
    </x:row>
    <x:row r="268">
      <x:c r="A268" s="54" t="n">
        <x:v>44012</x:v>
      </x:c>
      <x:c r="B268" t="n">
        <x:v>44012.624999988424</x:v>
      </x:c>
      <x:c r="C268" t="str">
        <x:v>206650</x:v>
      </x:c>
      <x:c r="D268" t="str">
        <x:v>유바이오로직스</x:v>
      </x:c>
      <x:c r="E268" t="str">
        <x:v>KOSDAQ</x:v>
      </x:c>
      <x:c r="F268" t="str">
        <x:v>LARGE</x:v>
      </x:c>
      <x:c r="G268" t="str">
        <x:v>ELIGIBLE</x:v>
      </x:c>
      <x:c r="H268"/>
      <x:c r="I268" s="54" t="n">
        <x:v>44012</x:v>
      </x:c>
      <x:c r="J268" s="55" t="n">
        <x:v>8000</x:v>
      </x:c>
      <x:c r="K268" s="55" t="n">
        <x:v>222308008000</x:v>
      </x:c>
      <x:c r="L268" s="55" t="n">
        <x:v>27788501</x:v>
      </x:c>
      <x:c r="M268" t="str">
        <x:v>20200330002886</x:v>
      </x:c>
      <x:c r="N268" t="n">
        <x:v>43920.624999988424</x:v>
      </x:c>
      <x:c r="O268" s="54" t="n">
        <x:v>43830</x:v>
      </x:c>
      <x:c r="P268" t="str">
        <x:v>False</x:v>
      </x:c>
      <x:c r="Q268" t="str">
        <x:v>0d309bad4df48d241000e297f8d41a01d053fd2539cc7496c1d64fa8b17d7d30</x:v>
      </x:c>
      <x:c r="R268" t="str">
        <x:v>28944ca25ba3963fc9d6cbaad58509d5975bd5a33c6c9c5a52ae922b1fc2e0ba</x:v>
      </x:c>
      <x:c r="S268" t="n">
        <x:v>4</x:v>
      </x:c>
      <x:c r="T268" t="str">
        <x:v>2018-12-31|2019-12-31</x:v>
      </x:c>
      <x:c r="U268" s="57" t="n">
        <x:v>4107.490322903777</x:v>
      </x:c>
      <x:c r="V268" s="57" t="n">
        <x:v>-0.4865637096370279</x:v>
      </x:c>
      <x:c r="W268" t="n">
        <x:v>37</x:v>
      </x:c>
      <x:c r="X268" t="n">
        <x:v>3</x:v>
      </x:c>
      <x:c r="Y268" s="38" t="n">
        <x:v>0.6409090909090909</x:v>
      </x:c>
      <x:c r="Z268" s="38" t="n">
        <x:v>0.7114085801253023</x:v>
      </x:c>
      <x:c r="AA268"/>
    </x:row>
    <x:row r="269">
      <x:c r="A269" s="54" t="n">
        <x:v>44012</x:v>
      </x:c>
      <x:c r="B269" t="n">
        <x:v>44012.624999988424</x:v>
      </x:c>
      <x:c r="C269" t="str">
        <x:v>365340</x:v>
      </x:c>
      <x:c r="D269" t="str">
        <x:v>성일하이텍</x:v>
      </x:c>
      <x:c r="E269" t="str">
        <x:v>KOSDAQ</x:v>
      </x:c>
      <x:c r="F269" t="str">
        <x:v>LARGE</x:v>
      </x:c>
      <x:c r="G269" t="str">
        <x:v>NOT_LISTED_OR_NO_PRICE</x:v>
      </x:c>
      <x:c r="H269"/>
      <x:c r="I269" s="54"/>
      <x:c r="J269" s="55"/>
      <x:c r="K269" s="55"/>
      <x:c r="L269" s="55"/>
      <x:c r="M269"/>
      <x:c r="N269"/>
      <x:c r="O269" s="54"/>
      <x:c r="P269"/>
      <x:c r="Q269"/>
      <x:c r="R269"/>
      <x:c r="S269"/>
      <x:c r="T269"/>
      <x:c r="U269" s="57"/>
      <x:c r="V269" s="57"/>
      <x:c r="W269"/>
      <x:c r="X269"/>
      <x:c r="Y269" s="38"/>
      <x:c r="Z269" s="38"/>
      <x:c r="AA269"/>
    </x:row>
    <x:row r="270">
      <x:c r="A270" s="54" t="n">
        <x:v>44012</x:v>
      </x:c>
      <x:c r="B270" t="n">
        <x:v>44012.624999988424</x:v>
      </x:c>
      <x:c r="C270" t="str">
        <x:v>030530</x:v>
      </x:c>
      <x:c r="D270" t="str">
        <x:v>원익홀딩스</x:v>
      </x:c>
      <x:c r="E270" t="str">
        <x:v>KOSDAQ</x:v>
      </x:c>
      <x:c r="F270" t="str">
        <x:v>LARGE</x:v>
      </x:c>
      <x:c r="G270" t="str">
        <x:v>EXCLUDED_ARCHETYPE</x:v>
      </x:c>
      <x:c r="H270" t="str">
        <x:v>FCFF_NOT_COMPARABLE_FOR_FINANCE_OR_HOLDING_HINT</x:v>
      </x:c>
      <x:c r="I270" s="54"/>
      <x:c r="J270" s="55"/>
      <x:c r="K270" s="55"/>
      <x:c r="L270" s="55"/>
      <x:c r="M270"/>
      <x:c r="N270"/>
      <x:c r="O270" s="54"/>
      <x:c r="P270"/>
      <x:c r="Q270"/>
      <x:c r="R270"/>
      <x:c r="S270"/>
      <x:c r="T270"/>
      <x:c r="U270" s="57"/>
      <x:c r="V270" s="57"/>
      <x:c r="W270"/>
      <x:c r="X270"/>
      <x:c r="Y270" s="38"/>
      <x:c r="Z270" s="38"/>
      <x:c r="AA270"/>
    </x:row>
    <x:row r="271">
      <x:c r="A271" s="54" t="n">
        <x:v>44012</x:v>
      </x:c>
      <x:c r="B271" t="n">
        <x:v>44012.624999988424</x:v>
      </x:c>
      <x:c r="C271" t="str">
        <x:v>220100</x:v>
      </x:c>
      <x:c r="D271" t="str">
        <x:v>퓨쳐켐</x:v>
      </x:c>
      <x:c r="E271" t="str">
        <x:v>KOSDAQ</x:v>
      </x:c>
      <x:c r="F271" t="str">
        <x:v>LARGE</x:v>
      </x:c>
      <x:c r="G271" t="str">
        <x:v>DCF_SCREENING_EXCLUSION</x:v>
      </x:c>
      <x:c r="H271" t="str">
        <x:v>NON_POSITIVE_ENTERPRISE_VALUE|NON_POSITIVE_EQUITY_VALUE|NON_POSITIVE_TERMINAL_FCF</x:v>
      </x:c>
      <x:c r="I271" s="54" t="n">
        <x:v>44012</x:v>
      </x:c>
      <x:c r="J271" s="55" t="n">
        <x:v>11250</x:v>
      </x:c>
      <x:c r="K271" s="55" t="n">
        <x:v>65392717500</x:v>
      </x:c>
      <x:c r="L271" s="55" t="n">
        <x:v>5812686</x:v>
      </x:c>
      <x:c r="M271" t="str">
        <x:v>20200327000690</x:v>
      </x:c>
      <x:c r="N271" t="n">
        <x:v>43917.624999988424</x:v>
      </x:c>
      <x:c r="O271" s="54" t="n">
        <x:v>43830</x:v>
      </x:c>
      <x:c r="P271" t="str">
        <x:v>False</x:v>
      </x:c>
      <x:c r="Q271" t="str">
        <x:v>0c01a2b382ccf00213b24c087725fa01e806aa79f2a882e36e2a41329d3a623b</x:v>
      </x:c>
      <x:c r="R271" t="str">
        <x:v>f1c222dd3adc9c5bc785922e000fdf4b13b0cfd5d0de74051650956b468f2abb</x:v>
      </x:c>
      <x:c r="S271" t="n">
        <x:v>5</x:v>
      </x:c>
      <x:c r="T271" t="str">
        <x:v>2018-12-31|2019-12-31</x:v>
      </x:c>
      <x:c r="U271" s="57" t="n">
        <x:v>-3575.0031019337857</x:v>
      </x:c>
      <x:c r="V271" s="57" t="n">
        <x:v>-1.3177780535052255</x:v>
      </x:c>
      <x:c r="W271"/>
      <x:c r="X271"/>
      <x:c r="Y271" s="38" t="n">
        <x:v>0.6409090909090909</x:v>
      </x:c>
      <x:c r="Z271" s="38" t="n">
        <x:v>0.7149594422554854</x:v>
      </x:c>
      <x:c r="AA271" t="str">
        <x:v>NON_POSITIVE_ENTERPRISE_VALUE|NON_POSITIVE_EQUITY_VALUE|NON_POSITIVE_TERMINAL_FCF</x:v>
      </x:c>
    </x:row>
    <x:row r="272">
      <x:c r="A272" s="54" t="n">
        <x:v>44012</x:v>
      </x:c>
      <x:c r="B272" t="n">
        <x:v>44012.624999988424</x:v>
      </x:c>
      <x:c r="C272" t="str">
        <x:v>416180</x:v>
      </x:c>
      <x:c r="D272" t="str">
        <x:v>신성에스티</x:v>
      </x:c>
      <x:c r="E272" t="str">
        <x:v>KOSDAQ</x:v>
      </x:c>
      <x:c r="F272" t="str">
        <x:v>LARGE</x:v>
      </x:c>
      <x:c r="G272" t="str">
        <x:v>NOT_LISTED_OR_NO_PRICE</x:v>
      </x:c>
      <x:c r="H272"/>
      <x:c r="I272" s="54"/>
      <x:c r="J272" s="55"/>
      <x:c r="K272" s="55"/>
      <x:c r="L272" s="55"/>
      <x:c r="M272"/>
      <x:c r="N272"/>
      <x:c r="O272" s="54"/>
      <x:c r="P272"/>
      <x:c r="Q272"/>
      <x:c r="R272"/>
      <x:c r="S272"/>
      <x:c r="T272"/>
      <x:c r="U272" s="57"/>
      <x:c r="V272" s="57"/>
      <x:c r="W272"/>
      <x:c r="X272"/>
      <x:c r="Y272" s="38"/>
      <x:c r="Z272" s="38"/>
      <x:c r="AA272"/>
    </x:row>
    <x:row r="273">
      <x:c r="A273" s="54" t="n">
        <x:v>44012</x:v>
      </x:c>
      <x:c r="B273" t="n">
        <x:v>44012.624999988424</x:v>
      </x:c>
      <x:c r="C273" t="str">
        <x:v>082800</x:v>
      </x:c>
      <x:c r="D273" t="str">
        <x:v>비보존제약</x:v>
      </x:c>
      <x:c r="E273" t="str">
        <x:v>KOSDAQ</x:v>
      </x:c>
      <x:c r="F273" t="str">
        <x:v>LARGE</x:v>
      </x:c>
      <x:c r="G273" t="str">
        <x:v>DCF_SCREENING_EXCLUSION</x:v>
      </x:c>
      <x:c r="H273" t="str">
        <x:v>NON_POSITIVE_ENTERPRISE_VALUE|NON_POSITIVE_EQUITY_VALUE|NON_POSITIVE_TERMINAL_FCF</x:v>
      </x:c>
      <x:c r="I273" s="54" t="n">
        <x:v>44012</x:v>
      </x:c>
      <x:c r="J273" s="55" t="n">
        <x:v>1950</x:v>
      </x:c>
      <x:c r="K273" s="55" t="n">
        <x:v>255767625750</x:v>
      </x:c>
      <x:c r="L273" s="55" t="n">
        <x:v>131162885</x:v>
      </x:c>
      <x:c r="M273" t="str">
        <x:v>20200330004808</x:v>
      </x:c>
      <x:c r="N273" t="n">
        <x:v>43920.624999988424</x:v>
      </x:c>
      <x:c r="O273" s="54" t="n">
        <x:v>43830</x:v>
      </x:c>
      <x:c r="P273" t="str">
        <x:v>False</x:v>
      </x:c>
      <x:c r="Q273" t="str">
        <x:v>b5f127826cb00a752f2986ef2591ece8a42d2339f0886b6f6a9d54572352614e</x:v>
      </x:c>
      <x:c r="R273" t="str">
        <x:v>976e7c56bb6d88056b274481293b921144108c1b0e0d23d032953246eec65fc9</x:v>
      </x:c>
      <x:c r="S273" t="n">
        <x:v>5</x:v>
      </x:c>
      <x:c r="T273" t="str">
        <x:v>2018-12-31|2019-12-31</x:v>
      </x:c>
      <x:c r="U273" s="57" t="n">
        <x:v>-379.50027160927164</x:v>
      </x:c>
      <x:c r="V273" s="57" t="n">
        <x:v>-1.1946155239021905</x:v>
      </x:c>
      <x:c r="W273"/>
      <x:c r="X273"/>
      <x:c r="Y273" s="38" t="n">
        <x:v>0.6409090909090909</x:v>
      </x:c>
      <x:c r="Z273" s="38" t="n">
        <x:v>0.7861719092432783</x:v>
      </x:c>
      <x:c r="AA273" t="str">
        <x:v>NON_POSITIVE_ENTERPRISE_VALUE|NON_POSITIVE_EQUITY_VALUE|NON_POSITIVE_TERMINAL_FCF</x:v>
      </x:c>
    </x:row>
    <x:row r="274">
      <x:c r="A274" s="54" t="n">
        <x:v>44012</x:v>
      </x:c>
      <x:c r="B274" t="n">
        <x:v>44012.624999988424</x:v>
      </x:c>
      <x:c r="C274" t="str">
        <x:v>204620</x:v>
      </x:c>
      <x:c r="D274" t="str">
        <x:v>글로벌텍스프리</x:v>
      </x:c>
      <x:c r="E274" t="str">
        <x:v>KOSDAQ</x:v>
      </x:c>
      <x:c r="F274" t="str">
        <x:v>LARGE</x:v>
      </x:c>
      <x:c r="G274" t="str">
        <x:v>ELIGIBLE</x:v>
      </x:c>
      <x:c r="H274"/>
      <x:c r="I274" s="54" t="n">
        <x:v>44012</x:v>
      </x:c>
      <x:c r="J274" s="55" t="n">
        <x:v>2600</x:v>
      </x:c>
      <x:c r="K274" s="55" t="n">
        <x:v>100867881400</x:v>
      </x:c>
      <x:c r="L274" s="55" t="n">
        <x:v>38795339</x:v>
      </x:c>
      <x:c r="M274" t="str">
        <x:v>20200330001582</x:v>
      </x:c>
      <x:c r="N274" t="n">
        <x:v>43920.624999988424</x:v>
      </x:c>
      <x:c r="O274" s="54" t="n">
        <x:v>43830</x:v>
      </x:c>
      <x:c r="P274" t="str">
        <x:v>False</x:v>
      </x:c>
      <x:c r="Q274" t="str">
        <x:v>c3e3032eb52f1f75571ce48df740b3c28136cf7ecc540e0f08878ab35f680172</x:v>
      </x:c>
      <x:c r="R274" t="str">
        <x:v>a08b6628c319e5f148c97c1d70353771cefb45473c0b6aebeb3c566f9e403af8</x:v>
      </x:c>
      <x:c r="S274" t="n">
        <x:v>7</x:v>
      </x:c>
      <x:c r="T274" t="str">
        <x:v>2018-12-31|2019-12-31</x:v>
      </x:c>
      <x:c r="U274" s="57" t="n">
        <x:v>3486.825674188218</x:v>
      </x:c>
      <x:c r="V274" s="57" t="n">
        <x:v>0.34108679776469913</x:v>
      </x:c>
      <x:c r="W274" t="n">
        <x:v>17</x:v>
      </x:c>
      <x:c r="X274" t="n">
        <x:v>2</x:v>
      </x:c>
      <x:c r="Y274" s="38" t="n">
        <x:v>0.6409090909090909</x:v>
      </x:c>
      <x:c r="Z274" s="38" t="n">
        <x:v>0.7182330048545312</x:v>
      </x:c>
      <x:c r="AA274"/>
    </x:row>
    <x:row r="275">
      <x:c r="A275" s="54" t="n">
        <x:v>44012</x:v>
      </x:c>
      <x:c r="B275" t="n">
        <x:v>44012.624999988424</x:v>
      </x:c>
      <x:c r="C275" t="str">
        <x:v>445090</x:v>
      </x:c>
      <x:c r="D275" t="str">
        <x:v>에이직랜드</x:v>
      </x:c>
      <x:c r="E275" t="str">
        <x:v>KOSDAQ</x:v>
      </x:c>
      <x:c r="F275" t="str">
        <x:v>LARGE</x:v>
      </x:c>
      <x:c r="G275" t="str">
        <x:v>NOT_LISTED_OR_NO_PRICE</x:v>
      </x:c>
      <x:c r="H275"/>
      <x:c r="I275" s="54"/>
      <x:c r="J275" s="55"/>
      <x:c r="K275" s="55"/>
      <x:c r="L275" s="55"/>
      <x:c r="M275"/>
      <x:c r="N275"/>
      <x:c r="O275" s="54"/>
      <x:c r="P275"/>
      <x:c r="Q275"/>
      <x:c r="R275"/>
      <x:c r="S275"/>
      <x:c r="T275"/>
      <x:c r="U275" s="57"/>
      <x:c r="V275" s="57"/>
      <x:c r="W275"/>
      <x:c r="X275"/>
      <x:c r="Y275" s="38"/>
      <x:c r="Z275" s="38"/>
      <x:c r="AA275"/>
    </x:row>
    <x:row r="276">
      <x:c r="A276" s="54" t="n">
        <x:v>44012</x:v>
      </x:c>
      <x:c r="B276" t="n">
        <x:v>44012.624999988424</x:v>
      </x:c>
      <x:c r="C276" t="str">
        <x:v>115450</x:v>
      </x:c>
      <x:c r="D276" t="str">
        <x:v>HLB테라퓨틱스</x:v>
      </x:c>
      <x:c r="E276" t="str">
        <x:v>KOSDAQ</x:v>
      </x:c>
      <x:c r="F276" t="str">
        <x:v>LARGE</x:v>
      </x:c>
      <x:c r="G276" t="str">
        <x:v>DCF_SCREENING_EXCLUSION</x:v>
      </x:c>
      <x:c r="H276" t="str">
        <x:v>NON_POSITIVE_ENTERPRISE_VALUE|NON_POSITIVE_EQUITY_VALUE|NON_POSITIVE_TERMINAL_FCF</x:v>
      </x:c>
      <x:c r="I276" s="54" t="n">
        <x:v>44012</x:v>
      </x:c>
      <x:c r="J276" s="55" t="n">
        <x:v>24550</x:v>
      </x:c>
      <x:c r="K276" s="55" t="n">
        <x:v>632418482850</x:v>
      </x:c>
      <x:c r="L276" s="55" t="n">
        <x:v>25760427</x:v>
      </x:c>
      <x:c r="M276" t="str">
        <x:v>20200327001512</x:v>
      </x:c>
      <x:c r="N276" t="n">
        <x:v>43917.624999988424</x:v>
      </x:c>
      <x:c r="O276" s="54" t="n">
        <x:v>43830</x:v>
      </x:c>
      <x:c r="P276" t="str">
        <x:v>False</x:v>
      </x:c>
      <x:c r="Q276" t="str">
        <x:v>c0c9b99c7c03017b2e0ccd1e13f7b9621e992265d92891993d3dbf47dab0bdc0</x:v>
      </x:c>
      <x:c r="R276" t="str">
        <x:v>e1098632bfc10fff006e977449a9a13edc8c315c03bd6387c45ce9a8cfff7cc1</x:v>
      </x:c>
      <x:c r="S276" t="n">
        <x:v>6</x:v>
      </x:c>
      <x:c r="T276" t="str">
        <x:v>2018-12-31|2019-12-31</x:v>
      </x:c>
      <x:c r="U276" s="57" t="n">
        <x:v>-5151.86403289681</x:v>
      </x:c>
      <x:c r="V276" s="57" t="n">
        <x:v>-1.2098518954336785</x:v>
      </x:c>
      <x:c r="W276"/>
      <x:c r="X276"/>
      <x:c r="Y276" s="38" t="n">
        <x:v>0.6409090909090909</x:v>
      </x:c>
      <x:c r="Z276" s="38" t="n">
        <x:v>0.6871569100901241</x:v>
      </x:c>
      <x:c r="AA276" t="str">
        <x:v>NON_POSITIVE_ENTERPRISE_VALUE|NON_POSITIVE_EQUITY_VALUE|NON_POSITIVE_TERMINAL_FCF</x:v>
      </x:c>
    </x:row>
    <x:row r="277">
      <x:c r="A277" s="54" t="n">
        <x:v>44012</x:v>
      </x:c>
      <x:c r="B277" t="n">
        <x:v>44012.624999988424</x:v>
      </x:c>
      <x:c r="C277" t="str">
        <x:v>035420</x:v>
      </x:c>
      <x:c r="D277" t="str">
        <x:v>NAVER</x:v>
      </x:c>
      <x:c r="E277" t="str">
        <x:v>KOSPI</x:v>
      </x:c>
      <x:c r="F277" t="str">
        <x:v>LARGE</x:v>
      </x:c>
      <x:c r="G277" t="str">
        <x:v>ELIGIBLE</x:v>
      </x:c>
      <x:c r="H277"/>
      <x:c r="I277" s="54" t="n">
        <x:v>44012</x:v>
      </x:c>
      <x:c r="J277" s="55" t="n">
        <x:v>267000</x:v>
      </x:c>
      <x:c r="K277" s="55" t="n">
        <x:v>43858326465000</x:v>
      </x:c>
      <x:c r="L277" s="55" t="n">
        <x:v>164263395</x:v>
      </x:c>
      <x:c r="M277" t="str">
        <x:v>20200330004603</x:v>
      </x:c>
      <x:c r="N277" t="n">
        <x:v>43920.624999988424</x:v>
      </x:c>
      <x:c r="O277" s="54" t="n">
        <x:v>43830</x:v>
      </x:c>
      <x:c r="P277" t="str">
        <x:v>False</x:v>
      </x:c>
      <x:c r="Q277" t="str">
        <x:v>7e12af29ea19a63f4ab4f811d45f6f6fd68cae289df20b942eb1245479e37a23</x:v>
      </x:c>
      <x:c r="R277" t="str">
        <x:v>aa863b7b51010cfbe2d4f4e5810c7cae4e483f1bbafb6edf3c4e5feebc68a7f2</x:v>
      </x:c>
      <x:c r="S277" t="n">
        <x:v>6</x:v>
      </x:c>
      <x:c r="T277" t="str">
        <x:v>2018-12-31|2019-12-31</x:v>
      </x:c>
      <x:c r="U277" s="57" t="n">
        <x:v>68752.18393116405</x:v>
      </x:c>
      <x:c r="V277" s="57" t="n">
        <x:v>-0.7425011837784118</x:v>
      </x:c>
      <x:c r="W277" t="n">
        <x:v>54</x:v>
      </x:c>
      <x:c r="X277" t="n">
        <x:v>5</x:v>
      </x:c>
      <x:c r="Y277" s="38" t="n">
        <x:v>0.6409090909090909</x:v>
      </x:c>
      <x:c r="Z277" s="38" t="n">
        <x:v>0.7489570591610162</x:v>
      </x:c>
      <x:c r="AA277"/>
    </x:row>
    <x:row r="278">
      <x:c r="A278" s="54" t="n">
        <x:v>44012</x:v>
      </x:c>
      <x:c r="B278" t="n">
        <x:v>44012.624999988424</x:v>
      </x:c>
      <x:c r="C278" t="str">
        <x:v>030200</x:v>
      </x:c>
      <x:c r="D278" t="str">
        <x:v>KT</x:v>
      </x:c>
      <x:c r="E278" t="str">
        <x:v>KOSPI</x:v>
      </x:c>
      <x:c r="F278" t="str">
        <x:v>LARGE</x:v>
      </x:c>
      <x:c r="G278" t="str">
        <x:v>ELIGIBLE</x:v>
      </x:c>
      <x:c r="H278"/>
      <x:c r="I278" s="54" t="n">
        <x:v>44012</x:v>
      </x:c>
      <x:c r="J278" s="55" t="n">
        <x:v>23550</x:v>
      </x:c>
      <x:c r="K278" s="55" t="n">
        <x:v>6149183078400</x:v>
      </x:c>
      <x:c r="L278" s="55" t="n">
        <x:v>261111808</x:v>
      </x:c>
      <x:c r="M278" t="str">
        <x:v>20200330004658</x:v>
      </x:c>
      <x:c r="N278" t="n">
        <x:v>43920.624999988424</x:v>
      </x:c>
      <x:c r="O278" s="54" t="n">
        <x:v>43830</x:v>
      </x:c>
      <x:c r="P278" t="str">
        <x:v>False</x:v>
      </x:c>
      <x:c r="Q278" t="str">
        <x:v>411a42a1090839d40d451defa74d8c561057f03ccf876c255129e032d9ad1f77</x:v>
      </x:c>
      <x:c r="R278" t="str">
        <x:v>f6e6a8d2313c55b57e8d8f83fd27a802541d6721ca23f2530804690fbdd5f9cf</x:v>
      </x:c>
      <x:c r="S278" t="n">
        <x:v>6</x:v>
      </x:c>
      <x:c r="T278" t="str">
        <x:v>2018-12-31|2019-12-31</x:v>
      </x:c>
      <x:c r="U278" s="57" t="n">
        <x:v>44351.92750450468</x:v>
      </x:c>
      <x:c r="V278" s="57" t="n">
        <x:v>0.8833090235458465</x:v>
      </x:c>
      <x:c r="W278" t="n">
        <x:v>9</x:v>
      </x:c>
      <x:c r="X278" t="n">
        <x:v>1</x:v>
      </x:c>
      <x:c r="Y278" s="38" t="n">
        <x:v>0.6409090909090909</x:v>
      </x:c>
      <x:c r="Z278" s="38" t="n">
        <x:v>0.7124511639379508</x:v>
      </x:c>
      <x:c r="AA278"/>
    </x:row>
    <x:row r="279">
      <x:c r="A279" s="54" t="n">
        <x:v>44012</x:v>
      </x:c>
      <x:c r="B279" t="n">
        <x:v>44012.624999988424</x:v>
      </x:c>
      <x:c r="C279" t="str">
        <x:v>018260</x:v>
      </x:c>
      <x:c r="D279" t="str">
        <x:v>삼성에스디에스</x:v>
      </x:c>
      <x:c r="E279" t="str">
        <x:v>KOSPI</x:v>
      </x:c>
      <x:c r="F279" t="str">
        <x:v>LARGE</x:v>
      </x:c>
      <x:c r="G279" t="str">
        <x:v>ELIGIBLE</x:v>
      </x:c>
      <x:c r="H279"/>
      <x:c r="I279" s="54" t="n">
        <x:v>44012</x:v>
      </x:c>
      <x:c r="J279" s="55" t="n">
        <x:v>168500</x:v>
      </x:c>
      <x:c r="K279" s="55" t="n">
        <x:v>13038159300000</x:v>
      </x:c>
      <x:c r="L279" s="55" t="n">
        <x:v>77377800</x:v>
      </x:c>
      <x:c r="M279" t="str">
        <x:v>20200330004186</x:v>
      </x:c>
      <x:c r="N279" t="n">
        <x:v>43920.624999988424</x:v>
      </x:c>
      <x:c r="O279" s="54" t="n">
        <x:v>43830</x:v>
      </x:c>
      <x:c r="P279" t="str">
        <x:v>False</x:v>
      </x:c>
      <x:c r="Q279" t="str">
        <x:v>cd32295c56019ec510face1ff2a3719f4b2c2a2520185f3633d5c26c11ae04d0</x:v>
      </x:c>
      <x:c r="R279" t="str">
        <x:v>7e0894f632d59624dd50e8b6a583a5760a0e54f3392107b2865def257d6904cd</x:v>
      </x:c>
      <x:c r="S279" t="n">
        <x:v>6</x:v>
      </x:c>
      <x:c r="T279" t="str">
        <x:v>2018-12-31|2019-12-31</x:v>
      </x:c>
      <x:c r="U279" s="57" t="n">
        <x:v>133355.7495652602</x:v>
      </x:c>
      <x:c r="V279" s="57" t="n">
        <x:v>-0.20857121919726884</x:v>
      </x:c>
      <x:c r="W279" t="n">
        <x:v>26</x:v>
      </x:c>
      <x:c r="X279" t="n">
        <x:v>2</x:v>
      </x:c>
      <x:c r="Y279" s="38" t="n">
        <x:v>0.6409090909090909</x:v>
      </x:c>
      <x:c r="Z279" s="38" t="n">
        <x:v>0.7032158233120083</x:v>
      </x:c>
      <x:c r="AA279"/>
    </x:row>
    <x:row r="280">
      <x:c r="A280" s="54" t="n">
        <x:v>44012</x:v>
      </x:c>
      <x:c r="B280" t="n">
        <x:v>44012.624999988424</x:v>
      </x:c>
      <x:c r="C280" t="str">
        <x:v>090430</x:v>
      </x:c>
      <x:c r="D280" t="str">
        <x:v>아모레퍼시픽</x:v>
      </x:c>
      <x:c r="E280" t="str">
        <x:v>KOSPI</x:v>
      </x:c>
      <x:c r="F280" t="str">
        <x:v>LARGE</x:v>
      </x:c>
      <x:c r="G280" t="str">
        <x:v>ELIGIBLE</x:v>
      </x:c>
      <x:c r="H280"/>
      <x:c r="I280" s="54" t="n">
        <x:v>44012</x:v>
      </x:c>
      <x:c r="J280" s="55" t="n">
        <x:v>167500</x:v>
      </x:c>
      <x:c r="K280" s="55" t="n">
        <x:v>9791797075000</x:v>
      </x:c>
      <x:c r="L280" s="55" t="n">
        <x:v>58458490</x:v>
      </x:c>
      <x:c r="M280" t="str">
        <x:v>20200429000691</x:v>
      </x:c>
      <x:c r="N280" t="n">
        <x:v>43950.624999988424</x:v>
      </x:c>
      <x:c r="O280" s="54" t="n">
        <x:v>43830</x:v>
      </x:c>
      <x:c r="P280" t="str">
        <x:v>True</x:v>
      </x:c>
      <x:c r="Q280" t="str">
        <x:v>fb17ecc132c7a420a1071246484146020133d3480a6ec2ff2a7324a39fe69192</x:v>
      </x:c>
      <x:c r="R280" t="str">
        <x:v>a068a5eb81bee9458a1b9ec7138b3e54fe84ca9261b8cc30c5ab8656df8746ee</x:v>
      </x:c>
      <x:c r="S280" t="n">
        <x:v>6</x:v>
      </x:c>
      <x:c r="T280" t="str">
        <x:v>2018-12-31|2019-12-31</x:v>
      </x:c>
      <x:c r="U280" s="57" t="n">
        <x:v>60382.664823435625</x:v>
      </x:c>
      <x:c r="V280" s="57" t="n">
        <x:v>-0.6395064786660559</x:v>
      </x:c>
      <x:c r="W280" t="n">
        <x:v>44</x:v>
      </x:c>
      <x:c r="X280" t="n">
        <x:v>4</x:v>
      </x:c>
      <x:c r="Y280" s="38" t="n">
        <x:v>0.6409090909090909</x:v>
      </x:c>
      <x:c r="Z280" s="38" t="n">
        <x:v>0.7238800972045121</x:v>
      </x:c>
      <x:c r="AA280"/>
    </x:row>
    <x:row r="281">
      <x:c r="A281" s="54" t="n">
        <x:v>44012</x:v>
      </x:c>
      <x:c r="B281" t="n">
        <x:v>44012.624999988424</x:v>
      </x:c>
      <x:c r="C281" t="str">
        <x:v>278470</x:v>
      </x:c>
      <x:c r="D281" t="str">
        <x:v>에이피알</x:v>
      </x:c>
      <x:c r="E281" t="str">
        <x:v>KOSPI</x:v>
      </x:c>
      <x:c r="F281" t="str">
        <x:v>LARGE</x:v>
      </x:c>
      <x:c r="G281" t="str">
        <x:v>NOT_LISTED_OR_NO_PRICE</x:v>
      </x:c>
      <x:c r="H281"/>
      <x:c r="I281" s="54"/>
      <x:c r="J281" s="55"/>
      <x:c r="K281" s="55"/>
      <x:c r="L281" s="55"/>
      <x:c r="M281"/>
      <x:c r="N281"/>
      <x:c r="O281" s="54"/>
      <x:c r="P281"/>
      <x:c r="Q281"/>
      <x:c r="R281"/>
      <x:c r="S281"/>
      <x:c r="T281"/>
      <x:c r="U281" s="57"/>
      <x:c r="V281" s="57"/>
      <x:c r="W281"/>
      <x:c r="X281"/>
      <x:c r="Y281" s="38"/>
      <x:c r="Z281" s="38"/>
      <x:c r="AA281"/>
    </x:row>
    <x:row r="282">
      <x:c r="A282" s="54" t="n">
        <x:v>44012</x:v>
      </x:c>
      <x:c r="B282" t="n">
        <x:v>44012.624999988424</x:v>
      </x:c>
      <x:c r="C282" t="str">
        <x:v>006260</x:v>
      </x:c>
      <x:c r="D282" t="str">
        <x:v>LS</x:v>
      </x:c>
      <x:c r="E282" t="str">
        <x:v>KOSPI</x:v>
      </x:c>
      <x:c r="F282" t="str">
        <x:v>LARGE</x:v>
      </x:c>
      <x:c r="G282" t="str">
        <x:v>ELIGIBLE</x:v>
      </x:c>
      <x:c r="H282"/>
      <x:c r="I282" s="54" t="n">
        <x:v>44012</x:v>
      </x:c>
      <x:c r="J282" s="55" t="n">
        <x:v>34800</x:v>
      </x:c>
      <x:c r="K282" s="55" t="n">
        <x:v>1120560000000</x:v>
      </x:c>
      <x:c r="L282" s="55" t="n">
        <x:v>32200000</x:v>
      </x:c>
      <x:c r="M282" t="str">
        <x:v>20200330004547</x:v>
      </x:c>
      <x:c r="N282" t="n">
        <x:v>43920.624999988424</x:v>
      </x:c>
      <x:c r="O282" s="54" t="n">
        <x:v>43830</x:v>
      </x:c>
      <x:c r="P282" t="str">
        <x:v>False</x:v>
      </x:c>
      <x:c r="Q282" t="str">
        <x:v>0ec196d1f084a76a238c047092ac2d6371f5eea1abfb4c1d732f0360c9db31a5</x:v>
      </x:c>
      <x:c r="R282" t="str">
        <x:v>fedfeb662682b5b893212e59ad5d62d201af782924c5f09cab8d15fa1c991c15</x:v>
      </x:c>
      <x:c r="S282" t="n">
        <x:v>6</x:v>
      </x:c>
      <x:c r="T282" t="str">
        <x:v>2018-12-31|2019-12-31</x:v>
      </x:c>
      <x:c r="U282" s="57" t="n">
        <x:v>55207.39311864186</x:v>
      </x:c>
      <x:c r="V282" s="57" t="n">
        <x:v>0.5864193424897087</x:v>
      </x:c>
      <x:c r="W282" t="n">
        <x:v>12</x:v>
      </x:c>
      <x:c r="X282" t="n">
        <x:v>1</x:v>
      </x:c>
      <x:c r="Y282" s="38" t="n">
        <x:v>0.6409090909090909</x:v>
      </x:c>
      <x:c r="Z282" s="38" t="n">
        <x:v>0.7297769121142873</x:v>
      </x:c>
      <x:c r="AA282"/>
    </x:row>
    <x:row r="283">
      <x:c r="A283" s="54" t="n">
        <x:v>44012</x:v>
      </x:c>
      <x:c r="B283" t="n">
        <x:v>44012.624999988424</x:v>
      </x:c>
      <x:c r="C283" t="str">
        <x:v>454910</x:v>
      </x:c>
      <x:c r="D283" t="str">
        <x:v>두산로보틱스</x:v>
      </x:c>
      <x:c r="E283" t="str">
        <x:v>KOSPI</x:v>
      </x:c>
      <x:c r="F283" t="str">
        <x:v>LARGE</x:v>
      </x:c>
      <x:c r="G283" t="str">
        <x:v>NOT_LISTED_OR_NO_PRICE</x:v>
      </x:c>
      <x:c r="H283"/>
      <x:c r="I283" s="54"/>
      <x:c r="J283" s="55"/>
      <x:c r="K283" s="55"/>
      <x:c r="L283" s="55"/>
      <x:c r="M283"/>
      <x:c r="N283"/>
      <x:c r="O283" s="54"/>
      <x:c r="P283"/>
      <x:c r="Q283"/>
      <x:c r="R283"/>
      <x:c r="S283"/>
      <x:c r="T283"/>
      <x:c r="U283" s="57"/>
      <x:c r="V283" s="57"/>
      <x:c r="W283"/>
      <x:c r="X283"/>
      <x:c r="Y283" s="38"/>
      <x:c r="Z283" s="38"/>
      <x:c r="AA283"/>
    </x:row>
    <x:row r="284">
      <x:c r="A284" s="54" t="n">
        <x:v>44012</x:v>
      </x:c>
      <x:c r="B284" t="n">
        <x:v>44012.624999988424</x:v>
      </x:c>
      <x:c r="C284" t="str">
        <x:v>012750</x:v>
      </x:c>
      <x:c r="D284" t="str">
        <x:v>에스원</x:v>
      </x:c>
      <x:c r="E284" t="str">
        <x:v>KOSPI</x:v>
      </x:c>
      <x:c r="F284" t="str">
        <x:v>LARGE</x:v>
      </x:c>
      <x:c r="G284" t="str">
        <x:v>ELIGIBLE</x:v>
      </x:c>
      <x:c r="H284"/>
      <x:c r="I284" s="54" t="n">
        <x:v>44012</x:v>
      </x:c>
      <x:c r="J284" s="55" t="n">
        <x:v>85800</x:v>
      </x:c>
      <x:c r="K284" s="55" t="n">
        <x:v>3260329472400</x:v>
      </x:c>
      <x:c r="L284" s="55" t="n">
        <x:v>37999178</x:v>
      </x:c>
      <x:c r="M284" t="str">
        <x:v>20200330003830</x:v>
      </x:c>
      <x:c r="N284" t="n">
        <x:v>43920.624999988424</x:v>
      </x:c>
      <x:c r="O284" s="54" t="n">
        <x:v>43830</x:v>
      </x:c>
      <x:c r="P284" t="str">
        <x:v>False</x:v>
      </x:c>
      <x:c r="Q284" t="str">
        <x:v>403c4aaed611f6f197feee5127fc49d53c8243ad428a5b9153f1491619efbb7b</x:v>
      </x:c>
      <x:c r="R284" t="str">
        <x:v>f0c2234c7275e7b9583bedcb918a3cf27fd40d6b21f0f0a07bc6454547a0aacc</x:v>
      </x:c>
      <x:c r="S284" t="n">
        <x:v>6</x:v>
      </x:c>
      <x:c r="T284" t="str">
        <x:v>2018-12-31|2019-12-31</x:v>
      </x:c>
      <x:c r="U284" s="57" t="n">
        <x:v>48920.81603703547</x:v>
      </x:c>
      <x:c r="V284" s="57" t="n">
        <x:v>-0.42982731891567055</x:v>
      </x:c>
      <x:c r="W284" t="n">
        <x:v>34</x:v>
      </x:c>
      <x:c r="X284" t="n">
        <x:v>3</x:v>
      </x:c>
      <x:c r="Y284" s="38" t="n">
        <x:v>0.6409090909090909</x:v>
      </x:c>
      <x:c r="Z284" s="38" t="n">
        <x:v>0.7122128124289423</x:v>
      </x:c>
      <x:c r="AA284"/>
    </x:row>
    <x:row r="285">
      <x:c r="A285" s="54" t="n">
        <x:v>44012</x:v>
      </x:c>
      <x:c r="B285" t="n">
        <x:v>44012.624999988424</x:v>
      </x:c>
      <x:c r="C285" t="str">
        <x:v>081660</x:v>
      </x:c>
      <x:c r="D285" t="str">
        <x:v>미스토홀딩스</x:v>
      </x:c>
      <x:c r="E285" t="str">
        <x:v>KOSPI</x:v>
      </x:c>
      <x:c r="F285" t="str">
        <x:v>LARGE</x:v>
      </x:c>
      <x:c r="G285" t="str">
        <x:v>EXCLUDED_ARCHETYPE</x:v>
      </x:c>
      <x:c r="H285" t="str">
        <x:v>FCFF_NOT_COMPARABLE_FOR_FINANCE_OR_HOLDING_HINT</x:v>
      </x:c>
      <x:c r="I285" s="54"/>
      <x:c r="J285" s="55"/>
      <x:c r="K285" s="55"/>
      <x:c r="L285" s="55"/>
      <x:c r="M285"/>
      <x:c r="N285"/>
      <x:c r="O285" s="54"/>
      <x:c r="P285"/>
      <x:c r="Q285"/>
      <x:c r="R285"/>
      <x:c r="S285"/>
      <x:c r="T285"/>
      <x:c r="U285" s="57"/>
      <x:c r="V285" s="57"/>
      <x:c r="W285"/>
      <x:c r="X285"/>
      <x:c r="Y285" s="38"/>
      <x:c r="Z285" s="38"/>
      <x:c r="AA285"/>
    </x:row>
    <x:row r="286">
      <x:c r="A286" s="54" t="n">
        <x:v>44012</x:v>
      </x:c>
      <x:c r="B286" t="n">
        <x:v>44012.624999988424</x:v>
      </x:c>
      <x:c r="C286" t="str">
        <x:v>282330</x:v>
      </x:c>
      <x:c r="D286" t="str">
        <x:v>BGF리테일</x:v>
      </x:c>
      <x:c r="E286" t="str">
        <x:v>KOSPI</x:v>
      </x:c>
      <x:c r="F286" t="str">
        <x:v>LARGE</x:v>
      </x:c>
      <x:c r="G286" t="str">
        <x:v>ELIGIBLE</x:v>
      </x:c>
      <x:c r="H286"/>
      <x:c r="I286" s="54" t="n">
        <x:v>44012</x:v>
      </x:c>
      <x:c r="J286" s="55" t="n">
        <x:v>139000</x:v>
      </x:c>
      <x:c r="K286" s="55" t="n">
        <x:v>2402462934000</x:v>
      </x:c>
      <x:c r="L286" s="55" t="n">
        <x:v>17283906</x:v>
      </x:c>
      <x:c r="M286" t="str">
        <x:v>20200330003848</x:v>
      </x:c>
      <x:c r="N286" t="n">
        <x:v>43920.624999988424</x:v>
      </x:c>
      <x:c r="O286" s="54" t="n">
        <x:v>43830</x:v>
      </x:c>
      <x:c r="P286" t="str">
        <x:v>False</x:v>
      </x:c>
      <x:c r="Q286" t="str">
        <x:v>789faf2a7a91e08b88b2843fd828db6f98905720ed29ad59cfc78668f2c840cc</x:v>
      </x:c>
      <x:c r="R286" t="str">
        <x:v>14007ce1d2d9f1bec784fc2b4b58a31493ae1d7bcc5d4c8a3481f96832a78c25</x:v>
      </x:c>
      <x:c r="S286" t="n">
        <x:v>6</x:v>
      </x:c>
      <x:c r="T286" t="str">
        <x:v>2018-12-31|2019-12-31</x:v>
      </x:c>
      <x:c r="U286" s="57" t="n">
        <x:v>76583.33050148396</x:v>
      </x:c>
      <x:c r="V286" s="57" t="n">
        <x:v>-0.4490407877591082</x:v>
      </x:c>
      <x:c r="W286" t="n">
        <x:v>35</x:v>
      </x:c>
      <x:c r="X286" t="n">
        <x:v>3</x:v>
      </x:c>
      <x:c r="Y286" s="38" t="n">
        <x:v>0.6409090909090909</x:v>
      </x:c>
      <x:c r="Z286" s="38" t="n">
        <x:v>0.7017224672267075</x:v>
      </x:c>
      <x:c r="AA286"/>
    </x:row>
    <x:row r="287">
      <x:c r="A287" s="54" t="n">
        <x:v>44012</x:v>
      </x:c>
      <x:c r="B287" t="n">
        <x:v>44012.624999988424</x:v>
      </x:c>
      <x:c r="C287" t="str">
        <x:v>023590</x:v>
      </x:c>
      <x:c r="D287" t="str">
        <x:v>다우기술</x:v>
      </x:c>
      <x:c r="E287" t="str">
        <x:v>KOSPI</x:v>
      </x:c>
      <x:c r="F287" t="str">
        <x:v>LARGE</x:v>
      </x:c>
      <x:c r="G287" t="str">
        <x:v>DCF_SCREENING_EXCLUSION</x:v>
      </x:c>
      <x:c r="H287" t="str">
        <x:v>NON_POSITIVE_EQUITY_VALUE</x:v>
      </x:c>
      <x:c r="I287" s="54" t="n">
        <x:v>44012</x:v>
      </x:c>
      <x:c r="J287" s="55" t="n">
        <x:v>19900</x:v>
      </x:c>
      <x:c r="K287" s="55" t="n">
        <x:v>892845678300</x:v>
      </x:c>
      <x:c r="L287" s="55" t="n">
        <x:v>44866617</x:v>
      </x:c>
      <x:c r="M287" t="str">
        <x:v>20200330004643</x:v>
      </x:c>
      <x:c r="N287" t="n">
        <x:v>43920.624999988424</x:v>
      </x:c>
      <x:c r="O287" s="54" t="n">
        <x:v>43830</x:v>
      </x:c>
      <x:c r="P287" t="str">
        <x:v>False</x:v>
      </x:c>
      <x:c r="Q287" t="str">
        <x:v>2141ccc71183cf5f6c11d701e37ca529ebfbfe796a6b25b4d5cdba72ef13c08d</x:v>
      </x:c>
      <x:c r="R287" t="str">
        <x:v>8c4dc3ef7094456ee8503c7b9a0cac48c4ca2a29876ed6566312a134a1969762</x:v>
      </x:c>
      <x:c r="S287" t="n">
        <x:v>7</x:v>
      </x:c>
      <x:c r="T287" t="str">
        <x:v>2018-12-31|2019-12-31</x:v>
      </x:c>
      <x:c r="U287" s="57" t="n">
        <x:v>-30236.949757827184</x:v>
      </x:c>
      <x:c r="V287" s="57" t="n">
        <x:v>-2.5194447114486023</x:v>
      </x:c>
      <x:c r="W287"/>
      <x:c r="X287"/>
      <x:c r="Y287" s="38" t="n">
        <x:v>0.6409090909090909</x:v>
      </x:c>
      <x:c r="Z287" s="38" t="n">
        <x:v>0.7074953251162477</x:v>
      </x:c>
      <x:c r="AA287" t="str">
        <x:v>NON_POSITIVE_EQUITY_VALUE</x:v>
      </x:c>
    </x:row>
    <x:row r="288">
      <x:c r="A288" s="54" t="n">
        <x:v>44012</x:v>
      </x:c>
      <x:c r="B288" t="n">
        <x:v>44012.624999988424</x:v>
      </x:c>
      <x:c r="C288" t="str">
        <x:v>300720</x:v>
      </x:c>
      <x:c r="D288" t="str">
        <x:v>한일시멘트</x:v>
      </x:c>
      <x:c r="E288" t="str">
        <x:v>KOSPI</x:v>
      </x:c>
      <x:c r="F288" t="str">
        <x:v>LARGE</x:v>
      </x:c>
      <x:c r="G288" t="str">
        <x:v>ELIGIBLE</x:v>
      </x:c>
      <x:c r="H288"/>
      <x:c r="I288" s="54" t="n">
        <x:v>44012</x:v>
      </x:c>
      <x:c r="J288" s="55" t="n">
        <x:v>81600</x:v>
      </x:c>
      <x:c r="K288" s="55" t="n">
        <x:v>338229552000</x:v>
      </x:c>
      <x:c r="L288" s="55" t="n">
        <x:v>4144970</x:v>
      </x:c>
      <x:c r="M288" t="str">
        <x:v>20200401002489</x:v>
      </x:c>
      <x:c r="N288" t="n">
        <x:v>43922.624999988424</x:v>
      </x:c>
      <x:c r="O288" s="54" t="n">
        <x:v>43830</x:v>
      </x:c>
      <x:c r="P288" t="str">
        <x:v>True</x:v>
      </x:c>
      <x:c r="Q288" t="str">
        <x:v>3735e5a95e1437cbc0270ecde44fbc086a8d87f920ba017edbabf56a3cdfd2c2</x:v>
      </x:c>
      <x:c r="R288" t="str">
        <x:v>938c293f9d2f9672355ea2288258abbded4fa14bf9376fe87e41baeea56ae5f8</x:v>
      </x:c>
      <x:c r="S288" t="n">
        <x:v>6</x:v>
      </x:c>
      <x:c r="T288" t="str">
        <x:v>2019-12-31</x:v>
      </x:c>
      <x:c r="U288" s="57" t="n">
        <x:v>136185.63251122012</x:v>
      </x:c>
      <x:c r="V288" s="57" t="n">
        <x:v>0.6689415748924032</x:v>
      </x:c>
      <x:c r="W288" t="n">
        <x:v>11</x:v>
      </x:c>
      <x:c r="X288" t="n">
        <x:v>1</x:v>
      </x:c>
      <x:c r="Y288" s="38" t="n">
        <x:v>0.6409090909090909</x:v>
      </x:c>
      <x:c r="Z288" s="38" t="n">
        <x:v>0.7013426708992583</x:v>
      </x:c>
      <x:c r="AA288"/>
    </x:row>
    <x:row r="289">
      <x:c r="A289" s="54" t="n">
        <x:v>44012</x:v>
      </x:c>
      <x:c r="B289" t="n">
        <x:v>44012.624999988424</x:v>
      </x:c>
      <x:c r="C289" t="str">
        <x:v>007070</x:v>
      </x:c>
      <x:c r="D289" t="str">
        <x:v>GS리테일</x:v>
      </x:c>
      <x:c r="E289" t="str">
        <x:v>KOSPI</x:v>
      </x:c>
      <x:c r="F289" t="str">
        <x:v>LARGE</x:v>
      </x:c>
      <x:c r="G289" t="str">
        <x:v>ELIGIBLE</x:v>
      </x:c>
      <x:c r="H289"/>
      <x:c r="I289" s="54" t="n">
        <x:v>44012</x:v>
      </x:c>
      <x:c r="J289" s="55" t="n">
        <x:v>36450</x:v>
      </x:c>
      <x:c r="K289" s="55" t="n">
        <x:v>2806650000000</x:v>
      </x:c>
      <x:c r="L289" s="55" t="n">
        <x:v>77000000</x:v>
      </x:c>
      <x:c r="M289" t="str">
        <x:v>20200512000554</x:v>
      </x:c>
      <x:c r="N289" t="n">
        <x:v>43963.624999988424</x:v>
      </x:c>
      <x:c r="O289" s="54" t="n">
        <x:v>43830</x:v>
      </x:c>
      <x:c r="P289" t="str">
        <x:v>True</x:v>
      </x:c>
      <x:c r="Q289" t="str">
        <x:v>07c7c59b42311e98ac5e8e15e032091ce21d33190fb5086c52f067a2b4de44d2</x:v>
      </x:c>
      <x:c r="R289" t="str">
        <x:v>ecb2f0ea4273e5ac4d323780ab2b5919b7761a2d98b17372e21827a47d59eca1</x:v>
      </x:c>
      <x:c r="S289" t="n">
        <x:v>5</x:v>
      </x:c>
      <x:c r="T289" t="str">
        <x:v>2018-12-31|2019-12-31</x:v>
      </x:c>
      <x:c r="U289" s="57" t="n">
        <x:v>15170.912532063267</x:v>
      </x:c>
      <x:c r="V289" s="57" t="n">
        <x:v>-0.5837884078994988</x:v>
      </x:c>
      <x:c r="W289" t="n">
        <x:v>41</x:v>
      </x:c>
      <x:c r="X289" t="n">
        <x:v>4</x:v>
      </x:c>
      <x:c r="Y289" s="38" t="n">
        <x:v>0.6409090909090909</x:v>
      </x:c>
      <x:c r="Z289" s="38" t="n">
        <x:v>0.6752491604821305</x:v>
      </x:c>
      <x:c r="AA289"/>
    </x:row>
    <x:row r="290">
      <x:c r="A290" s="54" t="n">
        <x:v>44012</x:v>
      </x:c>
      <x:c r="B290" t="n">
        <x:v>44012.624999988424</x:v>
      </x:c>
      <x:c r="C290" t="str">
        <x:v>280360</x:v>
      </x:c>
      <x:c r="D290" t="str">
        <x:v>롯데웰푸드</x:v>
      </x:c>
      <x:c r="E290" t="str">
        <x:v>KOSPI</x:v>
      </x:c>
      <x:c r="F290" t="str">
        <x:v>LARGE</x:v>
      </x:c>
      <x:c r="G290" t="str">
        <x:v>ELIGIBLE</x:v>
      </x:c>
      <x:c r="H290"/>
      <x:c r="I290" s="54" t="n">
        <x:v>44012</x:v>
      </x:c>
      <x:c r="J290" s="55" t="n">
        <x:v>105500</x:v>
      </x:c>
      <x:c r="K290" s="55" t="n">
        <x:v>676963643500</x:v>
      </x:c>
      <x:c r="L290" s="55" t="n">
        <x:v>6416717</x:v>
      </x:c>
      <x:c r="M290" t="str">
        <x:v>20200330004070</x:v>
      </x:c>
      <x:c r="N290" t="n">
        <x:v>43920.624999988424</x:v>
      </x:c>
      <x:c r="O290" s="54" t="n">
        <x:v>43830</x:v>
      </x:c>
      <x:c r="P290" t="str">
        <x:v>False</x:v>
      </x:c>
      <x:c r="Q290" t="str">
        <x:v>f49b6c0c20ff0684447f15f101d49d1e47ad1510e992e5ff7bd83f1cbd36cb91</x:v>
      </x:c>
      <x:c r="R290" t="str">
        <x:v>40005f91daca10fc3c2b36dd94092130e9ecdc5b20f68462816a735c814fa45b</x:v>
      </x:c>
      <x:c r="S290" t="n">
        <x:v>5</x:v>
      </x:c>
      <x:c r="T290" t="str">
        <x:v>2018-12-31|2019-12-31</x:v>
      </x:c>
      <x:c r="U290" s="57" t="n">
        <x:v>330137.22375057806</x:v>
      </x:c>
      <x:c r="V290" s="57" t="n">
        <x:v>2.129262784365669</x:v>
      </x:c>
      <x:c r="W290" t="n">
        <x:v>3</x:v>
      </x:c>
      <x:c r="X290" t="n">
        <x:v>1</x:v>
      </x:c>
      <x:c r="Y290" s="38" t="n">
        <x:v>0.6409090909090909</x:v>
      </x:c>
      <x:c r="Z290" s="38" t="n">
        <x:v>0.7429356110829911</x:v>
      </x:c>
      <x:c r="AA290"/>
    </x:row>
    <x:row r="291">
      <x:c r="A291" s="54" t="n">
        <x:v>44012</x:v>
      </x:c>
      <x:c r="B291" t="n">
        <x:v>44012.624999988424</x:v>
      </x:c>
      <x:c r="C291" t="str">
        <x:v>039130</x:v>
      </x:c>
      <x:c r="D291" t="str">
        <x:v>하나투어</x:v>
      </x:c>
      <x:c r="E291" t="str">
        <x:v>KOSPI</x:v>
      </x:c>
      <x:c r="F291" t="str">
        <x:v>LARGE</x:v>
      </x:c>
      <x:c r="G291" t="str">
        <x:v>DCF_SCREENING_EXCLUSION</x:v>
      </x:c>
      <x:c r="H291" t="str">
        <x:v>NON_POSITIVE_EQUITY_VALUE</x:v>
      </x:c>
      <x:c r="I291" s="54" t="n">
        <x:v>44012</x:v>
      </x:c>
      <x:c r="J291" s="55" t="n">
        <x:v>38350</x:v>
      </x:c>
      <x:c r="K291" s="55" t="n">
        <x:v>534567744750</x:v>
      </x:c>
      <x:c r="L291" s="55" t="n">
        <x:v>13939185</x:v>
      </x:c>
      <x:c r="M291" t="str">
        <x:v>20200330002664</x:v>
      </x:c>
      <x:c r="N291" t="n">
        <x:v>43920.624999988424</x:v>
      </x:c>
      <x:c r="O291" s="54" t="n">
        <x:v>43830</x:v>
      </x:c>
      <x:c r="P291" t="str">
        <x:v>False</x:v>
      </x:c>
      <x:c r="Q291" t="str">
        <x:v>fbe751059989d62ca8f4f7478e672785cff95737f635cf3e78e1833343d2658b</x:v>
      </x:c>
      <x:c r="R291" t="str">
        <x:v>a37625ffb3f594ef74475b89b8d6a51a35605e2e1d18560e49b3e0e6549208e4</x:v>
      </x:c>
      <x:c r="S291" t="n">
        <x:v>5</x:v>
      </x:c>
      <x:c r="T291" t="str">
        <x:v>2018-12-31|2019-12-31</x:v>
      </x:c>
      <x:c r="U291" s="57" t="n">
        <x:v>-14937.544681896548</x:v>
      </x:c>
      <x:c r="V291" s="57" t="n">
        <x:v>-1.3895057283415007</x:v>
      </x:c>
      <x:c r="W291"/>
      <x:c r="X291"/>
      <x:c r="Y291" s="38" t="n">
        <x:v>0.6409090909090909</x:v>
      </x:c>
      <x:c r="Z291" s="38" t="n">
        <x:v>0.6865240790654953</x:v>
      </x:c>
      <x:c r="AA291" t="str">
        <x:v>NON_POSITIVE_EQUITY_VALUE</x:v>
      </x:c>
    </x:row>
    <x:row r="292">
      <x:c r="A292" s="54" t="n">
        <x:v>44012</x:v>
      </x:c>
      <x:c r="B292" t="n">
        <x:v>44012.624999988424</x:v>
      </x:c>
      <x:c r="C292" t="str">
        <x:v>005690</x:v>
      </x:c>
      <x:c r="D292" t="str">
        <x:v>파미셀</x:v>
      </x:c>
      <x:c r="E292" t="str">
        <x:v>KOSPI</x:v>
      </x:c>
      <x:c r="F292" t="str">
        <x:v>LARGE</x:v>
      </x:c>
      <x:c r="G292" t="str">
        <x:v>DCF_SCREENING_EXCLUSION</x:v>
      </x:c>
      <x:c r="H292" t="str">
        <x:v>NON_POSITIVE_ENTERPRISE_VALUE|NON_POSITIVE_TERMINAL_FCF</x:v>
      </x:c>
      <x:c r="I292" s="54" t="n">
        <x:v>44012</x:v>
      </x:c>
      <x:c r="J292" s="55" t="n">
        <x:v>18400</x:v>
      </x:c>
      <x:c r="K292" s="55" t="n">
        <x:v>1103244680000</x:v>
      </x:c>
      <x:c r="L292" s="55" t="n">
        <x:v>59958950</x:v>
      </x:c>
      <x:c r="M292" t="str">
        <x:v>20200330004368</x:v>
      </x:c>
      <x:c r="N292" t="n">
        <x:v>43920.624999988424</x:v>
      </x:c>
      <x:c r="O292" s="54" t="n">
        <x:v>43830</x:v>
      </x:c>
      <x:c r="P292" t="str">
        <x:v>False</x:v>
      </x:c>
      <x:c r="Q292" t="str">
        <x:v>bfcc085538d0dda9438b3fc945e9299777a5a3bf4af27e167faf8ac8f363954e</x:v>
      </x:c>
      <x:c r="R292" t="str">
        <x:v>eb3eebdb03d8dcb54137662ae290b73052fa7c43cb22fef18a7b9e1113c65bea</x:v>
      </x:c>
      <x:c r="S292" t="n">
        <x:v>6</x:v>
      </x:c>
      <x:c r="T292" t="str">
        <x:v>2018-12-31|2019-12-31</x:v>
      </x:c>
      <x:c r="U292" s="57" t="n">
        <x:v>75.33653788615449</x:v>
      </x:c>
      <x:c r="V292" s="57" t="n">
        <x:v>-0.9959056229409698</x:v>
      </x:c>
      <x:c r="W292"/>
      <x:c r="X292"/>
      <x:c r="Y292" s="38" t="n">
        <x:v>0.6409090909090909</x:v>
      </x:c>
      <x:c r="Z292" s="38" t="n">
        <x:v>0.5858711725692298</x:v>
      </x:c>
      <x:c r="AA292" t="str">
        <x:v>NON_POSITIVE_ENTERPRISE_VALUE|NON_POSITIVE_TERMINAL_FCF</x:v>
      </x:c>
    </x:row>
    <x:row r="293">
      <x:c r="A293" s="54" t="n">
        <x:v>44012</x:v>
      </x:c>
      <x:c r="B293" t="n">
        <x:v>44012.624999988424</x:v>
      </x:c>
      <x:c r="C293" t="str">
        <x:v>002030</x:v>
      </x:c>
      <x:c r="D293" t="str">
        <x:v>아세아</x:v>
      </x:c>
      <x:c r="E293" t="str">
        <x:v>KOSPI</x:v>
      </x:c>
      <x:c r="F293" t="str">
        <x:v>LARGE</x:v>
      </x:c>
      <x:c r="G293" t="str">
        <x:v>ELIGIBLE</x:v>
      </x:c>
      <x:c r="H293"/>
      <x:c r="I293" s="54" t="n">
        <x:v>44012</x:v>
      </x:c>
      <x:c r="J293" s="55" t="n">
        <x:v>69900</x:v>
      </x:c>
      <x:c r="K293" s="55" t="n">
        <x:v>153152577600</x:v>
      </x:c>
      <x:c r="L293" s="55" t="n">
        <x:v>2191024</x:v>
      </x:c>
      <x:c r="M293" t="str">
        <x:v>20200330004716</x:v>
      </x:c>
      <x:c r="N293" t="n">
        <x:v>43920.624999988424</x:v>
      </x:c>
      <x:c r="O293" s="54" t="n">
        <x:v>43830</x:v>
      </x:c>
      <x:c r="P293" t="str">
        <x:v>False</x:v>
      </x:c>
      <x:c r="Q293" t="str">
        <x:v>8e6c1c7d3fef97f129cd30373d0f84183b8125c1e47c44c23fbf9ca80abd0bb4</x:v>
      </x:c>
      <x:c r="R293" t="str">
        <x:v>36c2ce2a210a189504f3a476df367cb0ec6d1c508b6806944f1a26ee8a267c02</x:v>
      </x:c>
      <x:c r="S293" t="n">
        <x:v>6</x:v>
      </x:c>
      <x:c r="T293" t="str">
        <x:v>2018-12-31|2019-12-31</x:v>
      </x:c>
      <x:c r="U293" s="57" t="n">
        <x:v>506948.9154582979</x:v>
      </x:c>
      <x:c r="V293" s="57" t="n">
        <x:v>6.252488060919855</x:v>
      </x:c>
      <x:c r="W293" t="n">
        <x:v>1</x:v>
      </x:c>
      <x:c r="X293" t="n">
        <x:v>1</x:v>
      </x:c>
      <x:c r="Y293" s="38" t="n">
        <x:v>0.6409090909090909</x:v>
      </x:c>
      <x:c r="Z293" s="38" t="n">
        <x:v>0.6790236450854973</x:v>
      </x:c>
      <x:c r="AA293"/>
    </x:row>
    <x:row r="294">
      <x:c r="A294" s="54" t="n">
        <x:v>44012</x:v>
      </x:c>
      <x:c r="B294" t="n">
        <x:v>44012.624999988424</x:v>
      </x:c>
      <x:c r="C294" t="str">
        <x:v>009410</x:v>
      </x:c>
      <x:c r="D294" t="str">
        <x:v>태영건설</x:v>
      </x:c>
      <x:c r="E294" t="str">
        <x:v>KOSPI</x:v>
      </x:c>
      <x:c r="F294" t="str">
        <x:v>LARGE</x:v>
      </x:c>
      <x:c r="G294" t="str">
        <x:v>ELIGIBLE</x:v>
      </x:c>
      <x:c r="H294"/>
      <x:c r="I294" s="54" t="n">
        <x:v>44012</x:v>
      </x:c>
      <x:c r="J294" s="55" t="n">
        <x:v>15600</x:v>
      </x:c>
      <x:c r="K294" s="55" t="n">
        <x:v>1191840000000</x:v>
      </x:c>
      <x:c r="L294" s="55" t="n">
        <x:v>76400000</x:v>
      </x:c>
      <x:c r="M294" t="str">
        <x:v>20200330003911</x:v>
      </x:c>
      <x:c r="N294" t="n">
        <x:v>43920.624999988424</x:v>
      </x:c>
      <x:c r="O294" s="54" t="n">
        <x:v>43830</x:v>
      </x:c>
      <x:c r="P294" t="str">
        <x:v>False</x:v>
      </x:c>
      <x:c r="Q294" t="str">
        <x:v>1447c7502e035cd4deff36d3d9312df24e301a5a48ea1ebbba9d611d0f917a21</x:v>
      </x:c>
      <x:c r="R294" t="str">
        <x:v>a13ffe9a3c7db90d4c6ac6b110415d85fc9fde7ace4b09440c8dba9a08634efa</x:v>
      </x:c>
      <x:c r="S294" t="n">
        <x:v>6</x:v>
      </x:c>
      <x:c r="T294" t="str">
        <x:v>2018-12-31|2019-12-31</x:v>
      </x:c>
      <x:c r="U294" s="57" t="n">
        <x:v>40158.63299810239</x:v>
      </x:c>
      <x:c r="V294" s="57" t="n">
        <x:v>1.5742713460322046</x:v>
      </x:c>
      <x:c r="W294" t="n">
        <x:v>5</x:v>
      </x:c>
      <x:c r="X294" t="n">
        <x:v>1</x:v>
      </x:c>
      <x:c r="Y294" s="38" t="n">
        <x:v>0.6409090909090909</x:v>
      </x:c>
      <x:c r="Z294" s="38" t="n">
        <x:v>0.7132993121748787</x:v>
      </x:c>
      <x:c r="AA294"/>
    </x:row>
    <x:row r="295">
      <x:c r="A295" s="54" t="n">
        <x:v>44012</x:v>
      </x:c>
      <x:c r="B295" t="n">
        <x:v>44012.624999988424</x:v>
      </x:c>
      <x:c r="C295" t="str">
        <x:v>010780</x:v>
      </x:c>
      <x:c r="D295" t="str">
        <x:v>아이에스동서</x:v>
      </x:c>
      <x:c r="E295" t="str">
        <x:v>KOSPI</x:v>
      </x:c>
      <x:c r="F295" t="str">
        <x:v>LARGE</x:v>
      </x:c>
      <x:c r="G295" t="str">
        <x:v>ELIGIBLE</x:v>
      </x:c>
      <x:c r="H295"/>
      <x:c r="I295" s="54" t="n">
        <x:v>44012</x:v>
      </x:c>
      <x:c r="J295" s="55" t="n">
        <x:v>28150</x:v>
      </x:c>
      <x:c r="K295" s="55" t="n">
        <x:v>869626858900</x:v>
      </x:c>
      <x:c r="L295" s="55" t="n">
        <x:v>30892606</x:v>
      </x:c>
      <x:c r="M295" t="str">
        <x:v>20200330004452</x:v>
      </x:c>
      <x:c r="N295" t="n">
        <x:v>43920.624999988424</x:v>
      </x:c>
      <x:c r="O295" s="54" t="n">
        <x:v>43830</x:v>
      </x:c>
      <x:c r="P295" t="str">
        <x:v>False</x:v>
      </x:c>
      <x:c r="Q295" t="str">
        <x:v>9f1492ed6c55e8b05f4c7f5a45a1d2fe155f138dd2b8ab11cd6bff4abe56d5c7</x:v>
      </x:c>
      <x:c r="R295" t="str">
        <x:v>fbe8c69f3f39d7af7a7669cbf92bc5363cdc63a9e378e143711d437883d2c467</x:v>
      </x:c>
      <x:c r="S295" t="n">
        <x:v>6</x:v>
      </x:c>
      <x:c r="T295" t="str">
        <x:v>2018-12-31|2019-12-31</x:v>
      </x:c>
      <x:c r="U295" s="57" t="n">
        <x:v>24992.20993951776</x:v>
      </x:c>
      <x:c r="V295" s="57" t="n">
        <x:v>-0.112177266802211</x:v>
      </x:c>
      <x:c r="W295" t="n">
        <x:v>23</x:v>
      </x:c>
      <x:c r="X295" t="n">
        <x:v>2</x:v>
      </x:c>
      <x:c r="Y295" s="38" t="n">
        <x:v>0.6409090909090909</x:v>
      </x:c>
      <x:c r="Z295" s="38" t="n">
        <x:v>0.7064734758802966</x:v>
      </x:c>
      <x:c r="AA295"/>
    </x:row>
    <x:row r="296">
      <x:c r="A296" s="54" t="n">
        <x:v>44012</x:v>
      </x:c>
      <x:c r="B296" t="n">
        <x:v>44012.624999988424</x:v>
      </x:c>
      <x:c r="C296" t="str">
        <x:v>453340</x:v>
      </x:c>
      <x:c r="D296" t="str">
        <x:v>현대그린푸드</x:v>
      </x:c>
      <x:c r="E296" t="str">
        <x:v>KOSPI</x:v>
      </x:c>
      <x:c r="F296" t="str">
        <x:v>LARGE</x:v>
      </x:c>
      <x:c r="G296" t="str">
        <x:v>NOT_LISTED_OR_NO_PRICE</x:v>
      </x:c>
      <x:c r="H296"/>
      <x:c r="I296" s="54"/>
      <x:c r="J296" s="55"/>
      <x:c r="K296" s="55"/>
      <x:c r="L296" s="55"/>
      <x:c r="M296"/>
      <x:c r="N296"/>
      <x:c r="O296" s="54"/>
      <x:c r="P296"/>
      <x:c r="Q296"/>
      <x:c r="R296"/>
      <x:c r="S296"/>
      <x:c r="T296"/>
      <x:c r="U296" s="57"/>
      <x:c r="V296" s="57"/>
      <x:c r="W296"/>
      <x:c r="X296"/>
      <x:c r="Y296" s="38"/>
      <x:c r="Z296" s="38"/>
      <x:c r="AA296"/>
    </x:row>
    <x:row r="297">
      <x:c r="A297" s="54" t="n">
        <x:v>44012</x:v>
      </x:c>
      <x:c r="B297" t="n">
        <x:v>44012.624999988424</x:v>
      </x:c>
      <x:c r="C297" t="str">
        <x:v>006220</x:v>
      </x:c>
      <x:c r="D297" t="str">
        <x:v>제주은행</x:v>
      </x:c>
      <x:c r="E297" t="str">
        <x:v>KOSPI</x:v>
      </x:c>
      <x:c r="F297" t="str">
        <x:v>LARGE</x:v>
      </x:c>
      <x:c r="G297" t="str">
        <x:v>EXCLUDED_ARCHETYPE</x:v>
      </x:c>
      <x:c r="H297" t="str">
        <x:v>FCFF_NOT_COMPARABLE_FOR_FINANCE_OR_HOLDING_HINT</x:v>
      </x:c>
      <x:c r="I297" s="54"/>
      <x:c r="J297" s="55"/>
      <x:c r="K297" s="55"/>
      <x:c r="L297" s="55"/>
      <x:c r="M297"/>
      <x:c r="N297"/>
      <x:c r="O297" s="54"/>
      <x:c r="P297"/>
      <x:c r="Q297"/>
      <x:c r="R297"/>
      <x:c r="S297"/>
      <x:c r="T297"/>
      <x:c r="U297" s="57"/>
      <x:c r="V297" s="57"/>
      <x:c r="W297"/>
      <x:c r="X297"/>
      <x:c r="Y297" s="38"/>
      <x:c r="Z297" s="38"/>
      <x:c r="AA297"/>
    </x:row>
    <x:row r="298">
      <x:c r="A298" s="54" t="n">
        <x:v>44012</x:v>
      </x:c>
      <x:c r="B298" t="n">
        <x:v>44012.624999988424</x:v>
      </x:c>
      <x:c r="C298" t="str">
        <x:v>094800</x:v>
      </x:c>
      <x:c r="D298" t="str">
        <x:v>맵스리얼티1</x:v>
      </x:c>
      <x:c r="E298" t="str">
        <x:v>KOSPI</x:v>
      </x:c>
      <x:c r="F298" t="str">
        <x:v>LARGE</x:v>
      </x:c>
      <x:c r="G298" t="str">
        <x:v>NO_PIT_FINANCIALS</x:v>
      </x:c>
      <x:c r="H298"/>
      <x:c r="I298" s="54" t="n">
        <x:v>44012</x:v>
      </x:c>
      <x:c r="J298" s="55" t="n">
        <x:v>4045</x:v>
      </x:c>
      <x:c r="K298" s="55" t="n">
        <x:v>375514868895</x:v>
      </x:c>
      <x:c r="L298" s="55" t="n">
        <x:v>92834331</x:v>
      </x:c>
      <x:c r="M298"/>
      <x:c r="N298"/>
      <x:c r="O298" s="54"/>
      <x:c r="P298"/>
      <x:c r="Q298"/>
      <x:c r="R298"/>
      <x:c r="S298"/>
      <x:c r="T298"/>
      <x:c r="U298" s="57"/>
      <x:c r="V298" s="57"/>
      <x:c r="W298"/>
      <x:c r="X298"/>
      <x:c r="Y298" s="38"/>
      <x:c r="Z298" s="38"/>
      <x:c r="AA298"/>
    </x:row>
    <x:row r="299">
      <x:c r="A299" s="54" t="n">
        <x:v>44012</x:v>
      </x:c>
      <x:c r="B299" t="n">
        <x:v>44012.624999988424</x:v>
      </x:c>
      <x:c r="C299" t="str">
        <x:v>003160</x:v>
      </x:c>
      <x:c r="D299" t="str">
        <x:v>디아이</x:v>
      </x:c>
      <x:c r="E299" t="str">
        <x:v>KOSPI</x:v>
      </x:c>
      <x:c r="F299" t="str">
        <x:v>LARGE</x:v>
      </x:c>
      <x:c r="G299" t="str">
        <x:v>DCF_SCREENING_EXCLUSION</x:v>
      </x:c>
      <x:c r="H299" t="str">
        <x:v>NON_POSITIVE_ENTERPRISE_VALUE|NON_POSITIVE_EQUITY_VALUE|NON_POSITIVE_TERMINAL_FCF</x:v>
      </x:c>
      <x:c r="I299" s="54" t="n">
        <x:v>44012</x:v>
      </x:c>
      <x:c r="J299" s="55" t="n">
        <x:v>4020</x:v>
      </x:c>
      <x:c r="K299" s="55" t="n">
        <x:v>126617075700</x:v>
      </x:c>
      <x:c r="L299" s="55" t="n">
        <x:v>31496785</x:v>
      </x:c>
      <x:c r="M299" t="str">
        <x:v>20200330003463</x:v>
      </x:c>
      <x:c r="N299" t="n">
        <x:v>43920.624999988424</x:v>
      </x:c>
      <x:c r="O299" s="54" t="n">
        <x:v>43830</x:v>
      </x:c>
      <x:c r="P299" t="str">
        <x:v>False</x:v>
      </x:c>
      <x:c r="Q299" t="str">
        <x:v>2c9d26a13fb91a7897133f5d4181ea50b14f29018bdea81421148d222d049e90</x:v>
      </x:c>
      <x:c r="R299" t="str">
        <x:v>950ea701b3bd25d531df2e7f61c753710e6726cf120fcfb0505eea39b55f555f</x:v>
      </x:c>
      <x:c r="S299" t="n">
        <x:v>6</x:v>
      </x:c>
      <x:c r="T299" t="str">
        <x:v>2018-12-31|2019-12-31</x:v>
      </x:c>
      <x:c r="U299" s="57" t="n">
        <x:v>-1228.0531534836705</x:v>
      </x:c>
      <x:c r="V299" s="57" t="n">
        <x:v>-1.30548585907554</x:v>
      </x:c>
      <x:c r="W299"/>
      <x:c r="X299"/>
      <x:c r="Y299" s="38" t="n">
        <x:v>0.6409090909090909</x:v>
      </x:c>
      <x:c r="Z299" s="38" t="n">
        <x:v>0.5343254520509092</x:v>
      </x:c>
      <x:c r="AA299" t="str">
        <x:v>NON_POSITIVE_ENTERPRISE_VALUE|NON_POSITIVE_EQUITY_VALUE|NON_POSITIVE_TERMINAL_FCF</x:v>
      </x:c>
    </x:row>
    <x:row r="300">
      <x:c r="A300" s="54" t="n">
        <x:v>44012</x:v>
      </x:c>
      <x:c r="B300" t="n">
        <x:v>44012.624999988424</x:v>
      </x:c>
      <x:c r="C300" t="str">
        <x:v>001940</x:v>
      </x:c>
      <x:c r="D300" t="str">
        <x:v>KISCO홀딩스</x:v>
      </x:c>
      <x:c r="E300" t="str">
        <x:v>KOSPI</x:v>
      </x:c>
      <x:c r="F300" t="str">
        <x:v>LARGE</x:v>
      </x:c>
      <x:c r="G300" t="str">
        <x:v>EXCLUDED_ARCHETYPE</x:v>
      </x:c>
      <x:c r="H300" t="str">
        <x:v>FCFF_NOT_COMPARABLE_FOR_FINANCE_OR_HOLDING_HINT</x:v>
      </x:c>
      <x:c r="I300" s="54"/>
      <x:c r="J300" s="55"/>
      <x:c r="K300" s="55"/>
      <x:c r="L300" s="55"/>
      <x:c r="M300"/>
      <x:c r="N300"/>
      <x:c r="O300" s="54"/>
      <x:c r="P300"/>
      <x:c r="Q300"/>
      <x:c r="R300"/>
      <x:c r="S300"/>
      <x:c r="T300"/>
      <x:c r="U300" s="57"/>
      <x:c r="V300" s="57"/>
      <x:c r="W300"/>
      <x:c r="X300"/>
      <x:c r="Y300" s="38"/>
      <x:c r="Z300" s="38"/>
      <x:c r="AA300"/>
    </x:row>
    <x:row r="301">
      <x:c r="A301" s="54" t="n">
        <x:v>44012</x:v>
      </x:c>
      <x:c r="B301" t="n">
        <x:v>44012.624999988424</x:v>
      </x:c>
      <x:c r="C301" t="str">
        <x:v>009290</x:v>
      </x:c>
      <x:c r="D301" t="str">
        <x:v>광동제약</x:v>
      </x:c>
      <x:c r="E301" t="str">
        <x:v>KOSPI</x:v>
      </x:c>
      <x:c r="F301" t="str">
        <x:v>LARGE</x:v>
      </x:c>
      <x:c r="G301" t="str">
        <x:v>ELIGIBLE</x:v>
      </x:c>
      <x:c r="H301"/>
      <x:c r="I301" s="54" t="n">
        <x:v>44012</x:v>
      </x:c>
      <x:c r="J301" s="55" t="n">
        <x:v>7030</x:v>
      </x:c>
      <x:c r="K301" s="55" t="n">
        <x:v>368518582530</x:v>
      </x:c>
      <x:c r="L301" s="55" t="n">
        <x:v>52420851</x:v>
      </x:c>
      <x:c r="M301" t="str">
        <x:v>20200330002372</x:v>
      </x:c>
      <x:c r="N301" t="n">
        <x:v>43920.624999988424</x:v>
      </x:c>
      <x:c r="O301" s="54" t="n">
        <x:v>43830</x:v>
      </x:c>
      <x:c r="P301" t="str">
        <x:v>False</x:v>
      </x:c>
      <x:c r="Q301" t="str">
        <x:v>a12d7ccdb27c289d6b06e61d33b23da31b8c0ea8af860870017a08baecb958d7</x:v>
      </x:c>
      <x:c r="R301" t="str">
        <x:v>3e58c327a845a3a4c23f9f84fbb8c83e24d1ad92468bbcd7c9dc2c86f66658f3</x:v>
      </x:c>
      <x:c r="S301" t="n">
        <x:v>6</x:v>
      </x:c>
      <x:c r="T301" t="str">
        <x:v>2018-12-31|2019-12-31</x:v>
      </x:c>
      <x:c r="U301" s="57" t="n">
        <x:v>5510.422302971301</x:v>
      </x:c>
      <x:c r="V301" s="57" t="n">
        <x:v>-0.21615614466980063</x:v>
      </x:c>
      <x:c r="W301" t="n">
        <x:v>28</x:v>
      </x:c>
      <x:c r="X301" t="n">
        <x:v>3</x:v>
      </x:c>
      <x:c r="Y301" s="38" t="n">
        <x:v>0.6409090909090909</x:v>
      </x:c>
      <x:c r="Z301" s="38" t="n">
        <x:v>0.7188634599914384</x:v>
      </x:c>
      <x:c r="AA301"/>
    </x:row>
    <x:row r="302">
      <x:c r="A302" s="54" t="n">
        <x:v>44104</x:v>
      </x:c>
      <x:c r="B302" t="n">
        <x:v>44104.624999988424</x:v>
      </x:c>
      <x:c r="C302" t="str">
        <x:v>168330</x:v>
      </x:c>
      <x:c r="D302" t="str">
        <x:v>내츄럴엔도텍</x:v>
      </x:c>
      <x:c r="E302" t="str">
        <x:v>KOSDAQ</x:v>
      </x:c>
      <x:c r="F302" t="str">
        <x:v>SMALL</x:v>
      </x:c>
      <x:c r="G302" t="str">
        <x:v>DCF_SCREENING_EXCLUSION</x:v>
      </x:c>
      <x:c r="H302" t="str">
        <x:v>NON_POSITIVE_ENTERPRISE_VALUE|NON_POSITIVE_EQUITY_VALUE|NON_POSITIVE_TERMINAL_FCF</x:v>
      </x:c>
      <x:c r="I302" s="54" t="n">
        <x:v>44103</x:v>
      </x:c>
      <x:c r="J302" s="55" t="n">
        <x:v>2525</x:v>
      </x:c>
      <x:c r="K302" s="55" t="n">
        <x:v>52181200550</x:v>
      </x:c>
      <x:c r="L302" s="55" t="n">
        <x:v>20665822</x:v>
      </x:c>
      <x:c r="M302" t="str">
        <x:v>20200401001922</x:v>
      </x:c>
      <x:c r="N302" t="n">
        <x:v>43922.624999988424</x:v>
      </x:c>
      <x:c r="O302" s="54" t="n">
        <x:v>43830</x:v>
      </x:c>
      <x:c r="P302" t="str">
        <x:v>True</x:v>
      </x:c>
      <x:c r="Q302" t="str">
        <x:v>7ea5ffe1d0d2b913b64d2c20d5ba5881d5ecb6ee00edd9a23394c56e7d278ea2</x:v>
      </x:c>
      <x:c r="R302" t="str">
        <x:v>69033779d0f8a886f48408da3ded847f3c86a22f8c8fe7a27e6dd1fea47648d5</x:v>
      </x:c>
      <x:c r="S302" t="n">
        <x:v>7</x:v>
      </x:c>
      <x:c r="T302" t="str">
        <x:v>2018-12-31|2019-12-31</x:v>
      </x:c>
      <x:c r="U302" s="57" t="n">
        <x:v>-3503.391373201611</x:v>
      </x:c>
      <x:c r="V302" s="57" t="n">
        <x:v>-2.3874817319610337</x:v>
      </x:c>
      <x:c r="W302"/>
      <x:c r="X302"/>
      <x:c r="Y302" s="38" t="n">
        <x:v>0.6409090909090909</x:v>
      </x:c>
      <x:c r="Z302" s="38" t="n">
        <x:v>0.6382433896552948</x:v>
      </x:c>
      <x:c r="AA302" t="str">
        <x:v>NON_POSITIVE_ENTERPRISE_VALUE|NON_POSITIVE_EQUITY_VALUE|NON_POSITIVE_TERMINAL_FCF</x:v>
      </x:c>
    </x:row>
    <x:row r="303">
      <x:c r="A303" s="54" t="n">
        <x:v>44104</x:v>
      </x:c>
      <x:c r="B303" t="n">
        <x:v>44104.624999988424</x:v>
      </x:c>
      <x:c r="C303" t="str">
        <x:v>120240</x:v>
      </x:c>
      <x:c r="D303" t="str">
        <x:v>대정화금</x:v>
      </x:c>
      <x:c r="E303" t="str">
        <x:v>KOSDAQ</x:v>
      </x:c>
      <x:c r="F303" t="str">
        <x:v>SMALL</x:v>
      </x:c>
      <x:c r="G303" t="str">
        <x:v>DCF_SCREENING_EXCLUSION</x:v>
      </x:c>
      <x:c r="H303" t="str">
        <x:v>NON_POSITIVE_ENTERPRISE_VALUE|NON_POSITIVE_EQUITY_VALUE|NON_POSITIVE_TERMINAL_FCF</x:v>
      </x:c>
      <x:c r="I303" s="54" t="n">
        <x:v>44103</x:v>
      </x:c>
      <x:c r="J303" s="55" t="n">
        <x:v>30100</x:v>
      </x:c>
      <x:c r="K303" s="55" t="n">
        <x:v>213721769100</x:v>
      </x:c>
      <x:c r="L303" s="55" t="n">
        <x:v>7100391</x:v>
      </x:c>
      <x:c r="M303" t="str">
        <x:v>20200330002175</x:v>
      </x:c>
      <x:c r="N303" t="n">
        <x:v>43920.624999988424</x:v>
      </x:c>
      <x:c r="O303" s="54" t="n">
        <x:v>43830</x:v>
      </x:c>
      <x:c r="P303" t="str">
        <x:v>False</x:v>
      </x:c>
      <x:c r="Q303" t="str">
        <x:v>6e32cecfd116216d63e50ca240f3c0414512602ddd66fa298ca7ba1fe4873cbe</x:v>
      </x:c>
      <x:c r="R303" t="str">
        <x:v>89928948e3367e7b93ccb0d432c1272b93bc9b4b5aa0d41133188f85c3657bd7</x:v>
      </x:c>
      <x:c r="S303" t="n">
        <x:v>7</x:v>
      </x:c>
      <x:c r="T303" t="str">
        <x:v>2018-12-31|2019-12-31</x:v>
      </x:c>
      <x:c r="U303" s="57" t="n">
        <x:v>-2154.4866344063385</x:v>
      </x:c>
      <x:c r="V303" s="57" t="n">
        <x:v>-1.0715776290500445</x:v>
      </x:c>
      <x:c r="W303"/>
      <x:c r="X303"/>
      <x:c r="Y303" s="38" t="n">
        <x:v>0.6409090909090909</x:v>
      </x:c>
      <x:c r="Z303" s="38" t="n">
        <x:v>0.6375338642560864</x:v>
      </x:c>
      <x:c r="AA303" t="str">
        <x:v>NON_POSITIVE_ENTERPRISE_VALUE|NON_POSITIVE_EQUITY_VALUE|NON_POSITIVE_TERMINAL_FCF</x:v>
      </x:c>
    </x:row>
    <x:row r="304">
      <x:c r="A304" s="54" t="n">
        <x:v>44104</x:v>
      </x:c>
      <x:c r="B304" t="n">
        <x:v>44104.624999988424</x:v>
      </x:c>
      <x:c r="C304" t="str">
        <x:v>348350</x:v>
      </x:c>
      <x:c r="D304" t="str">
        <x:v>위드텍</x:v>
      </x:c>
      <x:c r="E304" t="str">
        <x:v>KOSDAQ</x:v>
      </x:c>
      <x:c r="F304" t="str">
        <x:v>SMALL</x:v>
      </x:c>
      <x:c r="G304" t="str">
        <x:v>NOT_LISTED_OR_NO_PRICE</x:v>
      </x:c>
      <x:c r="H304"/>
      <x:c r="I304" s="54"/>
      <x:c r="J304" s="55"/>
      <x:c r="K304" s="55"/>
      <x:c r="L304" s="55"/>
      <x:c r="M304"/>
      <x:c r="N304"/>
      <x:c r="O304" s="54"/>
      <x:c r="P304"/>
      <x:c r="Q304"/>
      <x:c r="R304"/>
      <x:c r="S304"/>
      <x:c r="T304"/>
      <x:c r="U304" s="57"/>
      <x:c r="V304" s="57"/>
      <x:c r="W304"/>
      <x:c r="X304"/>
      <x:c r="Y304" s="38"/>
      <x:c r="Z304" s="38"/>
      <x:c r="AA304"/>
    </x:row>
    <x:row r="305">
      <x:c r="A305" s="54" t="n">
        <x:v>44104</x:v>
      </x:c>
      <x:c r="B305" t="n">
        <x:v>44104.624999988424</x:v>
      </x:c>
      <x:c r="C305" t="str">
        <x:v>226330</x:v>
      </x:c>
      <x:c r="D305" t="str">
        <x:v>신테카바이오</x:v>
      </x:c>
      <x:c r="E305" t="str">
        <x:v>KOSDAQ</x:v>
      </x:c>
      <x:c r="F305" t="str">
        <x:v>SMALL</x:v>
      </x:c>
      <x:c r="G305" t="str">
        <x:v>DCF_SCREENING_EXCLUSION</x:v>
      </x:c>
      <x:c r="H305" t="str">
        <x:v>NON_POSITIVE_ENTERPRISE_VALUE|NON_POSITIVE_TERMINAL_FCF</x:v>
      </x:c>
      <x:c r="I305" s="54" t="n">
        <x:v>44103</x:v>
      </x:c>
      <x:c r="J305" s="55" t="n">
        <x:v>38900</x:v>
      </x:c>
      <x:c r="K305" s="55" t="n">
        <x:v>515114422400</x:v>
      </x:c>
      <x:c r="L305" s="55" t="n">
        <x:v>13242016</x:v>
      </x:c>
      <x:c r="M305" t="str">
        <x:v>20200330002788</x:v>
      </x:c>
      <x:c r="N305" t="n">
        <x:v>43920.624999988424</x:v>
      </x:c>
      <x:c r="O305" s="54" t="n">
        <x:v>43830</x:v>
      </x:c>
      <x:c r="P305" t="str">
        <x:v>False</x:v>
      </x:c>
      <x:c r="Q305" t="str">
        <x:v>6daebb8f4beeea3517dda3da03a2c1c53b2f64b3b782ad5ddbc0ff0d294f0921</x:v>
      </x:c>
      <x:c r="R305" t="str">
        <x:v>1052b731fe0fc2d8419ea72409def3bfa12f94d43406a0e3034860f25ec72e53</x:v>
      </x:c>
      <x:c r="S305" t="n">
        <x:v>7</x:v>
      </x:c>
      <x:c r="T305" t="str">
        <x:v>2019-12-31</x:v>
      </x:c>
      <x:c r="U305" s="57" t="n">
        <x:v>1206.7108844137329</x:v>
      </x:c>
      <x:c r="V305" s="57" t="n">
        <x:v>-0.9689791546423205</x:v>
      </x:c>
      <x:c r="W305"/>
      <x:c r="X305"/>
      <x:c r="Y305" s="38" t="n">
        <x:v>0.6409090909090909</x:v>
      </x:c>
      <x:c r="Z305" s="38" t="n">
        <x:v>0.6264850986190418</x:v>
      </x:c>
      <x:c r="AA305" t="str">
        <x:v>NON_POSITIVE_ENTERPRISE_VALUE|NON_POSITIVE_TERMINAL_FCF</x:v>
      </x:c>
    </x:row>
    <x:row r="306">
      <x:c r="A306" s="54" t="n">
        <x:v>44104</x:v>
      </x:c>
      <x:c r="B306" t="n">
        <x:v>44104.624999988424</x:v>
      </x:c>
      <x:c r="C306" t="str">
        <x:v>215090</x:v>
      </x:c>
      <x:c r="D306" t="str">
        <x:v>솔디펜스</x:v>
      </x:c>
      <x:c r="E306" t="str">
        <x:v>KOSDAQ</x:v>
      </x:c>
      <x:c r="F306" t="str">
        <x:v>SMALL</x:v>
      </x:c>
      <x:c r="G306" t="str">
        <x:v>DCF_SCREENING_EXCLUSION</x:v>
      </x:c>
      <x:c r="H306" t="str">
        <x:v>NON_POSITIVE_ENTERPRISE_VALUE|NON_POSITIVE_EQUITY_VALUE|NON_POSITIVE_TERMINAL_FCF</x:v>
      </x:c>
      <x:c r="I306" s="54" t="n">
        <x:v>44103</x:v>
      </x:c>
      <x:c r="J306" s="55" t="n">
        <x:v>836</x:v>
      </x:c>
      <x:c r="K306" s="55" t="n">
        <x:v>21856991772</x:v>
      </x:c>
      <x:c r="L306" s="55" t="n">
        <x:v>26144727</x:v>
      </x:c>
      <x:c r="M306" t="str">
        <x:v>20200728000263</x:v>
      </x:c>
      <x:c r="N306" t="n">
        <x:v>44040.624999988424</x:v>
      </x:c>
      <x:c r="O306" s="54" t="n">
        <x:v>43830</x:v>
      </x:c>
      <x:c r="P306" t="str">
        <x:v>True</x:v>
      </x:c>
      <x:c r="Q306" t="str">
        <x:v>4d2c39613f9e0760129259fafaee49448a33e3cbb3e5f6c69da0d5dfef33da78</x:v>
      </x:c>
      <x:c r="R306" t="str">
        <x:v>2e97c817133509a65248dec80fa606568731db20067787d264d135e75637be22</x:v>
      </x:c>
      <x:c r="S306" t="n">
        <x:v>6</x:v>
      </x:c>
      <x:c r="T306" t="str">
        <x:v>2018-12-31|2019-12-31</x:v>
      </x:c>
      <x:c r="U306" s="57" t="n">
        <x:v>-527.2288089072475</x:v>
      </x:c>
      <x:c r="V306" s="57" t="n">
        <x:v>-1.630656469984746</x:v>
      </x:c>
      <x:c r="W306"/>
      <x:c r="X306"/>
      <x:c r="Y306" s="38" t="n">
        <x:v>0.6409090909090909</x:v>
      </x:c>
      <x:c r="Z306" s="38" t="n">
        <x:v>0.5231366214978009</x:v>
      </x:c>
      <x:c r="AA306" t="str">
        <x:v>NON_POSITIVE_ENTERPRISE_VALUE|NON_POSITIVE_EQUITY_VALUE|NON_POSITIVE_TERMINAL_FCF</x:v>
      </x:c>
    </x:row>
    <x:row r="307">
      <x:c r="A307" s="54" t="n">
        <x:v>44104</x:v>
      </x:c>
      <x:c r="B307" t="n">
        <x:v>44104.624999988424</x:v>
      </x:c>
      <x:c r="C307" t="str">
        <x:v>185490</x:v>
      </x:c>
      <x:c r="D307" t="str">
        <x:v>아이진</x:v>
      </x:c>
      <x:c r="E307" t="str">
        <x:v>KOSDAQ</x:v>
      </x:c>
      <x:c r="F307" t="str">
        <x:v>SMALL</x:v>
      </x:c>
      <x:c r="G307" t="str">
        <x:v>DCF_SCREENING_EXCLUSION</x:v>
      </x:c>
      <x:c r="H307" t="str">
        <x:v>NON_POSITIVE_ENTERPRISE_VALUE|NON_POSITIVE_EQUITY_VALUE|NON_POSITIVE_TERMINAL_FCF</x:v>
      </x:c>
      <x:c r="I307" s="54" t="n">
        <x:v>44103</x:v>
      </x:c>
      <x:c r="J307" s="55" t="n">
        <x:v>12400</x:v>
      </x:c>
      <x:c r="K307" s="55" t="n">
        <x:v>143224699600</x:v>
      </x:c>
      <x:c r="L307" s="55" t="n">
        <x:v>11550379</x:v>
      </x:c>
      <x:c r="M307" t="str">
        <x:v>20200330004564</x:v>
      </x:c>
      <x:c r="N307" t="n">
        <x:v>43920.624999988424</x:v>
      </x:c>
      <x:c r="O307" s="54" t="n">
        <x:v>43830</x:v>
      </x:c>
      <x:c r="P307" t="str">
        <x:v>False</x:v>
      </x:c>
      <x:c r="Q307" t="str">
        <x:v>e7331e812233f02472153e9f9eb45fedaf58f470fc5259825ea470c89ee425f5</x:v>
      </x:c>
      <x:c r="R307" t="str">
        <x:v>095df92f85dd7397d3292171d983613617788dfa7501cc529ef5f750facc06c5</x:v>
      </x:c>
      <x:c r="S307" t="n">
        <x:v>5</x:v>
      </x:c>
      <x:c r="T307" t="str">
        <x:v>2018-12-31|2019-12-31</x:v>
      </x:c>
      <x:c r="U307" s="57" t="n">
        <x:v>-1823.7967989638285</x:v>
      </x:c>
      <x:c r="V307" s="57" t="n">
        <x:v>-1.147080387013212</x:v>
      </x:c>
      <x:c r="W307"/>
      <x:c r="X307"/>
      <x:c r="Y307" s="38" t="n">
        <x:v>0.6409090909090909</x:v>
      </x:c>
      <x:c r="Z307" s="38" t="n">
        <x:v>0.6422566574366064</x:v>
      </x:c>
      <x:c r="AA307" t="str">
        <x:v>NON_POSITIVE_ENTERPRISE_VALUE|NON_POSITIVE_EQUITY_VALUE|NON_POSITIVE_TERMINAL_FCF</x:v>
      </x:c>
    </x:row>
    <x:row r="308">
      <x:c r="A308" s="54" t="n">
        <x:v>44104</x:v>
      </x:c>
      <x:c r="B308" t="n">
        <x:v>44104.624999988424</x:v>
      </x:c>
      <x:c r="C308" t="str">
        <x:v>333620</x:v>
      </x:c>
      <x:c r="D308" t="str">
        <x:v>엔시스</x:v>
      </x:c>
      <x:c r="E308" t="str">
        <x:v>KOSDAQ</x:v>
      </x:c>
      <x:c r="F308" t="str">
        <x:v>SMALL</x:v>
      </x:c>
      <x:c r="G308" t="str">
        <x:v>NOT_LISTED_OR_NO_PRICE</x:v>
      </x:c>
      <x:c r="H308"/>
      <x:c r="I308" s="54"/>
      <x:c r="J308" s="55"/>
      <x:c r="K308" s="55"/>
      <x:c r="L308" s="55"/>
      <x:c r="M308"/>
      <x:c r="N308"/>
      <x:c r="O308" s="54"/>
      <x:c r="P308"/>
      <x:c r="Q308"/>
      <x:c r="R308"/>
      <x:c r="S308"/>
      <x:c r="T308"/>
      <x:c r="U308" s="57"/>
      <x:c r="V308" s="57"/>
      <x:c r="W308"/>
      <x:c r="X308"/>
      <x:c r="Y308" s="38"/>
      <x:c r="Z308" s="38"/>
      <x:c r="AA308"/>
    </x:row>
    <x:row r="309">
      <x:c r="A309" s="54" t="n">
        <x:v>44104</x:v>
      </x:c>
      <x:c r="B309" t="n">
        <x:v>44104.624999988424</x:v>
      </x:c>
      <x:c r="C309" t="str">
        <x:v>036710</x:v>
      </x:c>
      <x:c r="D309" t="str">
        <x:v>심텍홀딩스</x:v>
      </x:c>
      <x:c r="E309" t="str">
        <x:v>KOSDAQ</x:v>
      </x:c>
      <x:c r="F309" t="str">
        <x:v>SMALL</x:v>
      </x:c>
      <x:c r="G309" t="str">
        <x:v>EXCLUDED_ARCHETYPE</x:v>
      </x:c>
      <x:c r="H309" t="str">
        <x:v>FCFF_NOT_COMPARABLE_FOR_FINANCE_OR_HOLDING_HINT</x:v>
      </x:c>
      <x:c r="I309" s="54"/>
      <x:c r="J309" s="55"/>
      <x:c r="K309" s="55"/>
      <x:c r="L309" s="55"/>
      <x:c r="M309"/>
      <x:c r="N309"/>
      <x:c r="O309" s="54"/>
      <x:c r="P309"/>
      <x:c r="Q309"/>
      <x:c r="R309"/>
      <x:c r="S309"/>
      <x:c r="T309"/>
      <x:c r="U309" s="57"/>
      <x:c r="V309" s="57"/>
      <x:c r="W309"/>
      <x:c r="X309"/>
      <x:c r="Y309" s="38"/>
      <x:c r="Z309" s="38"/>
      <x:c r="AA309"/>
    </x:row>
    <x:row r="310">
      <x:c r="A310" s="54" t="n">
        <x:v>44104</x:v>
      </x:c>
      <x:c r="B310" t="n">
        <x:v>44104.624999988424</x:v>
      </x:c>
      <x:c r="C310" t="str">
        <x:v>049480</x:v>
      </x:c>
      <x:c r="D310" t="str">
        <x:v>오픈베이스</x:v>
      </x:c>
      <x:c r="E310" t="str">
        <x:v>KOSDAQ</x:v>
      </x:c>
      <x:c r="F310" t="str">
        <x:v>SMALL</x:v>
      </x:c>
      <x:c r="G310" t="str">
        <x:v>DCF_SCREENING_EXCLUSION</x:v>
      </x:c>
      <x:c r="H310" t="str">
        <x:v>NON_POSITIVE_ENTERPRISE_VALUE|NON_POSITIVE_TERMINAL_FCF|UNRELIABLE_TERMINAL_VALUE_SHARE</x:v>
      </x:c>
      <x:c r="I310" s="54" t="n">
        <x:v>44103</x:v>
      </x:c>
      <x:c r="J310" s="55" t="n">
        <x:v>3180</x:v>
      </x:c>
      <x:c r="K310" s="55" t="n">
        <x:v>99923177940</x:v>
      </x:c>
      <x:c r="L310" s="55" t="n">
        <x:v>31422383</x:v>
      </x:c>
      <x:c r="M310" t="str">
        <x:v>20200330002421</x:v>
      </x:c>
      <x:c r="N310" t="n">
        <x:v>43920.624999988424</x:v>
      </x:c>
      <x:c r="O310" s="54" t="n">
        <x:v>43830</x:v>
      </x:c>
      <x:c r="P310" t="str">
        <x:v>False</x:v>
      </x:c>
      <x:c r="Q310" t="str">
        <x:v>a80a1e04d75a6cf279cedcc018265987ab81e0b440daf2631cfaf8d327a7d2b8</x:v>
      </x:c>
      <x:c r="R310" t="str">
        <x:v>8fc8dd8b71f7cc0fddace493c9cc4e00cd3df9a0f540034dd8e8d02658b25113</x:v>
      </x:c>
      <x:c r="S310" t="n">
        <x:v>6</x:v>
      </x:c>
      <x:c r="T310" t="str">
        <x:v>2018-12-31|2019-12-31</x:v>
      </x:c>
      <x:c r="U310" s="57" t="n">
        <x:v>165.67116845342238</x:v>
      </x:c>
      <x:c r="V310" s="57" t="n">
        <x:v>-0.9479021482850873</x:v>
      </x:c>
      <x:c r="W310"/>
      <x:c r="X310"/>
      <x:c r="Y310" s="38" t="n">
        <x:v>0.6409090909090909</x:v>
      </x:c>
      <x:c r="Z310" s="38" t="n">
        <x:v>132.0632423192667</x:v>
      </x:c>
      <x:c r="AA310" t="str">
        <x:v>NON_POSITIVE_ENTERPRISE_VALUE|NON_POSITIVE_TERMINAL_FCF|UNRELIABLE_TERMINAL_VALUE_SHARE</x:v>
      </x:c>
    </x:row>
    <x:row r="311">
      <x:c r="A311" s="54" t="n">
        <x:v>44104</x:v>
      </x:c>
      <x:c r="B311" t="n">
        <x:v>44104.624999988424</x:v>
      </x:c>
      <x:c r="C311" t="str">
        <x:v>302430</x:v>
      </x:c>
      <x:c r="D311" t="str">
        <x:v>이노메트리</x:v>
      </x:c>
      <x:c r="E311" t="str">
        <x:v>KOSDAQ</x:v>
      </x:c>
      <x:c r="F311" t="str">
        <x:v>SMALL</x:v>
      </x:c>
      <x:c r="G311" t="str">
        <x:v>ELIGIBLE</x:v>
      </x:c>
      <x:c r="H311"/>
      <x:c r="I311" s="54" t="n">
        <x:v>44103</x:v>
      </x:c>
      <x:c r="J311" s="55" t="n">
        <x:v>21550</x:v>
      </x:c>
      <x:c r="K311" s="55" t="n">
        <x:v>207962154800</x:v>
      </x:c>
      <x:c r="L311" s="55" t="n">
        <x:v>9650216</x:v>
      </x:c>
      <x:c r="M311" t="str">
        <x:v>20200327001949</x:v>
      </x:c>
      <x:c r="N311" t="n">
        <x:v>43917.624999988424</x:v>
      </x:c>
      <x:c r="O311" s="54" t="n">
        <x:v>43830</x:v>
      </x:c>
      <x:c r="P311" t="str">
        <x:v>False</x:v>
      </x:c>
      <x:c r="Q311" t="str">
        <x:v>9439fe9eee7e7027087c8aac09f236db02b328d3f48a7762ddc282e722916be6</x:v>
      </x:c>
      <x:c r="R311" t="str">
        <x:v>a0543e65ba4dcb52330531b24f2a6f526b9b7313f55a60e09c1593ff529413bc</x:v>
      </x:c>
      <x:c r="S311" t="n">
        <x:v>6</x:v>
      </x:c>
      <x:c r="T311" t="str">
        <x:v>2018-12-31|2019-12-31</x:v>
      </x:c>
      <x:c r="U311" s="57" t="n">
        <x:v>4196.108244323621</x:v>
      </x:c>
      <x:c r="V311" s="57" t="n">
        <x:v>-0.805285000263405</x:v>
      </x:c>
      <x:c r="W311" t="n">
        <x:v>53</x:v>
      </x:c>
      <x:c r="X311" t="n">
        <x:v>5</x:v>
      </x:c>
      <x:c r="Y311" s="38" t="n">
        <x:v>0.6409090909090909</x:v>
      </x:c>
      <x:c r="Z311" s="38" t="n">
        <x:v>0.654245628778656</x:v>
      </x:c>
      <x:c r="AA311"/>
    </x:row>
    <x:row r="312">
      <x:c r="A312" s="54" t="n">
        <x:v>44104</x:v>
      </x:c>
      <x:c r="B312" t="n">
        <x:v>44104.624999988424</x:v>
      </x:c>
      <x:c r="C312" t="str">
        <x:v>288620</x:v>
      </x:c>
      <x:c r="D312" t="str">
        <x:v>에스퓨얼셀</x:v>
      </x:c>
      <x:c r="E312" t="str">
        <x:v>KOSDAQ</x:v>
      </x:c>
      <x:c r="F312" t="str">
        <x:v>SMALL</x:v>
      </x:c>
      <x:c r="G312" t="str">
        <x:v>DCF_SCREENING_EXCLUSION</x:v>
      </x:c>
      <x:c r="H312" t="str">
        <x:v>UNRELIABLE_TERMINAL_VALUE_SHARE</x:v>
      </x:c>
      <x:c r="I312" s="54" t="n">
        <x:v>44103</x:v>
      </x:c>
      <x:c r="J312" s="55" t="n">
        <x:v>38700</x:v>
      </x:c>
      <x:c r="K312" s="55" t="n">
        <x:v>222305029200</x:v>
      </x:c>
      <x:c r="L312" s="55" t="n">
        <x:v>5744316</x:v>
      </x:c>
      <x:c r="M312" t="str">
        <x:v>20200330004143</x:v>
      </x:c>
      <x:c r="N312" t="n">
        <x:v>43920.624999988424</x:v>
      </x:c>
      <x:c r="O312" s="54" t="n">
        <x:v>43830</x:v>
      </x:c>
      <x:c r="P312" t="str">
        <x:v>False</x:v>
      </x:c>
      <x:c r="Q312" t="str">
        <x:v>7434c53b7d28e7d6824609c979bc19f88a71849df366c5c682c6ff2ee0402435</x:v>
      </x:c>
      <x:c r="R312" t="str">
        <x:v>0c0cea23382728c122dd388b34cfdf35e1dd29bed5364809d3f4462aae932258</x:v>
      </x:c>
      <x:c r="S312" t="n">
        <x:v>6</x:v>
      </x:c>
      <x:c r="T312" t="str">
        <x:v>2018-12-31|2019-12-31</x:v>
      </x:c>
      <x:c r="U312" s="57" t="n">
        <x:v>617.2510382636931</x:v>
      </x:c>
      <x:c r="V312" s="57" t="n">
        <x:v>-0.98405036076838</x:v>
      </x:c>
      <x:c r="W312"/>
      <x:c r="X312"/>
      <x:c r="Y312" s="38" t="n">
        <x:v>0.6409090909090909</x:v>
      </x:c>
      <x:c r="Z312" s="38" t="n">
        <x:v>0.982965917448867</x:v>
      </x:c>
      <x:c r="AA312" t="str">
        <x:v>UNRELIABLE_TERMINAL_VALUE_SHARE</x:v>
      </x:c>
    </x:row>
    <x:row r="313">
      <x:c r="A313" s="54" t="n">
        <x:v>44104</x:v>
      </x:c>
      <x:c r="B313" t="n">
        <x:v>44104.624999988424</x:v>
      </x:c>
      <x:c r="C313" t="str">
        <x:v>094840</x:v>
      </x:c>
      <x:c r="D313" t="str">
        <x:v>슈프리마에이치큐</x:v>
      </x:c>
      <x:c r="E313" t="str">
        <x:v>KOSDAQ</x:v>
      </x:c>
      <x:c r="F313" t="str">
        <x:v>SMALL</x:v>
      </x:c>
      <x:c r="G313" t="str">
        <x:v>ELIGIBLE</x:v>
      </x:c>
      <x:c r="H313"/>
      <x:c r="I313" s="54" t="n">
        <x:v>44103</x:v>
      </x:c>
      <x:c r="J313" s="55" t="n">
        <x:v>6590</x:v>
      </x:c>
      <x:c r="K313" s="55" t="n">
        <x:v>69009425600</x:v>
      </x:c>
      <x:c r="L313" s="55" t="n">
        <x:v>10471840</x:v>
      </x:c>
      <x:c r="M313" t="str">
        <x:v>20200407002394</x:v>
      </x:c>
      <x:c r="N313" t="n">
        <x:v>43928.624999988424</x:v>
      </x:c>
      <x:c r="O313" s="54" t="n">
        <x:v>43830</x:v>
      </x:c>
      <x:c r="P313" t="str">
        <x:v>True</x:v>
      </x:c>
      <x:c r="Q313" t="str">
        <x:v>a3f89608e644eb6ff0639c198306cd340a5a8114c9decdfc85db2a2bd9ded52c</x:v>
      </x:c>
      <x:c r="R313" t="str">
        <x:v>7eae6391321b1e1f1afce974d81dd270324ad40ec6663e40acdec085b0439564</x:v>
      </x:c>
      <x:c r="S313" t="n">
        <x:v>6</x:v>
      </x:c>
      <x:c r="T313" t="str">
        <x:v>2018-12-31|2019-12-31</x:v>
      </x:c>
      <x:c r="U313" s="57" t="n">
        <x:v>2903.3884132538665</x:v>
      </x:c>
      <x:c r="V313" s="57" t="n">
        <x:v>-0.5594251269720991</x:v>
      </x:c>
      <x:c r="W313" t="n">
        <x:v>40</x:v>
      </x:c>
      <x:c r="X313" t="n">
        <x:v>4</x:v>
      </x:c>
      <x:c r="Y313" s="38" t="n">
        <x:v>0.6409090909090909</x:v>
      </x:c>
      <x:c r="Z313" s="38" t="n">
        <x:v>0.6640299967652187</x:v>
      </x:c>
      <x:c r="AA313"/>
    </x:row>
    <x:row r="314">
      <x:c r="A314" s="54" t="n">
        <x:v>44104</x:v>
      </x:c>
      <x:c r="B314" t="n">
        <x:v>44104.624999988424</x:v>
      </x:c>
      <x:c r="C314" t="str">
        <x:v>019990</x:v>
      </x:c>
      <x:c r="D314" t="str">
        <x:v>에너토크</x:v>
      </x:c>
      <x:c r="E314" t="str">
        <x:v>KOSDAQ</x:v>
      </x:c>
      <x:c r="F314" t="str">
        <x:v>SMALL</x:v>
      </x:c>
      <x:c r="G314" t="str">
        <x:v>DCF_SCREENING_EXCLUSION</x:v>
      </x:c>
      <x:c r="H314" t="str">
        <x:v>NON_POSITIVE_ENTERPRISE_VALUE|NON_POSITIVE_EQUITY_VALUE|NON_POSITIVE_TERMINAL_FCF</x:v>
      </x:c>
      <x:c r="I314" s="54" t="n">
        <x:v>44103</x:v>
      </x:c>
      <x:c r="J314" s="55" t="n">
        <x:v>4350</x:v>
      </x:c>
      <x:c r="K314" s="55" t="n">
        <x:v>42438982800</x:v>
      </x:c>
      <x:c r="L314" s="55" t="n">
        <x:v>9756088</x:v>
      </x:c>
      <x:c r="M314" t="str">
        <x:v>20200330001788</x:v>
      </x:c>
      <x:c r="N314" t="n">
        <x:v>43920.624999988424</x:v>
      </x:c>
      <x:c r="O314" s="54" t="n">
        <x:v>43830</x:v>
      </x:c>
      <x:c r="P314" t="str">
        <x:v>False</x:v>
      </x:c>
      <x:c r="Q314" t="str">
        <x:v>f2e2396ad6831135dea94697f5e2ed05be027bcbc6fd7f725b66ee39afb94a22</x:v>
      </x:c>
      <x:c r="R314" t="str">
        <x:v>f7893d7a7a04135bbf21a2e2e4878fa7ed6695df6bfc13fcb336eac4f1109c29</x:v>
      </x:c>
      <x:c r="S314" t="n">
        <x:v>7</x:v>
      </x:c>
      <x:c r="T314" t="str">
        <x:v>2018-12-31|2019-12-31</x:v>
      </x:c>
      <x:c r="U314" s="57" t="n">
        <x:v>-309.37462625571885</x:v>
      </x:c>
      <x:c r="V314" s="57" t="n">
        <x:v>-1.071120603736947</x:v>
      </x:c>
      <x:c r="W314"/>
      <x:c r="X314"/>
      <x:c r="Y314" s="38" t="n">
        <x:v>0.6409090909090909</x:v>
      </x:c>
      <x:c r="Z314" s="38" t="n">
        <x:v>0.5445814290277464</x:v>
      </x:c>
      <x:c r="AA314" t="str">
        <x:v>NON_POSITIVE_ENTERPRISE_VALUE|NON_POSITIVE_EQUITY_VALUE|NON_POSITIVE_TERMINAL_FCF</x:v>
      </x:c>
    </x:row>
    <x:row r="315">
      <x:c r="A315" s="54" t="n">
        <x:v>44104</x:v>
      </x:c>
      <x:c r="B315" t="n">
        <x:v>44104.624999988424</x:v>
      </x:c>
      <x:c r="C315" t="str">
        <x:v>024740</x:v>
      </x:c>
      <x:c r="D315" t="str">
        <x:v>한일단조</x:v>
      </x:c>
      <x:c r="E315" t="str">
        <x:v>KOSDAQ</x:v>
      </x:c>
      <x:c r="F315" t="str">
        <x:v>SMALL</x:v>
      </x:c>
      <x:c r="G315" t="str">
        <x:v>DCF_SCREENING_EXCLUSION</x:v>
      </x:c>
      <x:c r="H315" t="str">
        <x:v>NON_POSITIVE_ENTERPRISE_VALUE|NON_POSITIVE_EQUITY_VALUE|NON_POSITIVE_TERMINAL_FCF</x:v>
      </x:c>
      <x:c r="I315" s="54" t="n">
        <x:v>44103</x:v>
      </x:c>
      <x:c r="J315" s="55" t="n">
        <x:v>1895</x:v>
      </x:c>
      <x:c r="K315" s="55" t="n">
        <x:v>56644066560</x:v>
      </x:c>
      <x:c r="L315" s="55" t="n">
        <x:v>29891328</x:v>
      </x:c>
      <x:c r="M315" t="str">
        <x:v>20200330001710</x:v>
      </x:c>
      <x:c r="N315" t="n">
        <x:v>43920.624999988424</x:v>
      </x:c>
      <x:c r="O315" s="54" t="n">
        <x:v>43830</x:v>
      </x:c>
      <x:c r="P315" t="str">
        <x:v>False</x:v>
      </x:c>
      <x:c r="Q315" t="str">
        <x:v>d15e948aa9dfe94fbd968cd0dae581849a839f3ef47e6a407973ebc195b6f374</x:v>
      </x:c>
      <x:c r="R315" t="str">
        <x:v>78446e23cb8a76ce3efd073c15c4a71203d3c7c8bd55b4f2ae85b3a04229b857</x:v>
      </x:c>
      <x:c r="S315" t="n">
        <x:v>7</x:v>
      </x:c>
      <x:c r="T315" t="str">
        <x:v>2018-12-31|2019-12-31</x:v>
      </x:c>
      <x:c r="U315" s="57" t="n">
        <x:v>-3038.605511049091</x:v>
      </x:c>
      <x:c r="V315" s="57" t="n">
        <x:v>-2.6034857578095467</x:v>
      </x:c>
      <x:c r="W315"/>
      <x:c r="X315"/>
      <x:c r="Y315" s="38" t="n">
        <x:v>0.6409090909090909</x:v>
      </x:c>
      <x:c r="Z315" s="38" t="n">
        <x:v>0.7128505204548261</x:v>
      </x:c>
      <x:c r="AA315" t="str">
        <x:v>NON_POSITIVE_ENTERPRISE_VALUE|NON_POSITIVE_EQUITY_VALUE|NON_POSITIVE_TERMINAL_FCF</x:v>
      </x:c>
    </x:row>
    <x:row r="316">
      <x:c r="A316" s="54" t="n">
        <x:v>44104</x:v>
      </x:c>
      <x:c r="B316" t="n">
        <x:v>44104.624999988424</x:v>
      </x:c>
      <x:c r="C316" t="str">
        <x:v>340930</x:v>
      </x:c>
      <x:c r="D316" t="str">
        <x:v>유일에너테크</x:v>
      </x:c>
      <x:c r="E316" t="str">
        <x:v>KOSDAQ</x:v>
      </x:c>
      <x:c r="F316" t="str">
        <x:v>SMALL</x:v>
      </x:c>
      <x:c r="G316" t="str">
        <x:v>NOT_LISTED_OR_NO_PRICE</x:v>
      </x:c>
      <x:c r="H316"/>
      <x:c r="I316" s="54"/>
      <x:c r="J316" s="55"/>
      <x:c r="K316" s="55"/>
      <x:c r="L316" s="55"/>
      <x:c r="M316"/>
      <x:c r="N316"/>
      <x:c r="O316" s="54"/>
      <x:c r="P316"/>
      <x:c r="Q316"/>
      <x:c r="R316"/>
      <x:c r="S316"/>
      <x:c r="T316"/>
      <x:c r="U316" s="57"/>
      <x:c r="V316" s="57"/>
      <x:c r="W316"/>
      <x:c r="X316"/>
      <x:c r="Y316" s="38"/>
      <x:c r="Z316" s="38"/>
      <x:c r="AA316"/>
    </x:row>
    <x:row r="317">
      <x:c r="A317" s="54" t="n">
        <x:v>44104</x:v>
      </x:c>
      <x:c r="B317" t="n">
        <x:v>44104.624999988424</x:v>
      </x:c>
      <x:c r="C317" t="str">
        <x:v>057030</x:v>
      </x:c>
      <x:c r="D317" t="str">
        <x:v>YBM넷</x:v>
      </x:c>
      <x:c r="E317" t="str">
        <x:v>KOSDAQ</x:v>
      </x:c>
      <x:c r="F317" t="str">
        <x:v>SMALL</x:v>
      </x:c>
      <x:c r="G317" t="str">
        <x:v>ELIGIBLE</x:v>
      </x:c>
      <x:c r="H317"/>
      <x:c r="I317" s="54" t="n">
        <x:v>44103</x:v>
      </x:c>
      <x:c r="J317" s="55" t="n">
        <x:v>9260</x:v>
      </x:c>
      <x:c r="K317" s="55" t="n">
        <x:v>151055574220</x:v>
      </x:c>
      <x:c r="L317" s="55" t="n">
        <x:v>16312697</x:v>
      </x:c>
      <x:c r="M317" t="str">
        <x:v>20200330002871</x:v>
      </x:c>
      <x:c r="N317" t="n">
        <x:v>43920.624999988424</x:v>
      </x:c>
      <x:c r="O317" s="54" t="n">
        <x:v>43830</x:v>
      </x:c>
      <x:c r="P317" t="str">
        <x:v>False</x:v>
      </x:c>
      <x:c r="Q317" t="str">
        <x:v>31bfa98f3484f6e39f01291319bd7997853a67bb35d73559fb8f28fcccbc1709</x:v>
      </x:c>
      <x:c r="R317" t="str">
        <x:v>21915651b2c89caf18110e90c277571770e447f5f8360d31f38649cb509448fa</x:v>
      </x:c>
      <x:c r="S317" t="n">
        <x:v>6</x:v>
      </x:c>
      <x:c r="T317" t="str">
        <x:v>2018-12-31|2019-12-31</x:v>
      </x:c>
      <x:c r="U317" s="57" t="n">
        <x:v>250.81223785625028</x:v>
      </x:c>
      <x:c r="V317" s="57" t="n">
        <x:v>-0.9729144451559125</x:v>
      </x:c>
      <x:c r="W317" t="n">
        <x:v>63</x:v>
      </x:c>
      <x:c r="X317" t="n">
        <x:v>5</x:v>
      </x:c>
      <x:c r="Y317" s="38" t="n">
        <x:v>0.6409090909090909</x:v>
      </x:c>
      <x:c r="Z317" s="38" t="n">
        <x:v>0.5055006343771669</x:v>
      </x:c>
      <x:c r="AA317"/>
    </x:row>
    <x:row r="318">
      <x:c r="A318" s="54" t="n">
        <x:v>44104</x:v>
      </x:c>
      <x:c r="B318" t="n">
        <x:v>44104.624999988424</x:v>
      </x:c>
      <x:c r="C318" t="str">
        <x:v>053160</x:v>
      </x:c>
      <x:c r="D318" t="str">
        <x:v>프리엠스</x:v>
      </x:c>
      <x:c r="E318" t="str">
        <x:v>KOSDAQ</x:v>
      </x:c>
      <x:c r="F318" t="str">
        <x:v>SMALL</x:v>
      </x:c>
      <x:c r="G318" t="str">
        <x:v>DCF_SCREENING_EXCLUSION</x:v>
      </x:c>
      <x:c r="H318" t="str">
        <x:v>UNRELIABLE_TERMINAL_VALUE_SHARE</x:v>
      </x:c>
      <x:c r="I318" s="54" t="n">
        <x:v>44103</x:v>
      </x:c>
      <x:c r="J318" s="55" t="n">
        <x:v>9050</x:v>
      </x:c>
      <x:c r="K318" s="55" t="n">
        <x:v>54300000000</x:v>
      </x:c>
      <x:c r="L318" s="55" t="n">
        <x:v>6000000</x:v>
      </x:c>
      <x:c r="M318" t="str">
        <x:v>20200330000416</x:v>
      </x:c>
      <x:c r="N318" t="n">
        <x:v>43920.624999988424</x:v>
      </x:c>
      <x:c r="O318" s="54" t="n">
        <x:v>43830</x:v>
      </x:c>
      <x:c r="P318" t="str">
        <x:v>False</x:v>
      </x:c>
      <x:c r="Q318" t="str">
        <x:v>b8d8d57690688396554de3a51b42deab1fbc22dae9ba62af4b83812081529be9</x:v>
      </x:c>
      <x:c r="R318" t="str">
        <x:v>119800ddc8d32cf6b2b081a667caada1ac28788814c9a2944ba8da87888bf3a3</x:v>
      </x:c>
      <x:c r="S318" t="n">
        <x:v>7</x:v>
      </x:c>
      <x:c r="T318" t="str">
        <x:v>2018-12-31|2019-12-31</x:v>
      </x:c>
      <x:c r="U318" s="57" t="n">
        <x:v>142.32722732995737</x:v>
      </x:c>
      <x:c r="V318" s="57" t="n">
        <x:v>-0.984273234549176</x:v>
      </x:c>
      <x:c r="W318"/>
      <x:c r="X318"/>
      <x:c r="Y318" s="38" t="n">
        <x:v>0.6409090909090909</x:v>
      </x:c>
      <x:c r="Z318" s="38" t="n">
        <x:v>1.219784346278681</x:v>
      </x:c>
      <x:c r="AA318" t="str">
        <x:v>UNRELIABLE_TERMINAL_VALUE_SHARE</x:v>
      </x:c>
    </x:row>
    <x:row r="319">
      <x:c r="A319" s="54" t="n">
        <x:v>44104</x:v>
      </x:c>
      <x:c r="B319" t="n">
        <x:v>44104.624999988424</x:v>
      </x:c>
      <x:c r="C319" t="str">
        <x:v>038620</x:v>
      </x:c>
      <x:c r="D319" t="str">
        <x:v>위즈코프</x:v>
      </x:c>
      <x:c r="E319" t="str">
        <x:v>KOSDAQ</x:v>
      </x:c>
      <x:c r="F319" t="str">
        <x:v>SMALL</x:v>
      </x:c>
      <x:c r="G319" t="str">
        <x:v>ELIGIBLE</x:v>
      </x:c>
      <x:c r="H319"/>
      <x:c r="I319" s="54" t="n">
        <x:v>44103</x:v>
      </x:c>
      <x:c r="J319" s="55" t="n">
        <x:v>1030</x:v>
      </x:c>
      <x:c r="K319" s="55" t="n">
        <x:v>39995695160</x:v>
      </x:c>
      <x:c r="L319" s="55" t="n">
        <x:v>38830772</x:v>
      </x:c>
      <x:c r="M319" t="str">
        <x:v>20200330003512</x:v>
      </x:c>
      <x:c r="N319" t="n">
        <x:v>43920.624999988424</x:v>
      </x:c>
      <x:c r="O319" s="54" t="n">
        <x:v>43830</x:v>
      </x:c>
      <x:c r="P319" t="str">
        <x:v>False</x:v>
      </x:c>
      <x:c r="Q319" t="str">
        <x:v>0be21a4afbbce00f84fbac53bc2c696c7b14834ea8be19a4e7b4c345190d050f</x:v>
      </x:c>
      <x:c r="R319" t="str">
        <x:v>9352fd7f0b93a3069f8c48b36974d51f96b14f9af18d42251c468565da6460ab</x:v>
      </x:c>
      <x:c r="S319" t="n">
        <x:v>5</x:v>
      </x:c>
      <x:c r="T319" t="str">
        <x:v>2018-12-31|2019-12-31</x:v>
      </x:c>
      <x:c r="U319" s="57" t="n">
        <x:v>282.9420430892279</x:v>
      </x:c>
      <x:c r="V319" s="57" t="n">
        <x:v>-0.7252989872920117</x:v>
      </x:c>
      <x:c r="W319" t="n">
        <x:v>48</x:v>
      </x:c>
      <x:c r="X319" t="n">
        <x:v>4</x:v>
      </x:c>
      <x:c r="Y319" s="38" t="n">
        <x:v>0.6409090909090909</x:v>
      </x:c>
      <x:c r="Z319" s="38" t="n">
        <x:v>0.5351541615818943</x:v>
      </x:c>
      <x:c r="AA319"/>
    </x:row>
    <x:row r="320">
      <x:c r="A320" s="54" t="n">
        <x:v>44104</x:v>
      </x:c>
      <x:c r="B320" t="n">
        <x:v>44104.624999988424</x:v>
      </x:c>
      <x:c r="C320" t="str">
        <x:v>313760</x:v>
      </x:c>
      <x:c r="D320" t="str">
        <x:v>캐리</x:v>
      </x:c>
      <x:c r="E320" t="str">
        <x:v>KOSDAQ</x:v>
      </x:c>
      <x:c r="F320" t="str">
        <x:v>SMALL</x:v>
      </x:c>
      <x:c r="G320" t="str">
        <x:v>ELIGIBLE</x:v>
      </x:c>
      <x:c r="H320"/>
      <x:c r="I320" s="54" t="n">
        <x:v>44103</x:v>
      </x:c>
      <x:c r="J320" s="55" t="n">
        <x:v>16700</x:v>
      </x:c>
      <x:c r="K320" s="55" t="n">
        <x:v>81195400000</x:v>
      </x:c>
      <x:c r="L320" s="55" t="n">
        <x:v>4862000</x:v>
      </x:c>
      <x:c r="M320" t="str">
        <x:v>20200330001096</x:v>
      </x:c>
      <x:c r="N320" t="n">
        <x:v>43920.624999988424</x:v>
      </x:c>
      <x:c r="O320" s="54" t="n">
        <x:v>43830</x:v>
      </x:c>
      <x:c r="P320" t="str">
        <x:v>False</x:v>
      </x:c>
      <x:c r="Q320" t="str">
        <x:v>5eaf0d13b8aa602f0473d18b94ec4985e2122f7d7f192c687da13bed10975db5</x:v>
      </x:c>
      <x:c r="R320" t="str">
        <x:v>adc6b1b633668d036c516f5c32b7415d332ccaccfea5831ebea865a1d3bb1d82</x:v>
      </x:c>
      <x:c r="S320" t="n">
        <x:v>5</x:v>
      </x:c>
      <x:c r="T320" t="str">
        <x:v>2019-12-31</x:v>
      </x:c>
      <x:c r="U320" s="57" t="n">
        <x:v>4050.8466663379677</x:v>
      </x:c>
      <x:c r="V320" s="57" t="n">
        <x:v>-0.7574343313570079</x:v>
      </x:c>
      <x:c r="W320" t="n">
        <x:v>50</x:v>
      </x:c>
      <x:c r="X320" t="n">
        <x:v>4</x:v>
      </x:c>
      <x:c r="Y320" s="38" t="n">
        <x:v>0.6409090909090909</x:v>
      </x:c>
      <x:c r="Z320" s="38" t="n">
        <x:v>0.6264850986190418</x:v>
      </x:c>
      <x:c r="AA320"/>
    </x:row>
    <x:row r="321">
      <x:c r="A321" s="54" t="n">
        <x:v>44104</x:v>
      </x:c>
      <x:c r="B321" t="n">
        <x:v>44104.624999988424</x:v>
      </x:c>
      <x:c r="C321" t="str">
        <x:v>372800</x:v>
      </x:c>
      <x:c r="D321" t="str">
        <x:v>아이티아이즈</x:v>
      </x:c>
      <x:c r="E321" t="str">
        <x:v>KOSDAQ</x:v>
      </x:c>
      <x:c r="F321" t="str">
        <x:v>SMALL</x:v>
      </x:c>
      <x:c r="G321" t="str">
        <x:v>NOT_LISTED_OR_NO_PRICE</x:v>
      </x:c>
      <x:c r="H321"/>
      <x:c r="I321" s="54"/>
      <x:c r="J321" s="55"/>
      <x:c r="K321" s="55"/>
      <x:c r="L321" s="55"/>
      <x:c r="M321"/>
      <x:c r="N321"/>
      <x:c r="O321" s="54"/>
      <x:c r="P321"/>
      <x:c r="Q321"/>
      <x:c r="R321"/>
      <x:c r="S321"/>
      <x:c r="T321"/>
      <x:c r="U321" s="57"/>
      <x:c r="V321" s="57"/>
      <x:c r="W321"/>
      <x:c r="X321"/>
      <x:c r="Y321" s="38"/>
      <x:c r="Z321" s="38"/>
      <x:c r="AA321"/>
    </x:row>
    <x:row r="322">
      <x:c r="A322" s="54" t="n">
        <x:v>44104</x:v>
      </x:c>
      <x:c r="B322" t="n">
        <x:v>44104.624999988424</x:v>
      </x:c>
      <x:c r="C322" t="str">
        <x:v>332290</x:v>
      </x:c>
      <x:c r="D322" t="str">
        <x:v>누보</x:v>
      </x:c>
      <x:c r="E322" t="str">
        <x:v>KOSDAQ</x:v>
      </x:c>
      <x:c r="F322" t="str">
        <x:v>SMALL</x:v>
      </x:c>
      <x:c r="G322" t="str">
        <x:v>NO_PIT_FINANCIALS</x:v>
      </x:c>
      <x:c r="H322"/>
      <x:c r="I322" s="54" t="n">
        <x:v>44103</x:v>
      </x:c>
      <x:c r="J322" s="55" t="n">
        <x:v>2015</x:v>
      </x:c>
      <x:c r="K322" s="55" t="n">
        <x:v>10488075000</x:v>
      </x:c>
      <x:c r="L322" s="55" t="n">
        <x:v>5205000</x:v>
      </x:c>
      <x:c r="M322"/>
      <x:c r="N322"/>
      <x:c r="O322" s="54"/>
      <x:c r="P322"/>
      <x:c r="Q322"/>
      <x:c r="R322"/>
      <x:c r="S322"/>
      <x:c r="T322"/>
      <x:c r="U322" s="57"/>
      <x:c r="V322" s="57"/>
      <x:c r="W322"/>
      <x:c r="X322"/>
      <x:c r="Y322" s="38"/>
      <x:c r="Z322" s="38"/>
      <x:c r="AA322"/>
    </x:row>
    <x:row r="323">
      <x:c r="A323" s="54" t="n">
        <x:v>44104</x:v>
      </x:c>
      <x:c r="B323" t="n">
        <x:v>44104.624999988424</x:v>
      </x:c>
      <x:c r="C323" t="str">
        <x:v>059100</x:v>
      </x:c>
      <x:c r="D323" t="str">
        <x:v>아이컴포넌트</x:v>
      </x:c>
      <x:c r="E323" t="str">
        <x:v>KOSDAQ</x:v>
      </x:c>
      <x:c r="F323" t="str">
        <x:v>SMALL</x:v>
      </x:c>
      <x:c r="G323" t="str">
        <x:v>DCF_SCREENING_EXCLUSION</x:v>
      </x:c>
      <x:c r="H323" t="str">
        <x:v>NON_POSITIVE_EQUITY_VALUE</x:v>
      </x:c>
      <x:c r="I323" s="54" t="n">
        <x:v>44103</x:v>
      </x:c>
      <x:c r="J323" s="55" t="n">
        <x:v>4600</x:v>
      </x:c>
      <x:c r="K323" s="55" t="n">
        <x:v>32525956000</x:v>
      </x:c>
      <x:c r="L323" s="55" t="n">
        <x:v>7070860</x:v>
      </x:c>
      <x:c r="M323" t="str">
        <x:v>20200327000138</x:v>
      </x:c>
      <x:c r="N323" t="n">
        <x:v>43917.624999988424</x:v>
      </x:c>
      <x:c r="O323" s="54" t="n">
        <x:v>43830</x:v>
      </x:c>
      <x:c r="P323" t="str">
        <x:v>False</x:v>
      </x:c>
      <x:c r="Q323" t="str">
        <x:v>4d12405d1f4469a25a3b0cee1621423c78c5b833745fd5449520dd27aab8ae64</x:v>
      </x:c>
      <x:c r="R323" t="str">
        <x:v>305e8d117f3b26f0ebe134331e51961606afb375206f1694033ad71ffbaa5375</x:v>
      </x:c>
      <x:c r="S323" t="n">
        <x:v>7</x:v>
      </x:c>
      <x:c r="T323" t="str">
        <x:v>2018-12-31|2019-12-31</x:v>
      </x:c>
      <x:c r="U323" s="57" t="n">
        <x:v>-517.9732228110661</x:v>
      </x:c>
      <x:c r="V323" s="57" t="n">
        <x:v>-1.1126028745241447</x:v>
      </x:c>
      <x:c r="W323"/>
      <x:c r="X323"/>
      <x:c r="Y323" s="38" t="n">
        <x:v>0.6409090909090909</x:v>
      </x:c>
      <x:c r="Z323" s="38" t="n">
        <x:v>0.6202274730231017</x:v>
      </x:c>
      <x:c r="AA323" t="str">
        <x:v>NON_POSITIVE_EQUITY_VALUE</x:v>
      </x:c>
    </x:row>
    <x:row r="324">
      <x:c r="A324" s="54" t="n">
        <x:v>44104</x:v>
      </x:c>
      <x:c r="B324" t="n">
        <x:v>44104.624999988424</x:v>
      </x:c>
      <x:c r="C324" t="str">
        <x:v>060900</x:v>
      </x:c>
      <x:c r="D324" t="str">
        <x:v>DGP</x:v>
      </x:c>
      <x:c r="E324" t="str">
        <x:v>KOSDAQ</x:v>
      </x:c>
      <x:c r="F324" t="str">
        <x:v>SMALL</x:v>
      </x:c>
      <x:c r="G324" t="str">
        <x:v>DCF_SCREENING_EXCLUSION</x:v>
      </x:c>
      <x:c r="H324" t="str">
        <x:v>NON_POSITIVE_ENTERPRISE_VALUE|NON_POSITIVE_EQUITY_VALUE|NON_POSITIVE_TERMINAL_FCF</x:v>
      </x:c>
      <x:c r="I324" s="54" t="n">
        <x:v>44103</x:v>
      </x:c>
      <x:c r="J324" s="55" t="n">
        <x:v>1005</x:v>
      </x:c>
      <x:c r="K324" s="55" t="n">
        <x:v>135834796005</x:v>
      </x:c>
      <x:c r="L324" s="55" t="n">
        <x:v>135159001</x:v>
      </x:c>
      <x:c r="M324" t="str">
        <x:v>20200331002242</x:v>
      </x:c>
      <x:c r="N324" t="n">
        <x:v>43921.624999988424</x:v>
      </x:c>
      <x:c r="O324" s="54" t="n">
        <x:v>43830</x:v>
      </x:c>
      <x:c r="P324" t="str">
        <x:v>True</x:v>
      </x:c>
      <x:c r="Q324" t="str">
        <x:v>ac50e7e79003451d6c3ef8f2db1976662fecb89d432a540a13b72785abeff2ae</x:v>
      </x:c>
      <x:c r="R324" t="str">
        <x:v>ebc1ff8d1acc2ff5dec2c6a71422731b5ff8f9eab544b1cf7d4333ee990e85a4</x:v>
      </x:c>
      <x:c r="S324" t="n">
        <x:v>5</x:v>
      </x:c>
      <x:c r="T324" t="str">
        <x:v>2018-12-31|2019-12-31</x:v>
      </x:c>
      <x:c r="U324" s="57" t="n">
        <x:v>-240.98077359705906</x:v>
      </x:c>
      <x:c r="V324" s="57" t="n">
        <x:v>-1.2397818642756806</x:v>
      </x:c>
      <x:c r="W324"/>
      <x:c r="X324"/>
      <x:c r="Y324" s="38" t="n">
        <x:v>0.6409090909090909</x:v>
      </x:c>
      <x:c r="Z324" s="38" t="n">
        <x:v>0.6282819266558984</x:v>
      </x:c>
      <x:c r="AA324" t="str">
        <x:v>NON_POSITIVE_ENTERPRISE_VALUE|NON_POSITIVE_EQUITY_VALUE|NON_POSITIVE_TERMINAL_FCF</x:v>
      </x:c>
    </x:row>
    <x:row r="325">
      <x:c r="A325" s="54" t="n">
        <x:v>44104</x:v>
      </x:c>
      <x:c r="B325" t="n">
        <x:v>44104.624999988424</x:v>
      </x:c>
      <x:c r="C325" t="str">
        <x:v>232830</x:v>
      </x:c>
      <x:c r="D325" t="str">
        <x:v>아이티센피엔에스</x:v>
      </x:c>
      <x:c r="E325" t="str">
        <x:v>KOSDAQ</x:v>
      </x:c>
      <x:c r="F325" t="str">
        <x:v>SMALL</x:v>
      </x:c>
      <x:c r="G325" t="str">
        <x:v>NO_PIT_FINANCIALS</x:v>
      </x:c>
      <x:c r="H325"/>
      <x:c r="I325" s="54" t="n">
        <x:v>44103</x:v>
      </x:c>
      <x:c r="J325" s="55" t="n">
        <x:v>6650</x:v>
      </x:c>
      <x:c r="K325" s="55" t="n">
        <x:v>61873528500</x:v>
      </x:c>
      <x:c r="L325" s="55" t="n">
        <x:v>9304290</x:v>
      </x:c>
      <x:c r="M325"/>
      <x:c r="N325"/>
      <x:c r="O325" s="54"/>
      <x:c r="P325"/>
      <x:c r="Q325"/>
      <x:c r="R325"/>
      <x:c r="S325"/>
      <x:c r="T325"/>
      <x:c r="U325" s="57"/>
      <x:c r="V325" s="57"/>
      <x:c r="W325"/>
      <x:c r="X325"/>
      <x:c r="Y325" s="38"/>
      <x:c r="Z325" s="38"/>
      <x:c r="AA325"/>
    </x:row>
    <x:row r="326">
      <x:c r="A326" s="54" t="n">
        <x:v>44104</x:v>
      </x:c>
      <x:c r="B326" t="n">
        <x:v>44104.624999988424</x:v>
      </x:c>
      <x:c r="C326" t="str">
        <x:v>070590</x:v>
      </x:c>
      <x:c r="D326" t="str">
        <x:v>한솔인티큐브</x:v>
      </x:c>
      <x:c r="E326" t="str">
        <x:v>KOSDAQ</x:v>
      </x:c>
      <x:c r="F326" t="str">
        <x:v>SMALL</x:v>
      </x:c>
      <x:c r="G326" t="str">
        <x:v>DCF_SCREENING_EXCLUSION</x:v>
      </x:c>
      <x:c r="H326" t="str">
        <x:v>NON_POSITIVE_ENTERPRISE_VALUE|NON_POSITIVE_EQUITY_VALUE|NON_POSITIVE_TERMINAL_FCF</x:v>
      </x:c>
      <x:c r="I326" s="54" t="n">
        <x:v>44103</x:v>
      </x:c>
      <x:c r="J326" s="55" t="n">
        <x:v>2660</x:v>
      </x:c>
      <x:c r="K326" s="55" t="n">
        <x:v>36919525860</x:v>
      </x:c>
      <x:c r="L326" s="55" t="n">
        <x:v>13879521</x:v>
      </x:c>
      <x:c r="M326" t="str">
        <x:v>20200330001085</x:v>
      </x:c>
      <x:c r="N326" t="n">
        <x:v>43920.624999988424</x:v>
      </x:c>
      <x:c r="O326" s="54" t="n">
        <x:v>43830</x:v>
      </x:c>
      <x:c r="P326" t="str">
        <x:v>False</x:v>
      </x:c>
      <x:c r="Q326" t="str">
        <x:v>9e3b02b74a2cf3d4848b75e855c95121a0ac21914d6696344cca86be1b268944</x:v>
      </x:c>
      <x:c r="R326" t="str">
        <x:v>3e69b12c4118b8a1b37a381adc908d621d8915ec2af0ba814d7e4fa91122bf9c</x:v>
      </x:c>
      <x:c r="S326" t="n">
        <x:v>6</x:v>
      </x:c>
      <x:c r="T326" t="str">
        <x:v>2018-12-31|2019-12-31</x:v>
      </x:c>
      <x:c r="U326" s="57" t="n">
        <x:v>-176.62002709958338</x:v>
      </x:c>
      <x:c r="V326" s="57" t="n">
        <x:v>-1.0663985064284147</x:v>
      </x:c>
      <x:c r="W326"/>
      <x:c r="X326"/>
      <x:c r="Y326" s="38" t="n">
        <x:v>0.6409090909090909</x:v>
      </x:c>
      <x:c r="Z326" s="38" t="n">
        <x:v>0.627829623617984</x:v>
      </x:c>
      <x:c r="AA326" t="str">
        <x:v>NON_POSITIVE_ENTERPRISE_VALUE|NON_POSITIVE_EQUITY_VALUE|NON_POSITIVE_TERMINAL_FCF</x:v>
      </x:c>
    </x:row>
    <x:row r="327">
      <x:c r="A327" s="54" t="n">
        <x:v>44104</x:v>
      </x:c>
      <x:c r="B327" t="n">
        <x:v>44104.624999988424</x:v>
      </x:c>
      <x:c r="C327" t="str">
        <x:v>163560</x:v>
      </x:c>
      <x:c r="D327" t="str">
        <x:v>동일고무벨트</x:v>
      </x:c>
      <x:c r="E327" t="str">
        <x:v>KOSPI</x:v>
      </x:c>
      <x:c r="F327" t="str">
        <x:v>SMALL</x:v>
      </x:c>
      <x:c r="G327" t="str">
        <x:v>ELIGIBLE</x:v>
      </x:c>
      <x:c r="H327"/>
      <x:c r="I327" s="54" t="n">
        <x:v>44103</x:v>
      </x:c>
      <x:c r="J327" s="55" t="n">
        <x:v>9280</x:v>
      </x:c>
      <x:c r="K327" s="55" t="n">
        <x:v>126672000000</x:v>
      </x:c>
      <x:c r="L327" s="55" t="n">
        <x:v>13650000</x:v>
      </x:c>
      <x:c r="M327" t="str">
        <x:v>20200330002649</x:v>
      </x:c>
      <x:c r="N327" t="n">
        <x:v>43920.624999988424</x:v>
      </x:c>
      <x:c r="O327" s="54" t="n">
        <x:v>43830</x:v>
      </x:c>
      <x:c r="P327" t="str">
        <x:v>False</x:v>
      </x:c>
      <x:c r="Q327" t="str">
        <x:v>dd18381d36a84123259d2f9d5abef82c3cd9eec87fc7c9d6a8c3704b9d8a9553</x:v>
      </x:c>
      <x:c r="R327" t="str">
        <x:v>92a6150dd322930e92b3969c0d88cbaa02568b454b922b2eca367da7090de13b</x:v>
      </x:c>
      <x:c r="S327" t="n">
        <x:v>5</x:v>
      </x:c>
      <x:c r="T327" t="str">
        <x:v>2018-12-31|2019-12-31</x:v>
      </x:c>
      <x:c r="U327" s="57" t="n">
        <x:v>6112.946267903413</x:v>
      </x:c>
      <x:c r="V327" s="57" t="n">
        <x:v>-0.3412773418207529</x:v>
      </x:c>
      <x:c r="W327" t="n">
        <x:v>26</x:v>
      </x:c>
      <x:c r="X327" t="n">
        <x:v>2</x:v>
      </x:c>
      <x:c r="Y327" s="38" t="n">
        <x:v>0.6409090909090909</x:v>
      </x:c>
      <x:c r="Z327" s="38" t="n">
        <x:v>0.6061242165613651</x:v>
      </x:c>
      <x:c r="AA327"/>
    </x:row>
    <x:row r="328">
      <x:c r="A328" s="54" t="n">
        <x:v>44104</x:v>
      </x:c>
      <x:c r="B328" t="n">
        <x:v>44104.624999988424</x:v>
      </x:c>
      <x:c r="C328" t="str">
        <x:v>004830</x:v>
      </x:c>
      <x:c r="D328" t="str">
        <x:v>덕성</x:v>
      </x:c>
      <x:c r="E328" t="str">
        <x:v>KOSPI</x:v>
      </x:c>
      <x:c r="F328" t="str">
        <x:v>SMALL</x:v>
      </x:c>
      <x:c r="G328" t="str">
        <x:v>DCF_SCREENING_EXCLUSION</x:v>
      </x:c>
      <x:c r="H328" t="str">
        <x:v>NON_POSITIVE_ENTERPRISE_VALUE|NON_POSITIVE_EQUITY_VALUE|NON_POSITIVE_TERMINAL_FCF|UNRELIABLE_TERMINAL_VALUE_SHARE</x:v>
      </x:c>
      <x:c r="I328" s="54" t="n">
        <x:v>44103</x:v>
      </x:c>
      <x:c r="J328" s="55" t="n">
        <x:v>4240</x:v>
      </x:c>
      <x:c r="K328" s="55" t="n">
        <x:v>66483200000</x:v>
      </x:c>
      <x:c r="L328" s="55" t="n">
        <x:v>15680000</x:v>
      </x:c>
      <x:c r="M328" t="str">
        <x:v>20200330001224</x:v>
      </x:c>
      <x:c r="N328" t="n">
        <x:v>43920.624999988424</x:v>
      </x:c>
      <x:c r="O328" s="54" t="n">
        <x:v>43830</x:v>
      </x:c>
      <x:c r="P328" t="str">
        <x:v>False</x:v>
      </x:c>
      <x:c r="Q328" t="str">
        <x:v>29b49876d642cfd4c870ba4a24e9e0814e5e078d39c0657247368f09139f5a51</x:v>
      </x:c>
      <x:c r="R328" t="str">
        <x:v>140fb8c686ef4f5215f46198c133daf53715e99f38a9f5c3a711618e80ffaf54</x:v>
      </x:c>
      <x:c r="S328" t="n">
        <x:v>7</x:v>
      </x:c>
      <x:c r="T328" t="str">
        <x:v>2018-12-31|2019-12-31</x:v>
      </x:c>
      <x:c r="U328" s="57" t="n">
        <x:v>-1243.3350860461567</x:v>
      </x:c>
      <x:c r="V328" s="57" t="n">
        <x:v>-1.2932394070863578</x:v>
      </x:c>
      <x:c r="W328"/>
      <x:c r="X328"/>
      <x:c r="Y328" s="38" t="n">
        <x:v>0.6409090909090909</x:v>
      </x:c>
      <x:c r="Z328" s="38" t="n">
        <x:v>1.771178029767202</x:v>
      </x:c>
      <x:c r="AA328" t="str">
        <x:v>NON_POSITIVE_ENTERPRISE_VALUE|NON_POSITIVE_EQUITY_VALUE|NON_POSITIVE_TERMINAL_FCF|UNRELIABLE_TERMINAL_VALUE_SHARE</x:v>
      </x:c>
    </x:row>
    <x:row r="329">
      <x:c r="A329" s="54" t="n">
        <x:v>44104</x:v>
      </x:c>
      <x:c r="B329" t="n">
        <x:v>44104.624999988424</x:v>
      </x:c>
      <x:c r="C329" t="str">
        <x:v>014440</x:v>
      </x:c>
      <x:c r="D329" t="str">
        <x:v>영보화학</x:v>
      </x:c>
      <x:c r="E329" t="str">
        <x:v>KOSPI</x:v>
      </x:c>
      <x:c r="F329" t="str">
        <x:v>SMALL</x:v>
      </x:c>
      <x:c r="G329" t="str">
        <x:v>ELIGIBLE</x:v>
      </x:c>
      <x:c r="H329"/>
      <x:c r="I329" s="54" t="n">
        <x:v>44103</x:v>
      </x:c>
      <x:c r="J329" s="55" t="n">
        <x:v>3620</x:v>
      </x:c>
      <x:c r="K329" s="55" t="n">
        <x:v>72400000000</x:v>
      </x:c>
      <x:c r="L329" s="55" t="n">
        <x:v>20000000</x:v>
      </x:c>
      <x:c r="M329" t="str">
        <x:v>20200330001293</x:v>
      </x:c>
      <x:c r="N329" t="n">
        <x:v>43920.624999988424</x:v>
      </x:c>
      <x:c r="O329" s="54" t="n">
        <x:v>43830</x:v>
      </x:c>
      <x:c r="P329" t="str">
        <x:v>False</x:v>
      </x:c>
      <x:c r="Q329" t="str">
        <x:v>5d556c2a6e81a8be16d513371202402c75aa3603036c8fbbd9d5858b59582c24</x:v>
      </x:c>
      <x:c r="R329" t="str">
        <x:v>f1227c63e6f2915d351b241d4dbc1c6ae73340efb324308b279eb55a91b61703</x:v>
      </x:c>
      <x:c r="S329" t="n">
        <x:v>6</x:v>
      </x:c>
      <x:c r="T329" t="str">
        <x:v>2018-12-31|2019-12-31</x:v>
      </x:c>
      <x:c r="U329" s="57" t="n">
        <x:v>1718.4461924132418</x:v>
      </x:c>
      <x:c r="V329" s="57" t="n">
        <x:v>-0.5252911070681652</x:v>
      </x:c>
      <x:c r="W329" t="n">
        <x:v>36</x:v>
      </x:c>
      <x:c r="X329" t="n">
        <x:v>3</x:v>
      </x:c>
      <x:c r="Y329" s="38" t="n">
        <x:v>0.6409090909090909</x:v>
      </x:c>
      <x:c r="Z329" s="38" t="n">
        <x:v>0.3797612797825899</x:v>
      </x:c>
      <x:c r="AA329"/>
    </x:row>
    <x:row r="330">
      <x:c r="A330" s="54" t="n">
        <x:v>44104</x:v>
      </x:c>
      <x:c r="B330" t="n">
        <x:v>44104.624999988424</x:v>
      </x:c>
      <x:c r="C330" t="str">
        <x:v>009180</x:v>
      </x:c>
      <x:c r="D330" t="str">
        <x:v>한솔로지스틱스</x:v>
      </x:c>
      <x:c r="E330" t="str">
        <x:v>KOSPI</x:v>
      </x:c>
      <x:c r="F330" t="str">
        <x:v>SMALL</x:v>
      </x:c>
      <x:c r="G330" t="str">
        <x:v>ELIGIBLE</x:v>
      </x:c>
      <x:c r="H330"/>
      <x:c r="I330" s="54" t="n">
        <x:v>44103</x:v>
      </x:c>
      <x:c r="J330" s="55" t="n">
        <x:v>1935</x:v>
      </x:c>
      <x:c r="K330" s="55" t="n">
        <x:v>53168817375</x:v>
      </x:c>
      <x:c r="L330" s="55" t="n">
        <x:v>27477425</x:v>
      </x:c>
      <x:c r="M330" t="str">
        <x:v>20200330002411</x:v>
      </x:c>
      <x:c r="N330" t="n">
        <x:v>43920.624999988424</x:v>
      </x:c>
      <x:c r="O330" s="54" t="n">
        <x:v>43830</x:v>
      </x:c>
      <x:c r="P330" t="str">
        <x:v>False</x:v>
      </x:c>
      <x:c r="Q330" t="str">
        <x:v>c5a4f1aa5865a474678e19d8dd30912b4c7a1414e379cf00e00083829d740456</x:v>
      </x:c>
      <x:c r="R330" t="str">
        <x:v>8822a47582eb9f48a0de6b130a4403e825d1784ad68975b0bdc9fb4d7044647b</x:v>
      </x:c>
      <x:c r="S330" t="n">
        <x:v>6</x:v>
      </x:c>
      <x:c r="T330" t="str">
        <x:v>2018-12-31|2019-12-31</x:v>
      </x:c>
      <x:c r="U330" s="57" t="n">
        <x:v>93.87103692528059</x:v>
      </x:c>
      <x:c r="V330" s="57" t="n">
        <x:v>-0.9514878362143253</x:v>
      </x:c>
      <x:c r="W330" t="n">
        <x:v>61</x:v>
      </x:c>
      <x:c r="X330" t="n">
        <x:v>5</x:v>
      </x:c>
      <x:c r="Y330" s="38" t="n">
        <x:v>0.6409090909090909</x:v>
      </x:c>
      <x:c r="Z330" s="38" t="n">
        <x:v>0.5762308840541649</x:v>
      </x:c>
      <x:c r="AA330"/>
    </x:row>
    <x:row r="331">
      <x:c r="A331" s="54" t="n">
        <x:v>44104</x:v>
      </x:c>
      <x:c r="B331" t="n">
        <x:v>44104.624999988424</x:v>
      </x:c>
      <x:c r="C331" t="str">
        <x:v>004910</x:v>
      </x:c>
      <x:c r="D331" t="str">
        <x:v>조광페인트</x:v>
      </x:c>
      <x:c r="E331" t="str">
        <x:v>KOSPI</x:v>
      </x:c>
      <x:c r="F331" t="str">
        <x:v>SMALL</x:v>
      </x:c>
      <x:c r="G331" t="str">
        <x:v>DCF_SCREENING_EXCLUSION</x:v>
      </x:c>
      <x:c r="H331" t="str">
        <x:v>NON_POSITIVE_ENTERPRISE_VALUE|NON_POSITIVE_EQUITY_VALUE|NON_POSITIVE_TERMINAL_FCF</x:v>
      </x:c>
      <x:c r="I331" s="54" t="n">
        <x:v>44103</x:v>
      </x:c>
      <x:c r="J331" s="55" t="n">
        <x:v>5180</x:v>
      </x:c>
      <x:c r="K331" s="55" t="n">
        <x:v>66304000000</x:v>
      </x:c>
      <x:c r="L331" s="55" t="n">
        <x:v>12800000</x:v>
      </x:c>
      <x:c r="M331" t="str">
        <x:v>20200330000972</x:v>
      </x:c>
      <x:c r="N331" t="n">
        <x:v>43920.624999988424</x:v>
      </x:c>
      <x:c r="O331" s="54" t="n">
        <x:v>43830</x:v>
      </x:c>
      <x:c r="P331" t="str">
        <x:v>False</x:v>
      </x:c>
      <x:c r="Q331" t="str">
        <x:v>3c7f251237cf2fecc7e569116a35a89e18d6b3f451c040c64ceccb5ad2a2b6a9</x:v>
      </x:c>
      <x:c r="R331" t="str">
        <x:v>16a61f56044c27f53ebeafe9d4577de8cb36dba379e89c5de160e3110106f7f0</x:v>
      </x:c>
      <x:c r="S331" t="n">
        <x:v>6</x:v>
      </x:c>
      <x:c r="T331" t="str">
        <x:v>2018-12-31|2019-12-31</x:v>
      </x:c>
      <x:c r="U331" s="57" t="n">
        <x:v>-9428.349657775905</x:v>
      </x:c>
      <x:c r="V331" s="57" t="n">
        <x:v>-2.82014472157836</x:v>
      </x:c>
      <x:c r="W331"/>
      <x:c r="X331"/>
      <x:c r="Y331" s="38" t="n">
        <x:v>0.6409090909090909</x:v>
      </x:c>
      <x:c r="Z331" s="38" t="n">
        <x:v>0.629446326186738</x:v>
      </x:c>
      <x:c r="AA331" t="str">
        <x:v>NON_POSITIVE_ENTERPRISE_VALUE|NON_POSITIVE_EQUITY_VALUE|NON_POSITIVE_TERMINAL_FCF</x:v>
      </x:c>
    </x:row>
    <x:row r="332">
      <x:c r="A332" s="54" t="n">
        <x:v>44104</x:v>
      </x:c>
      <x:c r="B332" t="n">
        <x:v>44104.624999988424</x:v>
      </x:c>
      <x:c r="C332" t="str">
        <x:v>004870</x:v>
      </x:c>
      <x:c r="D332" t="str">
        <x:v>티웨이홀딩스</x:v>
      </x:c>
      <x:c r="E332" t="str">
        <x:v>KOSPI</x:v>
      </x:c>
      <x:c r="F332" t="str">
        <x:v>SMALL</x:v>
      </x:c>
      <x:c r="G332" t="str">
        <x:v>EXCLUDED_ARCHETYPE</x:v>
      </x:c>
      <x:c r="H332" t="str">
        <x:v>FCFF_NOT_COMPARABLE_FOR_FINANCE_OR_HOLDING_HINT</x:v>
      </x:c>
      <x:c r="I332" s="54"/>
      <x:c r="J332" s="55"/>
      <x:c r="K332" s="55"/>
      <x:c r="L332" s="55"/>
      <x:c r="M332"/>
      <x:c r="N332"/>
      <x:c r="O332" s="54"/>
      <x:c r="P332"/>
      <x:c r="Q332"/>
      <x:c r="R332"/>
      <x:c r="S332"/>
      <x:c r="T332"/>
      <x:c r="U332" s="57"/>
      <x:c r="V332" s="57"/>
      <x:c r="W332"/>
      <x:c r="X332"/>
      <x:c r="Y332" s="38"/>
      <x:c r="Z332" s="38"/>
      <x:c r="AA332"/>
    </x:row>
    <x:row r="333">
      <x:c r="A333" s="54" t="n">
        <x:v>44104</x:v>
      </x:c>
      <x:c r="B333" t="n">
        <x:v>44104.624999988424</x:v>
      </x:c>
      <x:c r="C333" t="str">
        <x:v>010770</x:v>
      </x:c>
      <x:c r="D333" t="str">
        <x:v>평화홀딩스</x:v>
      </x:c>
      <x:c r="E333" t="str">
        <x:v>KOSPI</x:v>
      </x:c>
      <x:c r="F333" t="str">
        <x:v>SMALL</x:v>
      </x:c>
      <x:c r="G333" t="str">
        <x:v>EXCLUDED_ARCHETYPE</x:v>
      </x:c>
      <x:c r="H333" t="str">
        <x:v>FCFF_NOT_COMPARABLE_FOR_FINANCE_OR_HOLDING_HINT</x:v>
      </x:c>
      <x:c r="I333" s="54"/>
      <x:c r="J333" s="55"/>
      <x:c r="K333" s="55"/>
      <x:c r="L333" s="55"/>
      <x:c r="M333"/>
      <x:c r="N333"/>
      <x:c r="O333" s="54"/>
      <x:c r="P333"/>
      <x:c r="Q333"/>
      <x:c r="R333"/>
      <x:c r="S333"/>
      <x:c r="T333"/>
      <x:c r="U333" s="57"/>
      <x:c r="V333" s="57"/>
      <x:c r="W333"/>
      <x:c r="X333"/>
      <x:c r="Y333" s="38"/>
      <x:c r="Z333" s="38"/>
      <x:c r="AA333"/>
    </x:row>
    <x:row r="334">
      <x:c r="A334" s="54" t="n">
        <x:v>44104</x:v>
      </x:c>
      <x:c r="B334" t="n">
        <x:v>44104.624999988424</x:v>
      </x:c>
      <x:c r="C334" t="str">
        <x:v>001290</x:v>
      </x:c>
      <x:c r="D334" t="str">
        <x:v>상상인증권</x:v>
      </x:c>
      <x:c r="E334" t="str">
        <x:v>KOSPI</x:v>
      </x:c>
      <x:c r="F334" t="str">
        <x:v>SMALL</x:v>
      </x:c>
      <x:c r="G334" t="str">
        <x:v>EXCLUDED_ARCHETYPE</x:v>
      </x:c>
      <x:c r="H334" t="str">
        <x:v>FCFF_NOT_COMPARABLE_FOR_FINANCE_OR_HOLDING_HINT</x:v>
      </x:c>
      <x:c r="I334" s="54"/>
      <x:c r="J334" s="55"/>
      <x:c r="K334" s="55"/>
      <x:c r="L334" s="55"/>
      <x:c r="M334"/>
      <x:c r="N334"/>
      <x:c r="O334" s="54"/>
      <x:c r="P334"/>
      <x:c r="Q334"/>
      <x:c r="R334"/>
      <x:c r="S334"/>
      <x:c r="T334"/>
      <x:c r="U334" s="57"/>
      <x:c r="V334" s="57"/>
      <x:c r="W334"/>
      <x:c r="X334"/>
      <x:c r="Y334" s="38"/>
      <x:c r="Z334" s="38"/>
      <x:c r="AA334"/>
    </x:row>
    <x:row r="335">
      <x:c r="A335" s="54" t="n">
        <x:v>44104</x:v>
      </x:c>
      <x:c r="B335" t="n">
        <x:v>44104.624999988424</x:v>
      </x:c>
      <x:c r="C335" t="str">
        <x:v>047400</x:v>
      </x:c>
      <x:c r="D335" t="str">
        <x:v>유니온머티리얼</x:v>
      </x:c>
      <x:c r="E335" t="str">
        <x:v>KOSPI</x:v>
      </x:c>
      <x:c r="F335" t="str">
        <x:v>SMALL</x:v>
      </x:c>
      <x:c r="G335" t="str">
        <x:v>DCF_SCREENING_EXCLUSION</x:v>
      </x:c>
      <x:c r="H335" t="str">
        <x:v>NON_POSITIVE_ENTERPRISE_VALUE|NON_POSITIVE_EQUITY_VALUE|NON_POSITIVE_TERMINAL_FCF</x:v>
      </x:c>
      <x:c r="I335" s="54" t="n">
        <x:v>44103</x:v>
      </x:c>
      <x:c r="J335" s="55" t="n">
        <x:v>3670</x:v>
      </x:c>
      <x:c r="K335" s="55" t="n">
        <x:v>154140000000</x:v>
      </x:c>
      <x:c r="L335" s="55" t="n">
        <x:v>42000000</x:v>
      </x:c>
      <x:c r="M335" t="str">
        <x:v>20200330002957</x:v>
      </x:c>
      <x:c r="N335" t="n">
        <x:v>43920.624999988424</x:v>
      </x:c>
      <x:c r="O335" s="54" t="n">
        <x:v>43830</x:v>
      </x:c>
      <x:c r="P335" t="str">
        <x:v>False</x:v>
      </x:c>
      <x:c r="Q335" t="str">
        <x:v>0b5e9973a69d2d4bfadd10227ba7d7aa97981581c61e748614e0cb3c50baf275</x:v>
      </x:c>
      <x:c r="R335" t="str">
        <x:v>4ef81c860d64ce61559559bd0b2e141484a8b98c37b64cf698d10ca5ea45567e</x:v>
      </x:c>
      <x:c r="S335" t="n">
        <x:v>6</x:v>
      </x:c>
      <x:c r="T335" t="str">
        <x:v>2018-12-31|2019-12-31</x:v>
      </x:c>
      <x:c r="U335" s="57" t="n">
        <x:v>-1289.7333698896705</x:v>
      </x:c>
      <x:c r="V335" s="57" t="n">
        <x:v>-1.3514259863459592</x:v>
      </x:c>
      <x:c r="W335"/>
      <x:c r="X335"/>
      <x:c r="Y335" s="38" t="n">
        <x:v>0.6409090909090909</x:v>
      </x:c>
      <x:c r="Z335" s="38" t="n">
        <x:v>0.7785576727541164</x:v>
      </x:c>
      <x:c r="AA335" t="str">
        <x:v>NON_POSITIVE_ENTERPRISE_VALUE|NON_POSITIVE_EQUITY_VALUE|NON_POSITIVE_TERMINAL_FCF</x:v>
      </x:c>
    </x:row>
    <x:row r="336">
      <x:c r="A336" s="54" t="n">
        <x:v>44104</x:v>
      </x:c>
      <x:c r="B336" t="n">
        <x:v>44104.624999988424</x:v>
      </x:c>
      <x:c r="C336" t="str">
        <x:v>011300</x:v>
      </x:c>
      <x:c r="D336" t="str">
        <x:v>성안머티리얼스</x:v>
      </x:c>
      <x:c r="E336" t="str">
        <x:v>KOSPI</x:v>
      </x:c>
      <x:c r="F336" t="str">
        <x:v>SMALL</x:v>
      </x:c>
      <x:c r="G336" t="str">
        <x:v>DCF_SCREENING_EXCLUSION</x:v>
      </x:c>
      <x:c r="H336" t="str">
        <x:v>NON_POSITIVE_ENTERPRISE_VALUE|NON_POSITIVE_EQUITY_VALUE|NON_POSITIVE_TERMINAL_FCF|UNRELIABLE_TERMINAL_VALUE_SHARE</x:v>
      </x:c>
      <x:c r="I336" s="54" t="n">
        <x:v>44103</x:v>
      </x:c>
      <x:c r="J336" s="55" t="n">
        <x:v>357</x:v>
      </x:c>
      <x:c r="K336" s="55" t="n">
        <x:v>20298256020</x:v>
      </x:c>
      <x:c r="L336" s="55" t="n">
        <x:v>56857860</x:v>
      </x:c>
      <x:c r="M336" t="str">
        <x:v>20200330002300</x:v>
      </x:c>
      <x:c r="N336" t="n">
        <x:v>43920.624999988424</x:v>
      </x:c>
      <x:c r="O336" s="54" t="n">
        <x:v>43830</x:v>
      </x:c>
      <x:c r="P336" t="str">
        <x:v>False</x:v>
      </x:c>
      <x:c r="Q336" t="str">
        <x:v>5261a4c9bd0aa83893554e944642d0f875234dad49a73fb31223a3e3e9a54df2</x:v>
      </x:c>
      <x:c r="R336" t="str">
        <x:v>9d48ece75a4f5fda923c402116ea58bfb8689b2c2aabe16d8ddab0ecefc4bdc4</x:v>
      </x:c>
      <x:c r="S336" t="n">
        <x:v>7</x:v>
      </x:c>
      <x:c r="T336" t="str">
        <x:v>2018-12-31|2019-12-31</x:v>
      </x:c>
      <x:c r="U336" s="57" t="n">
        <x:v>-96.38273419389287</x:v>
      </x:c>
      <x:c r="V336" s="57" t="n">
        <x:v>-1.2699796476019407</x:v>
      </x:c>
      <x:c r="W336"/>
      <x:c r="X336"/>
      <x:c r="Y336" s="38" t="n">
        <x:v>0.6409090909090909</x:v>
      </x:c>
      <x:c r="Z336" s="38" t="n">
        <x:v>2.9198639441139567</x:v>
      </x:c>
      <x:c r="AA336" t="str">
        <x:v>NON_POSITIVE_ENTERPRISE_VALUE|NON_POSITIVE_EQUITY_VALUE|NON_POSITIVE_TERMINAL_FCF|UNRELIABLE_TERMINAL_VALUE_SHARE</x:v>
      </x:c>
    </x:row>
    <x:row r="337">
      <x:c r="A337" s="54" t="n">
        <x:v>44104</x:v>
      </x:c>
      <x:c r="B337" t="n">
        <x:v>44104.624999988424</x:v>
      </x:c>
      <x:c r="C337" t="str">
        <x:v>018500</x:v>
      </x:c>
      <x:c r="D337" t="str">
        <x:v>동원금속</x:v>
      </x:c>
      <x:c r="E337" t="str">
        <x:v>KOSPI</x:v>
      </x:c>
      <x:c r="F337" t="str">
        <x:v>SMALL</x:v>
      </x:c>
      <x:c r="G337" t="str">
        <x:v>DCF_SCREENING_EXCLUSION</x:v>
      </x:c>
      <x:c r="H337" t="str">
        <x:v>NON_POSITIVE_ENTERPRISE_VALUE|NON_POSITIVE_EQUITY_VALUE|NON_POSITIVE_TERMINAL_FCF</x:v>
      </x:c>
      <x:c r="I337" s="54" t="n">
        <x:v>44103</x:v>
      </x:c>
      <x:c r="J337" s="55" t="n">
        <x:v>703</x:v>
      </x:c>
      <x:c r="K337" s="55" t="n">
        <x:v>32868717899</x:v>
      </x:c>
      <x:c r="L337" s="55" t="n">
        <x:v>46754933</x:v>
      </x:c>
      <x:c r="M337" t="str">
        <x:v>20200629000448</x:v>
      </x:c>
      <x:c r="N337" t="n">
        <x:v>44011.624999988424</x:v>
      </x:c>
      <x:c r="O337" s="54" t="n">
        <x:v>43921</x:v>
      </x:c>
      <x:c r="P337" t="str">
        <x:v>False</x:v>
      </x:c>
      <x:c r="Q337" t="str">
        <x:v>4078bfbeb64f6068bfe485f31adede65f2ccd676ce8bb90fc589e636c66bcfb2</x:v>
      </x:c>
      <x:c r="R337" t="str">
        <x:v>4baefba43fedcc0bd0ac454910e79f98deedee1fb1981f58313b003f1f2f2bcb</x:v>
      </x:c>
      <x:c r="S337" t="n">
        <x:v>6</x:v>
      </x:c>
      <x:c r="T337" t="str">
        <x:v>2019-03-31|2020-03-31</x:v>
      </x:c>
      <x:c r="U337" s="57" t="n">
        <x:v>-5189.122300360644</x:v>
      </x:c>
      <x:c r="V337" s="57" t="n">
        <x:v>-8.381397297810304</x:v>
      </x:c>
      <x:c r="W337"/>
      <x:c r="X337"/>
      <x:c r="Y337" s="38" t="n">
        <x:v>0.6409090909090909</x:v>
      </x:c>
      <x:c r="Z337" s="38" t="n">
        <x:v>0.7733146802971264</x:v>
      </x:c>
      <x:c r="AA337" t="str">
        <x:v>NON_POSITIVE_ENTERPRISE_VALUE|NON_POSITIVE_EQUITY_VALUE|NON_POSITIVE_TERMINAL_FCF</x:v>
      </x:c>
    </x:row>
    <x:row r="338">
      <x:c r="A338" s="54" t="n">
        <x:v>44104</x:v>
      </x:c>
      <x:c r="B338" t="n">
        <x:v>44104.624999988424</x:v>
      </x:c>
      <x:c r="C338" t="str">
        <x:v>004770</x:v>
      </x:c>
      <x:c r="D338" t="str">
        <x:v>써니전자</x:v>
      </x:c>
      <x:c r="E338" t="str">
        <x:v>KOSPI</x:v>
      </x:c>
      <x:c r="F338" t="str">
        <x:v>SMALL</x:v>
      </x:c>
      <x:c r="G338" t="str">
        <x:v>ELIGIBLE</x:v>
      </x:c>
      <x:c r="H338"/>
      <x:c r="I338" s="54" t="n">
        <x:v>44103</x:v>
      </x:c>
      <x:c r="J338" s="55" t="n">
        <x:v>4685</x:v>
      </x:c>
      <x:c r="K338" s="55" t="n">
        <x:v>163248876535</x:v>
      </x:c>
      <x:c r="L338" s="55" t="n">
        <x:v>34845011</x:v>
      </x:c>
      <x:c r="M338" t="str">
        <x:v>20200327001141</x:v>
      </x:c>
      <x:c r="N338" t="n">
        <x:v>43917.624999988424</x:v>
      </x:c>
      <x:c r="O338" s="54" t="n">
        <x:v>43830</x:v>
      </x:c>
      <x:c r="P338" t="str">
        <x:v>False</x:v>
      </x:c>
      <x:c r="Q338" t="str">
        <x:v>36f7212cac5955b2bbbbf71ec4ea301733504ba17fb41d25d77209fb61400ff4</x:v>
      </x:c>
      <x:c r="R338" t="str">
        <x:v>300aad4fbf97a0014b3e9b60efa12b1ff25746820253b21b78cfded83568880a</x:v>
      </x:c>
      <x:c r="S338" t="n">
        <x:v>7</x:v>
      </x:c>
      <x:c r="T338" t="str">
        <x:v>2018-12-31|2019-12-31</x:v>
      </x:c>
      <x:c r="U338" s="57" t="n">
        <x:v>996.9963660487754</x:v>
      </x:c>
      <x:c r="V338" s="57" t="n">
        <x:v>-0.7871939453471131</x:v>
      </x:c>
      <x:c r="W338" t="n">
        <x:v>52</x:v>
      </x:c>
      <x:c r="X338" t="n">
        <x:v>5</x:v>
      </x:c>
      <x:c r="Y338" s="38" t="n">
        <x:v>0.6409090909090909</x:v>
      </x:c>
      <x:c r="Z338" s="38" t="n">
        <x:v>0.596676519286712</x:v>
      </x:c>
      <x:c r="AA338"/>
    </x:row>
    <x:row r="339">
      <x:c r="A339" s="54" t="n">
        <x:v>44104</x:v>
      </x:c>
      <x:c r="B339" t="n">
        <x:v>44104.624999988424</x:v>
      </x:c>
      <x:c r="C339" t="str">
        <x:v>000890</x:v>
      </x:c>
      <x:c r="D339" t="str">
        <x:v>보해양조</x:v>
      </x:c>
      <x:c r="E339" t="str">
        <x:v>KOSPI</x:v>
      </x:c>
      <x:c r="F339" t="str">
        <x:v>SMALL</x:v>
      </x:c>
      <x:c r="G339" t="str">
        <x:v>DCF_SCREENING_EXCLUSION</x:v>
      </x:c>
      <x:c r="H339" t="str">
        <x:v>NON_POSITIVE_ENTERPRISE_VALUE|NON_POSITIVE_EQUITY_VALUE|NON_POSITIVE_TERMINAL_FCF</x:v>
      </x:c>
      <x:c r="I339" s="54" t="n">
        <x:v>44103</x:v>
      </x:c>
      <x:c r="J339" s="55" t="n">
        <x:v>900</x:v>
      </x:c>
      <x:c r="K339" s="55" t="n">
        <x:v>114704435700</x:v>
      </x:c>
      <x:c r="L339" s="55" t="n">
        <x:v>127449373</x:v>
      </x:c>
      <x:c r="M339" t="str">
        <x:v>20200330001020</x:v>
      </x:c>
      <x:c r="N339" t="n">
        <x:v>43920.624999988424</x:v>
      </x:c>
      <x:c r="O339" s="54" t="n">
        <x:v>43830</x:v>
      </x:c>
      <x:c r="P339" t="str">
        <x:v>False</x:v>
      </x:c>
      <x:c r="Q339" t="str">
        <x:v>50391569b26597bb0c5579214cffeabaca14a8437933cda01623d3c148e67732</x:v>
      </x:c>
      <x:c r="R339" t="str">
        <x:v>a31e9850724b207c93bfa91804bbe0c3017b99ccf01cea1f96c6329d79b15e3e</x:v>
      </x:c>
      <x:c r="S339" t="n">
        <x:v>6</x:v>
      </x:c>
      <x:c r="T339" t="str">
        <x:v>2018-12-31|2019-12-31</x:v>
      </x:c>
      <x:c r="U339" s="57" t="n">
        <x:v>-758.76659079861</x:v>
      </x:c>
      <x:c r="V339" s="57" t="n">
        <x:v>-1.8430739897762334</x:v>
      </x:c>
      <x:c r="W339"/>
      <x:c r="X339"/>
      <x:c r="Y339" s="38" t="n">
        <x:v>0.6409090909090909</x:v>
      </x:c>
      <x:c r="Z339" s="38" t="n">
        <x:v>0.6352970122174221</x:v>
      </x:c>
      <x:c r="AA339" t="str">
        <x:v>NON_POSITIVE_ENTERPRISE_VALUE|NON_POSITIVE_EQUITY_VALUE|NON_POSITIVE_TERMINAL_FCF</x:v>
      </x:c>
    </x:row>
    <x:row r="340">
      <x:c r="A340" s="54" t="n">
        <x:v>44104</x:v>
      </x:c>
      <x:c r="B340" t="n">
        <x:v>44104.624999988424</x:v>
      </x:c>
      <x:c r="C340" t="str">
        <x:v>021050</x:v>
      </x:c>
      <x:c r="D340" t="str">
        <x:v>서원</x:v>
      </x:c>
      <x:c r="E340" t="str">
        <x:v>KOSPI</x:v>
      </x:c>
      <x:c r="F340" t="str">
        <x:v>SMALL</x:v>
      </x:c>
      <x:c r="G340" t="str">
        <x:v>DCF_SCREENING_EXCLUSION</x:v>
      </x:c>
      <x:c r="H340" t="str">
        <x:v>NON_POSITIVE_EQUITY_VALUE</x:v>
      </x:c>
      <x:c r="I340" s="54" t="n">
        <x:v>44103</x:v>
      </x:c>
      <x:c r="J340" s="55" t="n">
        <x:v>3475</x:v>
      </x:c>
      <x:c r="K340" s="55" t="n">
        <x:v>164974200250</x:v>
      </x:c>
      <x:c r="L340" s="55" t="n">
        <x:v>47474590</x:v>
      </x:c>
      <x:c r="M340" t="str">
        <x:v>20200330001276</x:v>
      </x:c>
      <x:c r="N340" t="n">
        <x:v>43920.624999988424</x:v>
      </x:c>
      <x:c r="O340" s="54" t="n">
        <x:v>43830</x:v>
      </x:c>
      <x:c r="P340" t="str">
        <x:v>False</x:v>
      </x:c>
      <x:c r="Q340" t="str">
        <x:v>be1eb5ac3cf4380862664c53ec949951356a5b31ca7ce64ffc5d6018a7385cc7</x:v>
      </x:c>
      <x:c r="R340" t="str">
        <x:v>fd6a080ab3015a7487b136652e4add24618b9e85836f462e955246bfb340a280</x:v>
      </x:c>
      <x:c r="S340" t="n">
        <x:v>6</x:v>
      </x:c>
      <x:c r="T340" t="str">
        <x:v>2018-12-31|2019-12-31</x:v>
      </x:c>
      <x:c r="U340" s="57" t="n">
        <x:v>-1038.8719357404905</x:v>
      </x:c>
      <x:c r="V340" s="57" t="n">
        <x:v>-1.2989559527310763</x:v>
      </x:c>
      <x:c r="W340"/>
      <x:c r="X340"/>
      <x:c r="Y340" s="38" t="n">
        <x:v>0.6409090909090909</x:v>
      </x:c>
      <x:c r="Z340" s="38" t="n">
        <x:v>0.5823844167369767</x:v>
      </x:c>
      <x:c r="AA340" t="str">
        <x:v>NON_POSITIVE_EQUITY_VALUE</x:v>
      </x:c>
    </x:row>
    <x:row r="341">
      <x:c r="A341" s="54" t="n">
        <x:v>44104</x:v>
      </x:c>
      <x:c r="B341" t="n">
        <x:v>44104.624999988424</x:v>
      </x:c>
      <x:c r="C341" t="str">
        <x:v>134790</x:v>
      </x:c>
      <x:c r="D341" t="str">
        <x:v>시디즈</x:v>
      </x:c>
      <x:c r="E341" t="str">
        <x:v>KOSPI</x:v>
      </x:c>
      <x:c r="F341" t="str">
        <x:v>SMALL</x:v>
      </x:c>
      <x:c r="G341" t="str">
        <x:v>ELIGIBLE</x:v>
      </x:c>
      <x:c r="H341"/>
      <x:c r="I341" s="54" t="n">
        <x:v>44103</x:v>
      </x:c>
      <x:c r="J341" s="55" t="n">
        <x:v>60300</x:v>
      </x:c>
      <x:c r="K341" s="55" t="n">
        <x:v>120600000000</x:v>
      </x:c>
      <x:c r="L341" s="55" t="n">
        <x:v>2000000</x:v>
      </x:c>
      <x:c r="M341" t="str">
        <x:v>20200330002460</x:v>
      </x:c>
      <x:c r="N341" t="n">
        <x:v>43920.624999988424</x:v>
      </x:c>
      <x:c r="O341" s="54" t="n">
        <x:v>43830</x:v>
      </x:c>
      <x:c r="P341" t="str">
        <x:v>False</x:v>
      </x:c>
      <x:c r="Q341" t="str">
        <x:v>a46f52aca9731f0f0694a563ebb22133208a263595e37e4a7369a5e25b997b08</x:v>
      </x:c>
      <x:c r="R341" t="str">
        <x:v>342b241dab25c0ef3819e39571fc63ac0ea9264f97be74cfdd3a32c575603dfa</x:v>
      </x:c>
      <x:c r="S341" t="n">
        <x:v>5</x:v>
      </x:c>
      <x:c r="T341" t="str">
        <x:v>2018-12-31|2019-12-31</x:v>
      </x:c>
      <x:c r="U341" s="57" t="n">
        <x:v>39063.956056007715</x:v>
      </x:c>
      <x:c r="V341" s="57" t="n">
        <x:v>-0.35217319973453215</x:v>
      </x:c>
      <x:c r="W341" t="n">
        <x:v>27</x:v>
      </x:c>
      <x:c r="X341" t="n">
        <x:v>3</x:v>
      </x:c>
      <x:c r="Y341" s="38" t="n">
        <x:v>0.6409090909090909</x:v>
      </x:c>
      <x:c r="Z341" s="38" t="n">
        <x:v>0.6293328918665538</x:v>
      </x:c>
      <x:c r="AA341"/>
    </x:row>
    <x:row r="342">
      <x:c r="A342" s="54" t="n">
        <x:v>44104</x:v>
      </x:c>
      <x:c r="B342" t="n">
        <x:v>44104.624999988424</x:v>
      </x:c>
      <x:c r="C342" t="str">
        <x:v>004920</x:v>
      </x:c>
      <x:c r="D342" t="str">
        <x:v>씨아이테크</x:v>
      </x:c>
      <x:c r="E342" t="str">
        <x:v>KOSPI</x:v>
      </x:c>
      <x:c r="F342" t="str">
        <x:v>SMALL</x:v>
      </x:c>
      <x:c r="G342" t="str">
        <x:v>DCF_SCREENING_EXCLUSION</x:v>
      </x:c>
      <x:c r="H342" t="str">
        <x:v>NON_POSITIVE_ENTERPRISE_VALUE|NON_POSITIVE_EQUITY_VALUE|NON_POSITIVE_TERMINAL_FCF</x:v>
      </x:c>
      <x:c r="I342" s="54" t="n">
        <x:v>44103</x:v>
      </x:c>
      <x:c r="J342" s="55" t="n">
        <x:v>897</x:v>
      </x:c>
      <x:c r="K342" s="55" t="n">
        <x:v>22488482484</x:v>
      </x:c>
      <x:c r="L342" s="55" t="n">
        <x:v>25070772</x:v>
      </x:c>
      <x:c r="M342" t="str">
        <x:v>20200330001199</x:v>
      </x:c>
      <x:c r="N342" t="n">
        <x:v>43920.624999988424</x:v>
      </x:c>
      <x:c r="O342" s="54" t="n">
        <x:v>43830</x:v>
      </x:c>
      <x:c r="P342" t="str">
        <x:v>False</x:v>
      </x:c>
      <x:c r="Q342" t="str">
        <x:v>755a4236ba6a89b6882694a6b5e753574834800b6014f15f8342cb189c524817</x:v>
      </x:c>
      <x:c r="R342" t="str">
        <x:v>1b1f26d6ce0c684235930612fcdf320a747fb728f1ee5efedadf87ede029ec6c</x:v>
      </x:c>
      <x:c r="S342" t="n">
        <x:v>6</x:v>
      </x:c>
      <x:c r="T342" t="str">
        <x:v>2018-12-31|2019-12-31</x:v>
      </x:c>
      <x:c r="U342" s="57" t="n">
        <x:v>-1637.7822488011666</x:v>
      </x:c>
      <x:c r="V342" s="57" t="n">
        <x:v>-2.8258442015620586</x:v>
      </x:c>
      <x:c r="W342"/>
      <x:c r="X342"/>
      <x:c r="Y342" s="38" t="n">
        <x:v>0.6409090909090909</x:v>
      </x:c>
      <x:c r="Z342" s="38" t="n">
        <x:v>0.6101308946092188</x:v>
      </x:c>
      <x:c r="AA342" t="str">
        <x:v>NON_POSITIVE_ENTERPRISE_VALUE|NON_POSITIVE_EQUITY_VALUE|NON_POSITIVE_TERMINAL_FCF</x:v>
      </x:c>
    </x:row>
    <x:row r="343">
      <x:c r="A343" s="54" t="n">
        <x:v>44104</x:v>
      </x:c>
      <x:c r="B343" t="n">
        <x:v>44104.624999988424</x:v>
      </x:c>
      <x:c r="C343" t="str">
        <x:v>058730</x:v>
      </x:c>
      <x:c r="D343" t="str">
        <x:v>다스코</x:v>
      </x:c>
      <x:c r="E343" t="str">
        <x:v>KOSPI</x:v>
      </x:c>
      <x:c r="F343" t="str">
        <x:v>SMALL</x:v>
      </x:c>
      <x:c r="G343" t="str">
        <x:v>DCF_SCREENING_EXCLUSION</x:v>
      </x:c>
      <x:c r="H343" t="str">
        <x:v>NON_POSITIVE_EQUITY_VALUE</x:v>
      </x:c>
      <x:c r="I343" s="54" t="n">
        <x:v>44103</x:v>
      </x:c>
      <x:c r="J343" s="55" t="n">
        <x:v>5380</x:v>
      </x:c>
      <x:c r="K343" s="55" t="n">
        <x:v>82852000000</x:v>
      </x:c>
      <x:c r="L343" s="55" t="n">
        <x:v>15400000</x:v>
      </x:c>
      <x:c r="M343" t="str">
        <x:v>20200330001086</x:v>
      </x:c>
      <x:c r="N343" t="n">
        <x:v>43920.624999988424</x:v>
      </x:c>
      <x:c r="O343" s="54" t="n">
        <x:v>43830</x:v>
      </x:c>
      <x:c r="P343" t="str">
        <x:v>False</x:v>
      </x:c>
      <x:c r="Q343" t="str">
        <x:v>ccc22d5bc71b5b581b8608b86ef201dd503440b221199b2d31829a825297c90f</x:v>
      </x:c>
      <x:c r="R343" t="str">
        <x:v>e9d5efc428d650efef11343c23675b71f97cc7866d7b8b5e581c6f044806174d</x:v>
      </x:c>
      <x:c r="S343" t="n">
        <x:v>7</x:v>
      </x:c>
      <x:c r="T343" t="str">
        <x:v>2019-12-31</x:v>
      </x:c>
      <x:c r="U343" s="57" t="n">
        <x:v>-858.4296299397403</x:v>
      </x:c>
      <x:c r="V343" s="57" t="n">
        <x:v>-1.1595594107694684</x:v>
      </x:c>
      <x:c r="W343"/>
      <x:c r="X343"/>
      <x:c r="Y343" s="38" t="n">
        <x:v>0.6409090909090909</x:v>
      </x:c>
      <x:c r="Z343" s="38" t="n">
        <x:v>0.6264850986190418</x:v>
      </x:c>
      <x:c r="AA343" t="str">
        <x:v>NON_POSITIVE_EQUITY_VALUE</x:v>
      </x:c>
    </x:row>
    <x:row r="344">
      <x:c r="A344" s="54" t="n">
        <x:v>44104</x:v>
      </x:c>
      <x:c r="B344" t="n">
        <x:v>44104.624999988424</x:v>
      </x:c>
      <x:c r="C344" t="str">
        <x:v>465770</x:v>
      </x:c>
      <x:c r="D344" t="str">
        <x:v>STX그린로지스</x:v>
      </x:c>
      <x:c r="E344" t="str">
        <x:v>KOSPI</x:v>
      </x:c>
      <x:c r="F344" t="str">
        <x:v>SMALL</x:v>
      </x:c>
      <x:c r="G344" t="str">
        <x:v>NOT_LISTED_OR_NO_PRICE</x:v>
      </x:c>
      <x:c r="H344"/>
      <x:c r="I344" s="54"/>
      <x:c r="J344" s="55"/>
      <x:c r="K344" s="55"/>
      <x:c r="L344" s="55"/>
      <x:c r="M344"/>
      <x:c r="N344"/>
      <x:c r="O344" s="54"/>
      <x:c r="P344"/>
      <x:c r="Q344"/>
      <x:c r="R344"/>
      <x:c r="S344"/>
      <x:c r="T344"/>
      <x:c r="U344" s="57"/>
      <x:c r="V344" s="57"/>
      <x:c r="W344"/>
      <x:c r="X344"/>
      <x:c r="Y344" s="38"/>
      <x:c r="Z344" s="38"/>
      <x:c r="AA344"/>
    </x:row>
    <x:row r="345">
      <x:c r="A345" s="54" t="n">
        <x:v>44104</x:v>
      </x:c>
      <x:c r="B345" t="n">
        <x:v>44104.624999988424</x:v>
      </x:c>
      <x:c r="C345" t="str">
        <x:v>000950</x:v>
      </x:c>
      <x:c r="D345" t="str">
        <x:v>전방</x:v>
      </x:c>
      <x:c r="E345" t="str">
        <x:v>KOSPI</x:v>
      </x:c>
      <x:c r="F345" t="str">
        <x:v>SMALL</x:v>
      </x:c>
      <x:c r="G345" t="str">
        <x:v>DCF_SCREENING_EXCLUSION</x:v>
      </x:c>
      <x:c r="H345" t="str">
        <x:v>NON_POSITIVE_ENTERPRISE_VALUE|NON_POSITIVE_EQUITY_VALUE|NON_POSITIVE_TERMINAL_FCF</x:v>
      </x:c>
      <x:c r="I345" s="54" t="n">
        <x:v>44103</x:v>
      </x:c>
      <x:c r="J345" s="55" t="n">
        <x:v>26750</x:v>
      </x:c>
      <x:c r="K345" s="55" t="n">
        <x:v>44940000000</x:v>
      </x:c>
      <x:c r="L345" s="55" t="n">
        <x:v>1680000</x:v>
      </x:c>
      <x:c r="M345" t="str">
        <x:v>20200330003342</x:v>
      </x:c>
      <x:c r="N345" t="n">
        <x:v>43920.624999988424</x:v>
      </x:c>
      <x:c r="O345" s="54" t="n">
        <x:v>43830</x:v>
      </x:c>
      <x:c r="P345" t="str">
        <x:v>False</x:v>
      </x:c>
      <x:c r="Q345" t="str">
        <x:v>d37a995ab75af5058a65fe6350a8034a0683d0929924512ef0bea4a8ad758fe5</x:v>
      </x:c>
      <x:c r="R345" t="str">
        <x:v>436e5dce599534e31efa6ebfac505210fb8df932489c5a943b4a6323ad21c373</x:v>
      </x:c>
      <x:c r="S345" t="n">
        <x:v>6</x:v>
      </x:c>
      <x:c r="T345" t="str">
        <x:v>2018-12-31|2019-12-31</x:v>
      </x:c>
      <x:c r="U345" s="57" t="n">
        <x:v>-194134.81381388978</x:v>
      </x:c>
      <x:c r="V345" s="57" t="n">
        <x:v>-8.257376217341674</x:v>
      </x:c>
      <x:c r="W345"/>
      <x:c r="X345"/>
      <x:c r="Y345" s="38" t="n">
        <x:v>0.6409090909090909</x:v>
      </x:c>
      <x:c r="Z345" s="38" t="n">
        <x:v>0.5879471041668033</x:v>
      </x:c>
      <x:c r="AA345" t="str">
        <x:v>NON_POSITIVE_ENTERPRISE_VALUE|NON_POSITIVE_EQUITY_VALUE|NON_POSITIVE_TERMINAL_FCF</x:v>
      </x:c>
    </x:row>
    <x:row r="346">
      <x:c r="A346" s="54" t="n">
        <x:v>44104</x:v>
      </x:c>
      <x:c r="B346" t="n">
        <x:v>44104.624999988424</x:v>
      </x:c>
      <x:c r="C346" t="str">
        <x:v>019180</x:v>
      </x:c>
      <x:c r="D346" t="str">
        <x:v>티에이치엔</x:v>
      </x:c>
      <x:c r="E346" t="str">
        <x:v>KOSPI</x:v>
      </x:c>
      <x:c r="F346" t="str">
        <x:v>SMALL</x:v>
      </x:c>
      <x:c r="G346" t="str">
        <x:v>ELIGIBLE</x:v>
      </x:c>
      <x:c r="H346"/>
      <x:c r="I346" s="54" t="n">
        <x:v>44103</x:v>
      </x:c>
      <x:c r="J346" s="55" t="n">
        <x:v>2415</x:v>
      </x:c>
      <x:c r="K346" s="55" t="n">
        <x:v>43470000000</x:v>
      </x:c>
      <x:c r="L346" s="55" t="n">
        <x:v>18000000</x:v>
      </x:c>
      <x:c r="M346" t="str">
        <x:v>20200330004530</x:v>
      </x:c>
      <x:c r="N346" t="n">
        <x:v>43920.624999988424</x:v>
      </x:c>
      <x:c r="O346" s="54" t="n">
        <x:v>43830</x:v>
      </x:c>
      <x:c r="P346" t="str">
        <x:v>False</x:v>
      </x:c>
      <x:c r="Q346" t="str">
        <x:v>68216fb88b1a317246b475734369fb25facd12f5f4512ce66fa4639ef15b17ce</x:v>
      </x:c>
      <x:c r="R346" t="str">
        <x:v>d2e46042d1ceff8b2a9c9623f3e88dfcb3808ae33e684ca58d553c0ffb0687aa</x:v>
      </x:c>
      <x:c r="S346" t="n">
        <x:v>6</x:v>
      </x:c>
      <x:c r="T346" t="str">
        <x:v>2018-12-31|2019-12-31</x:v>
      </x:c>
      <x:c r="U346" s="57" t="n">
        <x:v>3940.127164987125</x:v>
      </x:c>
      <x:c r="V346" s="57" t="n">
        <x:v>0.6315226356054349</x:v>
      </x:c>
      <x:c r="W346" t="n">
        <x:v>11</x:v>
      </x:c>
      <x:c r="X346" t="n">
        <x:v>1</x:v>
      </x:c>
      <x:c r="Y346" s="38" t="n">
        <x:v>0.6409090909090909</x:v>
      </x:c>
      <x:c r="Z346" s="38" t="n">
        <x:v>0.5901293254205667</x:v>
      </x:c>
      <x:c r="AA346"/>
    </x:row>
    <x:row r="347">
      <x:c r="A347" s="54" t="n">
        <x:v>44104</x:v>
      </x:c>
      <x:c r="B347" t="n">
        <x:v>44104.624999988424</x:v>
      </x:c>
      <x:c r="C347" t="str">
        <x:v>020760</x:v>
      </x:c>
      <x:c r="D347" t="str">
        <x:v>일진디스플</x:v>
      </x:c>
      <x:c r="E347" t="str">
        <x:v>KOSPI</x:v>
      </x:c>
      <x:c r="F347" t="str">
        <x:v>SMALL</x:v>
      </x:c>
      <x:c r="G347" t="str">
        <x:v>DCF_SCREENING_EXCLUSION</x:v>
      </x:c>
      <x:c r="H347" t="str">
        <x:v>NON_POSITIVE_ENTERPRISE_VALUE|NON_POSITIVE_EQUITY_VALUE|NON_POSITIVE_TERMINAL_FCF</x:v>
      </x:c>
      <x:c r="I347" s="54" t="n">
        <x:v>44103</x:v>
      </x:c>
      <x:c r="J347" s="55" t="n">
        <x:v>3660</x:v>
      </x:c>
      <x:c r="K347" s="55" t="n">
        <x:v>103630850400</x:v>
      </x:c>
      <x:c r="L347" s="55" t="n">
        <x:v>28314440</x:v>
      </x:c>
      <x:c r="M347" t="str">
        <x:v>20200330001399</x:v>
      </x:c>
      <x:c r="N347" t="n">
        <x:v>43920.624999988424</x:v>
      </x:c>
      <x:c r="O347" s="54" t="n">
        <x:v>43830</x:v>
      </x:c>
      <x:c r="P347" t="str">
        <x:v>False</x:v>
      </x:c>
      <x:c r="Q347" t="str">
        <x:v>db157d99f0d4f0676948476f9a72b6225c32b500b9933d68ba0be9a06c1cc8ed</x:v>
      </x:c>
      <x:c r="R347" t="str">
        <x:v>a386523c6ca32a1de7ee2465d75295041cb4433c2d8f2e1a226cce410f316d04</x:v>
      </x:c>
      <x:c r="S347" t="n">
        <x:v>6</x:v>
      </x:c>
      <x:c r="T347" t="str">
        <x:v>2018-12-31|2019-12-31</x:v>
      </x:c>
      <x:c r="U347" s="57" t="n">
        <x:v>-5326.370333110132</x:v>
      </x:c>
      <x:c r="V347" s="57" t="n">
        <x:v>-2.4552924407404735</x:v>
      </x:c>
      <x:c r="W347"/>
      <x:c r="X347"/>
      <x:c r="Y347" s="38" t="n">
        <x:v>0.6409090909090909</x:v>
      </x:c>
      <x:c r="Z347" s="38" t="n">
        <x:v>0.5871397980731997</x:v>
      </x:c>
      <x:c r="AA347" t="str">
        <x:v>NON_POSITIVE_ENTERPRISE_VALUE|NON_POSITIVE_EQUITY_VALUE|NON_POSITIVE_TERMINAL_FCF</x:v>
      </x:c>
    </x:row>
    <x:row r="348">
      <x:c r="A348" s="54" t="n">
        <x:v>44104</x:v>
      </x:c>
      <x:c r="B348" t="n">
        <x:v>44104.624999988424</x:v>
      </x:c>
      <x:c r="C348" t="str">
        <x:v>069640</x:v>
      </x:c>
      <x:c r="D348" t="str">
        <x:v>한세엠케이</x:v>
      </x:c>
      <x:c r="E348" t="str">
        <x:v>KOSPI</x:v>
      </x:c>
      <x:c r="F348" t="str">
        <x:v>SMALL</x:v>
      </x:c>
      <x:c r="G348" t="str">
        <x:v>DCF_SCREENING_EXCLUSION</x:v>
      </x:c>
      <x:c r="H348" t="str">
        <x:v>NON_POSITIVE_ENTERPRISE_VALUE|NON_POSITIVE_EQUITY_VALUE|NON_POSITIVE_TERMINAL_FCF</x:v>
      </x:c>
      <x:c r="I348" s="54" t="n">
        <x:v>44103</x:v>
      </x:c>
      <x:c r="J348" s="55" t="n">
        <x:v>2865</x:v>
      </x:c>
      <x:c r="K348" s="55" t="n">
        <x:v>36985207530</x:v>
      </x:c>
      <x:c r="L348" s="55" t="n">
        <x:v>12909322</x:v>
      </x:c>
      <x:c r="M348" t="str">
        <x:v>20200330003907</x:v>
      </x:c>
      <x:c r="N348" t="n">
        <x:v>43920.624999988424</x:v>
      </x:c>
      <x:c r="O348" s="54" t="n">
        <x:v>43830</x:v>
      </x:c>
      <x:c r="P348" t="str">
        <x:v>False</x:v>
      </x:c>
      <x:c r="Q348" t="str">
        <x:v>d582b638edf54a77993e4c57f8907871545a652959e3b1059944451377cae74c</x:v>
      </x:c>
      <x:c r="R348" t="str">
        <x:v>0a27ded62679dd2528856bd9d6e3bebf08e92f009aac7b00113f02d3b5a50055</x:v>
      </x:c>
      <x:c r="S348" t="n">
        <x:v>6</x:v>
      </x:c>
      <x:c r="T348" t="str">
        <x:v>2018-12-31|2019-12-31</x:v>
      </x:c>
      <x:c r="U348" s="57" t="n">
        <x:v>-11602.608488693524</x:v>
      </x:c>
      <x:c r="V348" s="57" t="n">
        <x:v>-5.049776086804022</x:v>
      </x:c>
      <x:c r="W348"/>
      <x:c r="X348"/>
      <x:c r="Y348" s="38" t="n">
        <x:v>0.6409090909090909</x:v>
      </x:c>
      <x:c r="Z348" s="38" t="n">
        <x:v>0.5784421593253344</x:v>
      </x:c>
      <x:c r="AA348" t="str">
        <x:v>NON_POSITIVE_ENTERPRISE_VALUE|NON_POSITIVE_EQUITY_VALUE|NON_POSITIVE_TERMINAL_FCF</x:v>
      </x:c>
    </x:row>
    <x:row r="349">
      <x:c r="A349" s="54" t="n">
        <x:v>44104</x:v>
      </x:c>
      <x:c r="B349" t="n">
        <x:v>44104.624999988424</x:v>
      </x:c>
      <x:c r="C349" t="str">
        <x:v>000040</x:v>
      </x:c>
      <x:c r="D349" t="str">
        <x:v>KR모터스</x:v>
      </x:c>
      <x:c r="E349" t="str">
        <x:v>KOSPI</x:v>
      </x:c>
      <x:c r="F349" t="str">
        <x:v>SMALL</x:v>
      </x:c>
      <x:c r="G349" t="str">
        <x:v>DCF_SCREENING_EXCLUSION</x:v>
      </x:c>
      <x:c r="H349" t="str">
        <x:v>NON_POSITIVE_ENTERPRISE_VALUE|NON_POSITIVE_EQUITY_VALUE|NON_POSITIVE_TERMINAL_FCF</x:v>
      </x:c>
      <x:c r="I349" s="54" t="n">
        <x:v>44103</x:v>
      </x:c>
      <x:c r="J349" s="55" t="n">
        <x:v>767</x:v>
      </x:c>
      <x:c r="K349" s="55" t="n">
        <x:v>70304000806</x:v>
      </x:c>
      <x:c r="L349" s="55" t="n">
        <x:v>91661018</x:v>
      </x:c>
      <x:c r="M349" t="str">
        <x:v>20200519000184</x:v>
      </x:c>
      <x:c r="N349" t="n">
        <x:v>43970.624999988424</x:v>
      </x:c>
      <x:c r="O349" s="54" t="n">
        <x:v>43830</x:v>
      </x:c>
      <x:c r="P349" t="str">
        <x:v>True</x:v>
      </x:c>
      <x:c r="Q349" t="str">
        <x:v>34c0806c1c8d44add89c49f0baca97eac277fb493035f681e7bf8aec1094cd82</x:v>
      </x:c>
      <x:c r="R349" t="str">
        <x:v>f87153fba01b4aa875f0517ae3f37b769c7423c1f1463f4ff75adfe019199f16</x:v>
      </x:c>
      <x:c r="S349" t="n">
        <x:v>6</x:v>
      </x:c>
      <x:c r="T349" t="str">
        <x:v>2018-12-31|2019-12-31</x:v>
      </x:c>
      <x:c r="U349" s="57" t="n">
        <x:v>-3872.5928397499765</x:v>
      </x:c>
      <x:c r="V349" s="57" t="n">
        <x:v>-6.049012828878718</x:v>
      </x:c>
      <x:c r="W349"/>
      <x:c r="X349"/>
      <x:c r="Y349" s="38" t="n">
        <x:v>0.6409090909090909</x:v>
      </x:c>
      <x:c r="Z349" s="38" t="n">
        <x:v>0.6474817543038013</x:v>
      </x:c>
      <x:c r="AA349" t="str">
        <x:v>NON_POSITIVE_ENTERPRISE_VALUE|NON_POSITIVE_EQUITY_VALUE|NON_POSITIVE_TERMINAL_FCF</x:v>
      </x:c>
    </x:row>
    <x:row r="350">
      <x:c r="A350" s="54" t="n">
        <x:v>44104</x:v>
      </x:c>
      <x:c r="B350" t="n">
        <x:v>44104.624999988424</x:v>
      </x:c>
      <x:c r="C350" t="str">
        <x:v>003680</x:v>
      </x:c>
      <x:c r="D350" t="str">
        <x:v>한성기업</x:v>
      </x:c>
      <x:c r="E350" t="str">
        <x:v>KOSPI</x:v>
      </x:c>
      <x:c r="F350" t="str">
        <x:v>SMALL</x:v>
      </x:c>
      <x:c r="G350" t="str">
        <x:v>DCF_SCREENING_EXCLUSION</x:v>
      </x:c>
      <x:c r="H350" t="str">
        <x:v>NON_POSITIVE_ENTERPRISE_VALUE|NON_POSITIVE_EQUITY_VALUE|NON_POSITIVE_TERMINAL_FCF</x:v>
      </x:c>
      <x:c r="I350" s="54" t="n">
        <x:v>44103</x:v>
      </x:c>
      <x:c r="J350" s="55" t="n">
        <x:v>12850</x:v>
      </x:c>
      <x:c r="K350" s="55" t="n">
        <x:v>79792267750</x:v>
      </x:c>
      <x:c r="L350" s="55" t="n">
        <x:v>6209515</x:v>
      </x:c>
      <x:c r="M350" t="str">
        <x:v>20200330004211</x:v>
      </x:c>
      <x:c r="N350" t="n">
        <x:v>43920.624999988424</x:v>
      </x:c>
      <x:c r="O350" s="54" t="n">
        <x:v>43830</x:v>
      </x:c>
      <x:c r="P350" t="str">
        <x:v>False</x:v>
      </x:c>
      <x:c r="Q350" t="str">
        <x:v>b6c33c7411c8ff5095f894b66c6f3da044f8e20c07af25a5a3a0f719a4091286</x:v>
      </x:c>
      <x:c r="R350" t="str">
        <x:v>9eb855d088bb513330027b21190e897b5e5c5dfc71bb8af1138dea6a41967dfd</x:v>
      </x:c>
      <x:c r="S350" t="n">
        <x:v>7</x:v>
      </x:c>
      <x:c r="T350" t="str">
        <x:v>2018-12-31|2019-12-31</x:v>
      </x:c>
      <x:c r="U350" s="57" t="n">
        <x:v>-20036.250794547082</x:v>
      </x:c>
      <x:c r="V350" s="57" t="n">
        <x:v>-2.559241306968645</x:v>
      </x:c>
      <x:c r="W350"/>
      <x:c r="X350"/>
      <x:c r="Y350" s="38" t="n">
        <x:v>0.6409090909090909</x:v>
      </x:c>
      <x:c r="Z350" s="38" t="n">
        <x:v>0.5076943890299815</x:v>
      </x:c>
      <x:c r="AA350" t="str">
        <x:v>NON_POSITIVE_ENTERPRISE_VALUE|NON_POSITIVE_EQUITY_VALUE|NON_POSITIVE_TERMINAL_FCF</x:v>
      </x:c>
    </x:row>
    <x:row r="351">
      <x:c r="A351" s="54" t="n">
        <x:v>44104</x:v>
      </x:c>
      <x:c r="B351" t="n">
        <x:v>44104.624999988424</x:v>
      </x:c>
      <x:c r="C351" t="str">
        <x:v>008600</x:v>
      </x:c>
      <x:c r="D351" t="str">
        <x:v>윌비스</x:v>
      </x:c>
      <x:c r="E351" t="str">
        <x:v>KOSPI</x:v>
      </x:c>
      <x:c r="F351" t="str">
        <x:v>SMALL</x:v>
      </x:c>
      <x:c r="G351" t="str">
        <x:v>DCF_SCREENING_EXCLUSION</x:v>
      </x:c>
      <x:c r="H351" t="str">
        <x:v>NON_POSITIVE_ENTERPRISE_VALUE|NON_POSITIVE_EQUITY_VALUE|NON_POSITIVE_TERMINAL_FCF</x:v>
      </x:c>
      <x:c r="I351" s="54" t="n">
        <x:v>44103</x:v>
      </x:c>
      <x:c r="J351" s="55" t="n">
        <x:v>1190</x:v>
      </x:c>
      <x:c r="K351" s="55" t="n">
        <x:v>77224717990</x:v>
      </x:c>
      <x:c r="L351" s="55" t="n">
        <x:v>64894721</x:v>
      </x:c>
      <x:c r="M351" t="str">
        <x:v>20200330003123</x:v>
      </x:c>
      <x:c r="N351" t="n">
        <x:v>43920.624999988424</x:v>
      </x:c>
      <x:c r="O351" s="54" t="n">
        <x:v>43830</x:v>
      </x:c>
      <x:c r="P351" t="str">
        <x:v>False</x:v>
      </x:c>
      <x:c r="Q351" t="str">
        <x:v>7e8fd51560f40a1a662fa919b163c172d060dc71957e0620218cc1897d5ad541</x:v>
      </x:c>
      <x:c r="R351" t="str">
        <x:v>04f371472a0b93f1aba2b5efe86d5d03779c91e01ad3060f274de7654ac2b769</x:v>
      </x:c>
      <x:c r="S351" t="n">
        <x:v>6</x:v>
      </x:c>
      <x:c r="T351" t="str">
        <x:v>2018-12-31|2019-12-31</x:v>
      </x:c>
      <x:c r="U351" s="57" t="n">
        <x:v>-3492.2504421776607</x:v>
      </x:c>
      <x:c r="V351" s="57" t="n">
        <x:v>-3.934664237124085</x:v>
      </x:c>
      <x:c r="W351"/>
      <x:c r="X351"/>
      <x:c r="Y351" s="38" t="n">
        <x:v>0.6409090909090909</x:v>
      </x:c>
      <x:c r="Z351" s="38" t="n">
        <x:v>0.5663409703975026</x:v>
      </x:c>
      <x:c r="AA351" t="str">
        <x:v>NON_POSITIVE_ENTERPRISE_VALUE|NON_POSITIVE_EQUITY_VALUE|NON_POSITIVE_TERMINAL_FCF</x:v>
      </x:c>
    </x:row>
    <x:row r="352">
      <x:c r="A352" s="54" t="n">
        <x:v>44104</x:v>
      </x:c>
      <x:c r="B352" t="n">
        <x:v>44104.624999988424</x:v>
      </x:c>
      <x:c r="C352" t="str">
        <x:v>018310</x:v>
      </x:c>
      <x:c r="D352" t="str">
        <x:v>삼목에스폼</x:v>
      </x:c>
      <x:c r="E352" t="str">
        <x:v>KOSDAQ</x:v>
      </x:c>
      <x:c r="F352" t="str">
        <x:v>MID</x:v>
      </x:c>
      <x:c r="G352" t="str">
        <x:v>ELIGIBLE</x:v>
      </x:c>
      <x:c r="H352"/>
      <x:c r="I352" s="54" t="n">
        <x:v>44103</x:v>
      </x:c>
      <x:c r="J352" s="55" t="n">
        <x:v>7630</x:v>
      </x:c>
      <x:c r="K352" s="55" t="n">
        <x:v>112161000000</x:v>
      </x:c>
      <x:c r="L352" s="55" t="n">
        <x:v>14700000</x:v>
      </x:c>
      <x:c r="M352" t="str">
        <x:v>20200330002433</x:v>
      </x:c>
      <x:c r="N352" t="n">
        <x:v>43920.624999988424</x:v>
      </x:c>
      <x:c r="O352" s="54" t="n">
        <x:v>43830</x:v>
      </x:c>
      <x:c r="P352" t="str">
        <x:v>False</x:v>
      </x:c>
      <x:c r="Q352" t="str">
        <x:v>165898838cd69ad40369c26b1fa45961c942ece56f8a7dbfffb4d74e40a358e7</x:v>
      </x:c>
      <x:c r="R352" t="str">
        <x:v>d60a7dcf4afd70be0a2a367ebf14f199fe1721ac1b45ad9ac406ffbe097cc6d0</x:v>
      </x:c>
      <x:c r="S352" t="n">
        <x:v>5</x:v>
      </x:c>
      <x:c r="T352" t="str">
        <x:v>2018-12-31|2019-12-31</x:v>
      </x:c>
      <x:c r="U352" s="57" t="n">
        <x:v>6651.212683986018</x:v>
      </x:c>
      <x:c r="V352" s="57" t="n">
        <x:v>-0.1282814306702466</x:v>
      </x:c>
      <x:c r="W352" t="n">
        <x:v>22</x:v>
      </x:c>
      <x:c r="X352" t="n">
        <x:v>2</x:v>
      </x:c>
      <x:c r="Y352" s="38" t="n">
        <x:v>0.6409090909090909</x:v>
      </x:c>
      <x:c r="Z352" s="38" t="n">
        <x:v>0.7638335065934094</x:v>
      </x:c>
      <x:c r="AA352"/>
    </x:row>
    <x:row r="353">
      <x:c r="A353" s="54" t="n">
        <x:v>44104</x:v>
      </x:c>
      <x:c r="B353" t="n">
        <x:v>44104.624999988424</x:v>
      </x:c>
      <x:c r="C353" t="str">
        <x:v>090360</x:v>
      </x:c>
      <x:c r="D353" t="str">
        <x:v>로보스타</x:v>
      </x:c>
      <x:c r="E353" t="str">
        <x:v>KOSDAQ</x:v>
      </x:c>
      <x:c r="F353" t="str">
        <x:v>MID</x:v>
      </x:c>
      <x:c r="G353" t="str">
        <x:v>DCF_SCREENING_EXCLUSION</x:v>
      </x:c>
      <x:c r="H353" t="str">
        <x:v>NON_POSITIVE_ENTERPRISE_VALUE|NON_POSITIVE_EQUITY_VALUE|NON_POSITIVE_TERMINAL_FCF</x:v>
      </x:c>
      <x:c r="I353" s="54" t="n">
        <x:v>44103</x:v>
      </x:c>
      <x:c r="J353" s="55" t="n">
        <x:v>13000</x:v>
      </x:c>
      <x:c r="K353" s="55" t="n">
        <x:v>126750000000</x:v>
      </x:c>
      <x:c r="L353" s="55" t="n">
        <x:v>9750000</x:v>
      </x:c>
      <x:c r="M353" t="str">
        <x:v>20200330004227</x:v>
      </x:c>
      <x:c r="N353" t="n">
        <x:v>43920.624999988424</x:v>
      </x:c>
      <x:c r="O353" s="54" t="n">
        <x:v>43830</x:v>
      </x:c>
      <x:c r="P353" t="str">
        <x:v>False</x:v>
      </x:c>
      <x:c r="Q353" t="str">
        <x:v>7cad18e461b2964c30b4d657a679f043e79ee242b52751cb6ffb53e6a1c5e5bc</x:v>
      </x:c>
      <x:c r="R353" t="str">
        <x:v>e326df905f70cf48b5dfe1216a9cb1a5e975932ce8d9984619c113ff1cc4bd1b</x:v>
      </x:c>
      <x:c r="S353" t="n">
        <x:v>5</x:v>
      </x:c>
      <x:c r="T353" t="str">
        <x:v>2018-12-31|2019-12-31</x:v>
      </x:c>
      <x:c r="U353" s="57" t="n">
        <x:v>-983.5331588588693</x:v>
      </x:c>
      <x:c r="V353" s="57" t="n">
        <x:v>-1.0756563968352977</x:v>
      </x:c>
      <x:c r="W353"/>
      <x:c r="X353"/>
      <x:c r="Y353" s="38" t="n">
        <x:v>0.6409090909090909</x:v>
      </x:c>
      <x:c r="Z353" s="38" t="n">
        <x:v>0.5517478406566056</x:v>
      </x:c>
      <x:c r="AA353" t="str">
        <x:v>NON_POSITIVE_ENTERPRISE_VALUE|NON_POSITIVE_EQUITY_VALUE|NON_POSITIVE_TERMINAL_FCF</x:v>
      </x:c>
    </x:row>
    <x:row r="354">
      <x:c r="A354" s="54" t="n">
        <x:v>44104</x:v>
      </x:c>
      <x:c r="B354" t="n">
        <x:v>44104.624999988424</x:v>
      </x:c>
      <x:c r="C354" t="str">
        <x:v>144960</x:v>
      </x:c>
      <x:c r="D354" t="str">
        <x:v>뉴파워프라즈마</x:v>
      </x:c>
      <x:c r="E354" t="str">
        <x:v>KOSDAQ</x:v>
      </x:c>
      <x:c r="F354" t="str">
        <x:v>MID</x:v>
      </x:c>
      <x:c r="G354" t="str">
        <x:v>ELIGIBLE</x:v>
      </x:c>
      <x:c r="H354"/>
      <x:c r="I354" s="54" t="n">
        <x:v>44103</x:v>
      </x:c>
      <x:c r="J354" s="55" t="n">
        <x:v>6230</x:v>
      </x:c>
      <x:c r="K354" s="55" t="n">
        <x:v>258555497550</x:v>
      </x:c>
      <x:c r="L354" s="55" t="n">
        <x:v>41501685</x:v>
      </x:c>
      <x:c r="M354" t="str">
        <x:v>20200330003611</x:v>
      </x:c>
      <x:c r="N354" t="n">
        <x:v>43920.624999988424</x:v>
      </x:c>
      <x:c r="O354" s="54" t="n">
        <x:v>43830</x:v>
      </x:c>
      <x:c r="P354" t="str">
        <x:v>False</x:v>
      </x:c>
      <x:c r="Q354" t="str">
        <x:v>8de8cc407cf36453da7a36c0c631d6f70e15f223e09b2b161a328a8b0b0e274d</x:v>
      </x:c>
      <x:c r="R354" t="str">
        <x:v>6d4c85e8edf23b57315e94db856a6d89d1cd1b83c2474ed8aa669e8f32dd4a0f</x:v>
      </x:c>
      <x:c r="S354" t="n">
        <x:v>6</x:v>
      </x:c>
      <x:c r="T354" t="str">
        <x:v>2018-12-31|2019-12-31</x:v>
      </x:c>
      <x:c r="U354" s="57" t="n">
        <x:v>636.3020839776773</x:v>
      </x:c>
      <x:c r="V354" s="57" t="n">
        <x:v>-0.8978648340324755</x:v>
      </x:c>
      <x:c r="W354" t="n">
        <x:v>58</x:v>
      </x:c>
      <x:c r="X354" t="n">
        <x:v>5</x:v>
      </x:c>
      <x:c r="Y354" s="38" t="n">
        <x:v>0.6409090909090909</x:v>
      </x:c>
      <x:c r="Z354" s="38" t="n">
        <x:v>0.7291259709349471</x:v>
      </x:c>
      <x:c r="AA354"/>
    </x:row>
    <x:row r="355">
      <x:c r="A355" s="54" t="n">
        <x:v>44104</x:v>
      </x:c>
      <x:c r="B355" t="n">
        <x:v>44104.624999988424</x:v>
      </x:c>
      <x:c r="C355" t="str">
        <x:v>065660</x:v>
      </x:c>
      <x:c r="D355" t="str">
        <x:v>안트로젠</x:v>
      </x:c>
      <x:c r="E355" t="str">
        <x:v>KOSDAQ</x:v>
      </x:c>
      <x:c r="F355" t="str">
        <x:v>MID</x:v>
      </x:c>
      <x:c r="G355" t="str">
        <x:v>DCF_SCREENING_EXCLUSION</x:v>
      </x:c>
      <x:c r="H355" t="str">
        <x:v>NON_POSITIVE_ENTERPRISE_VALUE|NON_POSITIVE_TERMINAL_FCF</x:v>
      </x:c>
      <x:c r="I355" s="54" t="n">
        <x:v>44103</x:v>
      </x:c>
      <x:c r="J355" s="55" t="n">
        <x:v>52500</x:v>
      </x:c>
      <x:c r="K355" s="55" t="n">
        <x:v>470188267500</x:v>
      </x:c>
      <x:c r="L355" s="55" t="n">
        <x:v>8955967</x:v>
      </x:c>
      <x:c r="M355" t="str">
        <x:v>20200327000620</x:v>
      </x:c>
      <x:c r="N355" t="n">
        <x:v>43917.624999988424</x:v>
      </x:c>
      <x:c r="O355" s="54" t="n">
        <x:v>43830</x:v>
      </x:c>
      <x:c r="P355" t="str">
        <x:v>False</x:v>
      </x:c>
      <x:c r="Q355" t="str">
        <x:v>e393b791c5128fd52c22b5f9a30acb3eab1a1ea9e6d0296769d8f122da5a913b</x:v>
      </x:c>
      <x:c r="R355" t="str">
        <x:v>0eaa0820dd6320358f91fc416d8f116d7562d0d57503cf9c1eb3484d3c360c02</x:v>
      </x:c>
      <x:c r="S355" t="n">
        <x:v>5</x:v>
      </x:c>
      <x:c r="T355" t="str">
        <x:v>2018-12-31|2019-12-31</x:v>
      </x:c>
      <x:c r="U355" s="57" t="n">
        <x:v>3147.5289127787964</x:v>
      </x:c>
      <x:c r="V355" s="57" t="n">
        <x:v>-0.9400470683280229</x:v>
      </x:c>
      <x:c r="W355"/>
      <x:c r="X355"/>
      <x:c r="Y355" s="38" t="n">
        <x:v>0.6409090909090909</x:v>
      </x:c>
      <x:c r="Z355" s="38" t="n">
        <x:v>0.6635957394517747</x:v>
      </x:c>
      <x:c r="AA355" t="str">
        <x:v>NON_POSITIVE_ENTERPRISE_VALUE|NON_POSITIVE_TERMINAL_FCF</x:v>
      </x:c>
    </x:row>
    <x:row r="356">
      <x:c r="A356" s="54" t="n">
        <x:v>44104</x:v>
      </x:c>
      <x:c r="B356" t="n">
        <x:v>44104.624999988424</x:v>
      </x:c>
      <x:c r="C356" t="str">
        <x:v>255220</x:v>
      </x:c>
      <x:c r="D356" t="str">
        <x:v>SG</x:v>
      </x:c>
      <x:c r="E356" t="str">
        <x:v>KOSDAQ</x:v>
      </x:c>
      <x:c r="F356" t="str">
        <x:v>MID</x:v>
      </x:c>
      <x:c r="G356" t="str">
        <x:v>DCF_SCREENING_EXCLUSION</x:v>
      </x:c>
      <x:c r="H356" t="str">
        <x:v>NON_POSITIVE_EQUITY_VALUE</x:v>
      </x:c>
      <x:c r="I356" s="54" t="n">
        <x:v>44103</x:v>
      </x:c>
      <x:c r="J356" s="55" t="n">
        <x:v>2210</x:v>
      </x:c>
      <x:c r="K356" s="55" t="n">
        <x:v>81151259670</x:v>
      </x:c>
      <x:c r="L356" s="55" t="n">
        <x:v>36720027</x:v>
      </x:c>
      <x:c r="M356" t="str">
        <x:v>20200330002142</x:v>
      </x:c>
      <x:c r="N356" t="n">
        <x:v>43920.624999988424</x:v>
      </x:c>
      <x:c r="O356" s="54" t="n">
        <x:v>43830</x:v>
      </x:c>
      <x:c r="P356" t="str">
        <x:v>False</x:v>
      </x:c>
      <x:c r="Q356" t="str">
        <x:v>c19d966ea0c3e188aef328dfae11253fde0293673b1d88e53b090542924e246c</x:v>
      </x:c>
      <x:c r="R356" t="str">
        <x:v>e96e2156cbff1ce8f673d16811513cbc20272538b93262a6e065e0763eb33535</x:v>
      </x:c>
      <x:c r="S356" t="n">
        <x:v>6</x:v>
      </x:c>
      <x:c r="T356" t="str">
        <x:v>2018-12-31|2019-12-31</x:v>
      </x:c>
      <x:c r="U356" s="57" t="n">
        <x:v>-274.1292153525808</x:v>
      </x:c>
      <x:c r="V356" s="57" t="n">
        <x:v>-1.1240403689378193</x:v>
      </x:c>
      <x:c r="W356"/>
      <x:c r="X356"/>
      <x:c r="Y356" s="38" t="n">
        <x:v>0.6409090909090909</x:v>
      </x:c>
      <x:c r="Z356" s="38" t="n">
        <x:v>0.6622124389251648</x:v>
      </x:c>
      <x:c r="AA356" t="str">
        <x:v>NON_POSITIVE_EQUITY_VALUE</x:v>
      </x:c>
    </x:row>
    <x:row r="357">
      <x:c r="A357" s="54" t="n">
        <x:v>44104</x:v>
      </x:c>
      <x:c r="B357" t="n">
        <x:v>44104.624999988424</x:v>
      </x:c>
      <x:c r="C357" t="str">
        <x:v>356680</x:v>
      </x:c>
      <x:c r="D357" t="str">
        <x:v>엑스게이트</x:v>
      </x:c>
      <x:c r="E357" t="str">
        <x:v>KOSDAQ</x:v>
      </x:c>
      <x:c r="F357" t="str">
        <x:v>MID</x:v>
      </x:c>
      <x:c r="G357" t="str">
        <x:v>NOT_LISTED_OR_NO_PRICE</x:v>
      </x:c>
      <x:c r="H357"/>
      <x:c r="I357" s="54"/>
      <x:c r="J357" s="55"/>
      <x:c r="K357" s="55"/>
      <x:c r="L357" s="55"/>
      <x:c r="M357"/>
      <x:c r="N357"/>
      <x:c r="O357" s="54"/>
      <x:c r="P357"/>
      <x:c r="Q357"/>
      <x:c r="R357"/>
      <x:c r="S357"/>
      <x:c r="T357"/>
      <x:c r="U357" s="57"/>
      <x:c r="V357" s="57"/>
      <x:c r="W357"/>
      <x:c r="X357"/>
      <x:c r="Y357" s="38"/>
      <x:c r="Z357" s="38"/>
      <x:c r="AA357"/>
    </x:row>
    <x:row r="358">
      <x:c r="A358" s="54" t="n">
        <x:v>44104</x:v>
      </x:c>
      <x:c r="B358" t="n">
        <x:v>44104.624999988424</x:v>
      </x:c>
      <x:c r="C358" t="str">
        <x:v>038390</x:v>
      </x:c>
      <x:c r="D358" t="str">
        <x:v>레드캡투어</x:v>
      </x:c>
      <x:c r="E358" t="str">
        <x:v>KOSDAQ</x:v>
      </x:c>
      <x:c r="F358" t="str">
        <x:v>MID</x:v>
      </x:c>
      <x:c r="G358" t="str">
        <x:v>ELIGIBLE</x:v>
      </x:c>
      <x:c r="H358"/>
      <x:c r="I358" s="54" t="n">
        <x:v>44103</x:v>
      </x:c>
      <x:c r="J358" s="55" t="n">
        <x:v>14800</x:v>
      </x:c>
      <x:c r="K358" s="55" t="n">
        <x:v>127124304000</x:v>
      </x:c>
      <x:c r="L358" s="55" t="n">
        <x:v>8589480</x:v>
      </x:c>
      <x:c r="M358" t="str">
        <x:v>20200330001056</x:v>
      </x:c>
      <x:c r="N358" t="n">
        <x:v>43920.624999988424</x:v>
      </x:c>
      <x:c r="O358" s="54" t="n">
        <x:v>43830</x:v>
      </x:c>
      <x:c r="P358" t="str">
        <x:v>False</x:v>
      </x:c>
      <x:c r="Q358" t="str">
        <x:v>0ed4d7e76fec63b8aaef9e570a935e91f1c114de8e88e76028d6576bd56dfe1c</x:v>
      </x:c>
      <x:c r="R358" t="str">
        <x:v>9ca028bc32b84d8c11c49b231ccb0cb4a9fdaf6127f7ed9a607c722190daca14</x:v>
      </x:c>
      <x:c r="S358" t="n">
        <x:v>6</x:v>
      </x:c>
      <x:c r="T358" t="str">
        <x:v>2018-12-31|2019-12-31</x:v>
      </x:c>
      <x:c r="U358" s="57" t="n">
        <x:v>19218.41668035128</x:v>
      </x:c>
      <x:c r="V358" s="57" t="n">
        <x:v>0.29854166759130274</x:v>
      </x:c>
      <x:c r="W358" t="n">
        <x:v>14</x:v>
      </x:c>
      <x:c r="X358" t="n">
        <x:v>2</x:v>
      </x:c>
      <x:c r="Y358" s="38" t="n">
        <x:v>0.6409090909090909</x:v>
      </x:c>
      <x:c r="Z358" s="38" t="n">
        <x:v>0.6509275162397761</x:v>
      </x:c>
      <x:c r="AA358"/>
    </x:row>
    <x:row r="359">
      <x:c r="A359" s="54" t="n">
        <x:v>44104</x:v>
      </x:c>
      <x:c r="B359" t="n">
        <x:v>44104.624999988424</x:v>
      </x:c>
      <x:c r="C359" t="str">
        <x:v>083930</x:v>
      </x:c>
      <x:c r="D359" t="str">
        <x:v>아바코</x:v>
      </x:c>
      <x:c r="E359" t="str">
        <x:v>KOSDAQ</x:v>
      </x:c>
      <x:c r="F359" t="str">
        <x:v>MID</x:v>
      </x:c>
      <x:c r="G359" t="str">
        <x:v>ELIGIBLE</x:v>
      </x:c>
      <x:c r="H359"/>
      <x:c r="I359" s="54" t="n">
        <x:v>44103</x:v>
      </x:c>
      <x:c r="J359" s="55" t="n">
        <x:v>8650</x:v>
      </x:c>
      <x:c r="K359" s="55" t="n">
        <x:v>133320702700</x:v>
      </x:c>
      <x:c r="L359" s="55" t="n">
        <x:v>15412798</x:v>
      </x:c>
      <x:c r="M359" t="str">
        <x:v>20200330003217</x:v>
      </x:c>
      <x:c r="N359" t="n">
        <x:v>43920.624999988424</x:v>
      </x:c>
      <x:c r="O359" s="54" t="n">
        <x:v>43830</x:v>
      </x:c>
      <x:c r="P359" t="str">
        <x:v>False</x:v>
      </x:c>
      <x:c r="Q359" t="str">
        <x:v>6fe112766ead0fff9903fdac4ab584f8524a512815d8a732af0c90eaa77b57bf</x:v>
      </x:c>
      <x:c r="R359" t="str">
        <x:v>3b615f1fd988c1c5033d71762dd36efa6dd6dd19d7b2282334628ddd2d2fc2cb</x:v>
      </x:c>
      <x:c r="S359" t="n">
        <x:v>7</x:v>
      </x:c>
      <x:c r="T359" t="str">
        <x:v>2018-12-31|2019-12-31</x:v>
      </x:c>
      <x:c r="U359" s="57" t="n">
        <x:v>11080.323791102901</x:v>
      </x:c>
      <x:c r="V359" s="57" t="n">
        <x:v>0.2809622879887747</x:v>
      </x:c>
      <x:c r="W359" t="n">
        <x:v>15</x:v>
      </x:c>
      <x:c r="X359" t="n">
        <x:v>2</x:v>
      </x:c>
      <x:c r="Y359" s="38" t="n">
        <x:v>0.6409090909090909</x:v>
      </x:c>
      <x:c r="Z359" s="38" t="n">
        <x:v>0.5946474082816877</x:v>
      </x:c>
      <x:c r="AA359"/>
    </x:row>
    <x:row r="360">
      <x:c r="A360" s="54" t="n">
        <x:v>44104</x:v>
      </x:c>
      <x:c r="B360" t="n">
        <x:v>44104.624999988424</x:v>
      </x:c>
      <x:c r="C360" t="str">
        <x:v>089600</x:v>
      </x:c>
      <x:c r="D360" t="str">
        <x:v>KT나스미디어</x:v>
      </x:c>
      <x:c r="E360" t="str">
        <x:v>KOSDAQ</x:v>
      </x:c>
      <x:c r="F360" t="str">
        <x:v>MID</x:v>
      </x:c>
      <x:c r="G360" t="str">
        <x:v>ELIGIBLE</x:v>
      </x:c>
      <x:c r="H360"/>
      <x:c r="I360" s="54" t="n">
        <x:v>44103</x:v>
      </x:c>
      <x:c r="J360" s="55" t="n">
        <x:v>34650</x:v>
      </x:c>
      <x:c r="K360" s="55" t="n">
        <x:v>303350043150</x:v>
      </x:c>
      <x:c r="L360" s="55" t="n">
        <x:v>8754691</x:v>
      </x:c>
      <x:c r="M360" t="str">
        <x:v>20200330003971</x:v>
      </x:c>
      <x:c r="N360" t="n">
        <x:v>43920.624999988424</x:v>
      </x:c>
      <x:c r="O360" s="54" t="n">
        <x:v>43830</x:v>
      </x:c>
      <x:c r="P360" t="str">
        <x:v>False</x:v>
      </x:c>
      <x:c r="Q360" t="str">
        <x:v>7366a9a946afb807904d9c068adeee1c2b11b8f4ce52b600edd8231e0270e3af</x:v>
      </x:c>
      <x:c r="R360" t="str">
        <x:v>a1780843cd2e0dc320178dfa80fdea6a1484ec5b2418439dcb6c1f6bfc73acf5</x:v>
      </x:c>
      <x:c r="S360" t="n">
        <x:v>6</x:v>
      </x:c>
      <x:c r="T360" t="str">
        <x:v>2019-12-31</x:v>
      </x:c>
      <x:c r="U360" s="57" t="n">
        <x:v>32148.67306797827</x:v>
      </x:c>
      <x:c r="V360" s="57" t="n">
        <x:v>-0.07218836744651452</x:v>
      </x:c>
      <x:c r="W360" t="n">
        <x:v>21</x:v>
      </x:c>
      <x:c r="X360" t="n">
        <x:v>2</x:v>
      </x:c>
      <x:c r="Y360" s="38" t="n">
        <x:v>0.6409090909090909</x:v>
      </x:c>
      <x:c r="Z360" s="38" t="n">
        <x:v>0.6701769222689359</x:v>
      </x:c>
      <x:c r="AA360"/>
    </x:row>
    <x:row r="361">
      <x:c r="A361" s="54" t="n">
        <x:v>44104</x:v>
      </x:c>
      <x:c r="B361" t="n">
        <x:v>44104.624999988424</x:v>
      </x:c>
      <x:c r="C361" t="str">
        <x:v>091120</x:v>
      </x:c>
      <x:c r="D361" t="str">
        <x:v>이엠텍</x:v>
      </x:c>
      <x:c r="E361" t="str">
        <x:v>KOSDAQ</x:v>
      </x:c>
      <x:c r="F361" t="str">
        <x:v>MID</x:v>
      </x:c>
      <x:c r="G361" t="str">
        <x:v>DCF_SCREENING_EXCLUSION</x:v>
      </x:c>
      <x:c r="H361" t="str">
        <x:v>NON_POSITIVE_ENTERPRISE_VALUE|NON_POSITIVE_EQUITY_VALUE|NON_POSITIVE_TERMINAL_FCF</x:v>
      </x:c>
      <x:c r="I361" s="54" t="n">
        <x:v>44103</x:v>
      </x:c>
      <x:c r="J361" s="55" t="n">
        <x:v>12250</x:v>
      </x:c>
      <x:c r="K361" s="55" t="n">
        <x:v>196746466000</x:v>
      </x:c>
      <x:c r="L361" s="55" t="n">
        <x:v>16060936</x:v>
      </x:c>
      <x:c r="M361" t="str">
        <x:v>20200327001294</x:v>
      </x:c>
      <x:c r="N361" t="n">
        <x:v>43917.624999988424</x:v>
      </x:c>
      <x:c r="O361" s="54" t="n">
        <x:v>43830</x:v>
      </x:c>
      <x:c r="P361" t="str">
        <x:v>False</x:v>
      </x:c>
      <x:c r="Q361" t="str">
        <x:v>2d24983f4c6ef246eb83385f0559caa906d62eb07d0c727c440087294d8e0ac1</x:v>
      </x:c>
      <x:c r="R361" t="str">
        <x:v>47b28b8cb7206e847ab0c31138de31f5f565461bc77cf232929bb0bd4e51f734</x:v>
      </x:c>
      <x:c r="S361" t="n">
        <x:v>6</x:v>
      </x:c>
      <x:c r="T361" t="str">
        <x:v>2018-12-31|2019-12-31</x:v>
      </x:c>
      <x:c r="U361" s="57" t="n">
        <x:v>-486.89593659803876</x:v>
      </x:c>
      <x:c r="V361" s="57" t="n">
        <x:v>-1.0397466070692276</x:v>
      </x:c>
      <x:c r="W361"/>
      <x:c r="X361"/>
      <x:c r="Y361" s="38" t="n">
        <x:v>0.6409090909090909</x:v>
      </x:c>
      <x:c r="Z361" s="38" t="n">
        <x:v>0.4477369167724004</x:v>
      </x:c>
      <x:c r="AA361" t="str">
        <x:v>NON_POSITIVE_ENTERPRISE_VALUE|NON_POSITIVE_EQUITY_VALUE|NON_POSITIVE_TERMINAL_FCF</x:v>
      </x:c>
    </x:row>
    <x:row r="362">
      <x:c r="A362" s="54" t="n">
        <x:v>44104</x:v>
      </x:c>
      <x:c r="B362" t="n">
        <x:v>44104.624999988424</x:v>
      </x:c>
      <x:c r="C362" t="str">
        <x:v>353810</x:v>
      </x:c>
      <x:c r="D362" t="str">
        <x:v>이지바이오</x:v>
      </x:c>
      <x:c r="E362" t="str">
        <x:v>KOSDAQ</x:v>
      </x:c>
      <x:c r="F362" t="str">
        <x:v>MID</x:v>
      </x:c>
      <x:c r="G362" t="str">
        <x:v>NO_PIT_FINANCIALS</x:v>
      </x:c>
      <x:c r="H362"/>
      <x:c r="I362" s="54" t="n">
        <x:v>44103</x:v>
      </x:c>
      <x:c r="J362" s="55" t="n">
        <x:v>61700</x:v>
      </x:c>
      <x:c r="K362" s="55" t="n">
        <x:v>141091117600</x:v>
      </x:c>
      <x:c r="L362" s="55" t="n">
        <x:v>2286728</x:v>
      </x:c>
      <x:c r="M362"/>
      <x:c r="N362"/>
      <x:c r="O362" s="54"/>
      <x:c r="P362"/>
      <x:c r="Q362"/>
      <x:c r="R362"/>
      <x:c r="S362"/>
      <x:c r="T362"/>
      <x:c r="U362" s="57"/>
      <x:c r="V362" s="57"/>
      <x:c r="W362"/>
      <x:c r="X362"/>
      <x:c r="Y362" s="38"/>
      <x:c r="Z362" s="38"/>
      <x:c r="AA362"/>
    </x:row>
    <x:row r="363">
      <x:c r="A363" s="54" t="n">
        <x:v>44104</x:v>
      </x:c>
      <x:c r="B363" t="n">
        <x:v>44104.624999988424</x:v>
      </x:c>
      <x:c r="C363" t="str">
        <x:v>203650</x:v>
      </x:c>
      <x:c r="D363" t="str">
        <x:v>드림시큐리티</x:v>
      </x:c>
      <x:c r="E363" t="str">
        <x:v>KOSDAQ</x:v>
      </x:c>
      <x:c r="F363" t="str">
        <x:v>MID</x:v>
      </x:c>
      <x:c r="G363" t="str">
        <x:v>ELIGIBLE</x:v>
      </x:c>
      <x:c r="H363"/>
      <x:c r="I363" s="54" t="n">
        <x:v>44103</x:v>
      </x:c>
      <x:c r="J363" s="55" t="n">
        <x:v>4395</x:v>
      </x:c>
      <x:c r="K363" s="55" t="n">
        <x:v>222412288830</x:v>
      </x:c>
      <x:c r="L363" s="55" t="n">
        <x:v>50605754</x:v>
      </x:c>
      <x:c r="M363" t="str">
        <x:v>20200330002245</x:v>
      </x:c>
      <x:c r="N363" t="n">
        <x:v>43920.624999988424</x:v>
      </x:c>
      <x:c r="O363" s="54" t="n">
        <x:v>43830</x:v>
      </x:c>
      <x:c r="P363" t="str">
        <x:v>False</x:v>
      </x:c>
      <x:c r="Q363" t="str">
        <x:v>57c3d3517db60ca075b2c8d11f58e42070e7165608af392777e68b9ef42f02de</x:v>
      </x:c>
      <x:c r="R363" t="str">
        <x:v>6df67fc742d01a8516ea913e46378977817ffd387d4cef500e4488e05bc9a1be</x:v>
      </x:c>
      <x:c r="S363" t="n">
        <x:v>6</x:v>
      </x:c>
      <x:c r="T363" t="str">
        <x:v>2018-12-31|2019-12-31</x:v>
      </x:c>
      <x:c r="U363" s="57" t="n">
        <x:v>234.19899304557862</x:v>
      </x:c>
      <x:c r="V363" s="57" t="n">
        <x:v>-0.946712402037411</x:v>
      </x:c>
      <x:c r="W363" t="n">
        <x:v>60</x:v>
      </x:c>
      <x:c r="X363" t="n">
        <x:v>5</x:v>
      </x:c>
      <x:c r="Y363" s="38" t="n">
        <x:v>0.6409090909090909</x:v>
      </x:c>
      <x:c r="Z363" s="38" t="n">
        <x:v>0.7096876554646769</x:v>
      </x:c>
      <x:c r="AA363"/>
    </x:row>
    <x:row r="364">
      <x:c r="A364" s="54" t="n">
        <x:v>44104</x:v>
      </x:c>
      <x:c r="B364" t="n">
        <x:v>44104.624999988424</x:v>
      </x:c>
      <x:c r="C364" t="str">
        <x:v>251120</x:v>
      </x:c>
      <x:c r="D364" t="str">
        <x:v>바이오에프디엔씨</x:v>
      </x:c>
      <x:c r="E364" t="str">
        <x:v>KOSDAQ</x:v>
      </x:c>
      <x:c r="F364" t="str">
        <x:v>MID</x:v>
      </x:c>
      <x:c r="G364" t="str">
        <x:v>NOT_LISTED_OR_NO_PRICE</x:v>
      </x:c>
      <x:c r="H364"/>
      <x:c r="I364" s="54"/>
      <x:c r="J364" s="55"/>
      <x:c r="K364" s="55"/>
      <x:c r="L364" s="55"/>
      <x:c r="M364"/>
      <x:c r="N364"/>
      <x:c r="O364" s="54"/>
      <x:c r="P364"/>
      <x:c r="Q364"/>
      <x:c r="R364"/>
      <x:c r="S364"/>
      <x:c r="T364"/>
      <x:c r="U364" s="57"/>
      <x:c r="V364" s="57"/>
      <x:c r="W364"/>
      <x:c r="X364"/>
      <x:c r="Y364" s="38"/>
      <x:c r="Z364" s="38"/>
      <x:c r="AA364"/>
    </x:row>
    <x:row r="365">
      <x:c r="A365" s="54" t="n">
        <x:v>44104</x:v>
      </x:c>
      <x:c r="B365" t="n">
        <x:v>44104.624999988424</x:v>
      </x:c>
      <x:c r="C365" t="str">
        <x:v>094820</x:v>
      </x:c>
      <x:c r="D365" t="str">
        <x:v>일진파워</x:v>
      </x:c>
      <x:c r="E365" t="str">
        <x:v>KOSDAQ</x:v>
      </x:c>
      <x:c r="F365" t="str">
        <x:v>MID</x:v>
      </x:c>
      <x:c r="G365" t="str">
        <x:v>ELIGIBLE</x:v>
      </x:c>
      <x:c r="H365"/>
      <x:c r="I365" s="54" t="n">
        <x:v>44103</x:v>
      </x:c>
      <x:c r="J365" s="55" t="n">
        <x:v>5180</x:v>
      </x:c>
      <x:c r="K365" s="55" t="n">
        <x:v>78107712620</x:v>
      </x:c>
      <x:c r="L365" s="55" t="n">
        <x:v>15078709</x:v>
      </x:c>
      <x:c r="M365" t="str">
        <x:v>20200330003625</x:v>
      </x:c>
      <x:c r="N365" t="n">
        <x:v>43920.624999988424</x:v>
      </x:c>
      <x:c r="O365" s="54" t="n">
        <x:v>43830</x:v>
      </x:c>
      <x:c r="P365" t="str">
        <x:v>False</x:v>
      </x:c>
      <x:c r="Q365" t="str">
        <x:v>b59d85b4dcc8495f35c926f0be8e9fc82a38a7e715e631d2aaa36b6ab594f7a5</x:v>
      </x:c>
      <x:c r="R365" t="str">
        <x:v>433d6a7d85480f55117e65b211d43de0f789d445ad6e9cd7e61d82eccb9873d8</x:v>
      </x:c>
      <x:c r="S365" t="n">
        <x:v>5</x:v>
      </x:c>
      <x:c r="T365" t="str">
        <x:v>2018-12-31|2019-12-31</x:v>
      </x:c>
      <x:c r="U365" s="57" t="n">
        <x:v>14773.966135425591</x:v>
      </x:c>
      <x:c r="V365" s="57" t="n">
        <x:v>1.8521170145609247</x:v>
      </x:c>
      <x:c r="W365" t="n">
        <x:v>4</x:v>
      </x:c>
      <x:c r="X365" t="n">
        <x:v>1</x:v>
      </x:c>
      <x:c r="Y365" s="38" t="n">
        <x:v>0.6409090909090909</x:v>
      </x:c>
      <x:c r="Z365" s="38" t="n">
        <x:v>0.7315079400342607</x:v>
      </x:c>
      <x:c r="AA365"/>
    </x:row>
    <x:row r="366">
      <x:c r="A366" s="54" t="n">
        <x:v>44104</x:v>
      </x:c>
      <x:c r="B366" t="n">
        <x:v>44104.624999988424</x:v>
      </x:c>
      <x:c r="C366" t="str">
        <x:v>333430</x:v>
      </x:c>
      <x:c r="D366" t="str">
        <x:v>일승</x:v>
      </x:c>
      <x:c r="E366" t="str">
        <x:v>KOSDAQ</x:v>
      </x:c>
      <x:c r="F366" t="str">
        <x:v>MID</x:v>
      </x:c>
      <x:c r="G366" t="str">
        <x:v>NO_PIT_FINANCIALS</x:v>
      </x:c>
      <x:c r="H366"/>
      <x:c r="I366" s="54" t="n">
        <x:v>44103</x:v>
      </x:c>
      <x:c r="J366" s="55" t="n">
        <x:v>2050</x:v>
      </x:c>
      <x:c r="K366" s="55" t="n">
        <x:v>8999500000</x:v>
      </x:c>
      <x:c r="L366" s="55" t="n">
        <x:v>4390000</x:v>
      </x:c>
      <x:c r="M366"/>
      <x:c r="N366"/>
      <x:c r="O366" s="54"/>
      <x:c r="P366"/>
      <x:c r="Q366"/>
      <x:c r="R366"/>
      <x:c r="S366"/>
      <x:c r="T366"/>
      <x:c r="U366" s="57"/>
      <x:c r="V366" s="57"/>
      <x:c r="W366"/>
      <x:c r="X366"/>
      <x:c r="Y366" s="38"/>
      <x:c r="Z366" s="38"/>
      <x:c r="AA366"/>
    </x:row>
    <x:row r="367">
      <x:c r="A367" s="54" t="n">
        <x:v>44104</x:v>
      </x:c>
      <x:c r="B367" t="n">
        <x:v>44104.624999988424</x:v>
      </x:c>
      <x:c r="C367" t="str">
        <x:v>041440</x:v>
      </x:c>
      <x:c r="D367" t="str">
        <x:v>현대에버다임</x:v>
      </x:c>
      <x:c r="E367" t="str">
        <x:v>KOSDAQ</x:v>
      </x:c>
      <x:c r="F367" t="str">
        <x:v>MID</x:v>
      </x:c>
      <x:c r="G367" t="str">
        <x:v>ELIGIBLE</x:v>
      </x:c>
      <x:c r="H367"/>
      <x:c r="I367" s="54" t="n">
        <x:v>44103</x:v>
      </x:c>
      <x:c r="J367" s="55" t="n">
        <x:v>4070</x:v>
      </x:c>
      <x:c r="K367" s="55" t="n">
        <x:v>72917892080</x:v>
      </x:c>
      <x:c r="L367" s="55" t="n">
        <x:v>17915944</x:v>
      </x:c>
      <x:c r="M367" t="str">
        <x:v>20200330003194</x:v>
      </x:c>
      <x:c r="N367" t="n">
        <x:v>43920.624999988424</x:v>
      </x:c>
      <x:c r="O367" s="54" t="n">
        <x:v>43830</x:v>
      </x:c>
      <x:c r="P367" t="str">
        <x:v>False</x:v>
      </x:c>
      <x:c r="Q367" t="str">
        <x:v>16997b4392a0bd28ea72e13e4e114acc5a569dcbee456947a306d17b34b51b31</x:v>
      </x:c>
      <x:c r="R367" t="str">
        <x:v>3b14c0c6043d928661a22489109067489d88031687d22b7a5311c2499b3d669e</x:v>
      </x:c>
      <x:c r="S367" t="n">
        <x:v>7</x:v>
      </x:c>
      <x:c r="T367" t="str">
        <x:v>2018-12-31|2019-12-31</x:v>
      </x:c>
      <x:c r="U367" s="57" t="n">
        <x:v>2614.9217888781814</x:v>
      </x:c>
      <x:c r="V367" s="57" t="n">
        <x:v>-0.35751307398570475</x:v>
      </x:c>
      <x:c r="W367" t="n">
        <x:v>28</x:v>
      </x:c>
      <x:c r="X367" t="n">
        <x:v>3</x:v>
      </x:c>
      <x:c r="Y367" s="38" t="n">
        <x:v>0.6409090909090909</x:v>
      </x:c>
      <x:c r="Z367" s="38" t="n">
        <x:v>0.5430879733724859</x:v>
      </x:c>
      <x:c r="AA367"/>
    </x:row>
    <x:row r="368">
      <x:c r="A368" s="54" t="n">
        <x:v>44104</x:v>
      </x:c>
      <x:c r="B368" t="n">
        <x:v>44104.624999988424</x:v>
      </x:c>
      <x:c r="C368" t="str">
        <x:v>067990</x:v>
      </x:c>
      <x:c r="D368" t="str">
        <x:v>도이치모터스</x:v>
      </x:c>
      <x:c r="E368" t="str">
        <x:v>KOSDAQ</x:v>
      </x:c>
      <x:c r="F368" t="str">
        <x:v>MID</x:v>
      </x:c>
      <x:c r="G368" t="str">
        <x:v>ELIGIBLE</x:v>
      </x:c>
      <x:c r="H368"/>
      <x:c r="I368" s="54" t="n">
        <x:v>44103</x:v>
      </x:c>
      <x:c r="J368" s="55" t="n">
        <x:v>5860</x:v>
      </x:c>
      <x:c r="K368" s="55" t="n">
        <x:v>164298841700</x:v>
      </x:c>
      <x:c r="L368" s="55" t="n">
        <x:v>28037345</x:v>
      </x:c>
      <x:c r="M368" t="str">
        <x:v>20200330002842</x:v>
      </x:c>
      <x:c r="N368" t="n">
        <x:v>43920.624999988424</x:v>
      </x:c>
      <x:c r="O368" s="54" t="n">
        <x:v>43830</x:v>
      </x:c>
      <x:c r="P368" t="str">
        <x:v>False</x:v>
      </x:c>
      <x:c r="Q368" t="str">
        <x:v>aeacc35410dd89cf6139f4be6bb14aba09ed69b2f5d811329db7df6416017ded</x:v>
      </x:c>
      <x:c r="R368" t="str">
        <x:v>b2fb1a002fe7969aba9cfd8a3177ce8fd1e9db6221a2beade61bbc30173bcc11</x:v>
      </x:c>
      <x:c r="S368" t="n">
        <x:v>6</x:v>
      </x:c>
      <x:c r="T368" t="str">
        <x:v>2016-12-31|2018-12-31|2019-12-31</x:v>
      </x:c>
      <x:c r="U368" s="57" t="n">
        <x:v>222.42427504847294</x:v>
      </x:c>
      <x:c r="V368" s="57" t="n">
        <x:v>-0.9620436390702265</x:v>
      </x:c>
      <x:c r="W368" t="n">
        <x:v>62</x:v>
      </x:c>
      <x:c r="X368" t="n">
        <x:v>5</x:v>
      </x:c>
      <x:c r="Y368" s="38" t="n">
        <x:v>0.6409090909090909</x:v>
      </x:c>
      <x:c r="Z368" s="38" t="n">
        <x:v>0.6888518992756371</x:v>
      </x:c>
      <x:c r="AA368"/>
    </x:row>
    <x:row r="369">
      <x:c r="A369" s="54" t="n">
        <x:v>44104</x:v>
      </x:c>
      <x:c r="B369" t="n">
        <x:v>44104.624999988424</x:v>
      </x:c>
      <x:c r="C369" t="str">
        <x:v>037070</x:v>
      </x:c>
      <x:c r="D369" t="str">
        <x:v>파세코</x:v>
      </x:c>
      <x:c r="E369" t="str">
        <x:v>KOSDAQ</x:v>
      </x:c>
      <x:c r="F369" t="str">
        <x:v>MID</x:v>
      </x:c>
      <x:c r="G369" t="str">
        <x:v>ELIGIBLE</x:v>
      </x:c>
      <x:c r="H369"/>
      <x:c r="I369" s="54" t="n">
        <x:v>44103</x:v>
      </x:c>
      <x:c r="J369" s="55" t="n">
        <x:v>11500</x:v>
      </x:c>
      <x:c r="K369" s="55" t="n">
        <x:v>161000000000</x:v>
      </x:c>
      <x:c r="L369" s="55" t="n">
        <x:v>14000000</x:v>
      </x:c>
      <x:c r="M369" t="str">
        <x:v>20200330000501</x:v>
      </x:c>
      <x:c r="N369" t="n">
        <x:v>43920.624999988424</x:v>
      </x:c>
      <x:c r="O369" s="54" t="n">
        <x:v>43830</x:v>
      </x:c>
      <x:c r="P369" t="str">
        <x:v>False</x:v>
      </x:c>
      <x:c r="Q369" t="str">
        <x:v>1440c88124d8765b5f68d20b777357d7374aa8b1e0c49a3563a248e24267c8ad</x:v>
      </x:c>
      <x:c r="R369" t="str">
        <x:v>83c055e1264fdcdfca2ec0cb820207c239f947ecafcf9ebf65e7828b84f8d22e</x:v>
      </x:c>
      <x:c r="S369" t="n">
        <x:v>7</x:v>
      </x:c>
      <x:c r="T369" t="str">
        <x:v>2018-12-31|2019-12-31</x:v>
      </x:c>
      <x:c r="U369" s="57" t="n">
        <x:v>5223.088421177067</x:v>
      </x:c>
      <x:c r="V369" s="57" t="n">
        <x:v>-0.545818398158516</x:v>
      </x:c>
      <x:c r="W369" t="n">
        <x:v>37</x:v>
      </x:c>
      <x:c r="X369" t="n">
        <x:v>3</x:v>
      </x:c>
      <x:c r="Y369" s="38" t="n">
        <x:v>0.6409090909090909</x:v>
      </x:c>
      <x:c r="Z369" s="38" t="n">
        <x:v>0.6978683163387078</x:v>
      </x:c>
      <x:c r="AA369"/>
    </x:row>
    <x:row r="370">
      <x:c r="A370" s="54" t="n">
        <x:v>44104</x:v>
      </x:c>
      <x:c r="B370" t="n">
        <x:v>44104.624999988424</x:v>
      </x:c>
      <x:c r="C370" t="str">
        <x:v>365330</x:v>
      </x:c>
      <x:c r="D370" t="str">
        <x:v>에스와이스틸텍</x:v>
      </x:c>
      <x:c r="E370" t="str">
        <x:v>KOSDAQ</x:v>
      </x:c>
      <x:c r="F370" t="str">
        <x:v>MID</x:v>
      </x:c>
      <x:c r="G370" t="str">
        <x:v>NOT_LISTED_OR_NO_PRICE</x:v>
      </x:c>
      <x:c r="H370"/>
      <x:c r="I370" s="54"/>
      <x:c r="J370" s="55"/>
      <x:c r="K370" s="55"/>
      <x:c r="L370" s="55"/>
      <x:c r="M370"/>
      <x:c r="N370"/>
      <x:c r="O370" s="54"/>
      <x:c r="P370"/>
      <x:c r="Q370"/>
      <x:c r="R370"/>
      <x:c r="S370"/>
      <x:c r="T370"/>
      <x:c r="U370" s="57"/>
      <x:c r="V370" s="57"/>
      <x:c r="W370"/>
      <x:c r="X370"/>
      <x:c r="Y370" s="38"/>
      <x:c r="Z370" s="38"/>
      <x:c r="AA370"/>
    </x:row>
    <x:row r="371">
      <x:c r="A371" s="54" t="n">
        <x:v>44104</x:v>
      </x:c>
      <x:c r="B371" t="n">
        <x:v>44104.624999988424</x:v>
      </x:c>
      <x:c r="C371" t="str">
        <x:v>086960</x:v>
      </x:c>
      <x:c r="D371" t="str">
        <x:v>MDS테크</x:v>
      </x:c>
      <x:c r="E371" t="str">
        <x:v>KOSDAQ</x:v>
      </x:c>
      <x:c r="F371" t="str">
        <x:v>MID</x:v>
      </x:c>
      <x:c r="G371" t="str">
        <x:v>ELIGIBLE</x:v>
      </x:c>
      <x:c r="H371"/>
      <x:c r="I371" s="54" t="n">
        <x:v>44103</x:v>
      </x:c>
      <x:c r="J371" s="55" t="n">
        <x:v>11700</x:v>
      </x:c>
      <x:c r="K371" s="55" t="n">
        <x:v>103294713600</x:v>
      </x:c>
      <x:c r="L371" s="55" t="n">
        <x:v>8828608</x:v>
      </x:c>
      <x:c r="M371" t="str">
        <x:v>20200330004715</x:v>
      </x:c>
      <x:c r="N371" t="n">
        <x:v>43920.624999988424</x:v>
      </x:c>
      <x:c r="O371" s="54" t="n">
        <x:v>43830</x:v>
      </x:c>
      <x:c r="P371" t="str">
        <x:v>False</x:v>
      </x:c>
      <x:c r="Q371" t="str">
        <x:v>e12cfe4d5ff5e5c542ec0d8495e3843c8348276f8555fb7d98bb89e81e3665a2</x:v>
      </x:c>
      <x:c r="R371" t="str">
        <x:v>b0c66fc2fb6fac40330559f877804f0bff7ac374b2575a6ea395c9a9b70e3167</x:v>
      </x:c>
      <x:c r="S371" t="n">
        <x:v>6</x:v>
      </x:c>
      <x:c r="T371" t="str">
        <x:v>2018-12-31|2019-12-31</x:v>
      </x:c>
      <x:c r="U371" s="57" t="n">
        <x:v>6344.674242254344</x:v>
      </x:c>
      <x:c r="V371" s="57" t="n">
        <x:v>-0.4577201502346715</x:v>
      </x:c>
      <x:c r="W371" t="n">
        <x:v>34</x:v>
      </x:c>
      <x:c r="X371" t="n">
        <x:v>3</x:v>
      </x:c>
      <x:c r="Y371" s="38" t="n">
        <x:v>0.6409090909090909</x:v>
      </x:c>
      <x:c r="Z371" s="38" t="n">
        <x:v>0.6982440714901555</x:v>
      </x:c>
      <x:c r="AA371"/>
    </x:row>
    <x:row r="372">
      <x:c r="A372" s="54" t="n">
        <x:v>44104</x:v>
      </x:c>
      <x:c r="B372" t="n">
        <x:v>44104.624999988424</x:v>
      </x:c>
      <x:c r="C372" t="str">
        <x:v>014970</x:v>
      </x:c>
      <x:c r="D372" t="str">
        <x:v>삼륭물산</x:v>
      </x:c>
      <x:c r="E372" t="str">
        <x:v>KOSDAQ</x:v>
      </x:c>
      <x:c r="F372" t="str">
        <x:v>MID</x:v>
      </x:c>
      <x:c r="G372" t="str">
        <x:v>DCF_SCREENING_EXCLUSION</x:v>
      </x:c>
      <x:c r="H372" t="str">
        <x:v>NON_POSITIVE_ENTERPRISE_VALUE|NON_POSITIVE_EQUITY_VALUE|NON_POSITIVE_TERMINAL_FCF</x:v>
      </x:c>
      <x:c r="I372" s="54" t="n">
        <x:v>44103</x:v>
      </x:c>
      <x:c r="J372" s="55" t="n">
        <x:v>9100</x:v>
      </x:c>
      <x:c r="K372" s="55" t="n">
        <x:v>137637500000</x:v>
      </x:c>
      <x:c r="L372" s="55" t="n">
        <x:v>15125000</x:v>
      </x:c>
      <x:c r="M372" t="str">
        <x:v>20200330001231</x:v>
      </x:c>
      <x:c r="N372" t="n">
        <x:v>43920.624999988424</x:v>
      </x:c>
      <x:c r="O372" s="54" t="n">
        <x:v>43830</x:v>
      </x:c>
      <x:c r="P372" t="str">
        <x:v>False</x:v>
      </x:c>
      <x:c r="Q372" t="str">
        <x:v>21a6612fa1d8adc381bb8d3396631928e9039f8bd05fa7ea91072d692a3dfb47</x:v>
      </x:c>
      <x:c r="R372" t="str">
        <x:v>70478854bbb12305e24bddc0c290cb6ad246ff20271c970a5769219bf7c4b2a1</x:v>
      </x:c>
      <x:c r="S372" t="n">
        <x:v>6</x:v>
      </x:c>
      <x:c r="T372" t="str">
        <x:v>2018-12-31|2019-12-31</x:v>
      </x:c>
      <x:c r="U372" s="57" t="n">
        <x:v>-1768.3349650620855</x:v>
      </x:c>
      <x:c r="V372" s="57" t="n">
        <x:v>-1.1943225236331962</x:v>
      </x:c>
      <x:c r="W372"/>
      <x:c r="X372"/>
      <x:c r="Y372" s="38" t="n">
        <x:v>0.6409090909090909</x:v>
      </x:c>
      <x:c r="Z372" s="38" t="n">
        <x:v>0.7248643288015433</x:v>
      </x:c>
      <x:c r="AA372" t="str">
        <x:v>NON_POSITIVE_ENTERPRISE_VALUE|NON_POSITIVE_EQUITY_VALUE|NON_POSITIVE_TERMINAL_FCF</x:v>
      </x:c>
    </x:row>
    <x:row r="373">
      <x:c r="A373" s="54" t="n">
        <x:v>44104</x:v>
      </x:c>
      <x:c r="B373" t="n">
        <x:v>44104.624999988424</x:v>
      </x:c>
      <x:c r="C373" t="str">
        <x:v>088390</x:v>
      </x:c>
      <x:c r="D373" t="str">
        <x:v>이녹스</x:v>
      </x:c>
      <x:c r="E373" t="str">
        <x:v>KOSDAQ</x:v>
      </x:c>
      <x:c r="F373" t="str">
        <x:v>MID</x:v>
      </x:c>
      <x:c r="G373" t="str">
        <x:v>DCF_SCREENING_EXCLUSION</x:v>
      </x:c>
      <x:c r="H373" t="str">
        <x:v>NON_POSITIVE_ENTERPRISE_VALUE|NON_POSITIVE_EQUITY_VALUE|NON_POSITIVE_TERMINAL_FCF</x:v>
      </x:c>
      <x:c r="I373" s="54" t="n">
        <x:v>44103</x:v>
      </x:c>
      <x:c r="J373" s="55" t="n">
        <x:v>8090</x:v>
      </x:c>
      <x:c r="K373" s="55" t="n">
        <x:v>75648327960</x:v>
      </x:c>
      <x:c r="L373" s="55" t="n">
        <x:v>9350844</x:v>
      </x:c>
      <x:c r="M373" t="str">
        <x:v>20200330003059</x:v>
      </x:c>
      <x:c r="N373" t="n">
        <x:v>43920.624999988424</x:v>
      </x:c>
      <x:c r="O373" s="54" t="n">
        <x:v>43830</x:v>
      </x:c>
      <x:c r="P373" t="str">
        <x:v>False</x:v>
      </x:c>
      <x:c r="Q373" t="str">
        <x:v>bc74951a1639cf1eb7676d69b4515777f215d2150d9cc50f3a866f2f129cfa12</x:v>
      </x:c>
      <x:c r="R373" t="str">
        <x:v>c320bc3acef0433b509301378d65f9638ccdc3066bcb82e31a33138a991f6cc8</x:v>
      </x:c>
      <x:c r="S373" t="n">
        <x:v>6</x:v>
      </x:c>
      <x:c r="T373" t="str">
        <x:v>2018-12-31|2019-12-31</x:v>
      </x:c>
      <x:c r="U373" s="57" t="n">
        <x:v>-4282.590892540294</x:v>
      </x:c>
      <x:c r="V373" s="57" t="n">
        <x:v>-1.5293684663214206</x:v>
      </x:c>
      <x:c r="W373"/>
      <x:c r="X373"/>
      <x:c r="Y373" s="38" t="n">
        <x:v>0.6409090909090909</x:v>
      </x:c>
      <x:c r="Z373" s="38" t="n">
        <x:v>0.5105267656336687</x:v>
      </x:c>
      <x:c r="AA373" t="str">
        <x:v>NON_POSITIVE_ENTERPRISE_VALUE|NON_POSITIVE_EQUITY_VALUE|NON_POSITIVE_TERMINAL_FCF</x:v>
      </x:c>
    </x:row>
    <x:row r="374">
      <x:c r="A374" s="54" t="n">
        <x:v>44104</x:v>
      </x:c>
      <x:c r="B374" t="n">
        <x:v>44104.624999988424</x:v>
      </x:c>
      <x:c r="C374" t="str">
        <x:v>170920</x:v>
      </x:c>
      <x:c r="D374" t="str">
        <x:v>엘티씨</x:v>
      </x:c>
      <x:c r="E374" t="str">
        <x:v>KOSDAQ</x:v>
      </x:c>
      <x:c r="F374" t="str">
        <x:v>MID</x:v>
      </x:c>
      <x:c r="G374" t="str">
        <x:v>DCF_SCREENING_EXCLUSION</x:v>
      </x:c>
      <x:c r="H374" t="str">
        <x:v>NON_POSITIVE_EQUITY_VALUE</x:v>
      </x:c>
      <x:c r="I374" s="54" t="n">
        <x:v>44103</x:v>
      </x:c>
      <x:c r="J374" s="55" t="n">
        <x:v>12150</x:v>
      </x:c>
      <x:c r="K374" s="55" t="n">
        <x:v>91367307450</x:v>
      </x:c>
      <x:c r="L374" s="55" t="n">
        <x:v>7519943</x:v>
      </x:c>
      <x:c r="M374" t="str">
        <x:v>20200330003521</x:v>
      </x:c>
      <x:c r="N374" t="n">
        <x:v>43920.624999988424</x:v>
      </x:c>
      <x:c r="O374" s="54" t="n">
        <x:v>43830</x:v>
      </x:c>
      <x:c r="P374" t="str">
        <x:v>False</x:v>
      </x:c>
      <x:c r="Q374" t="str">
        <x:v>094b43a9646c14cf4b4a5028aadf065471abca6a1e429841fa075ddc6ffb9ae6</x:v>
      </x:c>
      <x:c r="R374" t="str">
        <x:v>91da179e879255be3a36e278d740050e160054052e5419ce38085511ef1ad2ae</x:v>
      </x:c>
      <x:c r="S374" t="n">
        <x:v>6</x:v>
      </x:c>
      <x:c r="T374" t="str">
        <x:v>2018-12-31|2019-12-31</x:v>
      </x:c>
      <x:c r="U374" s="57" t="n">
        <x:v>-1777.6876373590053</x:v>
      </x:c>
      <x:c r="V374" s="57" t="n">
        <x:v>-1.1463117397003297</x:v>
      </x:c>
      <x:c r="W374"/>
      <x:c r="X374"/>
      <x:c r="Y374" s="38" t="n">
        <x:v>0.6409090909090909</x:v>
      </x:c>
      <x:c r="Z374" s="38" t="n">
        <x:v>0.5969398834129253</x:v>
      </x:c>
      <x:c r="AA374" t="str">
        <x:v>NON_POSITIVE_EQUITY_VALUE</x:v>
      </x:c>
    </x:row>
    <x:row r="375">
      <x:c r="A375" s="54" t="n">
        <x:v>44104</x:v>
      </x:c>
      <x:c r="B375" t="n">
        <x:v>44104.624999988424</x:v>
      </x:c>
      <x:c r="C375" t="str">
        <x:v>021080</x:v>
      </x:c>
      <x:c r="D375" t="str">
        <x:v>에이티넘인베스트</x:v>
      </x:c>
      <x:c r="E375" t="str">
        <x:v>KOSDAQ</x:v>
      </x:c>
      <x:c r="F375" t="str">
        <x:v>MID</x:v>
      </x:c>
      <x:c r="G375" t="str">
        <x:v>ELIGIBLE</x:v>
      </x:c>
      <x:c r="H375"/>
      <x:c r="I375" s="54" t="n">
        <x:v>44103</x:v>
      </x:c>
      <x:c r="J375" s="55" t="n">
        <x:v>2025</x:v>
      </x:c>
      <x:c r="K375" s="55" t="n">
        <x:v>97200000000</x:v>
      </x:c>
      <x:c r="L375" s="55" t="n">
        <x:v>48000000</x:v>
      </x:c>
      <x:c r="M375" t="str">
        <x:v>20200330003524</x:v>
      </x:c>
      <x:c r="N375" t="n">
        <x:v>43920.624999988424</x:v>
      </x:c>
      <x:c r="O375" s="54" t="n">
        <x:v>43830</x:v>
      </x:c>
      <x:c r="P375" t="str">
        <x:v>False</x:v>
      </x:c>
      <x:c r="Q375" t="str">
        <x:v>4a1503d8d4033756eda0e402269fd4db602c588edd5b9d49d25c05133d6133b9</x:v>
      </x:c>
      <x:c r="R375" t="str">
        <x:v>183e8dac3ff116c45a343bdb7d1009c227b9783593b404c7fa730133890b20ca</x:v>
      </x:c>
      <x:c r="S375" t="n">
        <x:v>4</x:v>
      </x:c>
      <x:c r="T375" t="str">
        <x:v>2018-12-31|2019-12-31</x:v>
      </x:c>
      <x:c r="U375" s="57" t="n">
        <x:v>2127.1860994390026</x:v>
      </x:c>
      <x:c r="V375" s="57" t="n">
        <x:v>0.05046227132790254</x:v>
      </x:c>
      <x:c r="W375" t="n">
        <x:v>18</x:v>
      </x:c>
      <x:c r="X375" t="n">
        <x:v>2</x:v>
      </x:c>
      <x:c r="Y375" s="38" t="n">
        <x:v>0.6409090909090909</x:v>
      </x:c>
      <x:c r="Z375" s="38" t="n">
        <x:v>0.6847587029208964</x:v>
      </x:c>
      <x:c r="AA375"/>
    </x:row>
    <x:row r="376">
      <x:c r="A376" s="54" t="n">
        <x:v>44104</x:v>
      </x:c>
      <x:c r="B376" t="n">
        <x:v>44104.624999988424</x:v>
      </x:c>
      <x:c r="C376" t="str">
        <x:v>302550</x:v>
      </x:c>
      <x:c r="D376" t="str">
        <x:v>리메드</x:v>
      </x:c>
      <x:c r="E376" t="str">
        <x:v>KOSDAQ</x:v>
      </x:c>
      <x:c r="F376" t="str">
        <x:v>MID</x:v>
      </x:c>
      <x:c r="G376" t="str">
        <x:v>ELIGIBLE</x:v>
      </x:c>
      <x:c r="H376"/>
      <x:c r="I376" s="54" t="n">
        <x:v>44103</x:v>
      </x:c>
      <x:c r="J376" s="55" t="n">
        <x:v>29650</x:v>
      </x:c>
      <x:c r="K376" s="55" t="n">
        <x:v>180536359400</x:v>
      </x:c>
      <x:c r="L376" s="55" t="n">
        <x:v>6088916</x:v>
      </x:c>
      <x:c r="M376" t="str">
        <x:v>20200330001899</x:v>
      </x:c>
      <x:c r="N376" t="n">
        <x:v>43920.624999988424</x:v>
      </x:c>
      <x:c r="O376" s="54" t="n">
        <x:v>43830</x:v>
      </x:c>
      <x:c r="P376" t="str">
        <x:v>False</x:v>
      </x:c>
      <x:c r="Q376" t="str">
        <x:v>2b0ad29a1cfb9a47d8efbd13c5809b4b269b2288d58cb9ad87afaeed110c9e0f</x:v>
      </x:c>
      <x:c r="R376" t="str">
        <x:v>eee307bc967bc425dc1ce9041607c54274cce8e19f9bd043dd7982e8ebedb5b9</x:v>
      </x:c>
      <x:c r="S376" t="n">
        <x:v>6</x:v>
      </x:c>
      <x:c r="T376" t="str">
        <x:v>2019-12-31</x:v>
      </x:c>
      <x:c r="U376" s="57" t="n">
        <x:v>8272.403055844616</x:v>
      </x:c>
      <x:c r="V376" s="57" t="n">
        <x:v>-0.7209982105954599</x:v>
      </x:c>
      <x:c r="W376" t="n">
        <x:v>47</x:v>
      </x:c>
      <x:c r="X376" t="n">
        <x:v>4</x:v>
      </x:c>
      <x:c r="Y376" s="38" t="n">
        <x:v>0.6409090909090909</x:v>
      </x:c>
      <x:c r="Z376" s="38" t="n">
        <x:v>0.6701769222689359</x:v>
      </x:c>
      <x:c r="AA376"/>
    </x:row>
    <x:row r="377">
      <x:c r="A377" s="54" t="n">
        <x:v>44104</x:v>
      </x:c>
      <x:c r="B377" t="n">
        <x:v>44104.624999988424</x:v>
      </x:c>
      <x:c r="C377" t="str">
        <x:v>011760</x:v>
      </x:c>
      <x:c r="D377" t="str">
        <x:v>현대코퍼레이션</x:v>
      </x:c>
      <x:c r="E377" t="str">
        <x:v>KOSPI</x:v>
      </x:c>
      <x:c r="F377" t="str">
        <x:v>MID</x:v>
      </x:c>
      <x:c r="G377" t="str">
        <x:v>ELIGIBLE</x:v>
      </x:c>
      <x:c r="H377"/>
      <x:c r="I377" s="54" t="n">
        <x:v>44103</x:v>
      </x:c>
      <x:c r="J377" s="55" t="n">
        <x:v>14400</x:v>
      </x:c>
      <x:c r="K377" s="55" t="n">
        <x:v>190497110400</x:v>
      </x:c>
      <x:c r="L377" s="55" t="n">
        <x:v>13228966</x:v>
      </x:c>
      <x:c r="M377" t="str">
        <x:v>20200330004653</x:v>
      </x:c>
      <x:c r="N377" t="n">
        <x:v>43920.624999988424</x:v>
      </x:c>
      <x:c r="O377" s="54" t="n">
        <x:v>43830</x:v>
      </x:c>
      <x:c r="P377" t="str">
        <x:v>False</x:v>
      </x:c>
      <x:c r="Q377" t="str">
        <x:v>4754479f417b4793bded3ca7cbf60241a92ecdd53b38aac7f22e80c41b078630</x:v>
      </x:c>
      <x:c r="R377" t="str">
        <x:v>345e1c1bfe86df966199fededb4e3499dd1c54aad8ed206a86eda695c6f72506</x:v>
      </x:c>
      <x:c r="S377" t="n">
        <x:v>6</x:v>
      </x:c>
      <x:c r="T377" t="str">
        <x:v>2018-12-31|2019-12-31</x:v>
      </x:c>
      <x:c r="U377" s="57" t="n">
        <x:v>6395.226270204237</x:v>
      </x:c>
      <x:c r="V377" s="57" t="n">
        <x:v>-0.5558870645691502</x:v>
      </x:c>
      <x:c r="W377" t="n">
        <x:v>39</x:v>
      </x:c>
      <x:c r="X377" t="n">
        <x:v>4</x:v>
      </x:c>
      <x:c r="Y377" s="38" t="n">
        <x:v>0.6409090909090909</x:v>
      </x:c>
      <x:c r="Z377" s="38" t="n">
        <x:v>0.6599730728439424</x:v>
      </x:c>
      <x:c r="AA377"/>
    </x:row>
    <x:row r="378">
      <x:c r="A378" s="54" t="n">
        <x:v>44104</x:v>
      </x:c>
      <x:c r="B378" t="n">
        <x:v>44104.624999988424</x:v>
      </x:c>
      <x:c r="C378" t="str">
        <x:v>010690</x:v>
      </x:c>
      <x:c r="D378" t="str">
        <x:v>화신</x:v>
      </x:c>
      <x:c r="E378" t="str">
        <x:v>KOSPI</x:v>
      </x:c>
      <x:c r="F378" t="str">
        <x:v>MID</x:v>
      </x:c>
      <x:c r="G378" t="str">
        <x:v>DCF_SCREENING_EXCLUSION</x:v>
      </x:c>
      <x:c r="H378" t="str">
        <x:v>NON_POSITIVE_ENTERPRISE_VALUE|NON_POSITIVE_EQUITY_VALUE|NON_POSITIVE_TERMINAL_FCF</x:v>
      </x:c>
      <x:c r="I378" s="54" t="n">
        <x:v>44103</x:v>
      </x:c>
      <x:c r="J378" s="55" t="n">
        <x:v>2840</x:v>
      </x:c>
      <x:c r="K378" s="55" t="n">
        <x:v>99173964400</x:v>
      </x:c>
      <x:c r="L378" s="55" t="n">
        <x:v>34920410</x:v>
      </x:c>
      <x:c r="M378" t="str">
        <x:v>20200330003805</x:v>
      </x:c>
      <x:c r="N378" t="n">
        <x:v>43920.624999988424</x:v>
      </x:c>
      <x:c r="O378" s="54" t="n">
        <x:v>43830</x:v>
      </x:c>
      <x:c r="P378" t="str">
        <x:v>False</x:v>
      </x:c>
      <x:c r="Q378" t="str">
        <x:v>e5349b639aea9edae9ddaf2116118d2c44d3dc42d9e779caf4a3bd7bf411a356</x:v>
      </x:c>
      <x:c r="R378" t="str">
        <x:v>303b8e71869a33739dc6a9e96be06f9e3d9e00525955e6642963471d5acbc7fb</x:v>
      </x:c>
      <x:c r="S378" t="n">
        <x:v>6</x:v>
      </x:c>
      <x:c r="T378" t="str">
        <x:v>2018-12-31|2019-12-31</x:v>
      </x:c>
      <x:c r="U378" s="57" t="n">
        <x:v>-16790.20368228414</x:v>
      </x:c>
      <x:c r="V378" s="57" t="n">
        <x:v>-6.91204355010005</x:v>
      </x:c>
      <x:c r="W378"/>
      <x:c r="X378"/>
      <x:c r="Y378" s="38" t="n">
        <x:v>0.6409090909090909</x:v>
      </x:c>
      <x:c r="Z378" s="38" t="n">
        <x:v>0.6757018488650337</x:v>
      </x:c>
      <x:c r="AA378" t="str">
        <x:v>NON_POSITIVE_ENTERPRISE_VALUE|NON_POSITIVE_EQUITY_VALUE|NON_POSITIVE_TERMINAL_FCF</x:v>
      </x:c>
    </x:row>
    <x:row r="379">
      <x:c r="A379" s="54" t="n">
        <x:v>44104</x:v>
      </x:c>
      <x:c r="B379" t="n">
        <x:v>44104.624999988424</x:v>
      </x:c>
      <x:c r="C379" t="str">
        <x:v>029460</x:v>
      </x:c>
      <x:c r="D379" t="str">
        <x:v>케이씨</x:v>
      </x:c>
      <x:c r="E379" t="str">
        <x:v>KOSPI</x:v>
      </x:c>
      <x:c r="F379" t="str">
        <x:v>MID</x:v>
      </x:c>
      <x:c r="G379" t="str">
        <x:v>ELIGIBLE</x:v>
      </x:c>
      <x:c r="H379"/>
      <x:c r="I379" s="54" t="n">
        <x:v>44103</x:v>
      </x:c>
      <x:c r="J379" s="55" t="n">
        <x:v>23850</x:v>
      </x:c>
      <x:c r="K379" s="55" t="n">
        <x:v>323263949400</x:v>
      </x:c>
      <x:c r="L379" s="55" t="n">
        <x:v>13554044</x:v>
      </x:c>
      <x:c r="M379" t="str">
        <x:v>20200330003680</x:v>
      </x:c>
      <x:c r="N379" t="n">
        <x:v>43920.624999988424</x:v>
      </x:c>
      <x:c r="O379" s="54" t="n">
        <x:v>43830</x:v>
      </x:c>
      <x:c r="P379" t="str">
        <x:v>False</x:v>
      </x:c>
      <x:c r="Q379" t="str">
        <x:v>8397eb6fa51d712105008c8373cccd6b5f75f10d1d867ad3390941246d3a2e7e</x:v>
      </x:c>
      <x:c r="R379" t="str">
        <x:v>70e08960c5f4eea7dcaf5d24bb9ae9ce7d34a1dfd0548a782e8d954e46659e6c</x:v>
      </x:c>
      <x:c r="S379" t="n">
        <x:v>7</x:v>
      </x:c>
      <x:c r="T379" t="str">
        <x:v>2018-12-31|2019-12-31</x:v>
      </x:c>
      <x:c r="U379" s="57" t="n">
        <x:v>43847.58292424807</x:v>
      </x:c>
      <x:c r="V379" s="57" t="n">
        <x:v>0.8384730785848246</x:v>
      </x:c>
      <x:c r="W379" t="n">
        <x:v>9</x:v>
      </x:c>
      <x:c r="X379" t="n">
        <x:v>1</x:v>
      </x:c>
      <x:c r="Y379" s="38" t="n">
        <x:v>0.6409090909090909</x:v>
      </x:c>
      <x:c r="Z379" s="38" t="n">
        <x:v>0.6714636094857921</x:v>
      </x:c>
      <x:c r="AA379"/>
    </x:row>
    <x:row r="380">
      <x:c r="A380" s="54" t="n">
        <x:v>44104</x:v>
      </x:c>
      <x:c r="B380" t="n">
        <x:v>44104.624999988424</x:v>
      </x:c>
      <x:c r="C380" t="str">
        <x:v>122900</x:v>
      </x:c>
      <x:c r="D380" t="str">
        <x:v>아이마켓코리아</x:v>
      </x:c>
      <x:c r="E380" t="str">
        <x:v>KOSPI</x:v>
      </x:c>
      <x:c r="F380" t="str">
        <x:v>MID</x:v>
      </x:c>
      <x:c r="G380" t="str">
        <x:v>ELIGIBLE</x:v>
      </x:c>
      <x:c r="H380"/>
      <x:c r="I380" s="54" t="n">
        <x:v>44103</x:v>
      </x:c>
      <x:c r="J380" s="55" t="n">
        <x:v>8020</x:v>
      </x:c>
      <x:c r="K380" s="55" t="n">
        <x:v>283854586800</x:v>
      </x:c>
      <x:c r="L380" s="55" t="n">
        <x:v>35393340</x:v>
      </x:c>
      <x:c r="M380" t="str">
        <x:v>20200402002288</x:v>
      </x:c>
      <x:c r="N380" t="n">
        <x:v>43923.624999988424</x:v>
      </x:c>
      <x:c r="O380" s="54" t="n">
        <x:v>43830</x:v>
      </x:c>
      <x:c r="P380" t="str">
        <x:v>True</x:v>
      </x:c>
      <x:c r="Q380" t="str">
        <x:v>564f1e474d45626fcdd8b0a59937e9f30e966910c20c1477132b2eb32f5b3374</x:v>
      </x:c>
      <x:c r="R380" t="str">
        <x:v>af22ec3185291a526bf90871769e82c85f3656e2a9ce2bba4cff342ca52006e5</x:v>
      </x:c>
      <x:c r="S380" t="n">
        <x:v>7</x:v>
      </x:c>
      <x:c r="T380" t="str">
        <x:v>2018-12-31|2019-12-31</x:v>
      </x:c>
      <x:c r="U380" s="57" t="n">
        <x:v>8711.448286396057</x:v>
      </x:c>
      <x:c r="V380" s="57" t="n">
        <x:v>0.08621549705686501</x:v>
      </x:c>
      <x:c r="W380" t="n">
        <x:v>16</x:v>
      </x:c>
      <x:c r="X380" t="n">
        <x:v>2</x:v>
      </x:c>
      <x:c r="Y380" s="38" t="n">
        <x:v>0.6409090909090909</x:v>
      </x:c>
      <x:c r="Z380" s="38" t="n">
        <x:v>0.6304476342571812</x:v>
      </x:c>
      <x:c r="AA380"/>
    </x:row>
    <x:row r="381">
      <x:c r="A381" s="54" t="n">
        <x:v>44104</x:v>
      </x:c>
      <x:c r="B381" t="n">
        <x:v>44104.624999988424</x:v>
      </x:c>
      <x:c r="C381" t="str">
        <x:v>001820</x:v>
      </x:c>
      <x:c r="D381" t="str">
        <x:v>삼화콘덴서</x:v>
      </x:c>
      <x:c r="E381" t="str">
        <x:v>KOSPI</x:v>
      </x:c>
      <x:c r="F381" t="str">
        <x:v>MID</x:v>
      </x:c>
      <x:c r="G381" t="str">
        <x:v>ELIGIBLE</x:v>
      </x:c>
      <x:c r="H381"/>
      <x:c r="I381" s="54" t="n">
        <x:v>44103</x:v>
      </x:c>
      <x:c r="J381" s="55" t="n">
        <x:v>54800</x:v>
      </x:c>
      <x:c r="K381" s="55" t="n">
        <x:v>569646000000</x:v>
      </x:c>
      <x:c r="L381" s="55" t="n">
        <x:v>10395000</x:v>
      </x:c>
      <x:c r="M381" t="str">
        <x:v>20200330002899</x:v>
      </x:c>
      <x:c r="N381" t="n">
        <x:v>43920.624999988424</x:v>
      </x:c>
      <x:c r="O381" s="54" t="n">
        <x:v>43830</x:v>
      </x:c>
      <x:c r="P381" t="str">
        <x:v>False</x:v>
      </x:c>
      <x:c r="Q381" t="str">
        <x:v>99c078a33c5fc908ff1beb8dbc163cdd2dce6fa00366ec10c2666a9abba05955</x:v>
      </x:c>
      <x:c r="R381" t="str">
        <x:v>aed10e91a3a899ae6a09ccde78576755cca230a3385eb9ff6652a844ea4e38e8</x:v>
      </x:c>
      <x:c r="S381" t="n">
        <x:v>6</x:v>
      </x:c>
      <x:c r="T381" t="str">
        <x:v>2018-12-31|2019-12-31</x:v>
      </x:c>
      <x:c r="U381" s="57" t="n">
        <x:v>28891.873319226353</x:v>
      </x:c>
      <x:c r="V381" s="57" t="n">
        <x:v>-0.472776034320687</x:v>
      </x:c>
      <x:c r="W381" t="n">
        <x:v>35</x:v>
      </x:c>
      <x:c r="X381" t="n">
        <x:v>3</x:v>
      </x:c>
      <x:c r="Y381" s="38" t="n">
        <x:v>0.6409090909090909</x:v>
      </x:c>
      <x:c r="Z381" s="38" t="n">
        <x:v>0.7180339568037247</x:v>
      </x:c>
      <x:c r="AA381"/>
    </x:row>
    <x:row r="382">
      <x:c r="A382" s="54" t="n">
        <x:v>44104</x:v>
      </x:c>
      <x:c r="B382" t="n">
        <x:v>44104.624999988424</x:v>
      </x:c>
      <x:c r="C382" t="str">
        <x:v>001790</x:v>
      </x:c>
      <x:c r="D382" t="str">
        <x:v>대한제당</x:v>
      </x:c>
      <x:c r="E382" t="str">
        <x:v>KOSPI</x:v>
      </x:c>
      <x:c r="F382" t="str">
        <x:v>MID</x:v>
      </x:c>
      <x:c r="G382" t="str">
        <x:v>ELIGIBLE</x:v>
      </x:c>
      <x:c r="H382"/>
      <x:c r="I382" s="54" t="n">
        <x:v>44103</x:v>
      </x:c>
      <x:c r="J382" s="55" t="n">
        <x:v>18100</x:v>
      </x:c>
      <x:c r="K382" s="55" t="n">
        <x:v>162350809800</x:v>
      </x:c>
      <x:c r="L382" s="55" t="n">
        <x:v>8969658</x:v>
      </x:c>
      <x:c r="M382" t="str">
        <x:v>20200330002117</x:v>
      </x:c>
      <x:c r="N382" t="n">
        <x:v>43920.624999988424</x:v>
      </x:c>
      <x:c r="O382" s="54" t="n">
        <x:v>43830</x:v>
      </x:c>
      <x:c r="P382" t="str">
        <x:v>False</x:v>
      </x:c>
      <x:c r="Q382" t="str">
        <x:v>c083b7cf10d3aebfee764ce1ac5e537e432b37701e33cf0f62d249678606903c</x:v>
      </x:c>
      <x:c r="R382" t="str">
        <x:v>265131ceb1d219122acae4cf0dbceb5a5b03543d503b229a50b3cce4dad26d26</x:v>
      </x:c>
      <x:c r="S382" t="n">
        <x:v>6</x:v>
      </x:c>
      <x:c r="T382" t="str">
        <x:v>2018-12-31|2019-12-31</x:v>
      </x:c>
      <x:c r="U382" s="57" t="n">
        <x:v>6256.13382557168</x:v>
      </x:c>
      <x:c r="V382" s="57" t="n">
        <x:v>-0.6543572472059845</x:v>
      </x:c>
      <x:c r="W382" t="n">
        <x:v>43</x:v>
      </x:c>
      <x:c r="X382" t="n">
        <x:v>4</x:v>
      </x:c>
      <x:c r="Y382" s="38" t="n">
        <x:v>0.6409090909090909</x:v>
      </x:c>
      <x:c r="Z382" s="38" t="n">
        <x:v>0.6305036695454717</x:v>
      </x:c>
      <x:c r="AA382"/>
    </x:row>
    <x:row r="383">
      <x:c r="A383" s="54" t="n">
        <x:v>44104</x:v>
      </x:c>
      <x:c r="B383" t="n">
        <x:v>44104.624999988424</x:v>
      </x:c>
      <x:c r="C383" t="str">
        <x:v>001340</x:v>
      </x:c>
      <x:c r="D383" t="str">
        <x:v>PKC</x:v>
      </x:c>
      <x:c r="E383" t="str">
        <x:v>KOSPI</x:v>
      </x:c>
      <x:c r="F383" t="str">
        <x:v>MID</x:v>
      </x:c>
      <x:c r="G383" t="str">
        <x:v>ELIGIBLE</x:v>
      </x:c>
      <x:c r="H383"/>
      <x:c r="I383" s="54" t="n">
        <x:v>44103</x:v>
      </x:c>
      <x:c r="J383" s="55" t="n">
        <x:v>3405</x:v>
      </x:c>
      <x:c r="K383" s="55" t="n">
        <x:v>152947175835</x:v>
      </x:c>
      <x:c r="L383" s="55" t="n">
        <x:v>44918407</x:v>
      </x:c>
      <x:c r="M383" t="str">
        <x:v>20200330003056</x:v>
      </x:c>
      <x:c r="N383" t="n">
        <x:v>43920.624999988424</x:v>
      </x:c>
      <x:c r="O383" s="54" t="n">
        <x:v>43830</x:v>
      </x:c>
      <x:c r="P383" t="str">
        <x:v>False</x:v>
      </x:c>
      <x:c r="Q383" t="str">
        <x:v>acc8e968cd81637994e834a70458c05a41a169062c904ea19abc1942c1d53f3c</x:v>
      </x:c>
      <x:c r="R383" t="str">
        <x:v>388ae882bda0091d495ab408e0cebd39e9760ce033da1b7161336eabd3d15b38</x:v>
      </x:c>
      <x:c r="S383" t="n">
        <x:v>6</x:v>
      </x:c>
      <x:c r="T383" t="str">
        <x:v>2016-12-31|2017-12-31|2018-12-31|2019-12-31</x:v>
      </x:c>
      <x:c r="U383" s="57" t="n">
        <x:v>1314.5568614023782</x:v>
      </x:c>
      <x:c r="V383" s="57" t="n">
        <x:v>-0.6139333740374807</x:v>
      </x:c>
      <x:c r="W383" t="n">
        <x:v>41</x:v>
      </x:c>
      <x:c r="X383" t="n">
        <x:v>4</x:v>
      </x:c>
      <x:c r="Y383" s="38" t="n">
        <x:v>0.6409090909090909</x:v>
      </x:c>
      <x:c r="Z383" s="38" t="n">
        <x:v>0.6203188155150424</x:v>
      </x:c>
      <x:c r="AA383"/>
    </x:row>
    <x:row r="384">
      <x:c r="A384" s="54" t="n">
        <x:v>44104</x:v>
      </x:c>
      <x:c r="B384" t="n">
        <x:v>44104.624999988424</x:v>
      </x:c>
      <x:c r="C384" t="str">
        <x:v>096760</x:v>
      </x:c>
      <x:c r="D384" t="str">
        <x:v>JW홀딩스</x:v>
      </x:c>
      <x:c r="E384" t="str">
        <x:v>KOSPI</x:v>
      </x:c>
      <x:c r="F384" t="str">
        <x:v>MID</x:v>
      </x:c>
      <x:c r="G384" t="str">
        <x:v>EXCLUDED_ARCHETYPE</x:v>
      </x:c>
      <x:c r="H384" t="str">
        <x:v>FCFF_NOT_COMPARABLE_FOR_FINANCE_OR_HOLDING_HINT</x:v>
      </x:c>
      <x:c r="I384" s="54"/>
      <x:c r="J384" s="55"/>
      <x:c r="K384" s="55"/>
      <x:c r="L384" s="55"/>
      <x:c r="M384"/>
      <x:c r="N384"/>
      <x:c r="O384" s="54"/>
      <x:c r="P384"/>
      <x:c r="Q384"/>
      <x:c r="R384"/>
      <x:c r="S384"/>
      <x:c r="T384"/>
      <x:c r="U384" s="57"/>
      <x:c r="V384" s="57"/>
      <x:c r="W384"/>
      <x:c r="X384"/>
      <x:c r="Y384" s="38"/>
      <x:c r="Z384" s="38"/>
      <x:c r="AA384"/>
    </x:row>
    <x:row r="385">
      <x:c r="A385" s="54" t="n">
        <x:v>44104</x:v>
      </x:c>
      <x:c r="B385" t="n">
        <x:v>44104.624999988424</x:v>
      </x:c>
      <x:c r="C385" t="str">
        <x:v>005010</x:v>
      </x:c>
      <x:c r="D385" t="str">
        <x:v>휴스틸</x:v>
      </x:c>
      <x:c r="E385" t="str">
        <x:v>KOSPI</x:v>
      </x:c>
      <x:c r="F385" t="str">
        <x:v>MID</x:v>
      </x:c>
      <x:c r="G385" t="str">
        <x:v>DCF_SCREENING_EXCLUSION</x:v>
      </x:c>
      <x:c r="H385" t="str">
        <x:v>NON_POSITIVE_ENTERPRISE_VALUE|NON_POSITIVE_EQUITY_VALUE|NON_POSITIVE_TERMINAL_FCF</x:v>
      </x:c>
      <x:c r="I385" s="54" t="n">
        <x:v>44103</x:v>
      </x:c>
      <x:c r="J385" s="55" t="n">
        <x:v>6680</x:v>
      </x:c>
      <x:c r="K385" s="55" t="n">
        <x:v>50912742240</x:v>
      </x:c>
      <x:c r="L385" s="55" t="n">
        <x:v>7621668</x:v>
      </x:c>
      <x:c r="M385" t="str">
        <x:v>20200330004131</x:v>
      </x:c>
      <x:c r="N385" t="n">
        <x:v>43920.624999988424</x:v>
      </x:c>
      <x:c r="O385" s="54" t="n">
        <x:v>43830</x:v>
      </x:c>
      <x:c r="P385" t="str">
        <x:v>False</x:v>
      </x:c>
      <x:c r="Q385" t="str">
        <x:v>2474b54ef3f4da0a6f47f43740c2e4a1b887d622fd15ff66754d4541b65cbac1</x:v>
      </x:c>
      <x:c r="R385" t="str">
        <x:v>7b6761afac314597c99c5e25dc68ce5ce5ce5a1a8b5bc6214347bacfb3030bc8</x:v>
      </x:c>
      <x:c r="S385" t="n">
        <x:v>7</x:v>
      </x:c>
      <x:c r="T385" t="str">
        <x:v>2018-12-31|2019-12-31</x:v>
      </x:c>
      <x:c r="U385" s="57" t="n">
        <x:v>-11237.475653582416</x:v>
      </x:c>
      <x:c r="V385" s="57" t="n">
        <x:v>-2.682256834368625</x:v>
      </x:c>
      <x:c r="W385"/>
      <x:c r="X385"/>
      <x:c r="Y385" s="38" t="n">
        <x:v>0.6409090909090909</x:v>
      </x:c>
      <x:c r="Z385" s="38" t="n">
        <x:v>0.5305323535895214</x:v>
      </x:c>
      <x:c r="AA385" t="str">
        <x:v>NON_POSITIVE_ENTERPRISE_VALUE|NON_POSITIVE_EQUITY_VALUE|NON_POSITIVE_TERMINAL_FCF</x:v>
      </x:c>
    </x:row>
    <x:row r="386">
      <x:c r="A386" s="54" t="n">
        <x:v>44104</x:v>
      </x:c>
      <x:c r="B386" t="n">
        <x:v>44104.624999988424</x:v>
      </x:c>
      <x:c r="C386" t="str">
        <x:v>001630</x:v>
      </x:c>
      <x:c r="D386" t="str">
        <x:v>종근당홀딩스</x:v>
      </x:c>
      <x:c r="E386" t="str">
        <x:v>KOSPI</x:v>
      </x:c>
      <x:c r="F386" t="str">
        <x:v>MID</x:v>
      </x:c>
      <x:c r="G386" t="str">
        <x:v>EXCLUDED_ARCHETYPE</x:v>
      </x:c>
      <x:c r="H386" t="str">
        <x:v>FCFF_NOT_COMPARABLE_FOR_FINANCE_OR_HOLDING_HINT</x:v>
      </x:c>
      <x:c r="I386" s="54"/>
      <x:c r="J386" s="55"/>
      <x:c r="K386" s="55"/>
      <x:c r="L386" s="55"/>
      <x:c r="M386"/>
      <x:c r="N386"/>
      <x:c r="O386" s="54"/>
      <x:c r="P386"/>
      <x:c r="Q386"/>
      <x:c r="R386"/>
      <x:c r="S386"/>
      <x:c r="T386"/>
      <x:c r="U386" s="57"/>
      <x:c r="V386" s="57"/>
      <x:c r="W386"/>
      <x:c r="X386"/>
      <x:c r="Y386" s="38"/>
      <x:c r="Z386" s="38"/>
      <x:c r="AA386"/>
    </x:row>
    <x:row r="387">
      <x:c r="A387" s="54" t="n">
        <x:v>44104</x:v>
      </x:c>
      <x:c r="B387" t="n">
        <x:v>44104.624999988424</x:v>
      </x:c>
      <x:c r="C387" t="str">
        <x:v>005680</x:v>
      </x:c>
      <x:c r="D387" t="str">
        <x:v>삼영전자</x:v>
      </x:c>
      <x:c r="E387" t="str">
        <x:v>KOSPI</x:v>
      </x:c>
      <x:c r="F387" t="str">
        <x:v>MID</x:v>
      </x:c>
      <x:c r="G387" t="str">
        <x:v>ELIGIBLE</x:v>
      </x:c>
      <x:c r="H387"/>
      <x:c r="I387" s="54" t="n">
        <x:v>44103</x:v>
      </x:c>
      <x:c r="J387" s="55" t="n">
        <x:v>8040</x:v>
      </x:c>
      <x:c r="K387" s="55" t="n">
        <x:v>160800000000</x:v>
      </x:c>
      <x:c r="L387" s="55" t="n">
        <x:v>20000000</x:v>
      </x:c>
      <x:c r="M387" t="str">
        <x:v>20200330000493</x:v>
      </x:c>
      <x:c r="N387" t="n">
        <x:v>43920.624999988424</x:v>
      </x:c>
      <x:c r="O387" s="54" t="n">
        <x:v>43830</x:v>
      </x:c>
      <x:c r="P387" t="str">
        <x:v>False</x:v>
      </x:c>
      <x:c r="Q387" t="str">
        <x:v>ee27736ea1a689291a82d2b77e773f57a1bfe6bdfe09a4cf48a9071e817a5758</x:v>
      </x:c>
      <x:c r="R387" t="str">
        <x:v>e737d0a6caf4c5f5f7c07c0a31f9883fad28993b98106c1fbf6beba15ed21580</x:v>
      </x:c>
      <x:c r="S387" t="n">
        <x:v>6</x:v>
      </x:c>
      <x:c r="T387" t="str">
        <x:v>2018-12-31|2019-12-31</x:v>
      </x:c>
      <x:c r="U387" s="57" t="n">
        <x:v>2760.929315699904</x:v>
      </x:c>
      <x:c r="V387" s="57" t="n">
        <x:v>-0.656600831380609</x:v>
      </x:c>
      <x:c r="W387" t="n">
        <x:v>44</x:v>
      </x:c>
      <x:c r="X387" t="n">
        <x:v>4</x:v>
      </x:c>
      <x:c r="Y387" s="38" t="n">
        <x:v>0.6409090909090909</x:v>
      </x:c>
      <x:c r="Z387" s="38" t="n">
        <x:v>0.4222058451118061</x:v>
      </x:c>
      <x:c r="AA387"/>
    </x:row>
    <x:row r="388">
      <x:c r="A388" s="54" t="n">
        <x:v>44104</x:v>
      </x:c>
      <x:c r="B388" t="n">
        <x:v>44104.624999988424</x:v>
      </x:c>
      <x:c r="C388" t="str">
        <x:v>028100</x:v>
      </x:c>
      <x:c r="D388" t="str">
        <x:v>동아지질</x:v>
      </x:c>
      <x:c r="E388" t="str">
        <x:v>KOSPI</x:v>
      </x:c>
      <x:c r="F388" t="str">
        <x:v>MID</x:v>
      </x:c>
      <x:c r="G388" t="str">
        <x:v>ELIGIBLE</x:v>
      </x:c>
      <x:c r="H388"/>
      <x:c r="I388" s="54" t="n">
        <x:v>44103</x:v>
      </x:c>
      <x:c r="J388" s="55" t="n">
        <x:v>14600</x:v>
      </x:c>
      <x:c r="K388" s="55" t="n">
        <x:v>167900000000</x:v>
      </x:c>
      <x:c r="L388" s="55" t="n">
        <x:v>11500000</x:v>
      </x:c>
      <x:c r="M388" t="str">
        <x:v>20200605000203</x:v>
      </x:c>
      <x:c r="N388" t="n">
        <x:v>43987.624999988424</x:v>
      </x:c>
      <x:c r="O388" s="54" t="n">
        <x:v>43830</x:v>
      </x:c>
      <x:c r="P388" t="str">
        <x:v>True</x:v>
      </x:c>
      <x:c r="Q388" t="str">
        <x:v>8d69796995c0341749da12439146cb63fa25deac0045601c8e12a9778203e74d</x:v>
      </x:c>
      <x:c r="R388" t="str">
        <x:v>4cbf451f44278bdd6b815a9664affb63bc894c1eaa95c1ad93b3c82d1a7e5bd4</x:v>
      </x:c>
      <x:c r="S388" t="n">
        <x:v>7</x:v>
      </x:c>
      <x:c r="T388" t="str">
        <x:v>2018-12-31|2019-12-31</x:v>
      </x:c>
      <x:c r="U388" s="57" t="n">
        <x:v>9314.379669635025</x:v>
      </x:c>
      <x:c r="V388" s="57" t="n">
        <x:v>-0.36202878975102565</x:v>
      </x:c>
      <x:c r="W388" t="n">
        <x:v>29</x:v>
      </x:c>
      <x:c r="X388" t="n">
        <x:v>3</x:v>
      </x:c>
      <x:c r="Y388" s="38" t="n">
        <x:v>0.6409090909090909</x:v>
      </x:c>
      <x:c r="Z388" s="38" t="n">
        <x:v>0.7154675060987346</x:v>
      </x:c>
      <x:c r="AA388"/>
    </x:row>
    <x:row r="389">
      <x:c r="A389" s="54" t="n">
        <x:v>44104</x:v>
      </x:c>
      <x:c r="B389" t="n">
        <x:v>44104.624999988424</x:v>
      </x:c>
      <x:c r="C389" t="str">
        <x:v>001750</x:v>
      </x:c>
      <x:c r="D389" t="str">
        <x:v>한양증권</x:v>
      </x:c>
      <x:c r="E389" t="str">
        <x:v>KOSPI</x:v>
      </x:c>
      <x:c r="F389" t="str">
        <x:v>MID</x:v>
      </x:c>
      <x:c r="G389" t="str">
        <x:v>EXCLUDED_ARCHETYPE</x:v>
      </x:c>
      <x:c r="H389" t="str">
        <x:v>FCFF_NOT_COMPARABLE_FOR_FINANCE_OR_HOLDING_HINT</x:v>
      </x:c>
      <x:c r="I389" s="54"/>
      <x:c r="J389" s="55"/>
      <x:c r="K389" s="55"/>
      <x:c r="L389" s="55"/>
      <x:c r="M389"/>
      <x:c r="N389"/>
      <x:c r="O389" s="54"/>
      <x:c r="P389"/>
      <x:c r="Q389"/>
      <x:c r="R389"/>
      <x:c r="S389"/>
      <x:c r="T389"/>
      <x:c r="U389" s="57"/>
      <x:c r="V389" s="57"/>
      <x:c r="W389"/>
      <x:c r="X389"/>
      <x:c r="Y389" s="38"/>
      <x:c r="Z389" s="38"/>
      <x:c r="AA389"/>
    </x:row>
    <x:row r="390">
      <x:c r="A390" s="54" t="n">
        <x:v>44104</x:v>
      </x:c>
      <x:c r="B390" t="n">
        <x:v>44104.624999988424</x:v>
      </x:c>
      <x:c r="C390" t="str">
        <x:v>102460</x:v>
      </x:c>
      <x:c r="D390" t="str">
        <x:v>이연제약</x:v>
      </x:c>
      <x:c r="E390" t="str">
        <x:v>KOSPI</x:v>
      </x:c>
      <x:c r="F390" t="str">
        <x:v>MID</x:v>
      </x:c>
      <x:c r="G390" t="str">
        <x:v>ELIGIBLE</x:v>
      </x:c>
      <x:c r="H390"/>
      <x:c r="I390" s="54" t="n">
        <x:v>44103</x:v>
      </x:c>
      <x:c r="J390" s="55" t="n">
        <x:v>22000</x:v>
      </x:c>
      <x:c r="K390" s="55" t="n">
        <x:v>373459548000</x:v>
      </x:c>
      <x:c r="L390" s="55" t="n">
        <x:v>16975434</x:v>
      </x:c>
      <x:c r="M390" t="str">
        <x:v>20200330004583</x:v>
      </x:c>
      <x:c r="N390" t="n">
        <x:v>43920.624999988424</x:v>
      </x:c>
      <x:c r="O390" s="54" t="n">
        <x:v>43830</x:v>
      </x:c>
      <x:c r="P390" t="str">
        <x:v>False</x:v>
      </x:c>
      <x:c r="Q390" t="str">
        <x:v>841f82d6f87d6c1c37525d79fbae0d5eb5445369de6402bd7d62c7048b57c859</x:v>
      </x:c>
      <x:c r="R390" t="str">
        <x:v>edc7318d9f15732135f029aab155ce5b6226bb7178139b555f2df6b6cbab770f</x:v>
      </x:c>
      <x:c r="S390" t="n">
        <x:v>4</x:v>
      </x:c>
      <x:c r="T390" t="str">
        <x:v>2018-12-31|2019-12-31</x:v>
      </x:c>
      <x:c r="U390" s="57" t="n">
        <x:v>2407.5347275053587</x:v>
      </x:c>
      <x:c r="V390" s="57" t="n">
        <x:v>-0.890566603295211</x:v>
      </x:c>
      <x:c r="W390" t="n">
        <x:v>57</x:v>
      </x:c>
      <x:c r="X390" t="n">
        <x:v>5</x:v>
      </x:c>
      <x:c r="Y390" s="38" t="n">
        <x:v>0.6409090909090909</x:v>
      </x:c>
      <x:c r="Z390" s="38" t="n">
        <x:v>0.6277316350657505</x:v>
      </x:c>
      <x:c r="AA390"/>
    </x:row>
    <x:row r="391">
      <x:c r="A391" s="54" t="n">
        <x:v>44104</x:v>
      </x:c>
      <x:c r="B391" t="n">
        <x:v>44104.624999988424</x:v>
      </x:c>
      <x:c r="C391" t="str">
        <x:v>053690</x:v>
      </x:c>
      <x:c r="D391" t="str">
        <x:v>한미글로벌</x:v>
      </x:c>
      <x:c r="E391" t="str">
        <x:v>KOSPI</x:v>
      </x:c>
      <x:c r="F391" t="str">
        <x:v>MID</x:v>
      </x:c>
      <x:c r="G391" t="str">
        <x:v>ELIGIBLE</x:v>
      </x:c>
      <x:c r="H391"/>
      <x:c r="I391" s="54" t="n">
        <x:v>44103</x:v>
      </x:c>
      <x:c r="J391" s="55" t="n">
        <x:v>8170</x:v>
      </x:c>
      <x:c r="K391" s="55" t="n">
        <x:v>89523183500</x:v>
      </x:c>
      <x:c r="L391" s="55" t="n">
        <x:v>10957550</x:v>
      </x:c>
      <x:c r="M391" t="str">
        <x:v>20200330003518</x:v>
      </x:c>
      <x:c r="N391" t="n">
        <x:v>43920.624999988424</x:v>
      </x:c>
      <x:c r="O391" s="54" t="n">
        <x:v>43830</x:v>
      </x:c>
      <x:c r="P391" t="str">
        <x:v>False</x:v>
      </x:c>
      <x:c r="Q391" t="str">
        <x:v>67a27cabb893bdb895dd50a8955d88a1e32ad56aa9de6b468fbffa2df17289e8</x:v>
      </x:c>
      <x:c r="R391" t="str">
        <x:v>b658827c2523f90506cdc711f156b1902c5bc5b8ed017467e4d4d0aacdef398e</x:v>
      </x:c>
      <x:c r="S391" t="n">
        <x:v>6</x:v>
      </x:c>
      <x:c r="T391" t="str">
        <x:v>2018-12-31|2019-12-31</x:v>
      </x:c>
      <x:c r="U391" s="57" t="n">
        <x:v>20146.717122432205</x:v>
      </x:c>
      <x:c r="V391" s="57" t="n">
        <x:v>1.4659384482781157</x:v>
      </x:c>
      <x:c r="W391" t="n">
        <x:v>5</x:v>
      </x:c>
      <x:c r="X391" t="n">
        <x:v>1</x:v>
      </x:c>
      <x:c r="Y391" s="38" t="n">
        <x:v>0.6409090909090909</x:v>
      </x:c>
      <x:c r="Z391" s="38" t="n">
        <x:v>0.6948654288748654</x:v>
      </x:c>
      <x:c r="AA391"/>
    </x:row>
    <x:row r="392">
      <x:c r="A392" s="54" t="n">
        <x:v>44104</x:v>
      </x:c>
      <x:c r="B392" t="n">
        <x:v>44104.624999988424</x:v>
      </x:c>
      <x:c r="C392" t="str">
        <x:v>213500</x:v>
      </x:c>
      <x:c r="D392" t="str">
        <x:v>한솔제지</x:v>
      </x:c>
      <x:c r="E392" t="str">
        <x:v>KOSPI</x:v>
      </x:c>
      <x:c r="F392" t="str">
        <x:v>MID</x:v>
      </x:c>
      <x:c r="G392" t="str">
        <x:v>ELIGIBLE</x:v>
      </x:c>
      <x:c r="H392"/>
      <x:c r="I392" s="54" t="n">
        <x:v>44103</x:v>
      </x:c>
      <x:c r="J392" s="55" t="n">
        <x:v>13950</x:v>
      </x:c>
      <x:c r="K392" s="55" t="n">
        <x:v>332018035200</x:v>
      </x:c>
      <x:c r="L392" s="55" t="n">
        <x:v>23800576</x:v>
      </x:c>
      <x:c r="M392" t="str">
        <x:v>20200325000999</x:v>
      </x:c>
      <x:c r="N392" t="n">
        <x:v>43915.624999988424</x:v>
      </x:c>
      <x:c r="O392" s="54" t="n">
        <x:v>43830</x:v>
      </x:c>
      <x:c r="P392" t="str">
        <x:v>False</x:v>
      </x:c>
      <x:c r="Q392" t="str">
        <x:v>692399356fba85e309d5c708f5d65e510a92fb9eec652991b3a9f272805fd0aa</x:v>
      </x:c>
      <x:c r="R392" t="str">
        <x:v>c6578357446409148135ea79abee07b4b979d63ade76372865acdaf66f164674</x:v>
      </x:c>
      <x:c r="S392" t="n">
        <x:v>6</x:v>
      </x:c>
      <x:c r="T392" t="str">
        <x:v>2018-12-31|2019-12-31</x:v>
      </x:c>
      <x:c r="U392" s="57" t="n">
        <x:v>18621.598812478103</x:v>
      </x:c>
      <x:c r="V392" s="57" t="n">
        <x:v>0.33488163530308984</x:v>
      </x:c>
      <x:c r="W392" t="n">
        <x:v>13</x:v>
      </x:c>
      <x:c r="X392" t="n">
        <x:v>1</x:v>
      </x:c>
      <x:c r="Y392" s="38" t="n">
        <x:v>0.6409090909090909</x:v>
      </x:c>
      <x:c r="Z392" s="38" t="n">
        <x:v>0.6986420377854025</x:v>
      </x:c>
      <x:c r="AA392"/>
    </x:row>
    <x:row r="393">
      <x:c r="A393" s="54" t="n">
        <x:v>44104</x:v>
      </x:c>
      <x:c r="B393" t="n">
        <x:v>44104.624999988424</x:v>
      </x:c>
      <x:c r="C393" t="str">
        <x:v>005430</x:v>
      </x:c>
      <x:c r="D393" t="str">
        <x:v>한국공항</x:v>
      </x:c>
      <x:c r="E393" t="str">
        <x:v>KOSPI</x:v>
      </x:c>
      <x:c r="F393" t="str">
        <x:v>MID</x:v>
      </x:c>
      <x:c r="G393" t="str">
        <x:v>ELIGIBLE</x:v>
      </x:c>
      <x:c r="H393"/>
      <x:c r="I393" s="54" t="n">
        <x:v>44103</x:v>
      </x:c>
      <x:c r="J393" s="55" t="n">
        <x:v>30200</x:v>
      </x:c>
      <x:c r="K393" s="55" t="n">
        <x:v>95623921000</x:v>
      </x:c>
      <x:c r="L393" s="55" t="n">
        <x:v>3166355</x:v>
      </x:c>
      <x:c r="M393" t="str">
        <x:v>20200330004590</x:v>
      </x:c>
      <x:c r="N393" t="n">
        <x:v>43920.624999988424</x:v>
      </x:c>
      <x:c r="O393" s="54" t="n">
        <x:v>43830</x:v>
      </x:c>
      <x:c r="P393" t="str">
        <x:v>False</x:v>
      </x:c>
      <x:c r="Q393" t="str">
        <x:v>852f9aae649b8a3410b87bc3bbd094ee69f67ab2afe4a3bd838332c8fd824770</x:v>
      </x:c>
      <x:c r="R393" t="str">
        <x:v>33ab0f509a472c4b83c9f004fbc07436d48661f26a5c00deb28f0f27de90c6e4</x:v>
      </x:c>
      <x:c r="S393" t="n">
        <x:v>7</x:v>
      </x:c>
      <x:c r="T393" t="str">
        <x:v>2018-12-31|2019-12-31</x:v>
      </x:c>
      <x:c r="U393" s="57" t="n">
        <x:v>72841.83177870208</x:v>
      </x:c>
      <x:c r="V393" s="57" t="n">
        <x:v>1.4119811847252346</x:v>
      </x:c>
      <x:c r="W393" t="n">
        <x:v>6</x:v>
      </x:c>
      <x:c r="X393" t="n">
        <x:v>1</x:v>
      </x:c>
      <x:c r="Y393" s="38" t="n">
        <x:v>0.6409090909090909</x:v>
      </x:c>
      <x:c r="Z393" s="38" t="n">
        <x:v>0.6743256080208252</x:v>
      </x:c>
      <x:c r="AA393"/>
    </x:row>
    <x:row r="394">
      <x:c r="A394" s="54" t="n">
        <x:v>44104</x:v>
      </x:c>
      <x:c r="B394" t="n">
        <x:v>44104.624999988424</x:v>
      </x:c>
      <x:c r="C394" t="str">
        <x:v>003460</x:v>
      </x:c>
      <x:c r="D394" t="str">
        <x:v>유화증권</x:v>
      </x:c>
      <x:c r="E394" t="str">
        <x:v>KOSPI</x:v>
      </x:c>
      <x:c r="F394" t="str">
        <x:v>MID</x:v>
      </x:c>
      <x:c r="G394" t="str">
        <x:v>EXCLUDED_ARCHETYPE</x:v>
      </x:c>
      <x:c r="H394" t="str">
        <x:v>FCFF_NOT_COMPARABLE_FOR_FINANCE_OR_HOLDING_HINT</x:v>
      </x:c>
      <x:c r="I394" s="54"/>
      <x:c r="J394" s="55"/>
      <x:c r="K394" s="55"/>
      <x:c r="L394" s="55"/>
      <x:c r="M394"/>
      <x:c r="N394"/>
      <x:c r="O394" s="54"/>
      <x:c r="P394"/>
      <x:c r="Q394"/>
      <x:c r="R394"/>
      <x:c r="S394"/>
      <x:c r="T394"/>
      <x:c r="U394" s="57"/>
      <x:c r="V394" s="57"/>
      <x:c r="W394"/>
      <x:c r="X394"/>
      <x:c r="Y394" s="38"/>
      <x:c r="Z394" s="38"/>
      <x:c r="AA394"/>
    </x:row>
    <x:row r="395">
      <x:c r="A395" s="54" t="n">
        <x:v>44104</x:v>
      </x:c>
      <x:c r="B395" t="n">
        <x:v>44104.624999988424</x:v>
      </x:c>
      <x:c r="C395" t="str">
        <x:v>004140</x:v>
      </x:c>
      <x:c r="D395" t="str">
        <x:v>동방</x:v>
      </x:c>
      <x:c r="E395" t="str">
        <x:v>KOSPI</x:v>
      </x:c>
      <x:c r="F395" t="str">
        <x:v>MID</x:v>
      </x:c>
      <x:c r="G395" t="str">
        <x:v>ELIGIBLE</x:v>
      </x:c>
      <x:c r="H395"/>
      <x:c r="I395" s="54" t="n">
        <x:v>44103</x:v>
      </x:c>
      <x:c r="J395" s="55" t="n">
        <x:v>1965</x:v>
      </x:c>
      <x:c r="K395" s="55" t="n">
        <x:v>70618044240</x:v>
      </x:c>
      <x:c r="L395" s="55" t="n">
        <x:v>35937936</x:v>
      </x:c>
      <x:c r="M395" t="str">
        <x:v>20200330003987</x:v>
      </x:c>
      <x:c r="N395" t="n">
        <x:v>43920.624999988424</x:v>
      </x:c>
      <x:c r="O395" s="54" t="n">
        <x:v>43830</x:v>
      </x:c>
      <x:c r="P395" t="str">
        <x:v>False</x:v>
      </x:c>
      <x:c r="Q395" t="str">
        <x:v>46ac67228e64535f85a4a0689b1dfcc0063d4286b357ca203fdfe76133d6497f</x:v>
      </x:c>
      <x:c r="R395" t="str">
        <x:v>add3a32413fc964b70dd1e0a674a71f8748dbdcfa1e06626305b2a21811f2589</x:v>
      </x:c>
      <x:c r="S395" t="n">
        <x:v>7</x:v>
      </x:c>
      <x:c r="T395" t="str">
        <x:v>2018-12-31|2019-12-31</x:v>
      </x:c>
      <x:c r="U395" s="57" t="n">
        <x:v>660.9743410440362</x:v>
      </x:c>
      <x:c r="V395" s="57" t="n">
        <x:v>-0.6636262895450197</x:v>
      </x:c>
      <x:c r="W395" t="n">
        <x:v>45</x:v>
      </x:c>
      <x:c r="X395" t="n">
        <x:v>4</x:v>
      </x:c>
      <x:c r="Y395" s="38" t="n">
        <x:v>0.6409090909090909</x:v>
      </x:c>
      <x:c r="Z395" s="38" t="n">
        <x:v>0.6716049770453923</x:v>
      </x:c>
      <x:c r="AA395"/>
    </x:row>
    <x:row r="396">
      <x:c r="A396" s="54" t="n">
        <x:v>44104</x:v>
      </x:c>
      <x:c r="B396" t="n">
        <x:v>44104.624999988424</x:v>
      </x:c>
      <x:c r="C396" t="str">
        <x:v>317400</x:v>
      </x:c>
      <x:c r="D396" t="str">
        <x:v>자이에스앤디</x:v>
      </x:c>
      <x:c r="E396" t="str">
        <x:v>KOSPI</x:v>
      </x:c>
      <x:c r="F396" t="str">
        <x:v>MID</x:v>
      </x:c>
      <x:c r="G396" t="str">
        <x:v>ELIGIBLE</x:v>
      </x:c>
      <x:c r="H396"/>
      <x:c r="I396" s="54" t="n">
        <x:v>44103</x:v>
      </x:c>
      <x:c r="J396" s="55" t="n">
        <x:v>8100</x:v>
      </x:c>
      <x:c r="K396" s="55" t="n">
        <x:v>216938412000</x:v>
      </x:c>
      <x:c r="L396" s="55" t="n">
        <x:v>26782520</x:v>
      </x:c>
      <x:c r="M396" t="str">
        <x:v>20200327000947</x:v>
      </x:c>
      <x:c r="N396" t="n">
        <x:v>43917.624999988424</x:v>
      </x:c>
      <x:c r="O396" s="54" t="n">
        <x:v>43830</x:v>
      </x:c>
      <x:c r="P396" t="str">
        <x:v>False</x:v>
      </x:c>
      <x:c r="Q396" t="str">
        <x:v>b12fa64867f28fbab0ad7b544f2a2f1cdd2c212114a842392a1957abd20354b4</x:v>
      </x:c>
      <x:c r="R396" t="str">
        <x:v>63371c38ca41f80f803d94e219c0ca1977eda2bec0e3cbb3cc52050bb355cd0c</x:v>
      </x:c>
      <x:c r="S396" t="n">
        <x:v>6</x:v>
      </x:c>
      <x:c r="T396" t="str">
        <x:v>2019-12-31</x:v>
      </x:c>
      <x:c r="U396" s="57" t="n">
        <x:v>6935.871302294737</x:v>
      </x:c>
      <x:c r="V396" s="57" t="n">
        <x:v>-0.1437195923092918</x:v>
      </x:c>
      <x:c r="W396" t="n">
        <x:v>23</x:v>
      </x:c>
      <x:c r="X396" t="n">
        <x:v>2</x:v>
      </x:c>
      <x:c r="Y396" s="38" t="n">
        <x:v>0.6409090909090909</x:v>
      </x:c>
      <x:c r="Z396" s="38" t="n">
        <x:v>0.6701769222689359</x:v>
      </x:c>
      <x:c r="AA396"/>
    </x:row>
    <x:row r="397">
      <x:c r="A397" s="54" t="n">
        <x:v>44104</x:v>
      </x:c>
      <x:c r="B397" t="n">
        <x:v>44104.624999988424</x:v>
      </x:c>
      <x:c r="C397" t="str">
        <x:v>077500</x:v>
      </x:c>
      <x:c r="D397" t="str">
        <x:v>유니퀘스트</x:v>
      </x:c>
      <x:c r="E397" t="str">
        <x:v>KOSPI</x:v>
      </x:c>
      <x:c r="F397" t="str">
        <x:v>MID</x:v>
      </x:c>
      <x:c r="G397" t="str">
        <x:v>ELIGIBLE</x:v>
      </x:c>
      <x:c r="H397"/>
      <x:c r="I397" s="54" t="n">
        <x:v>44103</x:v>
      </x:c>
      <x:c r="J397" s="55" t="n">
        <x:v>11750</x:v>
      </x:c>
      <x:c r="K397" s="55" t="n">
        <x:v>320742393750</x:v>
      </x:c>
      <x:c r="L397" s="55" t="n">
        <x:v>27297225</x:v>
      </x:c>
      <x:c r="M397" t="str">
        <x:v>20200330004272</x:v>
      </x:c>
      <x:c r="N397" t="n">
        <x:v>43920.624999988424</x:v>
      </x:c>
      <x:c r="O397" s="54" t="n">
        <x:v>43830</x:v>
      </x:c>
      <x:c r="P397" t="str">
        <x:v>False</x:v>
      </x:c>
      <x:c r="Q397" t="str">
        <x:v>f02a31728b7870ed14585a0b158899ceb8452a1805c3c0e9d88cbf7adc750e9d</x:v>
      </x:c>
      <x:c r="R397" t="str">
        <x:v>df82c5ac1ec8e95ba893f06ac1655f0f67f7826216938a5fcc3eec39300a5313</x:v>
      </x:c>
      <x:c r="S397" t="n">
        <x:v>6</x:v>
      </x:c>
      <x:c r="T397" t="str">
        <x:v>2011-12-31|2012-12-31|2013-12-31|2014-12-31|2015-12-31|2016-12-31|2017-12-31|2018-12-31|2019-12-31</x:v>
      </x:c>
      <x:c r="U397" s="57" t="n">
        <x:v>1943.333492959495</x:v>
      </x:c>
      <x:c r="V397" s="57" t="n">
        <x:v>-0.8346099154928089</x:v>
      </x:c>
      <x:c r="W397" t="n">
        <x:v>56</x:v>
      </x:c>
      <x:c r="X397" t="n">
        <x:v>5</x:v>
      </x:c>
      <x:c r="Y397" s="38" t="n">
        <x:v>0.6409090909090909</x:v>
      </x:c>
      <x:c r="Z397" s="38" t="n">
        <x:v>0.731247750122653</x:v>
      </x:c>
      <x:c r="AA397"/>
    </x:row>
    <x:row r="398">
      <x:c r="A398" s="54" t="n">
        <x:v>44104</x:v>
      </x:c>
      <x:c r="B398" t="n">
        <x:v>44104.624999988424</x:v>
      </x:c>
      <x:c r="C398" t="str">
        <x:v>012800</x:v>
      </x:c>
      <x:c r="D398" t="str">
        <x:v>대창</x:v>
      </x:c>
      <x:c r="E398" t="str">
        <x:v>KOSPI</x:v>
      </x:c>
      <x:c r="F398" t="str">
        <x:v>MID</x:v>
      </x:c>
      <x:c r="G398" t="str">
        <x:v>DCF_SCREENING_EXCLUSION</x:v>
      </x:c>
      <x:c r="H398" t="str">
        <x:v>NON_POSITIVE_EQUITY_VALUE</x:v>
      </x:c>
      <x:c r="I398" s="54" t="n">
        <x:v>44103</x:v>
      </x:c>
      <x:c r="J398" s="55" t="n">
        <x:v>1085</x:v>
      </x:c>
      <x:c r="K398" s="55" t="n">
        <x:v>98887441415</x:v>
      </x:c>
      <x:c r="L398" s="55" t="n">
        <x:v>91140499</x:v>
      </x:c>
      <x:c r="M398" t="str">
        <x:v>20200330001326</x:v>
      </x:c>
      <x:c r="N398" t="n">
        <x:v>43920.624999988424</x:v>
      </x:c>
      <x:c r="O398" s="54" t="n">
        <x:v>43830</x:v>
      </x:c>
      <x:c r="P398" t="str">
        <x:v>False</x:v>
      </x:c>
      <x:c r="Q398" t="str">
        <x:v>498080458de2d5ef2bd3152e3d969187ee38dfbc94b9f8422a74209e83040d81</x:v>
      </x:c>
      <x:c r="R398" t="str">
        <x:v>28f1d7b11b4f317d2b458ea28e2060475272aae7f10bba248ee9a1eb83e4d84f</x:v>
      </x:c>
      <x:c r="S398" t="n">
        <x:v>6</x:v>
      </x:c>
      <x:c r="T398" t="str">
        <x:v>2018-12-31|2019-12-31</x:v>
      </x:c>
      <x:c r="U398" s="57" t="n">
        <x:v>-1690.4590138700046</x:v>
      </x:c>
      <x:c r="V398" s="57" t="n">
        <x:v>-2.5580267408940136</x:v>
      </x:c>
      <x:c r="W398"/>
      <x:c r="X398"/>
      <x:c r="Y398" s="38" t="n">
        <x:v>0.6409090909090909</x:v>
      </x:c>
      <x:c r="Z398" s="38" t="n">
        <x:v>0.65771556088542</x:v>
      </x:c>
      <x:c r="AA398" t="str">
        <x:v>NON_POSITIVE_EQUITY_VALUE</x:v>
      </x:c>
    </x:row>
    <x:row r="399">
      <x:c r="A399" s="54" t="n">
        <x:v>44104</x:v>
      </x:c>
      <x:c r="B399" t="n">
        <x:v>44104.624999988424</x:v>
      </x:c>
      <x:c r="C399" t="str">
        <x:v>063160</x:v>
      </x:c>
      <x:c r="D399" t="str">
        <x:v>종근당바이오</x:v>
      </x:c>
      <x:c r="E399" t="str">
        <x:v>KOSPI</x:v>
      </x:c>
      <x:c r="F399" t="str">
        <x:v>MID</x:v>
      </x:c>
      <x:c r="G399" t="str">
        <x:v>ELIGIBLE</x:v>
      </x:c>
      <x:c r="H399"/>
      <x:c r="I399" s="54" t="n">
        <x:v>44103</x:v>
      </x:c>
      <x:c r="J399" s="55" t="n">
        <x:v>45750</x:v>
      </x:c>
      <x:c r="K399" s="55" t="n">
        <x:v>250982761500</x:v>
      </x:c>
      <x:c r="L399" s="55" t="n">
        <x:v>5485962</x:v>
      </x:c>
      <x:c r="M399" t="str">
        <x:v>20200814001004</x:v>
      </x:c>
      <x:c r="N399" t="n">
        <x:v>44057.624999988424</x:v>
      </x:c>
      <x:c r="O399" s="54" t="n">
        <x:v>43830</x:v>
      </x:c>
      <x:c r="P399" t="str">
        <x:v>True</x:v>
      </x:c>
      <x:c r="Q399" t="str">
        <x:v>94abc31715d4206f129ab866f52d276494112e2594c97b21f9ae519545a3574a</x:v>
      </x:c>
      <x:c r="R399" t="str">
        <x:v>6d663d541d213a0df80db934c55f60c457d7b9c6ad3f5c44456f43cef70febd5</x:v>
      </x:c>
      <x:c r="S399" t="n">
        <x:v>6</x:v>
      </x:c>
      <x:c r="T399" t="str">
        <x:v>2018-12-31|2019-12-31</x:v>
      </x:c>
      <x:c r="U399" s="57" t="n">
        <x:v>3675.5112327711754</x:v>
      </x:c>
      <x:c r="V399" s="57" t="n">
        <x:v>-0.9196609566607393</x:v>
      </x:c>
      <x:c r="W399" t="n">
        <x:v>59</x:v>
      </x:c>
      <x:c r="X399" t="n">
        <x:v>5</x:v>
      </x:c>
      <x:c r="Y399" s="38" t="n">
        <x:v>0.6409090909090909</x:v>
      </x:c>
      <x:c r="Z399" s="38" t="n">
        <x:v>0.6952202293915488</x:v>
      </x:c>
      <x:c r="AA399"/>
    </x:row>
    <x:row r="400">
      <x:c r="A400" s="54" t="n">
        <x:v>44104</x:v>
      </x:c>
      <x:c r="B400" t="n">
        <x:v>44104.624999988424</x:v>
      </x:c>
      <x:c r="C400" t="str">
        <x:v>013570</x:v>
      </x:c>
      <x:c r="D400" t="str">
        <x:v>디와이</x:v>
      </x:c>
      <x:c r="E400" t="str">
        <x:v>KOSPI</x:v>
      </x:c>
      <x:c r="F400" t="str">
        <x:v>MID</x:v>
      </x:c>
      <x:c r="G400" t="str">
        <x:v>ELIGIBLE</x:v>
      </x:c>
      <x:c r="H400"/>
      <x:c r="I400" s="54" t="n">
        <x:v>44103</x:v>
      </x:c>
      <x:c r="J400" s="55" t="n">
        <x:v>4150</x:v>
      </x:c>
      <x:c r="K400" s="55" t="n">
        <x:v>109226476950</x:v>
      </x:c>
      <x:c r="L400" s="55" t="n">
        <x:v>26319633</x:v>
      </x:c>
      <x:c r="M400" t="str">
        <x:v>20200330003559</x:v>
      </x:c>
      <x:c r="N400" t="n">
        <x:v>43920.624999988424</x:v>
      </x:c>
      <x:c r="O400" s="54" t="n">
        <x:v>43830</x:v>
      </x:c>
      <x:c r="P400" t="str">
        <x:v>False</x:v>
      </x:c>
      <x:c r="Q400" t="str">
        <x:v>c78f20d0b3aef6385ceb685359560cdab6d539bc512dfb59d6982cee937a717f</x:v>
      </x:c>
      <x:c r="R400" t="str">
        <x:v>5bff211939d071f76b6413850f18d8b6bf95a4df390178e8a48cb89c681ed2e4</x:v>
      </x:c>
      <x:c r="S400" t="n">
        <x:v>7</x:v>
      </x:c>
      <x:c r="T400" t="str">
        <x:v>2018-12-31|2019-12-31</x:v>
      </x:c>
      <x:c r="U400" s="57" t="n">
        <x:v>6839.065234736271</x:v>
      </x:c>
      <x:c r="V400" s="57" t="n">
        <x:v>0.647967526442475</x:v>
      </x:c>
      <x:c r="W400" t="n">
        <x:v>10</x:v>
      </x:c>
      <x:c r="X400" t="n">
        <x:v>1</x:v>
      </x:c>
      <x:c r="Y400" s="38" t="n">
        <x:v>0.6409090909090909</x:v>
      </x:c>
      <x:c r="Z400" s="38" t="n">
        <x:v>0.5847338959435144</x:v>
      </x:c>
      <x:c r="AA400"/>
    </x:row>
    <x:row r="401">
      <x:c r="A401" s="54" t="n">
        <x:v>44104</x:v>
      </x:c>
      <x:c r="B401" t="n">
        <x:v>44104.624999988424</x:v>
      </x:c>
      <x:c r="C401" t="str">
        <x:v>227840</x:v>
      </x:c>
      <x:c r="D401" t="str">
        <x:v>현대코퍼레이션홀딩스</x:v>
      </x:c>
      <x:c r="E401" t="str">
        <x:v>KOSPI</x:v>
      </x:c>
      <x:c r="F401" t="str">
        <x:v>MID</x:v>
      </x:c>
      <x:c r="G401" t="str">
        <x:v>EXCLUDED_ARCHETYPE</x:v>
      </x:c>
      <x:c r="H401" t="str">
        <x:v>FCFF_NOT_COMPARABLE_FOR_FINANCE_OR_HOLDING_HINT</x:v>
      </x:c>
      <x:c r="I401" s="54"/>
      <x:c r="J401" s="55"/>
      <x:c r="K401" s="55"/>
      <x:c r="L401" s="55"/>
      <x:c r="M401"/>
      <x:c r="N401"/>
      <x:c r="O401" s="54"/>
      <x:c r="P401"/>
      <x:c r="Q401"/>
      <x:c r="R401"/>
      <x:c r="S401"/>
      <x:c r="T401"/>
      <x:c r="U401" s="57"/>
      <x:c r="V401" s="57"/>
      <x:c r="W401"/>
      <x:c r="X401"/>
      <x:c r="Y401" s="38"/>
      <x:c r="Z401" s="38"/>
      <x:c r="AA401"/>
    </x:row>
    <x:row r="402">
      <x:c r="A402" s="54" t="n">
        <x:v>44104</x:v>
      </x:c>
      <x:c r="B402" t="n">
        <x:v>44104.624999988424</x:v>
      </x:c>
      <x:c r="C402" t="str">
        <x:v>247540</x:v>
      </x:c>
      <x:c r="D402" t="str">
        <x:v>에코프로비엠</x:v>
      </x:c>
      <x:c r="E402" t="str">
        <x:v>KOSDAQ</x:v>
      </x:c>
      <x:c r="F402" t="str">
        <x:v>LARGE</x:v>
      </x:c>
      <x:c r="G402" t="str">
        <x:v>DCF_SCREENING_EXCLUSION</x:v>
      </x:c>
      <x:c r="H402" t="str">
        <x:v>NON_POSITIVE_ENTERPRISE_VALUE|NON_POSITIVE_EQUITY_VALUE|NON_POSITIVE_TERMINAL_FCF</x:v>
      </x:c>
      <x:c r="I402" s="54" t="n">
        <x:v>44103</x:v>
      </x:c>
      <x:c r="J402" s="55" t="n">
        <x:v>136600</x:v>
      </x:c>
      <x:c r="K402" s="55" t="n">
        <x:v>2873403675600</x:v>
      </x:c>
      <x:c r="L402" s="55" t="n">
        <x:v>21035166</x:v>
      </x:c>
      <x:c r="M402" t="str">
        <x:v>20200330004369</x:v>
      </x:c>
      <x:c r="N402" t="n">
        <x:v>43920.624999988424</x:v>
      </x:c>
      <x:c r="O402" s="54" t="n">
        <x:v>43830</x:v>
      </x:c>
      <x:c r="P402" t="str">
        <x:v>False</x:v>
      </x:c>
      <x:c r="Q402" t="str">
        <x:v>3597bcb81acefe374299e3309d77437744c4161a0c8d4cbc6a6d72d56b2fa4ec</x:v>
      </x:c>
      <x:c r="R402" t="str">
        <x:v>a5125dedbae87640a30e6344a78e09761f8a6ef5373d8e477eb08137d1a6e442</x:v>
      </x:c>
      <x:c r="S402" t="n">
        <x:v>7</x:v>
      </x:c>
      <x:c r="T402" t="str">
        <x:v>2018-12-31|2019-12-31</x:v>
      </x:c>
      <x:c r="U402" s="57" t="n">
        <x:v>-27493.048905142117</x:v>
      </x:c>
      <x:c r="V402" s="57" t="n">
        <x:v>-1.2012668294666333</x:v>
      </x:c>
      <x:c r="W402"/>
      <x:c r="X402"/>
      <x:c r="Y402" s="38" t="n">
        <x:v>0.6409090909090909</x:v>
      </x:c>
      <x:c r="Z402" s="38" t="n">
        <x:v>0.6742941324327638</x:v>
      </x:c>
      <x:c r="AA402" t="str">
        <x:v>NON_POSITIVE_ENTERPRISE_VALUE|NON_POSITIVE_EQUITY_VALUE|NON_POSITIVE_TERMINAL_FCF</x:v>
      </x:c>
    </x:row>
    <x:row r="403">
      <x:c r="A403" s="54" t="n">
        <x:v>44104</x:v>
      </x:c>
      <x:c r="B403" t="n">
        <x:v>44104.624999988424</x:v>
      </x:c>
      <x:c r="C403" t="str">
        <x:v>086520</x:v>
      </x:c>
      <x:c r="D403" t="str">
        <x:v>에코프로</x:v>
      </x:c>
      <x:c r="E403" t="str">
        <x:v>KOSDAQ</x:v>
      </x:c>
      <x:c r="F403" t="str">
        <x:v>LARGE</x:v>
      </x:c>
      <x:c r="G403" t="str">
        <x:v>DCF_SCREENING_EXCLUSION</x:v>
      </x:c>
      <x:c r="H403" t="str">
        <x:v>UNRELIABLE_TERMINAL_VALUE_SHARE</x:v>
      </x:c>
      <x:c r="I403" s="54" t="n">
        <x:v>44103</x:v>
      </x:c>
      <x:c r="J403" s="55" t="n">
        <x:v>44850</x:v>
      </x:c>
      <x:c r="K403" s="55" t="n">
        <x:v>990745066350</x:v>
      </x:c>
      <x:c r="L403" s="55" t="n">
        <x:v>22090191</x:v>
      </x:c>
      <x:c r="M403" t="str">
        <x:v>20200330004613</x:v>
      </x:c>
      <x:c r="N403" t="n">
        <x:v>43920.624999988424</x:v>
      </x:c>
      <x:c r="O403" s="54" t="n">
        <x:v>43830</x:v>
      </x:c>
      <x:c r="P403" t="str">
        <x:v>False</x:v>
      </x:c>
      <x:c r="Q403" t="str">
        <x:v>1c2282847103a39eaa6bcecec4b85f229e4355ac1793db3112a590599b4f15a2</x:v>
      </x:c>
      <x:c r="R403" t="str">
        <x:v>1bef9106e1b24b123d824c45e61a4053c4eb1605a48e35993d9d9d8a2598b57c</x:v>
      </x:c>
      <x:c r="S403" t="n">
        <x:v>6</x:v>
      </x:c>
      <x:c r="T403" t="str">
        <x:v>2018-12-31|2019-12-31</x:v>
      </x:c>
      <x:c r="U403" s="57" t="n">
        <x:v>4709.94088047829</x:v>
      </x:c>
      <x:c r="V403" s="57" t="n">
        <x:v>-0.8949845957529924</x:v>
      </x:c>
      <x:c r="W403"/>
      <x:c r="X403"/>
      <x:c r="Y403" s="38" t="n">
        <x:v>0.6409090909090909</x:v>
      </x:c>
      <x:c r="Z403" s="38" t="n">
        <x:v>0.9913912690782153</x:v>
      </x:c>
      <x:c r="AA403" t="str">
        <x:v>UNRELIABLE_TERMINAL_VALUE_SHARE</x:v>
      </x:c>
    </x:row>
    <x:row r="404">
      <x:c r="A404" s="54" t="n">
        <x:v>44104</x:v>
      </x:c>
      <x:c r="B404" t="n">
        <x:v>44104.624999988424</x:v>
      </x:c>
      <x:c r="C404" t="str">
        <x:v>214450</x:v>
      </x:c>
      <x:c r="D404" t="str">
        <x:v>파마리서치</x:v>
      </x:c>
      <x:c r="E404" t="str">
        <x:v>KOSDAQ</x:v>
      </x:c>
      <x:c r="F404" t="str">
        <x:v>LARGE</x:v>
      </x:c>
      <x:c r="G404" t="str">
        <x:v>ELIGIBLE</x:v>
      </x:c>
      <x:c r="H404"/>
      <x:c r="I404" s="54" t="n">
        <x:v>44103</x:v>
      </x:c>
      <x:c r="J404" s="55" t="n">
        <x:v>62000</x:v>
      </x:c>
      <x:c r="K404" s="55" t="n">
        <x:v>596913866000</x:v>
      </x:c>
      <x:c r="L404" s="55" t="n">
        <x:v>9627643</x:v>
      </x:c>
      <x:c r="M404" t="str">
        <x:v>20200327000355</x:v>
      </x:c>
      <x:c r="N404" t="n">
        <x:v>43917.624999988424</x:v>
      </x:c>
      <x:c r="O404" s="54" t="n">
        <x:v>43830</x:v>
      </x:c>
      <x:c r="P404" t="str">
        <x:v>False</x:v>
      </x:c>
      <x:c r="Q404" t="str">
        <x:v>fd03303d7bd776279dc75309bfa6c4cbbc8a7bec1d7cbd61f199a105644001d4</x:v>
      </x:c>
      <x:c r="R404" t="str">
        <x:v>a386e837ac17da6bd37ed7a5c4ff15782dda931014c70cd151d017558380c76a</x:v>
      </x:c>
      <x:c r="S404" t="n">
        <x:v>6</x:v>
      </x:c>
      <x:c r="T404" t="str">
        <x:v>2018-12-31|2019-12-31</x:v>
      </x:c>
      <x:c r="U404" s="57" t="n">
        <x:v>16735.20375761735</x:v>
      </x:c>
      <x:c r="V404" s="57" t="n">
        <x:v>-0.7300773587481072</x:v>
      </x:c>
      <x:c r="W404" t="n">
        <x:v>49</x:v>
      </x:c>
      <x:c r="X404" t="n">
        <x:v>4</x:v>
      </x:c>
      <x:c r="Y404" s="38" t="n">
        <x:v>0.6409090909090909</x:v>
      </x:c>
      <x:c r="Z404" s="38" t="n">
        <x:v>0.6897281984708911</x:v>
      </x:c>
      <x:c r="AA404"/>
    </x:row>
    <x:row r="405">
      <x:c r="A405" s="54" t="n">
        <x:v>44104</x:v>
      </x:c>
      <x:c r="B405" t="n">
        <x:v>44104.624999988424</x:v>
      </x:c>
      <x:c r="C405" t="str">
        <x:v>277810</x:v>
      </x:c>
      <x:c r="D405" t="str">
        <x:v>레인보우로보틱스</x:v>
      </x:c>
      <x:c r="E405" t="str">
        <x:v>KOSDAQ</x:v>
      </x:c>
      <x:c r="F405" t="str">
        <x:v>LARGE</x:v>
      </x:c>
      <x:c r="G405" t="str">
        <x:v>NOT_LISTED_OR_NO_PRICE</x:v>
      </x:c>
      <x:c r="H405"/>
      <x:c r="I405" s="54"/>
      <x:c r="J405" s="55"/>
      <x:c r="K405" s="55"/>
      <x:c r="L405" s="55"/>
      <x:c r="M405"/>
      <x:c r="N405"/>
      <x:c r="O405" s="54"/>
      <x:c r="P405"/>
      <x:c r="Q405"/>
      <x:c r="R405"/>
      <x:c r="S405"/>
      <x:c r="T405"/>
      <x:c r="U405" s="57"/>
      <x:c r="V405" s="57"/>
      <x:c r="W405"/>
      <x:c r="X405"/>
      <x:c r="Y405" s="38"/>
      <x:c r="Z405" s="38"/>
      <x:c r="AA405"/>
    </x:row>
    <x:row r="406">
      <x:c r="A406" s="54" t="n">
        <x:v>44104</x:v>
      </x:c>
      <x:c r="B406" t="n">
        <x:v>44104.624999988424</x:v>
      </x:c>
      <x:c r="C406" t="str">
        <x:v>310210</x:v>
      </x:c>
      <x:c r="D406" t="str">
        <x:v>보로노이</x:v>
      </x:c>
      <x:c r="E406" t="str">
        <x:v>KOSDAQ</x:v>
      </x:c>
      <x:c r="F406" t="str">
        <x:v>LARGE</x:v>
      </x:c>
      <x:c r="G406" t="str">
        <x:v>NOT_LISTED_OR_NO_PRICE</x:v>
      </x:c>
      <x:c r="H406"/>
      <x:c r="I406" s="54"/>
      <x:c r="J406" s="55"/>
      <x:c r="K406" s="55"/>
      <x:c r="L406" s="55"/>
      <x:c r="M406"/>
      <x:c r="N406"/>
      <x:c r="O406" s="54"/>
      <x:c r="P406"/>
      <x:c r="Q406"/>
      <x:c r="R406"/>
      <x:c r="S406"/>
      <x:c r="T406"/>
      <x:c r="U406" s="57"/>
      <x:c r="V406" s="57"/>
      <x:c r="W406"/>
      <x:c r="X406"/>
      <x:c r="Y406" s="38"/>
      <x:c r="Z406" s="38"/>
      <x:c r="AA406"/>
    </x:row>
    <x:row r="407">
      <x:c r="A407" s="54" t="n">
        <x:v>44104</x:v>
      </x:c>
      <x:c r="B407" t="n">
        <x:v>44104.624999988424</x:v>
      </x:c>
      <x:c r="C407" t="str">
        <x:v>195940</x:v>
      </x:c>
      <x:c r="D407" t="str">
        <x:v>HK이노엔</x:v>
      </x:c>
      <x:c r="E407" t="str">
        <x:v>KOSDAQ</x:v>
      </x:c>
      <x:c r="F407" t="str">
        <x:v>LARGE</x:v>
      </x:c>
      <x:c r="G407" t="str">
        <x:v>NOT_LISTED_OR_NO_PRICE</x:v>
      </x:c>
      <x:c r="H407"/>
      <x:c r="I407" s="54"/>
      <x:c r="J407" s="55"/>
      <x:c r="K407" s="55"/>
      <x:c r="L407" s="55"/>
      <x:c r="M407"/>
      <x:c r="N407"/>
      <x:c r="O407" s="54"/>
      <x:c r="P407"/>
      <x:c r="Q407"/>
      <x:c r="R407"/>
      <x:c r="S407"/>
      <x:c r="T407"/>
      <x:c r="U407" s="57"/>
      <x:c r="V407" s="57"/>
      <x:c r="W407"/>
      <x:c r="X407"/>
      <x:c r="Y407" s="38"/>
      <x:c r="Z407" s="38"/>
      <x:c r="AA407"/>
    </x:row>
    <x:row r="408">
      <x:c r="A408" s="54" t="n">
        <x:v>44104</x:v>
      </x:c>
      <x:c r="B408" t="n">
        <x:v>44104.624999988424</x:v>
      </x:c>
      <x:c r="C408" t="str">
        <x:v>039200</x:v>
      </x:c>
      <x:c r="D408" t="str">
        <x:v>오스코텍</x:v>
      </x:c>
      <x:c r="E408" t="str">
        <x:v>KOSDAQ</x:v>
      </x:c>
      <x:c r="F408" t="str">
        <x:v>LARGE</x:v>
      </x:c>
      <x:c r="G408" t="str">
        <x:v>DCF_SCREENING_EXCLUSION</x:v>
      </x:c>
      <x:c r="H408" t="str">
        <x:v>NON_POSITIVE_ENTERPRISE_VALUE|NON_POSITIVE_TERMINAL_FCF</x:v>
      </x:c>
      <x:c r="I408" s="54" t="n">
        <x:v>44103</x:v>
      </x:c>
      <x:c r="J408" s="55" t="n">
        <x:v>46000</x:v>
      </x:c>
      <x:c r="K408" s="55" t="n">
        <x:v>1343214306000</x:v>
      </x:c>
      <x:c r="L408" s="55" t="n">
        <x:v>29200311</x:v>
      </x:c>
      <x:c r="M408" t="str">
        <x:v>20200330002576</x:v>
      </x:c>
      <x:c r="N408" t="n">
        <x:v>43920.624999988424</x:v>
      </x:c>
      <x:c r="O408" s="54" t="n">
        <x:v>43830</x:v>
      </x:c>
      <x:c r="P408" t="str">
        <x:v>False</x:v>
      </x:c>
      <x:c r="Q408" t="str">
        <x:v>c42e31430f046a3ee830ef9bb901e7a336ad0968a534b3592d2521b6d1120ba4</x:v>
      </x:c>
      <x:c r="R408" t="str">
        <x:v>9a0d7e047df089371e003de8b56d997379b966290e29e4646dc2bbc48fd37603</x:v>
      </x:c>
      <x:c r="S408" t="n">
        <x:v>6</x:v>
      </x:c>
      <x:c r="T408" t="str">
        <x:v>2018-12-31|2019-12-31</x:v>
      </x:c>
      <x:c r="U408" s="57" t="n">
        <x:v>1328.548992188751</x:v>
      </x:c>
      <x:c r="V408" s="57" t="n">
        <x:v>-0.9711185001698097</x:v>
      </x:c>
      <x:c r="W408"/>
      <x:c r="X408"/>
      <x:c r="Y408" s="38" t="n">
        <x:v>0.6409090909090909</x:v>
      </x:c>
      <x:c r="Z408" s="38" t="n">
        <x:v>0.7197094049882916</x:v>
      </x:c>
      <x:c r="AA408" t="str">
        <x:v>NON_POSITIVE_ENTERPRISE_VALUE|NON_POSITIVE_TERMINAL_FCF</x:v>
      </x:c>
    </x:row>
    <x:row r="409">
      <x:c r="A409" s="54" t="n">
        <x:v>44104</x:v>
      </x:c>
      <x:c r="B409" t="n">
        <x:v>44104.624999988424</x:v>
      </x:c>
      <x:c r="C409" t="str">
        <x:v>084370</x:v>
      </x:c>
      <x:c r="D409" t="str">
        <x:v>유진테크</x:v>
      </x:c>
      <x:c r="E409" t="str">
        <x:v>KOSDAQ</x:v>
      </x:c>
      <x:c r="F409" t="str">
        <x:v>LARGE</x:v>
      </x:c>
      <x:c r="G409" t="str">
        <x:v>ELIGIBLE</x:v>
      </x:c>
      <x:c r="H409"/>
      <x:c r="I409" s="54" t="n">
        <x:v>44103</x:v>
      </x:c>
      <x:c r="J409" s="55" t="n">
        <x:v>28100</x:v>
      </x:c>
      <x:c r="K409" s="55" t="n">
        <x:v>643940780200</x:v>
      </x:c>
      <x:c r="L409" s="55" t="n">
        <x:v>22916042</x:v>
      </x:c>
      <x:c r="M409" t="str">
        <x:v>20200327001867</x:v>
      </x:c>
      <x:c r="N409" t="n">
        <x:v>43917.624999988424</x:v>
      </x:c>
      <x:c r="O409" s="54" t="n">
        <x:v>43830</x:v>
      </x:c>
      <x:c r="P409" t="str">
        <x:v>False</x:v>
      </x:c>
      <x:c r="Q409" t="str">
        <x:v>60271e62f85dcbe367c8b6cbbb59648ce1add688fcab42ff804b3aac9dc19bdd</x:v>
      </x:c>
      <x:c r="R409" t="str">
        <x:v>f9959762c8064e09c1b11b196b6a9c92f4ef0a610c26b4d2cf681f3d176d462c</x:v>
      </x:c>
      <x:c r="S409" t="n">
        <x:v>5</x:v>
      </x:c>
      <x:c r="T409" t="str">
        <x:v>2018-12-31|2019-12-31</x:v>
      </x:c>
      <x:c r="U409" s="57" t="n">
        <x:v>8060.634405309973</x:v>
      </x:c>
      <x:c r="V409" s="57" t="n">
        <x:v>-0.7131446830850543</x:v>
      </x:c>
      <x:c r="W409" t="n">
        <x:v>46</x:v>
      </x:c>
      <x:c r="X409" t="n">
        <x:v>4</x:v>
      </x:c>
      <x:c r="Y409" s="38" t="n">
        <x:v>0.6409090909090909</x:v>
      </x:c>
      <x:c r="Z409" s="38" t="n">
        <x:v>0.7079967318019821</x:v>
      </x:c>
      <x:c r="AA409"/>
    </x:row>
    <x:row r="410">
      <x:c r="A410" s="54" t="n">
        <x:v>44104</x:v>
      </x:c>
      <x:c r="B410" t="n">
        <x:v>44104.624999988424</x:v>
      </x:c>
      <x:c r="C410" t="str">
        <x:v>160190</x:v>
      </x:c>
      <x:c r="D410" t="str">
        <x:v>하이젠알앤엠</x:v>
      </x:c>
      <x:c r="E410" t="str">
        <x:v>KOSDAQ</x:v>
      </x:c>
      <x:c r="F410" t="str">
        <x:v>LARGE</x:v>
      </x:c>
      <x:c r="G410" t="str">
        <x:v>NOT_LISTED_OR_NO_PRICE</x:v>
      </x:c>
      <x:c r="H410"/>
      <x:c r="I410" s="54"/>
      <x:c r="J410" s="55"/>
      <x:c r="K410" s="55"/>
      <x:c r="L410" s="55"/>
      <x:c r="M410"/>
      <x:c r="N410"/>
      <x:c r="O410" s="54"/>
      <x:c r="P410"/>
      <x:c r="Q410"/>
      <x:c r="R410"/>
      <x:c r="S410"/>
      <x:c r="T410"/>
      <x:c r="U410" s="57"/>
      <x:c r="V410" s="57"/>
      <x:c r="W410"/>
      <x:c r="X410"/>
      <x:c r="Y410" s="38"/>
      <x:c r="Z410" s="38"/>
      <x:c r="AA410"/>
    </x:row>
    <x:row r="411">
      <x:c r="A411" s="54" t="n">
        <x:v>44104</x:v>
      </x:c>
      <x:c r="B411" t="n">
        <x:v>44104.624999988424</x:v>
      </x:c>
      <x:c r="C411" t="str">
        <x:v>281740</x:v>
      </x:c>
      <x:c r="D411" t="str">
        <x:v>레이크머티리얼즈</x:v>
      </x:c>
      <x:c r="E411" t="str">
        <x:v>KOSDAQ</x:v>
      </x:c>
      <x:c r="F411" t="str">
        <x:v>LARGE</x:v>
      </x:c>
      <x:c r="G411" t="str">
        <x:v>NO_PIT_FINANCIALS</x:v>
      </x:c>
      <x:c r="H411"/>
      <x:c r="I411" s="54" t="n">
        <x:v>44103</x:v>
      </x:c>
      <x:c r="J411" s="55" t="n">
        <x:v>2150</x:v>
      </x:c>
      <x:c r="K411" s="55" t="n">
        <x:v>141320678200</x:v>
      </x:c>
      <x:c r="L411" s="55" t="n">
        <x:v>65730548</x:v>
      </x:c>
      <x:c r="M411"/>
      <x:c r="N411"/>
      <x:c r="O411" s="54"/>
      <x:c r="P411"/>
      <x:c r="Q411"/>
      <x:c r="R411"/>
      <x:c r="S411"/>
      <x:c r="T411"/>
      <x:c r="U411" s="57"/>
      <x:c r="V411" s="57"/>
      <x:c r="W411"/>
      <x:c r="X411"/>
      <x:c r="Y411" s="38"/>
      <x:c r="Z411" s="38"/>
      <x:c r="AA411"/>
    </x:row>
    <x:row r="412">
      <x:c r="A412" s="54" t="n">
        <x:v>44104</x:v>
      </x:c>
      <x:c r="B412" t="n">
        <x:v>44104.624999988424</x:v>
      </x:c>
      <x:c r="C412" t="str">
        <x:v>078130</x:v>
      </x:c>
      <x:c r="D412" t="str">
        <x:v>국일제지</x:v>
      </x:c>
      <x:c r="E412" t="str">
        <x:v>KOSDAQ</x:v>
      </x:c>
      <x:c r="F412" t="str">
        <x:v>LARGE</x:v>
      </x:c>
      <x:c r="G412" t="str">
        <x:v>DCF_SCREENING_EXCLUSION</x:v>
      </x:c>
      <x:c r="H412" t="str">
        <x:v>NON_POSITIVE_ENTERPRISE_VALUE|NON_POSITIVE_EQUITY_VALUE|NON_POSITIVE_TERMINAL_FCF</x:v>
      </x:c>
      <x:c r="I412" s="54" t="n">
        <x:v>44103</x:v>
      </x:c>
      <x:c r="J412" s="55" t="n">
        <x:v>5570</x:v>
      </x:c>
      <x:c r="K412" s="55" t="n">
        <x:v>703760498880</x:v>
      </x:c>
      <x:c r="L412" s="55" t="n">
        <x:v>126348384</x:v>
      </x:c>
      <x:c r="M412" t="str">
        <x:v>20200422000338</x:v>
      </x:c>
      <x:c r="N412" t="n">
        <x:v>43943.624999988424</x:v>
      </x:c>
      <x:c r="O412" s="54" t="n">
        <x:v>43830</x:v>
      </x:c>
      <x:c r="P412" t="str">
        <x:v>True</x:v>
      </x:c>
      <x:c r="Q412" t="str">
        <x:v>12a10de5a3ed854887f9b2dbb4c68843ad7ddd2b14cd6503c43de01a36a063d0</x:v>
      </x:c>
      <x:c r="R412" t="str">
        <x:v>bc59d31861ec13e47c25fb20e4c3fc5709e2453b201893f6d705714dea25b898</x:v>
      </x:c>
      <x:c r="S412" t="n">
        <x:v>7</x:v>
      </x:c>
      <x:c r="T412" t="str">
        <x:v>2018-12-31|2019-12-31</x:v>
      </x:c>
      <x:c r="U412" s="57" t="n">
        <x:v>-995.4081808467447</x:v>
      </x:c>
      <x:c r="V412" s="57" t="n">
        <x:v>-1.1787088295954657</x:v>
      </x:c>
      <x:c r="W412"/>
      <x:c r="X412"/>
      <x:c r="Y412" s="38" t="n">
        <x:v>0.6409090909090909</x:v>
      </x:c>
      <x:c r="Z412" s="38" t="n">
        <x:v>0.6438806626825183</x:v>
      </x:c>
      <x:c r="AA412" t="str">
        <x:v>NON_POSITIVE_ENTERPRISE_VALUE|NON_POSITIVE_EQUITY_VALUE|NON_POSITIVE_TERMINAL_FCF</x:v>
      </x:c>
    </x:row>
    <x:row r="413">
      <x:c r="A413" s="54" t="n">
        <x:v>44104</x:v>
      </x:c>
      <x:c r="B413" t="n">
        <x:v>44104.624999988424</x:v>
      </x:c>
      <x:c r="C413" t="str">
        <x:v>131970</x:v>
      </x:c>
      <x:c r="D413" t="str">
        <x:v>두산테스나</x:v>
      </x:c>
      <x:c r="E413" t="str">
        <x:v>KOSDAQ</x:v>
      </x:c>
      <x:c r="F413" t="str">
        <x:v>LARGE</x:v>
      </x:c>
      <x:c r="G413" t="str">
        <x:v>ELIGIBLE</x:v>
      </x:c>
      <x:c r="H413"/>
      <x:c r="I413" s="54" t="n">
        <x:v>44103</x:v>
      </x:c>
      <x:c r="J413" s="55" t="n">
        <x:v>45500</x:v>
      </x:c>
      <x:c r="K413" s="55" t="n">
        <x:v>337798415500</x:v>
      </x:c>
      <x:c r="L413" s="55" t="n">
        <x:v>7424141</x:v>
      </x:c>
      <x:c r="M413" t="str">
        <x:v>20200330002541</x:v>
      </x:c>
      <x:c r="N413" t="n">
        <x:v>43920.624999988424</x:v>
      </x:c>
      <x:c r="O413" s="54" t="n">
        <x:v>43830</x:v>
      </x:c>
      <x:c r="P413" t="str">
        <x:v>False</x:v>
      </x:c>
      <x:c r="Q413" t="str">
        <x:v>174cf2e7e5d7adbbf4428b7775e8fa66b45def4c0b6fe0ed67bd838c6faf172b</x:v>
      </x:c>
      <x:c r="R413" t="str">
        <x:v>e2e30cd1e50cb21708ef90932a2bca29a931a2a86063558508c6549b50cc660a</x:v>
      </x:c>
      <x:c r="S413" t="n">
        <x:v>5</x:v>
      </x:c>
      <x:c r="T413" t="str">
        <x:v>2018-12-31|2019-12-31</x:v>
      </x:c>
      <x:c r="U413" s="57" t="n">
        <x:v>42226.625968121254</x:v>
      </x:c>
      <x:c r="V413" s="57" t="n">
        <x:v>-0.07194228641491755</x:v>
      </x:c>
      <x:c r="W413" t="n">
        <x:v>20</x:v>
      </x:c>
      <x:c r="X413" t="n">
        <x:v>2</x:v>
      </x:c>
      <x:c r="Y413" s="38" t="n">
        <x:v>0.6409090909090909</x:v>
      </x:c>
      <x:c r="Z413" s="38" t="n">
        <x:v>0.7244345316347346</x:v>
      </x:c>
      <x:c r="AA413"/>
    </x:row>
    <x:row r="414">
      <x:c r="A414" s="54" t="n">
        <x:v>44104</x:v>
      </x:c>
      <x:c r="B414" t="n">
        <x:v>44104.624999988424</x:v>
      </x:c>
      <x:c r="C414" t="str">
        <x:v>025320</x:v>
      </x:c>
      <x:c r="D414" t="str">
        <x:v>시노펙스</x:v>
      </x:c>
      <x:c r="E414" t="str">
        <x:v>KOSDAQ</x:v>
      </x:c>
      <x:c r="F414" t="str">
        <x:v>LARGE</x:v>
      </x:c>
      <x:c r="G414" t="str">
        <x:v>ELIGIBLE</x:v>
      </x:c>
      <x:c r="H414"/>
      <x:c r="I414" s="54" t="n">
        <x:v>44103</x:v>
      </x:c>
      <x:c r="J414" s="55" t="n">
        <x:v>4790</x:v>
      </x:c>
      <x:c r="K414" s="55" t="n">
        <x:v>347567803120</x:v>
      </x:c>
      <x:c r="L414" s="55" t="n">
        <x:v>72561128</x:v>
      </x:c>
      <x:c r="M414" t="str">
        <x:v>20200330003989</x:v>
      </x:c>
      <x:c r="N414" t="n">
        <x:v>43920.624999988424</x:v>
      </x:c>
      <x:c r="O414" s="54" t="n">
        <x:v>43830</x:v>
      </x:c>
      <x:c r="P414" t="str">
        <x:v>False</x:v>
      </x:c>
      <x:c r="Q414" t="str">
        <x:v>7044785e3dd70cf8b3a62f236b6730909895713eba05a28c133a62e4c268bd32</x:v>
      </x:c>
      <x:c r="R414" t="str">
        <x:v>6c312ef2a9cfccb74e99dc0f4301a82209e9a6af70ed4e4b8f7afdaca9de1926</x:v>
      </x:c>
      <x:c r="S414" t="n">
        <x:v>6</x:v>
      </x:c>
      <x:c r="T414" t="str">
        <x:v>2018-12-31|2019-12-31</x:v>
      </x:c>
      <x:c r="U414" s="57" t="n">
        <x:v>811.6332939435208</x:v>
      </x:c>
      <x:c r="V414" s="57" t="n">
        <x:v>-0.8305567236026052</x:v>
      </x:c>
      <x:c r="W414" t="n">
        <x:v>55</x:v>
      </x:c>
      <x:c r="X414" t="n">
        <x:v>5</x:v>
      </x:c>
      <x:c r="Y414" s="38" t="n">
        <x:v>0.6409090909090909</x:v>
      </x:c>
      <x:c r="Z414" s="38" t="n">
        <x:v>0.5558118889209015</x:v>
      </x:c>
      <x:c r="AA414"/>
    </x:row>
    <x:row r="415">
      <x:c r="A415" s="54" t="n">
        <x:v>44104</x:v>
      </x:c>
      <x:c r="B415" t="n">
        <x:v>44104.624999988424</x:v>
      </x:c>
      <x:c r="C415" t="str">
        <x:v>347700</x:v>
      </x:c>
      <x:c r="D415" t="str">
        <x:v>스피어</x:v>
      </x:c>
      <x:c r="E415" t="str">
        <x:v>KOSDAQ</x:v>
      </x:c>
      <x:c r="F415" t="str">
        <x:v>LARGE</x:v>
      </x:c>
      <x:c r="G415" t="str">
        <x:v>NOT_LISTED_OR_NO_PRICE</x:v>
      </x:c>
      <x:c r="H415"/>
      <x:c r="I415" s="54"/>
      <x:c r="J415" s="55"/>
      <x:c r="K415" s="55"/>
      <x:c r="L415" s="55"/>
      <x:c r="M415"/>
      <x:c r="N415"/>
      <x:c r="O415" s="54"/>
      <x:c r="P415"/>
      <x:c r="Q415"/>
      <x:c r="R415"/>
      <x:c r="S415"/>
      <x:c r="T415"/>
      <x:c r="U415" s="57"/>
      <x:c r="V415" s="57"/>
      <x:c r="W415"/>
      <x:c r="X415"/>
      <x:c r="Y415" s="38"/>
      <x:c r="Z415" s="38"/>
      <x:c r="AA415"/>
    </x:row>
    <x:row r="416">
      <x:c r="A416" s="54" t="n">
        <x:v>44104</x:v>
      </x:c>
      <x:c r="B416" t="n">
        <x:v>44104.624999988424</x:v>
      </x:c>
      <x:c r="C416" t="str">
        <x:v>119850</x:v>
      </x:c>
      <x:c r="D416" t="str">
        <x:v>지엔씨에너지</x:v>
      </x:c>
      <x:c r="E416" t="str">
        <x:v>KOSDAQ</x:v>
      </x:c>
      <x:c r="F416" t="str">
        <x:v>LARGE</x:v>
      </x:c>
      <x:c r="G416" t="str">
        <x:v>ELIGIBLE</x:v>
      </x:c>
      <x:c r="H416"/>
      <x:c r="I416" s="54" t="n">
        <x:v>44103</x:v>
      </x:c>
      <x:c r="J416" s="55" t="n">
        <x:v>6190</x:v>
      </x:c>
      <x:c r="K416" s="55" t="n">
        <x:v>100871175320</x:v>
      </x:c>
      <x:c r="L416" s="55" t="n">
        <x:v>16295828</x:v>
      </x:c>
      <x:c r="M416" t="str">
        <x:v>20200330004281</x:v>
      </x:c>
      <x:c r="N416" t="n">
        <x:v>43920.624999988424</x:v>
      </x:c>
      <x:c r="O416" s="54" t="n">
        <x:v>43830</x:v>
      </x:c>
      <x:c r="P416" t="str">
        <x:v>False</x:v>
      </x:c>
      <x:c r="Q416" t="str">
        <x:v>8417e1ec351af38e02d4ffc9a37182dbc856d60e1cc58d214eb2411457a1ef6d</x:v>
      </x:c>
      <x:c r="R416" t="str">
        <x:v>6dd037efc870cf454f6bb48c6c442ad5bf291fd2c246553032e00a1a931d49b6</x:v>
      </x:c>
      <x:c r="S416" t="n">
        <x:v>6</x:v>
      </x:c>
      <x:c r="T416" t="str">
        <x:v>2018-12-31|2019-12-31</x:v>
      </x:c>
      <x:c r="U416" s="57" t="n">
        <x:v>4736.631875343494</x:v>
      </x:c>
      <x:c r="V416" s="57" t="n">
        <x:v>-0.23479291189927398</x:v>
      </x:c>
      <x:c r="W416" t="n">
        <x:v>25</x:v>
      </x:c>
      <x:c r="X416" t="n">
        <x:v>2</x:v>
      </x:c>
      <x:c r="Y416" s="38" t="n">
        <x:v>0.6409090909090909</x:v>
      </x:c>
      <x:c r="Z416" s="38" t="n">
        <x:v>0.7118530583614918</x:v>
      </x:c>
      <x:c r="AA416"/>
    </x:row>
    <x:row r="417">
      <x:c r="A417" s="54" t="n">
        <x:v>44104</x:v>
      </x:c>
      <x:c r="B417" t="n">
        <x:v>44104.624999988424</x:v>
      </x:c>
      <x:c r="C417" t="str">
        <x:v>084110</x:v>
      </x:c>
      <x:c r="D417" t="str">
        <x:v>휴온스글로벌</x:v>
      </x:c>
      <x:c r="E417" t="str">
        <x:v>KOSDAQ</x:v>
      </x:c>
      <x:c r="F417" t="str">
        <x:v>LARGE</x:v>
      </x:c>
      <x:c r="G417" t="str">
        <x:v>ELIGIBLE</x:v>
      </x:c>
      <x:c r="H417"/>
      <x:c r="I417" s="54" t="n">
        <x:v>44103</x:v>
      </x:c>
      <x:c r="J417" s="55" t="n">
        <x:v>30500</x:v>
      </x:c>
      <x:c r="K417" s="55" t="n">
        <x:v>349655873500</x:v>
      </x:c>
      <x:c r="L417" s="55" t="n">
        <x:v>11464127</x:v>
      </x:c>
      <x:c r="M417" t="str">
        <x:v>20200327001990</x:v>
      </x:c>
      <x:c r="N417" t="n">
        <x:v>43917.624999988424</x:v>
      </x:c>
      <x:c r="O417" s="54" t="n">
        <x:v>43830</x:v>
      </x:c>
      <x:c r="P417" t="str">
        <x:v>False</x:v>
      </x:c>
      <x:c r="Q417" t="str">
        <x:v>eb455f03802e72563fd6bd72ff9aa02990d04cdf6e4810f60b8090e9f8189f9a</x:v>
      </x:c>
      <x:c r="R417" t="str">
        <x:v>abb4dd4e19dbd229608f198849951e5cfa13879c5c6e18eac3a47f8c32c0572a</x:v>
      </x:c>
      <x:c r="S417" t="n">
        <x:v>6</x:v>
      </x:c>
      <x:c r="T417" t="str">
        <x:v>2018-12-31|2019-12-31</x:v>
      </x:c>
      <x:c r="U417" s="57" t="n">
        <x:v>66207.27415149733</x:v>
      </x:c>
      <x:c r="V417" s="57" t="n">
        <x:v>1.1707303000490927</x:v>
      </x:c>
      <x:c r="W417" t="n">
        <x:v>7</x:v>
      </x:c>
      <x:c r="X417" t="n">
        <x:v>1</x:v>
      </x:c>
      <x:c r="Y417" s="38" t="n">
        <x:v>0.6409090909090909</x:v>
      </x:c>
      <x:c r="Z417" s="38" t="n">
        <x:v>0.7384070510009209</x:v>
      </x:c>
      <x:c r="AA417"/>
    </x:row>
    <x:row r="418">
      <x:c r="A418" s="54" t="n">
        <x:v>44104</x:v>
      </x:c>
      <x:c r="B418" t="n">
        <x:v>44104.624999988424</x:v>
      </x:c>
      <x:c r="C418" t="str">
        <x:v>206650</x:v>
      </x:c>
      <x:c r="D418" t="str">
        <x:v>유바이오로직스</x:v>
      </x:c>
      <x:c r="E418" t="str">
        <x:v>KOSDAQ</x:v>
      </x:c>
      <x:c r="F418" t="str">
        <x:v>LARGE</x:v>
      </x:c>
      <x:c r="G418" t="str">
        <x:v>ELIGIBLE</x:v>
      </x:c>
      <x:c r="H418"/>
      <x:c r="I418" s="54" t="n">
        <x:v>44103</x:v>
      </x:c>
      <x:c r="J418" s="55" t="n">
        <x:v>20750</x:v>
      </x:c>
      <x:c r="K418" s="55" t="n">
        <x:v>600494811750</x:v>
      </x:c>
      <x:c r="L418" s="55" t="n">
        <x:v>28939509</x:v>
      </x:c>
      <x:c r="M418" t="str">
        <x:v>20200330002886</x:v>
      </x:c>
      <x:c r="N418" t="n">
        <x:v>43920.624999988424</x:v>
      </x:c>
      <x:c r="O418" s="54" t="n">
        <x:v>43830</x:v>
      </x:c>
      <x:c r="P418" t="str">
        <x:v>False</x:v>
      </x:c>
      <x:c r="Q418" t="str">
        <x:v>0d309bad4df48d241000e297f8d41a01d053fd2539cc7496c1d64fa8b17d7d30</x:v>
      </x:c>
      <x:c r="R418" t="str">
        <x:v>28944ca25ba3963fc9d6cbaad58509d5975bd5a33c6c9c5a52ae922b1fc2e0ba</x:v>
      </x:c>
      <x:c r="S418" t="n">
        <x:v>4</x:v>
      </x:c>
      <x:c r="T418" t="str">
        <x:v>2018-12-31|2019-12-31</x:v>
      </x:c>
      <x:c r="U418" s="57" t="n">
        <x:v>3944.1235490727204</x:v>
      </x:c>
      <x:c r="V418" s="57" t="n">
        <x:v>-0.8099217566711941</x:v>
      </x:c>
      <x:c r="W418" t="n">
        <x:v>54</x:v>
      </x:c>
      <x:c r="X418" t="n">
        <x:v>5</x:v>
      </x:c>
      <x:c r="Y418" s="38" t="n">
        <x:v>0.6409090909090909</x:v>
      </x:c>
      <x:c r="Z418" s="38" t="n">
        <x:v>0.7114085801253023</x:v>
      </x:c>
      <x:c r="AA418"/>
    </x:row>
    <x:row r="419">
      <x:c r="A419" s="54" t="n">
        <x:v>44104</x:v>
      </x:c>
      <x:c r="B419" t="n">
        <x:v>44104.624999988424</x:v>
      </x:c>
      <x:c r="C419" t="str">
        <x:v>365340</x:v>
      </x:c>
      <x:c r="D419" t="str">
        <x:v>성일하이텍</x:v>
      </x:c>
      <x:c r="E419" t="str">
        <x:v>KOSDAQ</x:v>
      </x:c>
      <x:c r="F419" t="str">
        <x:v>LARGE</x:v>
      </x:c>
      <x:c r="G419" t="str">
        <x:v>NOT_LISTED_OR_NO_PRICE</x:v>
      </x:c>
      <x:c r="H419"/>
      <x:c r="I419" s="54"/>
      <x:c r="J419" s="55"/>
      <x:c r="K419" s="55"/>
      <x:c r="L419" s="55"/>
      <x:c r="M419"/>
      <x:c r="N419"/>
      <x:c r="O419" s="54"/>
      <x:c r="P419"/>
      <x:c r="Q419"/>
      <x:c r="R419"/>
      <x:c r="S419"/>
      <x:c r="T419"/>
      <x:c r="U419" s="57"/>
      <x:c r="V419" s="57"/>
      <x:c r="W419"/>
      <x:c r="X419"/>
      <x:c r="Y419" s="38"/>
      <x:c r="Z419" s="38"/>
      <x:c r="AA419"/>
    </x:row>
    <x:row r="420">
      <x:c r="A420" s="54" t="n">
        <x:v>44104</x:v>
      </x:c>
      <x:c r="B420" t="n">
        <x:v>44104.624999988424</x:v>
      </x:c>
      <x:c r="C420" t="str">
        <x:v>030530</x:v>
      </x:c>
      <x:c r="D420" t="str">
        <x:v>원익홀딩스</x:v>
      </x:c>
      <x:c r="E420" t="str">
        <x:v>KOSDAQ</x:v>
      </x:c>
      <x:c r="F420" t="str">
        <x:v>LARGE</x:v>
      </x:c>
      <x:c r="G420" t="str">
        <x:v>EXCLUDED_ARCHETYPE</x:v>
      </x:c>
      <x:c r="H420" t="str">
        <x:v>FCFF_NOT_COMPARABLE_FOR_FINANCE_OR_HOLDING_HINT</x:v>
      </x:c>
      <x:c r="I420" s="54"/>
      <x:c r="J420" s="55"/>
      <x:c r="K420" s="55"/>
      <x:c r="L420" s="55"/>
      <x:c r="M420"/>
      <x:c r="N420"/>
      <x:c r="O420" s="54"/>
      <x:c r="P420"/>
      <x:c r="Q420"/>
      <x:c r="R420"/>
      <x:c r="S420"/>
      <x:c r="T420"/>
      <x:c r="U420" s="57"/>
      <x:c r="V420" s="57"/>
      <x:c r="W420"/>
      <x:c r="X420"/>
      <x:c r="Y420" s="38"/>
      <x:c r="Z420" s="38"/>
      <x:c r="AA420"/>
    </x:row>
    <x:row r="421">
      <x:c r="A421" s="54" t="n">
        <x:v>44104</x:v>
      </x:c>
      <x:c r="B421" t="n">
        <x:v>44104.624999988424</x:v>
      </x:c>
      <x:c r="C421" t="str">
        <x:v>220100</x:v>
      </x:c>
      <x:c r="D421" t="str">
        <x:v>퓨쳐켐</x:v>
      </x:c>
      <x:c r="E421" t="str">
        <x:v>KOSDAQ</x:v>
      </x:c>
      <x:c r="F421" t="str">
        <x:v>LARGE</x:v>
      </x:c>
      <x:c r="G421" t="str">
        <x:v>DCF_SCREENING_EXCLUSION</x:v>
      </x:c>
      <x:c r="H421" t="str">
        <x:v>NON_POSITIVE_ENTERPRISE_VALUE|NON_POSITIVE_EQUITY_VALUE|NON_POSITIVE_TERMINAL_FCF</x:v>
      </x:c>
      <x:c r="I421" s="54" t="n">
        <x:v>44103</x:v>
      </x:c>
      <x:c r="J421" s="55" t="n">
        <x:v>11600</x:v>
      </x:c>
      <x:c r="K421" s="55" t="n">
        <x:v>133808586800</x:v>
      </x:c>
      <x:c r="L421" s="55" t="n">
        <x:v>11535223</x:v>
      </x:c>
      <x:c r="M421" t="str">
        <x:v>20200327000690</x:v>
      </x:c>
      <x:c r="N421" t="n">
        <x:v>43917.624999988424</x:v>
      </x:c>
      <x:c r="O421" s="54" t="n">
        <x:v>43830</x:v>
      </x:c>
      <x:c r="P421" t="str">
        <x:v>False</x:v>
      </x:c>
      <x:c r="Q421" t="str">
        <x:v>0c01a2b382ccf00213b24c087725fa01e806aa79f2a882e36e2a41329d3a623b</x:v>
      </x:c>
      <x:c r="R421" t="str">
        <x:v>f1c222dd3adc9c5bc785922e000fdf4b13b0cfd5d0de74051650956b468f2abb</x:v>
      </x:c>
      <x:c r="S421" t="n">
        <x:v>5</x:v>
      </x:c>
      <x:c r="T421" t="str">
        <x:v>2018-12-31|2019-12-31</x:v>
      </x:c>
      <x:c r="U421" s="57" t="n">
        <x:v>-1801.4710665382968</x:v>
      </x:c>
      <x:c r="V421" s="57" t="n">
        <x:v>-1.155299229873991</x:v>
      </x:c>
      <x:c r="W421"/>
      <x:c r="X421"/>
      <x:c r="Y421" s="38" t="n">
        <x:v>0.6409090909090909</x:v>
      </x:c>
      <x:c r="Z421" s="38" t="n">
        <x:v>0.7149594422554854</x:v>
      </x:c>
      <x:c r="AA421" t="str">
        <x:v>NON_POSITIVE_ENTERPRISE_VALUE|NON_POSITIVE_EQUITY_VALUE|NON_POSITIVE_TERMINAL_FCF</x:v>
      </x:c>
    </x:row>
    <x:row r="422">
      <x:c r="A422" s="54" t="n">
        <x:v>44104</x:v>
      </x:c>
      <x:c r="B422" t="n">
        <x:v>44104.624999988424</x:v>
      </x:c>
      <x:c r="C422" t="str">
        <x:v>416180</x:v>
      </x:c>
      <x:c r="D422" t="str">
        <x:v>신성에스티</x:v>
      </x:c>
      <x:c r="E422" t="str">
        <x:v>KOSDAQ</x:v>
      </x:c>
      <x:c r="F422" t="str">
        <x:v>LARGE</x:v>
      </x:c>
      <x:c r="G422" t="str">
        <x:v>NOT_LISTED_OR_NO_PRICE</x:v>
      </x:c>
      <x:c r="H422"/>
      <x:c r="I422" s="54"/>
      <x:c r="J422" s="55"/>
      <x:c r="K422" s="55"/>
      <x:c r="L422" s="55"/>
      <x:c r="M422"/>
      <x:c r="N422"/>
      <x:c r="O422" s="54"/>
      <x:c r="P422"/>
      <x:c r="Q422"/>
      <x:c r="R422"/>
      <x:c r="S422"/>
      <x:c r="T422"/>
      <x:c r="U422" s="57"/>
      <x:c r="V422" s="57"/>
      <x:c r="W422"/>
      <x:c r="X422"/>
      <x:c r="Y422" s="38"/>
      <x:c r="Z422" s="38"/>
      <x:c r="AA422"/>
    </x:row>
    <x:row r="423">
      <x:c r="A423" s="54" t="n">
        <x:v>44104</x:v>
      </x:c>
      <x:c r="B423" t="n">
        <x:v>44104.624999988424</x:v>
      </x:c>
      <x:c r="C423" t="str">
        <x:v>082800</x:v>
      </x:c>
      <x:c r="D423" t="str">
        <x:v>비보존제약</x:v>
      </x:c>
      <x:c r="E423" t="str">
        <x:v>KOSDAQ</x:v>
      </x:c>
      <x:c r="F423" t="str">
        <x:v>LARGE</x:v>
      </x:c>
      <x:c r="G423" t="str">
        <x:v>DCF_SCREENING_EXCLUSION</x:v>
      </x:c>
      <x:c r="H423" t="str">
        <x:v>NON_POSITIVE_ENTERPRISE_VALUE|NON_POSITIVE_EQUITY_VALUE|NON_POSITIVE_TERMINAL_FCF</x:v>
      </x:c>
      <x:c r="I423" s="54" t="n">
        <x:v>44103</x:v>
      </x:c>
      <x:c r="J423" s="55" t="n">
        <x:v>2310</x:v>
      </x:c>
      <x:c r="K423" s="55" t="n">
        <x:v>307855039800</x:v>
      </x:c>
      <x:c r="L423" s="55" t="n">
        <x:v>133270580</x:v>
      </x:c>
      <x:c r="M423" t="str">
        <x:v>20200330004808</x:v>
      </x:c>
      <x:c r="N423" t="n">
        <x:v>43920.624999988424</x:v>
      </x:c>
      <x:c r="O423" s="54" t="n">
        <x:v>43830</x:v>
      </x:c>
      <x:c r="P423" t="str">
        <x:v>False</x:v>
      </x:c>
      <x:c r="Q423" t="str">
        <x:v>b5f127826cb00a752f2986ef2591ece8a42d2339f0886b6f6a9d54572352614e</x:v>
      </x:c>
      <x:c r="R423" t="str">
        <x:v>976e7c56bb6d88056b274481293b921144108c1b0e0d23d032953246eec65fc9</x:v>
      </x:c>
      <x:c r="S423" t="n">
        <x:v>5</x:v>
      </x:c>
      <x:c r="T423" t="str">
        <x:v>2018-12-31|2019-12-31</x:v>
      </x:c>
      <x:c r="U423" s="57" t="n">
        <x:v>-373.4984156484924</x:v>
      </x:c>
      <x:c r="V423" s="57" t="n">
        <x:v>-1.1616876258218582</x:v>
      </x:c>
      <x:c r="W423"/>
      <x:c r="X423"/>
      <x:c r="Y423" s="38" t="n">
        <x:v>0.6409090909090909</x:v>
      </x:c>
      <x:c r="Z423" s="38" t="n">
        <x:v>0.7861719092432783</x:v>
      </x:c>
      <x:c r="AA423" t="str">
        <x:v>NON_POSITIVE_ENTERPRISE_VALUE|NON_POSITIVE_EQUITY_VALUE|NON_POSITIVE_TERMINAL_FCF</x:v>
      </x:c>
    </x:row>
    <x:row r="424">
      <x:c r="A424" s="54" t="n">
        <x:v>44104</x:v>
      </x:c>
      <x:c r="B424" t="n">
        <x:v>44104.624999988424</x:v>
      </x:c>
      <x:c r="C424" t="str">
        <x:v>204620</x:v>
      </x:c>
      <x:c r="D424" t="str">
        <x:v>글로벌텍스프리</x:v>
      </x:c>
      <x:c r="E424" t="str">
        <x:v>KOSDAQ</x:v>
      </x:c>
      <x:c r="F424" t="str">
        <x:v>LARGE</x:v>
      </x:c>
      <x:c r="G424" t="str">
        <x:v>ELIGIBLE</x:v>
      </x:c>
      <x:c r="H424"/>
      <x:c r="I424" s="54" t="n">
        <x:v>44103</x:v>
      </x:c>
      <x:c r="J424" s="55" t="n">
        <x:v>2600</x:v>
      </x:c>
      <x:c r="K424" s="55" t="n">
        <x:v>100867881400</x:v>
      </x:c>
      <x:c r="L424" s="55" t="n">
        <x:v>38795339</x:v>
      </x:c>
      <x:c r="M424" t="str">
        <x:v>20200330001582</x:v>
      </x:c>
      <x:c r="N424" t="n">
        <x:v>43920.624999988424</x:v>
      </x:c>
      <x:c r="O424" s="54" t="n">
        <x:v>43830</x:v>
      </x:c>
      <x:c r="P424" t="str">
        <x:v>False</x:v>
      </x:c>
      <x:c r="Q424" t="str">
        <x:v>c3e3032eb52f1f75571ce48df740b3c28136cf7ecc540e0f08878ab35f680172</x:v>
      </x:c>
      <x:c r="R424" t="str">
        <x:v>a08b6628c319e5f148c97c1d70353771cefb45473c0b6aebeb3c566f9e403af8</x:v>
      </x:c>
      <x:c r="S424" t="n">
        <x:v>7</x:v>
      </x:c>
      <x:c r="T424" t="str">
        <x:v>2018-12-31|2019-12-31</x:v>
      </x:c>
      <x:c r="U424" s="57" t="n">
        <x:v>3486.825674188218</x:v>
      </x:c>
      <x:c r="V424" s="57" t="n">
        <x:v>0.34108679776469913</x:v>
      </x:c>
      <x:c r="W424" t="n">
        <x:v>12</x:v>
      </x:c>
      <x:c r="X424" t="n">
        <x:v>1</x:v>
      </x:c>
      <x:c r="Y424" s="38" t="n">
        <x:v>0.6409090909090909</x:v>
      </x:c>
      <x:c r="Z424" s="38" t="n">
        <x:v>0.7182330048545312</x:v>
      </x:c>
      <x:c r="AA424"/>
    </x:row>
    <x:row r="425">
      <x:c r="A425" s="54" t="n">
        <x:v>44104</x:v>
      </x:c>
      <x:c r="B425" t="n">
        <x:v>44104.624999988424</x:v>
      </x:c>
      <x:c r="C425" t="str">
        <x:v>445090</x:v>
      </x:c>
      <x:c r="D425" t="str">
        <x:v>에이직랜드</x:v>
      </x:c>
      <x:c r="E425" t="str">
        <x:v>KOSDAQ</x:v>
      </x:c>
      <x:c r="F425" t="str">
        <x:v>LARGE</x:v>
      </x:c>
      <x:c r="G425" t="str">
        <x:v>NOT_LISTED_OR_NO_PRICE</x:v>
      </x:c>
      <x:c r="H425"/>
      <x:c r="I425" s="54"/>
      <x:c r="J425" s="55"/>
      <x:c r="K425" s="55"/>
      <x:c r="L425" s="55"/>
      <x:c r="M425"/>
      <x:c r="N425"/>
      <x:c r="O425" s="54"/>
      <x:c r="P425"/>
      <x:c r="Q425"/>
      <x:c r="R425"/>
      <x:c r="S425"/>
      <x:c r="T425"/>
      <x:c r="U425" s="57"/>
      <x:c r="V425" s="57"/>
      <x:c r="W425"/>
      <x:c r="X425"/>
      <x:c r="Y425" s="38"/>
      <x:c r="Z425" s="38"/>
      <x:c r="AA425"/>
    </x:row>
    <x:row r="426">
      <x:c r="A426" s="54" t="n">
        <x:v>44104</x:v>
      </x:c>
      <x:c r="B426" t="n">
        <x:v>44104.624999988424</x:v>
      </x:c>
      <x:c r="C426" t="str">
        <x:v>115450</x:v>
      </x:c>
      <x:c r="D426" t="str">
        <x:v>HLB테라퓨틱스</x:v>
      </x:c>
      <x:c r="E426" t="str">
        <x:v>KOSDAQ</x:v>
      </x:c>
      <x:c r="F426" t="str">
        <x:v>LARGE</x:v>
      </x:c>
      <x:c r="G426" t="str">
        <x:v>DCF_SCREENING_EXCLUSION</x:v>
      </x:c>
      <x:c r="H426" t="str">
        <x:v>NON_POSITIVE_ENTERPRISE_VALUE|NON_POSITIVE_EQUITY_VALUE|NON_POSITIVE_TERMINAL_FCF</x:v>
      </x:c>
      <x:c r="I426" s="54" t="n">
        <x:v>44103</x:v>
      </x:c>
      <x:c r="J426" s="55" t="n">
        <x:v>26700</x:v>
      </x:c>
      <x:c r="K426" s="55" t="n">
        <x:v>695708283000</x:v>
      </x:c>
      <x:c r="L426" s="55" t="n">
        <x:v>26056490</x:v>
      </x:c>
      <x:c r="M426" t="str">
        <x:v>20200327001512</x:v>
      </x:c>
      <x:c r="N426" t="n">
        <x:v>43917.624999988424</x:v>
      </x:c>
      <x:c r="O426" s="54" t="n">
        <x:v>43830</x:v>
      </x:c>
      <x:c r="P426" t="str">
        <x:v>False</x:v>
      </x:c>
      <x:c r="Q426" t="str">
        <x:v>c0c9b99c7c03017b2e0ccd1e13f7b9621e992265d92891993d3dbf47dab0bdc0</x:v>
      </x:c>
      <x:c r="R426" t="str">
        <x:v>e1098632bfc10fff006e977449a9a13edc8c315c03bd6387c45ce9a8cfff7cc1</x:v>
      </x:c>
      <x:c r="S426" t="n">
        <x:v>6</x:v>
      </x:c>
      <x:c r="T426" t="str">
        <x:v>2018-12-31|2019-12-31</x:v>
      </x:c>
      <x:c r="U426" s="57" t="n">
        <x:v>-5093.326742526099</x:v>
      </x:c>
      <x:c r="V426" s="57" t="n">
        <x:v>-1.190761301218206</x:v>
      </x:c>
      <x:c r="W426"/>
      <x:c r="X426"/>
      <x:c r="Y426" s="38" t="n">
        <x:v>0.6409090909090909</x:v>
      </x:c>
      <x:c r="Z426" s="38" t="n">
        <x:v>0.6871569100901241</x:v>
      </x:c>
      <x:c r="AA426" t="str">
        <x:v>NON_POSITIVE_ENTERPRISE_VALUE|NON_POSITIVE_EQUITY_VALUE|NON_POSITIVE_TERMINAL_FCF</x:v>
      </x:c>
    </x:row>
    <x:row r="427">
      <x:c r="A427" s="54" t="n">
        <x:v>44104</x:v>
      </x:c>
      <x:c r="B427" t="n">
        <x:v>44104.624999988424</x:v>
      </x:c>
      <x:c r="C427" t="str">
        <x:v>035420</x:v>
      </x:c>
      <x:c r="D427" t="str">
        <x:v>NAVER</x:v>
      </x:c>
      <x:c r="E427" t="str">
        <x:v>KOSPI</x:v>
      </x:c>
      <x:c r="F427" t="str">
        <x:v>LARGE</x:v>
      </x:c>
      <x:c r="G427" t="str">
        <x:v>ELIGIBLE</x:v>
      </x:c>
      <x:c r="H427"/>
      <x:c r="I427" s="54" t="n">
        <x:v>44103</x:v>
      </x:c>
      <x:c r="J427" s="55" t="n">
        <x:v>296500</x:v>
      </x:c>
      <x:c r="K427" s="55" t="n">
        <x:v>48704096617500</x:v>
      </x:c>
      <x:c r="L427" s="55" t="n">
        <x:v>164263395</x:v>
      </x:c>
      <x:c r="M427" t="str">
        <x:v>20200330004603</x:v>
      </x:c>
      <x:c r="N427" t="n">
        <x:v>43920.624999988424</x:v>
      </x:c>
      <x:c r="O427" s="54" t="n">
        <x:v>43830</x:v>
      </x:c>
      <x:c r="P427" t="str">
        <x:v>False</x:v>
      </x:c>
      <x:c r="Q427" t="str">
        <x:v>7e12af29ea19a63f4ab4f811d45f6f6fd68cae289df20b942eb1245479e37a23</x:v>
      </x:c>
      <x:c r="R427" t="str">
        <x:v>aa863b7b51010cfbe2d4f4e5810c7cae4e483f1bbafb6edf3c4e5feebc68a7f2</x:v>
      </x:c>
      <x:c r="S427" t="n">
        <x:v>6</x:v>
      </x:c>
      <x:c r="T427" t="str">
        <x:v>2018-12-31|2019-12-31</x:v>
      </x:c>
      <x:c r="U427" s="57" t="n">
        <x:v>68752.18393116405</x:v>
      </x:c>
      <x:c r="V427" s="57" t="n">
        <x:v>-0.7681207961849442</x:v>
      </x:c>
      <x:c r="W427" t="n">
        <x:v>51</x:v>
      </x:c>
      <x:c r="X427" t="n">
        <x:v>4</x:v>
      </x:c>
      <x:c r="Y427" s="38" t="n">
        <x:v>0.6409090909090909</x:v>
      </x:c>
      <x:c r="Z427" s="38" t="n">
        <x:v>0.7489570591610162</x:v>
      </x:c>
      <x:c r="AA427"/>
    </x:row>
    <x:row r="428">
      <x:c r="A428" s="54" t="n">
        <x:v>44104</x:v>
      </x:c>
      <x:c r="B428" t="n">
        <x:v>44104.624999988424</x:v>
      </x:c>
      <x:c r="C428" t="str">
        <x:v>030200</x:v>
      </x:c>
      <x:c r="D428" t="str">
        <x:v>KT</x:v>
      </x:c>
      <x:c r="E428" t="str">
        <x:v>KOSPI</x:v>
      </x:c>
      <x:c r="F428" t="str">
        <x:v>LARGE</x:v>
      </x:c>
      <x:c r="G428" t="str">
        <x:v>ELIGIBLE</x:v>
      </x:c>
      <x:c r="H428"/>
      <x:c r="I428" s="54" t="n">
        <x:v>44103</x:v>
      </x:c>
      <x:c r="J428" s="55" t="n">
        <x:v>22950</x:v>
      </x:c>
      <x:c r="K428" s="55" t="n">
        <x:v>5992515993600</x:v>
      </x:c>
      <x:c r="L428" s="55" t="n">
        <x:v>261111808</x:v>
      </x:c>
      <x:c r="M428" t="str">
        <x:v>20200330004658</x:v>
      </x:c>
      <x:c r="N428" t="n">
        <x:v>43920.624999988424</x:v>
      </x:c>
      <x:c r="O428" s="54" t="n">
        <x:v>43830</x:v>
      </x:c>
      <x:c r="P428" t="str">
        <x:v>False</x:v>
      </x:c>
      <x:c r="Q428" t="str">
        <x:v>411a42a1090839d40d451defa74d8c561057f03ccf876c255129e032d9ad1f77</x:v>
      </x:c>
      <x:c r="R428" t="str">
        <x:v>f6e6a8d2313c55b57e8d8f83fd27a802541d6721ca23f2530804690fbdd5f9cf</x:v>
      </x:c>
      <x:c r="S428" t="n">
        <x:v>6</x:v>
      </x:c>
      <x:c r="T428" t="str">
        <x:v>2018-12-31|2019-12-31</x:v>
      </x:c>
      <x:c r="U428" s="57" t="n">
        <x:v>44351.92750450468</x:v>
      </x:c>
      <x:c r="V428" s="57" t="n">
        <x:v>0.9325458607627314</x:v>
      </x:c>
      <x:c r="W428" t="n">
        <x:v>8</x:v>
      </x:c>
      <x:c r="X428" t="n">
        <x:v>1</x:v>
      </x:c>
      <x:c r="Y428" s="38" t="n">
        <x:v>0.6409090909090909</x:v>
      </x:c>
      <x:c r="Z428" s="38" t="n">
        <x:v>0.7124511639379508</x:v>
      </x:c>
      <x:c r="AA428"/>
    </x:row>
    <x:row r="429">
      <x:c r="A429" s="54" t="n">
        <x:v>44104</x:v>
      </x:c>
      <x:c r="B429" t="n">
        <x:v>44104.624999988424</x:v>
      </x:c>
      <x:c r="C429" t="str">
        <x:v>018260</x:v>
      </x:c>
      <x:c r="D429" t="str">
        <x:v>삼성에스디에스</x:v>
      </x:c>
      <x:c r="E429" t="str">
        <x:v>KOSPI</x:v>
      </x:c>
      <x:c r="F429" t="str">
        <x:v>LARGE</x:v>
      </x:c>
      <x:c r="G429" t="str">
        <x:v>ELIGIBLE</x:v>
      </x:c>
      <x:c r="H429"/>
      <x:c r="I429" s="54" t="n">
        <x:v>44103</x:v>
      </x:c>
      <x:c r="J429" s="55" t="n">
        <x:v>169500</x:v>
      </x:c>
      <x:c r="K429" s="55" t="n">
        <x:v>13115537100000</x:v>
      </x:c>
      <x:c r="L429" s="55" t="n">
        <x:v>77377800</x:v>
      </x:c>
      <x:c r="M429" t="str">
        <x:v>20200330004186</x:v>
      </x:c>
      <x:c r="N429" t="n">
        <x:v>43920.624999988424</x:v>
      </x:c>
      <x:c r="O429" s="54" t="n">
        <x:v>43830</x:v>
      </x:c>
      <x:c r="P429" t="str">
        <x:v>False</x:v>
      </x:c>
      <x:c r="Q429" t="str">
        <x:v>cd32295c56019ec510face1ff2a3719f4b2c2a2520185f3633d5c26c11ae04d0</x:v>
      </x:c>
      <x:c r="R429" t="str">
        <x:v>7e0894f632d59624dd50e8b6a583a5760a0e54f3392107b2865def257d6904cd</x:v>
      </x:c>
      <x:c r="S429" t="n">
        <x:v>6</x:v>
      </x:c>
      <x:c r="T429" t="str">
        <x:v>2018-12-31|2019-12-31</x:v>
      </x:c>
      <x:c r="U429" s="57" t="n">
        <x:v>133355.7495652602</x:v>
      </x:c>
      <x:c r="V429" s="57" t="n">
        <x:v>-0.2132404155441876</x:v>
      </x:c>
      <x:c r="W429" t="n">
        <x:v>24</x:v>
      </x:c>
      <x:c r="X429" t="n">
        <x:v>2</x:v>
      </x:c>
      <x:c r="Y429" s="38" t="n">
        <x:v>0.6409090909090909</x:v>
      </x:c>
      <x:c r="Z429" s="38" t="n">
        <x:v>0.7032158233120083</x:v>
      </x:c>
      <x:c r="AA429"/>
    </x:row>
    <x:row r="430">
      <x:c r="A430" s="54" t="n">
        <x:v>44104</x:v>
      </x:c>
      <x:c r="B430" t="n">
        <x:v>44104.624999988424</x:v>
      </x:c>
      <x:c r="C430" t="str">
        <x:v>090430</x:v>
      </x:c>
      <x:c r="D430" t="str">
        <x:v>아모레퍼시픽</x:v>
      </x:c>
      <x:c r="E430" t="str">
        <x:v>KOSPI</x:v>
      </x:c>
      <x:c r="F430" t="str">
        <x:v>LARGE</x:v>
      </x:c>
      <x:c r="G430" t="str">
        <x:v>ELIGIBLE</x:v>
      </x:c>
      <x:c r="H430"/>
      <x:c r="I430" s="54" t="n">
        <x:v>44103</x:v>
      </x:c>
      <x:c r="J430" s="55" t="n">
        <x:v>164000</x:v>
      </x:c>
      <x:c r="K430" s="55" t="n">
        <x:v>9587192360000</x:v>
      </x:c>
      <x:c r="L430" s="55" t="n">
        <x:v>58458490</x:v>
      </x:c>
      <x:c r="M430" t="str">
        <x:v>20200429000691</x:v>
      </x:c>
      <x:c r="N430" t="n">
        <x:v>43950.624999988424</x:v>
      </x:c>
      <x:c r="O430" s="54" t="n">
        <x:v>43830</x:v>
      </x:c>
      <x:c r="P430" t="str">
        <x:v>True</x:v>
      </x:c>
      <x:c r="Q430" t="str">
        <x:v>fb17ecc132c7a420a1071246484146020133d3480a6ec2ff2a7324a39fe69192</x:v>
      </x:c>
      <x:c r="R430" t="str">
        <x:v>a068a5eb81bee9458a1b9ec7138b3e54fe84ca9261b8cc30c5ab8656df8746ee</x:v>
      </x:c>
      <x:c r="S430" t="n">
        <x:v>6</x:v>
      </x:c>
      <x:c r="T430" t="str">
        <x:v>2018-12-31|2019-12-31</x:v>
      </x:c>
      <x:c r="U430" s="57" t="n">
        <x:v>60382.664823435625</x:v>
      </x:c>
      <x:c r="V430" s="57" t="n">
        <x:v>-0.631813019369295</x:v>
      </x:c>
      <x:c r="W430" t="n">
        <x:v>42</x:v>
      </x:c>
      <x:c r="X430" t="n">
        <x:v>4</x:v>
      </x:c>
      <x:c r="Y430" s="38" t="n">
        <x:v>0.6409090909090909</x:v>
      </x:c>
      <x:c r="Z430" s="38" t="n">
        <x:v>0.7238800972045121</x:v>
      </x:c>
      <x:c r="AA430"/>
    </x:row>
    <x:row r="431">
      <x:c r="A431" s="54" t="n">
        <x:v>44104</x:v>
      </x:c>
      <x:c r="B431" t="n">
        <x:v>44104.624999988424</x:v>
      </x:c>
      <x:c r="C431" t="str">
        <x:v>278470</x:v>
      </x:c>
      <x:c r="D431" t="str">
        <x:v>에이피알</x:v>
      </x:c>
      <x:c r="E431" t="str">
        <x:v>KOSPI</x:v>
      </x:c>
      <x:c r="F431" t="str">
        <x:v>LARGE</x:v>
      </x:c>
      <x:c r="G431" t="str">
        <x:v>NOT_LISTED_OR_NO_PRICE</x:v>
      </x:c>
      <x:c r="H431"/>
      <x:c r="I431" s="54"/>
      <x:c r="J431" s="55"/>
      <x:c r="K431" s="55"/>
      <x:c r="L431" s="55"/>
      <x:c r="M431"/>
      <x:c r="N431"/>
      <x:c r="O431" s="54"/>
      <x:c r="P431"/>
      <x:c r="Q431"/>
      <x:c r="R431"/>
      <x:c r="S431"/>
      <x:c r="T431"/>
      <x:c r="U431" s="57"/>
      <x:c r="V431" s="57"/>
      <x:c r="W431"/>
      <x:c r="X431"/>
      <x:c r="Y431" s="38"/>
      <x:c r="Z431" s="38"/>
      <x:c r="AA431"/>
    </x:row>
    <x:row r="432">
      <x:c r="A432" s="54" t="n">
        <x:v>44104</x:v>
      </x:c>
      <x:c r="B432" t="n">
        <x:v>44104.624999988424</x:v>
      </x:c>
      <x:c r="C432" t="str">
        <x:v>006260</x:v>
      </x:c>
      <x:c r="D432" t="str">
        <x:v>LS</x:v>
      </x:c>
      <x:c r="E432" t="str">
        <x:v>KOSPI</x:v>
      </x:c>
      <x:c r="F432" t="str">
        <x:v>LARGE</x:v>
      </x:c>
      <x:c r="G432" t="str">
        <x:v>ELIGIBLE</x:v>
      </x:c>
      <x:c r="H432"/>
      <x:c r="I432" s="54" t="n">
        <x:v>44103</x:v>
      </x:c>
      <x:c r="J432" s="55" t="n">
        <x:v>52500</x:v>
      </x:c>
      <x:c r="K432" s="55" t="n">
        <x:v>1690500000000</x:v>
      </x:c>
      <x:c r="L432" s="55" t="n">
        <x:v>32200000</x:v>
      </x:c>
      <x:c r="M432" t="str">
        <x:v>20200330004547</x:v>
      </x:c>
      <x:c r="N432" t="n">
        <x:v>43920.624999988424</x:v>
      </x:c>
      <x:c r="O432" s="54" t="n">
        <x:v>43830</x:v>
      </x:c>
      <x:c r="P432" t="str">
        <x:v>False</x:v>
      </x:c>
      <x:c r="Q432" t="str">
        <x:v>0ec196d1f084a76a238c047092ac2d6371f5eea1abfb4c1d732f0360c9db31a5</x:v>
      </x:c>
      <x:c r="R432" t="str">
        <x:v>fedfeb662682b5b893212e59ad5d62d201af782924c5f09cab8d15fa1c991c15</x:v>
      </x:c>
      <x:c r="S432" t="n">
        <x:v>6</x:v>
      </x:c>
      <x:c r="T432" t="str">
        <x:v>2018-12-31|2019-12-31</x:v>
      </x:c>
      <x:c r="U432" s="57" t="n">
        <x:v>55207.39311864186</x:v>
      </x:c>
      <x:c r="V432" s="57" t="n">
        <x:v>0.05156939273603552</x:v>
      </x:c>
      <x:c r="W432" t="n">
        <x:v>17</x:v>
      </x:c>
      <x:c r="X432" t="n">
        <x:v>2</x:v>
      </x:c>
      <x:c r="Y432" s="38" t="n">
        <x:v>0.6409090909090909</x:v>
      </x:c>
      <x:c r="Z432" s="38" t="n">
        <x:v>0.7297769121142873</x:v>
      </x:c>
      <x:c r="AA432"/>
    </x:row>
    <x:row r="433">
      <x:c r="A433" s="54" t="n">
        <x:v>44104</x:v>
      </x:c>
      <x:c r="B433" t="n">
        <x:v>44104.624999988424</x:v>
      </x:c>
      <x:c r="C433" t="str">
        <x:v>454910</x:v>
      </x:c>
      <x:c r="D433" t="str">
        <x:v>두산로보틱스</x:v>
      </x:c>
      <x:c r="E433" t="str">
        <x:v>KOSPI</x:v>
      </x:c>
      <x:c r="F433" t="str">
        <x:v>LARGE</x:v>
      </x:c>
      <x:c r="G433" t="str">
        <x:v>NOT_LISTED_OR_NO_PRICE</x:v>
      </x:c>
      <x:c r="H433"/>
      <x:c r="I433" s="54"/>
      <x:c r="J433" s="55"/>
      <x:c r="K433" s="55"/>
      <x:c r="L433" s="55"/>
      <x:c r="M433"/>
      <x:c r="N433"/>
      <x:c r="O433" s="54"/>
      <x:c r="P433"/>
      <x:c r="Q433"/>
      <x:c r="R433"/>
      <x:c r="S433"/>
      <x:c r="T433"/>
      <x:c r="U433" s="57"/>
      <x:c r="V433" s="57"/>
      <x:c r="W433"/>
      <x:c r="X433"/>
      <x:c r="Y433" s="38"/>
      <x:c r="Z433" s="38"/>
      <x:c r="AA433"/>
    </x:row>
    <x:row r="434">
      <x:c r="A434" s="54" t="n">
        <x:v>44104</x:v>
      </x:c>
      <x:c r="B434" t="n">
        <x:v>44104.624999988424</x:v>
      </x:c>
      <x:c r="C434" t="str">
        <x:v>012750</x:v>
      </x:c>
      <x:c r="D434" t="str">
        <x:v>에스원</x:v>
      </x:c>
      <x:c r="E434" t="str">
        <x:v>KOSPI</x:v>
      </x:c>
      <x:c r="F434" t="str">
        <x:v>LARGE</x:v>
      </x:c>
      <x:c r="G434" t="str">
        <x:v>ELIGIBLE</x:v>
      </x:c>
      <x:c r="H434"/>
      <x:c r="I434" s="54" t="n">
        <x:v>44103</x:v>
      </x:c>
      <x:c r="J434" s="55" t="n">
        <x:v>87500</x:v>
      </x:c>
      <x:c r="K434" s="55" t="n">
        <x:v>3324928075000</x:v>
      </x:c>
      <x:c r="L434" s="55" t="n">
        <x:v>37999178</x:v>
      </x:c>
      <x:c r="M434" t="str">
        <x:v>20200330003830</x:v>
      </x:c>
      <x:c r="N434" t="n">
        <x:v>43920.624999988424</x:v>
      </x:c>
      <x:c r="O434" s="54" t="n">
        <x:v>43830</x:v>
      </x:c>
      <x:c r="P434" t="str">
        <x:v>False</x:v>
      </x:c>
      <x:c r="Q434" t="str">
        <x:v>403c4aaed611f6f197feee5127fc49d53c8243ad428a5b9153f1491619efbb7b</x:v>
      </x:c>
      <x:c r="R434" t="str">
        <x:v>f0c2234c7275e7b9583bedcb918a3cf27fd40d6b21f0f0a07bc6454547a0aacc</x:v>
      </x:c>
      <x:c r="S434" t="n">
        <x:v>6</x:v>
      </x:c>
      <x:c r="T434" t="str">
        <x:v>2018-12-31|2019-12-31</x:v>
      </x:c>
      <x:c r="U434" s="57" t="n">
        <x:v>48920.81603703547</x:v>
      </x:c>
      <x:c r="V434" s="57" t="n">
        <x:v>-0.44090495957673753</x:v>
      </x:c>
      <x:c r="W434" t="n">
        <x:v>33</x:v>
      </x:c>
      <x:c r="X434" t="n">
        <x:v>3</x:v>
      </x:c>
      <x:c r="Y434" s="38" t="n">
        <x:v>0.6409090909090909</x:v>
      </x:c>
      <x:c r="Z434" s="38" t="n">
        <x:v>0.7122128124289423</x:v>
      </x:c>
      <x:c r="AA434"/>
    </x:row>
    <x:row r="435">
      <x:c r="A435" s="54" t="n">
        <x:v>44104</x:v>
      </x:c>
      <x:c r="B435" t="n">
        <x:v>44104.624999988424</x:v>
      </x:c>
      <x:c r="C435" t="str">
        <x:v>081660</x:v>
      </x:c>
      <x:c r="D435" t="str">
        <x:v>미스토홀딩스</x:v>
      </x:c>
      <x:c r="E435" t="str">
        <x:v>KOSPI</x:v>
      </x:c>
      <x:c r="F435" t="str">
        <x:v>LARGE</x:v>
      </x:c>
      <x:c r="G435" t="str">
        <x:v>EXCLUDED_ARCHETYPE</x:v>
      </x:c>
      <x:c r="H435" t="str">
        <x:v>FCFF_NOT_COMPARABLE_FOR_FINANCE_OR_HOLDING_HINT</x:v>
      </x:c>
      <x:c r="I435" s="54"/>
      <x:c r="J435" s="55"/>
      <x:c r="K435" s="55"/>
      <x:c r="L435" s="55"/>
      <x:c r="M435"/>
      <x:c r="N435"/>
      <x:c r="O435" s="54"/>
      <x:c r="P435"/>
      <x:c r="Q435"/>
      <x:c r="R435"/>
      <x:c r="S435"/>
      <x:c r="T435"/>
      <x:c r="U435" s="57"/>
      <x:c r="V435" s="57"/>
      <x:c r="W435"/>
      <x:c r="X435"/>
      <x:c r="Y435" s="38"/>
      <x:c r="Z435" s="38"/>
      <x:c r="AA435"/>
    </x:row>
    <x:row r="436">
      <x:c r="A436" s="54" t="n">
        <x:v>44104</x:v>
      </x:c>
      <x:c r="B436" t="n">
        <x:v>44104.624999988424</x:v>
      </x:c>
      <x:c r="C436" t="str">
        <x:v>282330</x:v>
      </x:c>
      <x:c r="D436" t="str">
        <x:v>BGF리테일</x:v>
      </x:c>
      <x:c r="E436" t="str">
        <x:v>KOSPI</x:v>
      </x:c>
      <x:c r="F436" t="str">
        <x:v>LARGE</x:v>
      </x:c>
      <x:c r="G436" t="str">
        <x:v>ELIGIBLE</x:v>
      </x:c>
      <x:c r="H436"/>
      <x:c r="I436" s="54" t="n">
        <x:v>44103</x:v>
      </x:c>
      <x:c r="J436" s="55" t="n">
        <x:v>123500</x:v>
      </x:c>
      <x:c r="K436" s="55" t="n">
        <x:v>2134562391000</x:v>
      </x:c>
      <x:c r="L436" s="55" t="n">
        <x:v>17283906</x:v>
      </x:c>
      <x:c r="M436" t="str">
        <x:v>20200330003848</x:v>
      </x:c>
      <x:c r="N436" t="n">
        <x:v>43920.624999988424</x:v>
      </x:c>
      <x:c r="O436" s="54" t="n">
        <x:v>43830</x:v>
      </x:c>
      <x:c r="P436" t="str">
        <x:v>False</x:v>
      </x:c>
      <x:c r="Q436" t="str">
        <x:v>789faf2a7a91e08b88b2843fd828db6f98905720ed29ad59cfc78668f2c840cc</x:v>
      </x:c>
      <x:c r="R436" t="str">
        <x:v>14007ce1d2d9f1bec784fc2b4b58a31493ae1d7bcc5d4c8a3481f96832a78c25</x:v>
      </x:c>
      <x:c r="S436" t="n">
        <x:v>6</x:v>
      </x:c>
      <x:c r="T436" t="str">
        <x:v>2018-12-31|2019-12-31</x:v>
      </x:c>
      <x:c r="U436" s="57" t="n">
        <x:v>76583.33050148396</x:v>
      </x:c>
      <x:c r="V436" s="57" t="n">
        <x:v>-0.37989206071672904</x:v>
      </x:c>
      <x:c r="W436" t="n">
        <x:v>30</x:v>
      </x:c>
      <x:c r="X436" t="n">
        <x:v>3</x:v>
      </x:c>
      <x:c r="Y436" s="38" t="n">
        <x:v>0.6409090909090909</x:v>
      </x:c>
      <x:c r="Z436" s="38" t="n">
        <x:v>0.7017224672267075</x:v>
      </x:c>
      <x:c r="AA436"/>
    </x:row>
    <x:row r="437">
      <x:c r="A437" s="54" t="n">
        <x:v>44104</x:v>
      </x:c>
      <x:c r="B437" t="n">
        <x:v>44104.624999988424</x:v>
      </x:c>
      <x:c r="C437" t="str">
        <x:v>023590</x:v>
      </x:c>
      <x:c r="D437" t="str">
        <x:v>다우기술</x:v>
      </x:c>
      <x:c r="E437" t="str">
        <x:v>KOSPI</x:v>
      </x:c>
      <x:c r="F437" t="str">
        <x:v>LARGE</x:v>
      </x:c>
      <x:c r="G437" t="str">
        <x:v>DCF_SCREENING_EXCLUSION</x:v>
      </x:c>
      <x:c r="H437" t="str">
        <x:v>NON_POSITIVE_EQUITY_VALUE</x:v>
      </x:c>
      <x:c r="I437" s="54" t="n">
        <x:v>44103</x:v>
      </x:c>
      <x:c r="J437" s="55" t="n">
        <x:v>21450</x:v>
      </x:c>
      <x:c r="K437" s="55" t="n">
        <x:v>962388934650</x:v>
      </x:c>
      <x:c r="L437" s="55" t="n">
        <x:v>44866617</x:v>
      </x:c>
      <x:c r="M437" t="str">
        <x:v>20200330004643</x:v>
      </x:c>
      <x:c r="N437" t="n">
        <x:v>43920.624999988424</x:v>
      </x:c>
      <x:c r="O437" s="54" t="n">
        <x:v>43830</x:v>
      </x:c>
      <x:c r="P437" t="str">
        <x:v>False</x:v>
      </x:c>
      <x:c r="Q437" t="str">
        <x:v>2141ccc71183cf5f6c11d701e37ca529ebfbfe796a6b25b4d5cdba72ef13c08d</x:v>
      </x:c>
      <x:c r="R437" t="str">
        <x:v>8c4dc3ef7094456ee8503c7b9a0cac48c4ca2a29876ed6566312a134a1969762</x:v>
      </x:c>
      <x:c r="S437" t="n">
        <x:v>7</x:v>
      </x:c>
      <x:c r="T437" t="str">
        <x:v>2018-12-31|2019-12-31</x:v>
      </x:c>
      <x:c r="U437" s="57" t="n">
        <x:v>-30236.949757827184</x:v>
      </x:c>
      <x:c r="V437" s="57" t="n">
        <x:v>-2.4096480073579105</x:v>
      </x:c>
      <x:c r="W437"/>
      <x:c r="X437"/>
      <x:c r="Y437" s="38" t="n">
        <x:v>0.6409090909090909</x:v>
      </x:c>
      <x:c r="Z437" s="38" t="n">
        <x:v>0.7074953251162477</x:v>
      </x:c>
      <x:c r="AA437" t="str">
        <x:v>NON_POSITIVE_EQUITY_VALUE</x:v>
      </x:c>
    </x:row>
    <x:row r="438">
      <x:c r="A438" s="54" t="n">
        <x:v>44104</x:v>
      </x:c>
      <x:c r="B438" t="n">
        <x:v>44104.624999988424</x:v>
      </x:c>
      <x:c r="C438" t="str">
        <x:v>300720</x:v>
      </x:c>
      <x:c r="D438" t="str">
        <x:v>한일시멘트</x:v>
      </x:c>
      <x:c r="E438" t="str">
        <x:v>KOSPI</x:v>
      </x:c>
      <x:c r="F438" t="str">
        <x:v>LARGE</x:v>
      </x:c>
      <x:c r="G438" t="str">
        <x:v>ELIGIBLE</x:v>
      </x:c>
      <x:c r="H438"/>
      <x:c r="I438" s="54" t="n">
        <x:v>44103</x:v>
      </x:c>
      <x:c r="J438" s="55" t="n">
        <x:v>82000</x:v>
      </x:c>
      <x:c r="K438" s="55" t="n">
        <x:v>567944628000</x:v>
      </x:c>
      <x:c r="L438" s="55" t="n">
        <x:v>6926154</x:v>
      </x:c>
      <x:c r="M438" t="str">
        <x:v>20200401002489</x:v>
      </x:c>
      <x:c r="N438" t="n">
        <x:v>43922.624999988424</x:v>
      </x:c>
      <x:c r="O438" s="54" t="n">
        <x:v>43830</x:v>
      </x:c>
      <x:c r="P438" t="str">
        <x:v>True</x:v>
      </x:c>
      <x:c r="Q438" t="str">
        <x:v>3735e5a95e1437cbc0270ecde44fbc086a8d87f920ba017edbabf56a3cdfd2c2</x:v>
      </x:c>
      <x:c r="R438" t="str">
        <x:v>938c293f9d2f9672355ea2288258abbded4fa14bf9376fe87e41baeea56ae5f8</x:v>
      </x:c>
      <x:c r="S438" t="n">
        <x:v>6</x:v>
      </x:c>
      <x:c r="T438" t="str">
        <x:v>2019-12-31</x:v>
      </x:c>
      <x:c r="U438" s="57" t="n">
        <x:v>81500.55011627405</x:v>
      </x:c>
      <x:c r="V438" s="57" t="n">
        <x:v>-0.006090852240560324</x:v>
      </x:c>
      <x:c r="W438" t="n">
        <x:v>19</x:v>
      </x:c>
      <x:c r="X438" t="n">
        <x:v>2</x:v>
      </x:c>
      <x:c r="Y438" s="38" t="n">
        <x:v>0.6409090909090909</x:v>
      </x:c>
      <x:c r="Z438" s="38" t="n">
        <x:v>0.7013426708992583</x:v>
      </x:c>
      <x:c r="AA438"/>
    </x:row>
    <x:row r="439">
      <x:c r="A439" s="54" t="n">
        <x:v>44104</x:v>
      </x:c>
      <x:c r="B439" t="n">
        <x:v>44104.624999988424</x:v>
      </x:c>
      <x:c r="C439" t="str">
        <x:v>007070</x:v>
      </x:c>
      <x:c r="D439" t="str">
        <x:v>GS리테일</x:v>
      </x:c>
      <x:c r="E439" t="str">
        <x:v>KOSPI</x:v>
      </x:c>
      <x:c r="F439" t="str">
        <x:v>LARGE</x:v>
      </x:c>
      <x:c r="G439" t="str">
        <x:v>ELIGIBLE</x:v>
      </x:c>
      <x:c r="H439"/>
      <x:c r="I439" s="54" t="n">
        <x:v>44103</x:v>
      </x:c>
      <x:c r="J439" s="55" t="n">
        <x:v>33500</x:v>
      </x:c>
      <x:c r="K439" s="55" t="n">
        <x:v>2579500000000</x:v>
      </x:c>
      <x:c r="L439" s="55" t="n">
        <x:v>77000000</x:v>
      </x:c>
      <x:c r="M439" t="str">
        <x:v>20200512000554</x:v>
      </x:c>
      <x:c r="N439" t="n">
        <x:v>43963.624999988424</x:v>
      </x:c>
      <x:c r="O439" s="54" t="n">
        <x:v>43830</x:v>
      </x:c>
      <x:c r="P439" t="str">
        <x:v>True</x:v>
      </x:c>
      <x:c r="Q439" t="str">
        <x:v>07c7c59b42311e98ac5e8e15e032091ce21d33190fb5086c52f067a2b4de44d2</x:v>
      </x:c>
      <x:c r="R439" t="str">
        <x:v>ecb2f0ea4273e5ac4d323780ab2b5919b7761a2d98b17372e21827a47d59eca1</x:v>
      </x:c>
      <x:c r="S439" t="n">
        <x:v>5</x:v>
      </x:c>
      <x:c r="T439" t="str">
        <x:v>2018-12-31|2019-12-31</x:v>
      </x:c>
      <x:c r="U439" s="57" t="n">
        <x:v>15170.912532063267</x:v>
      </x:c>
      <x:c r="V439" s="57" t="n">
        <x:v>-0.5471369393413951</x:v>
      </x:c>
      <x:c r="W439" t="n">
        <x:v>38</x:v>
      </x:c>
      <x:c r="X439" t="n">
        <x:v>3</x:v>
      </x:c>
      <x:c r="Y439" s="38" t="n">
        <x:v>0.6409090909090909</x:v>
      </x:c>
      <x:c r="Z439" s="38" t="n">
        <x:v>0.6752491604821305</x:v>
      </x:c>
      <x:c r="AA439"/>
    </x:row>
    <x:row r="440">
      <x:c r="A440" s="54" t="n">
        <x:v>44104</x:v>
      </x:c>
      <x:c r="B440" t="n">
        <x:v>44104.624999988424</x:v>
      </x:c>
      <x:c r="C440" t="str">
        <x:v>280360</x:v>
      </x:c>
      <x:c r="D440" t="str">
        <x:v>롯데웰푸드</x:v>
      </x:c>
      <x:c r="E440" t="str">
        <x:v>KOSPI</x:v>
      </x:c>
      <x:c r="F440" t="str">
        <x:v>LARGE</x:v>
      </x:c>
      <x:c r="G440" t="str">
        <x:v>ELIGIBLE</x:v>
      </x:c>
      <x:c r="H440"/>
      <x:c r="I440" s="54" t="n">
        <x:v>44103</x:v>
      </x:c>
      <x:c r="J440" s="55" t="n">
        <x:v>101500</x:v>
      </x:c>
      <x:c r="K440" s="55" t="n">
        <x:v>651296775500</x:v>
      </x:c>
      <x:c r="L440" s="55" t="n">
        <x:v>6416717</x:v>
      </x:c>
      <x:c r="M440" t="str">
        <x:v>20200330004070</x:v>
      </x:c>
      <x:c r="N440" t="n">
        <x:v>43920.624999988424</x:v>
      </x:c>
      <x:c r="O440" s="54" t="n">
        <x:v>43830</x:v>
      </x:c>
      <x:c r="P440" t="str">
        <x:v>False</x:v>
      </x:c>
      <x:c r="Q440" t="str">
        <x:v>f49b6c0c20ff0684447f15f101d49d1e47ad1510e992e5ff7bd83f1cbd36cb91</x:v>
      </x:c>
      <x:c r="R440" t="str">
        <x:v>40005f91daca10fc3c2b36dd94092130e9ecdc5b20f68462816a735c814fa45b</x:v>
      </x:c>
      <x:c r="S440" t="n">
        <x:v>5</x:v>
      </x:c>
      <x:c r="T440" t="str">
        <x:v>2018-12-31|2019-12-31</x:v>
      </x:c>
      <x:c r="U440" s="57" t="n">
        <x:v>330137.22375057806</x:v>
      </x:c>
      <x:c r="V440" s="57" t="n">
        <x:v>2.2525834852273703</x:v>
      </x:c>
      <x:c r="W440" t="n">
        <x:v>3</x:v>
      </x:c>
      <x:c r="X440" t="n">
        <x:v>1</x:v>
      </x:c>
      <x:c r="Y440" s="38" t="n">
        <x:v>0.6409090909090909</x:v>
      </x:c>
      <x:c r="Z440" s="38" t="n">
        <x:v>0.7429356110829911</x:v>
      </x:c>
      <x:c r="AA440"/>
    </x:row>
    <x:row r="441">
      <x:c r="A441" s="54" t="n">
        <x:v>44104</x:v>
      </x:c>
      <x:c r="B441" t="n">
        <x:v>44104.624999988424</x:v>
      </x:c>
      <x:c r="C441" t="str">
        <x:v>039130</x:v>
      </x:c>
      <x:c r="D441" t="str">
        <x:v>하나투어</x:v>
      </x:c>
      <x:c r="E441" t="str">
        <x:v>KOSPI</x:v>
      </x:c>
      <x:c r="F441" t="str">
        <x:v>LARGE</x:v>
      </x:c>
      <x:c r="G441" t="str">
        <x:v>DCF_SCREENING_EXCLUSION</x:v>
      </x:c>
      <x:c r="H441" t="str">
        <x:v>NON_POSITIVE_EQUITY_VALUE</x:v>
      </x:c>
      <x:c r="I441" s="54" t="n">
        <x:v>44103</x:v>
      </x:c>
      <x:c r="J441" s="55" t="n">
        <x:v>39200</x:v>
      </x:c>
      <x:c r="K441" s="55" t="n">
        <x:v>546416052000</x:v>
      </x:c>
      <x:c r="L441" s="55" t="n">
        <x:v>13939185</x:v>
      </x:c>
      <x:c r="M441" t="str">
        <x:v>20200330002664</x:v>
      </x:c>
      <x:c r="N441" t="n">
        <x:v>43920.624999988424</x:v>
      </x:c>
      <x:c r="O441" s="54" t="n">
        <x:v>43830</x:v>
      </x:c>
      <x:c r="P441" t="str">
        <x:v>False</x:v>
      </x:c>
      <x:c r="Q441" t="str">
        <x:v>fbe751059989d62ca8f4f7478e672785cff95737f635cf3e78e1833343d2658b</x:v>
      </x:c>
      <x:c r="R441" t="str">
        <x:v>a37625ffb3f594ef74475b89b8d6a51a35605e2e1d18560e49b3e0e6549208e4</x:v>
      </x:c>
      <x:c r="S441" t="n">
        <x:v>5</x:v>
      </x:c>
      <x:c r="T441" t="str">
        <x:v>2018-12-31|2019-12-31</x:v>
      </x:c>
      <x:c r="U441" s="57" t="n">
        <x:v>-14937.544681896548</x:v>
      </x:c>
      <x:c r="V441" s="57" t="n">
        <x:v>-1.3810598133136875</x:v>
      </x:c>
      <x:c r="W441"/>
      <x:c r="X441"/>
      <x:c r="Y441" s="38" t="n">
        <x:v>0.6409090909090909</x:v>
      </x:c>
      <x:c r="Z441" s="38" t="n">
        <x:v>0.6865240790654953</x:v>
      </x:c>
      <x:c r="AA441" t="str">
        <x:v>NON_POSITIVE_EQUITY_VALUE</x:v>
      </x:c>
    </x:row>
    <x:row r="442">
      <x:c r="A442" s="54" t="n">
        <x:v>44104</x:v>
      </x:c>
      <x:c r="B442" t="n">
        <x:v>44104.624999988424</x:v>
      </x:c>
      <x:c r="C442" t="str">
        <x:v>005690</x:v>
      </x:c>
      <x:c r="D442" t="str">
        <x:v>파미셀</x:v>
      </x:c>
      <x:c r="E442" t="str">
        <x:v>KOSPI</x:v>
      </x:c>
      <x:c r="F442" t="str">
        <x:v>LARGE</x:v>
      </x:c>
      <x:c r="G442" t="str">
        <x:v>DCF_SCREENING_EXCLUSION</x:v>
      </x:c>
      <x:c r="H442" t="str">
        <x:v>NON_POSITIVE_ENTERPRISE_VALUE|NON_POSITIVE_TERMINAL_FCF</x:v>
      </x:c>
      <x:c r="I442" s="54" t="n">
        <x:v>44103</x:v>
      </x:c>
      <x:c r="J442" s="55" t="n">
        <x:v>18050</x:v>
      </x:c>
      <x:c r="K442" s="55" t="n">
        <x:v>1082259047500</x:v>
      </x:c>
      <x:c r="L442" s="55" t="n">
        <x:v>59958950</x:v>
      </x:c>
      <x:c r="M442" t="str">
        <x:v>20200330004368</x:v>
      </x:c>
      <x:c r="N442" t="n">
        <x:v>43920.624999988424</x:v>
      </x:c>
      <x:c r="O442" s="54" t="n">
        <x:v>43830</x:v>
      </x:c>
      <x:c r="P442" t="str">
        <x:v>False</x:v>
      </x:c>
      <x:c r="Q442" t="str">
        <x:v>bfcc085538d0dda9438b3fc945e9299777a5a3bf4af27e167faf8ac8f363954e</x:v>
      </x:c>
      <x:c r="R442" t="str">
        <x:v>eb3eebdb03d8dcb54137662ae290b73052fa7c43cb22fef18a7b9e1113c65bea</x:v>
      </x:c>
      <x:c r="S442" t="n">
        <x:v>6</x:v>
      </x:c>
      <x:c r="T442" t="str">
        <x:v>2018-12-31|2019-12-31</x:v>
      </x:c>
      <x:c r="U442" s="57" t="n">
        <x:v>75.33653788615449</x:v>
      </x:c>
      <x:c r="V442" s="57" t="n">
        <x:v>-0.9958262305880247</x:v>
      </x:c>
      <x:c r="W442"/>
      <x:c r="X442"/>
      <x:c r="Y442" s="38" t="n">
        <x:v>0.6409090909090909</x:v>
      </x:c>
      <x:c r="Z442" s="38" t="n">
        <x:v>0.5858711725692298</x:v>
      </x:c>
      <x:c r="AA442" t="str">
        <x:v>NON_POSITIVE_ENTERPRISE_VALUE|NON_POSITIVE_TERMINAL_FCF</x:v>
      </x:c>
    </x:row>
    <x:row r="443">
      <x:c r="A443" s="54" t="n">
        <x:v>44104</x:v>
      </x:c>
      <x:c r="B443" t="n">
        <x:v>44104.624999988424</x:v>
      </x:c>
      <x:c r="C443" t="str">
        <x:v>002030</x:v>
      </x:c>
      <x:c r="D443" t="str">
        <x:v>아세아</x:v>
      </x:c>
      <x:c r="E443" t="str">
        <x:v>KOSPI</x:v>
      </x:c>
      <x:c r="F443" t="str">
        <x:v>LARGE</x:v>
      </x:c>
      <x:c r="G443" t="str">
        <x:v>ELIGIBLE</x:v>
      </x:c>
      <x:c r="H443"/>
      <x:c r="I443" s="54" t="n">
        <x:v>44103</x:v>
      </x:c>
      <x:c r="J443" s="55" t="n">
        <x:v>75800</x:v>
      </x:c>
      <x:c r="K443" s="55" t="n">
        <x:v>166079619200</x:v>
      </x:c>
      <x:c r="L443" s="55" t="n">
        <x:v>2191024</x:v>
      </x:c>
      <x:c r="M443" t="str">
        <x:v>20200330004716</x:v>
      </x:c>
      <x:c r="N443" t="n">
        <x:v>43920.624999988424</x:v>
      </x:c>
      <x:c r="O443" s="54" t="n">
        <x:v>43830</x:v>
      </x:c>
      <x:c r="P443" t="str">
        <x:v>False</x:v>
      </x:c>
      <x:c r="Q443" t="str">
        <x:v>8e6c1c7d3fef97f129cd30373d0f84183b8125c1e47c44c23fbf9ca80abd0bb4</x:v>
      </x:c>
      <x:c r="R443" t="str">
        <x:v>36c2ce2a210a189504f3a476df367cb0ec6d1c508b6806944f1a26ee8a267c02</x:v>
      </x:c>
      <x:c r="S443" t="n">
        <x:v>6</x:v>
      </x:c>
      <x:c r="T443" t="str">
        <x:v>2018-12-31|2019-12-31</x:v>
      </x:c>
      <x:c r="U443" s="57" t="n">
        <x:v>506948.9154582979</x:v>
      </x:c>
      <x:c r="V443" s="57" t="n">
        <x:v>5.6879804150171225</x:v>
      </x:c>
      <x:c r="W443" t="n">
        <x:v>2</x:v>
      </x:c>
      <x:c r="X443" t="n">
        <x:v>1</x:v>
      </x:c>
      <x:c r="Y443" s="38" t="n">
        <x:v>0.6409090909090909</x:v>
      </x:c>
      <x:c r="Z443" s="38" t="n">
        <x:v>0.6790236450854973</x:v>
      </x:c>
      <x:c r="AA443"/>
    </x:row>
    <x:row r="444">
      <x:c r="A444" s="54" t="n">
        <x:v>44104</x:v>
      </x:c>
      <x:c r="B444" t="n">
        <x:v>44104.624999988424</x:v>
      </x:c>
      <x:c r="C444" t="str">
        <x:v>009410</x:v>
      </x:c>
      <x:c r="D444" t="str">
        <x:v>태영건설</x:v>
      </x:c>
      <x:c r="E444" t="str">
        <x:v>KOSPI</x:v>
      </x:c>
      <x:c r="F444" t="str">
        <x:v>LARGE</x:v>
      </x:c>
      <x:c r="G444" t="str">
        <x:v>ELIGIBLE</x:v>
      </x:c>
      <x:c r="H444"/>
      <x:c r="I444" s="54" t="n">
        <x:v>44103</x:v>
      </x:c>
      <x:c r="J444" s="55" t="n">
        <x:v>9890</x:v>
      </x:c>
      <x:c r="K444" s="55" t="n">
        <x:v>384712079220</x:v>
      </x:c>
      <x:c r="L444" s="55" t="n">
        <x:v>38899098</x:v>
      </x:c>
      <x:c r="M444" t="str">
        <x:v>20200330003911</x:v>
      </x:c>
      <x:c r="N444" t="n">
        <x:v>43920.624999988424</x:v>
      </x:c>
      <x:c r="O444" s="54" t="n">
        <x:v>43830</x:v>
      </x:c>
      <x:c r="P444" t="str">
        <x:v>False</x:v>
      </x:c>
      <x:c r="Q444" t="str">
        <x:v>1447c7502e035cd4deff36d3d9312df24e301a5a48ea1ebbba9d611d0f917a21</x:v>
      </x:c>
      <x:c r="R444" t="str">
        <x:v>a13ffe9a3c7db90d4c6ac6b110415d85fc9fde7ace4b09440c8dba9a08634efa</x:v>
      </x:c>
      <x:c r="S444" t="n">
        <x:v>6</x:v>
      </x:c>
      <x:c r="T444" t="str">
        <x:v>2018-12-31|2019-12-31</x:v>
      </x:c>
      <x:c r="U444" s="57" t="n">
        <x:v>78873.79704935633</x:v>
      </x:c>
      <x:c r="V444" s="57" t="n">
        <x:v>6.975105869500134</x:v>
      </x:c>
      <x:c r="W444" t="n">
        <x:v>1</x:v>
      </x:c>
      <x:c r="X444" t="n">
        <x:v>1</x:v>
      </x:c>
      <x:c r="Y444" s="38" t="n">
        <x:v>0.6409090909090909</x:v>
      </x:c>
      <x:c r="Z444" s="38" t="n">
        <x:v>0.7132993121748787</x:v>
      </x:c>
      <x:c r="AA444"/>
    </x:row>
    <x:row r="445">
      <x:c r="A445" s="54" t="n">
        <x:v>44104</x:v>
      </x:c>
      <x:c r="B445" t="n">
        <x:v>44104.624999988424</x:v>
      </x:c>
      <x:c r="C445" t="str">
        <x:v>010780</x:v>
      </x:c>
      <x:c r="D445" t="str">
        <x:v>아이에스동서</x:v>
      </x:c>
      <x:c r="E445" t="str">
        <x:v>KOSPI</x:v>
      </x:c>
      <x:c r="F445" t="str">
        <x:v>LARGE</x:v>
      </x:c>
      <x:c r="G445" t="str">
        <x:v>ELIGIBLE</x:v>
      </x:c>
      <x:c r="H445"/>
      <x:c r="I445" s="54" t="n">
        <x:v>44103</x:v>
      </x:c>
      <x:c r="J445" s="55" t="n">
        <x:v>40850</x:v>
      </x:c>
      <x:c r="K445" s="55" t="n">
        <x:v>1261962955100</x:v>
      </x:c>
      <x:c r="L445" s="55" t="n">
        <x:v>30892606</x:v>
      </x:c>
      <x:c r="M445" t="str">
        <x:v>20200330004452</x:v>
      </x:c>
      <x:c r="N445" t="n">
        <x:v>43920.624999988424</x:v>
      </x:c>
      <x:c r="O445" s="54" t="n">
        <x:v>43830</x:v>
      </x:c>
      <x:c r="P445" t="str">
        <x:v>False</x:v>
      </x:c>
      <x:c r="Q445" t="str">
        <x:v>9f1492ed6c55e8b05f4c7f5a45a1d2fe155f138dd2b8ab11cd6bff4abe56d5c7</x:v>
      </x:c>
      <x:c r="R445" t="str">
        <x:v>fbe8c69f3f39d7af7a7669cbf92bc5363cdc63a9e378e143711d437883d2c467</x:v>
      </x:c>
      <x:c r="S445" t="n">
        <x:v>6</x:v>
      </x:c>
      <x:c r="T445" t="str">
        <x:v>2018-12-31|2019-12-31</x:v>
      </x:c>
      <x:c r="U445" s="57" t="n">
        <x:v>24992.20993951776</x:v>
      </x:c>
      <x:c r="V445" s="57" t="n">
        <x:v>-0.3881955951158443</x:v>
      </x:c>
      <x:c r="W445" t="n">
        <x:v>31</x:v>
      </x:c>
      <x:c r="X445" t="n">
        <x:v>3</x:v>
      </x:c>
      <x:c r="Y445" s="38" t="n">
        <x:v>0.6409090909090909</x:v>
      </x:c>
      <x:c r="Z445" s="38" t="n">
        <x:v>0.7064734758802966</x:v>
      </x:c>
      <x:c r="AA445"/>
    </x:row>
    <x:row r="446">
      <x:c r="A446" s="54" t="n">
        <x:v>44104</x:v>
      </x:c>
      <x:c r="B446" t="n">
        <x:v>44104.624999988424</x:v>
      </x:c>
      <x:c r="C446" t="str">
        <x:v>453340</x:v>
      </x:c>
      <x:c r="D446" t="str">
        <x:v>현대그린푸드</x:v>
      </x:c>
      <x:c r="E446" t="str">
        <x:v>KOSPI</x:v>
      </x:c>
      <x:c r="F446" t="str">
        <x:v>LARGE</x:v>
      </x:c>
      <x:c r="G446" t="str">
        <x:v>NOT_LISTED_OR_NO_PRICE</x:v>
      </x:c>
      <x:c r="H446"/>
      <x:c r="I446" s="54"/>
      <x:c r="J446" s="55"/>
      <x:c r="K446" s="55"/>
      <x:c r="L446" s="55"/>
      <x:c r="M446"/>
      <x:c r="N446"/>
      <x:c r="O446" s="54"/>
      <x:c r="P446"/>
      <x:c r="Q446"/>
      <x:c r="R446"/>
      <x:c r="S446"/>
      <x:c r="T446"/>
      <x:c r="U446" s="57"/>
      <x:c r="V446" s="57"/>
      <x:c r="W446"/>
      <x:c r="X446"/>
      <x:c r="Y446" s="38"/>
      <x:c r="Z446" s="38"/>
      <x:c r="AA446"/>
    </x:row>
    <x:row r="447">
      <x:c r="A447" s="54" t="n">
        <x:v>44104</x:v>
      </x:c>
      <x:c r="B447" t="n">
        <x:v>44104.624999988424</x:v>
      </x:c>
      <x:c r="C447" t="str">
        <x:v>006220</x:v>
      </x:c>
      <x:c r="D447" t="str">
        <x:v>제주은행</x:v>
      </x:c>
      <x:c r="E447" t="str">
        <x:v>KOSPI</x:v>
      </x:c>
      <x:c r="F447" t="str">
        <x:v>LARGE</x:v>
      </x:c>
      <x:c r="G447" t="str">
        <x:v>EXCLUDED_ARCHETYPE</x:v>
      </x:c>
      <x:c r="H447" t="str">
        <x:v>FCFF_NOT_COMPARABLE_FOR_FINANCE_OR_HOLDING_HINT</x:v>
      </x:c>
      <x:c r="I447" s="54"/>
      <x:c r="J447" s="55"/>
      <x:c r="K447" s="55"/>
      <x:c r="L447" s="55"/>
      <x:c r="M447"/>
      <x:c r="N447"/>
      <x:c r="O447" s="54"/>
      <x:c r="P447"/>
      <x:c r="Q447"/>
      <x:c r="R447"/>
      <x:c r="S447"/>
      <x:c r="T447"/>
      <x:c r="U447" s="57"/>
      <x:c r="V447" s="57"/>
      <x:c r="W447"/>
      <x:c r="X447"/>
      <x:c r="Y447" s="38"/>
      <x:c r="Z447" s="38"/>
      <x:c r="AA447"/>
    </x:row>
    <x:row r="448">
      <x:c r="A448" s="54" t="n">
        <x:v>44104</x:v>
      </x:c>
      <x:c r="B448" t="n">
        <x:v>44104.624999988424</x:v>
      </x:c>
      <x:c r="C448" t="str">
        <x:v>094800</x:v>
      </x:c>
      <x:c r="D448" t="str">
        <x:v>맵스리얼티1</x:v>
      </x:c>
      <x:c r="E448" t="str">
        <x:v>KOSPI</x:v>
      </x:c>
      <x:c r="F448" t="str">
        <x:v>LARGE</x:v>
      </x:c>
      <x:c r="G448" t="str">
        <x:v>NO_PIT_FINANCIALS</x:v>
      </x:c>
      <x:c r="H448"/>
      <x:c r="I448" s="54" t="n">
        <x:v>44103</x:v>
      </x:c>
      <x:c r="J448" s="55" t="n">
        <x:v>4095</x:v>
      </x:c>
      <x:c r="K448" s="55" t="n">
        <x:v>380156585445</x:v>
      </x:c>
      <x:c r="L448" s="55" t="n">
        <x:v>92834331</x:v>
      </x:c>
      <x:c r="M448"/>
      <x:c r="N448"/>
      <x:c r="O448" s="54"/>
      <x:c r="P448"/>
      <x:c r="Q448"/>
      <x:c r="R448"/>
      <x:c r="S448"/>
      <x:c r="T448"/>
      <x:c r="U448" s="57"/>
      <x:c r="V448" s="57"/>
      <x:c r="W448"/>
      <x:c r="X448"/>
      <x:c r="Y448" s="38"/>
      <x:c r="Z448" s="38"/>
      <x:c r="AA448"/>
    </x:row>
    <x:row r="449">
      <x:c r="A449" s="54" t="n">
        <x:v>44104</x:v>
      </x:c>
      <x:c r="B449" t="n">
        <x:v>44104.624999988424</x:v>
      </x:c>
      <x:c r="C449" t="str">
        <x:v>003160</x:v>
      </x:c>
      <x:c r="D449" t="str">
        <x:v>디아이</x:v>
      </x:c>
      <x:c r="E449" t="str">
        <x:v>KOSPI</x:v>
      </x:c>
      <x:c r="F449" t="str">
        <x:v>LARGE</x:v>
      </x:c>
      <x:c r="G449" t="str">
        <x:v>DCF_SCREENING_EXCLUSION</x:v>
      </x:c>
      <x:c r="H449" t="str">
        <x:v>NON_POSITIVE_ENTERPRISE_VALUE|NON_POSITIVE_EQUITY_VALUE|NON_POSITIVE_TERMINAL_FCF</x:v>
      </x:c>
      <x:c r="I449" s="54" t="n">
        <x:v>44103</x:v>
      </x:c>
      <x:c r="J449" s="55" t="n">
        <x:v>3855</x:v>
      </x:c>
      <x:c r="K449" s="55" t="n">
        <x:v>121420106175</x:v>
      </x:c>
      <x:c r="L449" s="55" t="n">
        <x:v>31496785</x:v>
      </x:c>
      <x:c r="M449" t="str">
        <x:v>20200330003463</x:v>
      </x:c>
      <x:c r="N449" t="n">
        <x:v>43920.624999988424</x:v>
      </x:c>
      <x:c r="O449" s="54" t="n">
        <x:v>43830</x:v>
      </x:c>
      <x:c r="P449" t="str">
        <x:v>False</x:v>
      </x:c>
      <x:c r="Q449" t="str">
        <x:v>2c9d26a13fb91a7897133f5d4181ea50b14f29018bdea81421148d222d049e90</x:v>
      </x:c>
      <x:c r="R449" t="str">
        <x:v>950ea701b3bd25d531df2e7f61c753710e6726cf120fcfb0505eea39b55f555f</x:v>
      </x:c>
      <x:c r="S449" t="n">
        <x:v>6</x:v>
      </x:c>
      <x:c r="T449" t="str">
        <x:v>2018-12-31|2019-12-31</x:v>
      </x:c>
      <x:c r="U449" s="57" t="n">
        <x:v>-1228.0531534836705</x:v>
      </x:c>
      <x:c r="V449" s="57" t="n">
        <x:v>-1.3185611293083452</x:v>
      </x:c>
      <x:c r="W449"/>
      <x:c r="X449"/>
      <x:c r="Y449" s="38" t="n">
        <x:v>0.6409090909090909</x:v>
      </x:c>
      <x:c r="Z449" s="38" t="n">
        <x:v>0.5343254520509092</x:v>
      </x:c>
      <x:c r="AA449" t="str">
        <x:v>NON_POSITIVE_ENTERPRISE_VALUE|NON_POSITIVE_EQUITY_VALUE|NON_POSITIVE_TERMINAL_FCF</x:v>
      </x:c>
    </x:row>
    <x:row r="450">
      <x:c r="A450" s="54" t="n">
        <x:v>44104</x:v>
      </x:c>
      <x:c r="B450" t="n">
        <x:v>44104.624999988424</x:v>
      </x:c>
      <x:c r="C450" t="str">
        <x:v>001940</x:v>
      </x:c>
      <x:c r="D450" t="str">
        <x:v>KISCO홀딩스</x:v>
      </x:c>
      <x:c r="E450" t="str">
        <x:v>KOSPI</x:v>
      </x:c>
      <x:c r="F450" t="str">
        <x:v>LARGE</x:v>
      </x:c>
      <x:c r="G450" t="str">
        <x:v>EXCLUDED_ARCHETYPE</x:v>
      </x:c>
      <x:c r="H450" t="str">
        <x:v>FCFF_NOT_COMPARABLE_FOR_FINANCE_OR_HOLDING_HINT</x:v>
      </x:c>
      <x:c r="I450" s="54"/>
      <x:c r="J450" s="55"/>
      <x:c r="K450" s="55"/>
      <x:c r="L450" s="55"/>
      <x:c r="M450"/>
      <x:c r="N450"/>
      <x:c r="O450" s="54"/>
      <x:c r="P450"/>
      <x:c r="Q450"/>
      <x:c r="R450"/>
      <x:c r="S450"/>
      <x:c r="T450"/>
      <x:c r="U450" s="57"/>
      <x:c r="V450" s="57"/>
      <x:c r="W450"/>
      <x:c r="X450"/>
      <x:c r="Y450" s="38"/>
      <x:c r="Z450" s="38"/>
      <x:c r="AA450"/>
    </x:row>
    <x:row r="451">
      <x:c r="A451" s="54" t="n">
        <x:v>44104</x:v>
      </x:c>
      <x:c r="B451" t="n">
        <x:v>44104.624999988424</x:v>
      </x:c>
      <x:c r="C451" t="str">
        <x:v>009290</x:v>
      </x:c>
      <x:c r="D451" t="str">
        <x:v>광동제약</x:v>
      </x:c>
      <x:c r="E451" t="str">
        <x:v>KOSPI</x:v>
      </x:c>
      <x:c r="F451" t="str">
        <x:v>LARGE</x:v>
      </x:c>
      <x:c r="G451" t="str">
        <x:v>ELIGIBLE</x:v>
      </x:c>
      <x:c r="H451"/>
      <x:c r="I451" s="54" t="n">
        <x:v>44103</x:v>
      </x:c>
      <x:c r="J451" s="55" t="n">
        <x:v>9720</x:v>
      </x:c>
      <x:c r="K451" s="55" t="n">
        <x:v>509530671720</x:v>
      </x:c>
      <x:c r="L451" s="55" t="n">
        <x:v>52420851</x:v>
      </x:c>
      <x:c r="M451" t="str">
        <x:v>20200330002372</x:v>
      </x:c>
      <x:c r="N451" t="n">
        <x:v>43920.624999988424</x:v>
      </x:c>
      <x:c r="O451" s="54" t="n">
        <x:v>43830</x:v>
      </x:c>
      <x:c r="P451" t="str">
        <x:v>False</x:v>
      </x:c>
      <x:c r="Q451" t="str">
        <x:v>a12d7ccdb27c289d6b06e61d33b23da31b8c0ea8af860870017a08baecb958d7</x:v>
      </x:c>
      <x:c r="R451" t="str">
        <x:v>3e58c327a845a3a4c23f9f84fbb8c83e24d1ad92468bbcd7c9dc2c86f66658f3</x:v>
      </x:c>
      <x:c r="S451" t="n">
        <x:v>6</x:v>
      </x:c>
      <x:c r="T451" t="str">
        <x:v>2018-12-31|2019-12-31</x:v>
      </x:c>
      <x:c r="U451" s="57" t="n">
        <x:v>5510.422302971301</x:v>
      </x:c>
      <x:c r="V451" s="57" t="n">
        <x:v>-0.4330841252087138</x:v>
      </x:c>
      <x:c r="W451" t="n">
        <x:v>32</x:v>
      </x:c>
      <x:c r="X451" t="n">
        <x:v>3</x:v>
      </x:c>
      <x:c r="Y451" s="38" t="n">
        <x:v>0.6409090909090909</x:v>
      </x:c>
      <x:c r="Z451" s="38" t="n">
        <x:v>0.7188634599914384</x:v>
      </x:c>
      <x:c r="AA451"/>
    </x:row>
    <x:row r="452">
      <x:c r="A452" s="54" t="n">
        <x:v>44196</x:v>
      </x:c>
      <x:c r="B452" t="n">
        <x:v>44196.624999988424</x:v>
      </x:c>
      <x:c r="C452" t="str">
        <x:v>168330</x:v>
      </x:c>
      <x:c r="D452" t="str">
        <x:v>내츄럴엔도텍</x:v>
      </x:c>
      <x:c r="E452" t="str">
        <x:v>KOSDAQ</x:v>
      </x:c>
      <x:c r="F452" t="str">
        <x:v>SMALL</x:v>
      </x:c>
      <x:c r="G452" t="str">
        <x:v>DCF_SCREENING_EXCLUSION</x:v>
      </x:c>
      <x:c r="H452" t="str">
        <x:v>NON_POSITIVE_ENTERPRISE_VALUE|NON_POSITIVE_EQUITY_VALUE|NON_POSITIVE_TERMINAL_FCF</x:v>
      </x:c>
      <x:c r="I452" s="54" t="n">
        <x:v>44195</x:v>
      </x:c>
      <x:c r="J452" s="55" t="n">
        <x:v>2525</x:v>
      </x:c>
      <x:c r="K452" s="55" t="n">
        <x:v>52181200550</x:v>
      </x:c>
      <x:c r="L452" s="55" t="n">
        <x:v>20665822</x:v>
      </x:c>
      <x:c r="M452" t="str">
        <x:v>20200401001922</x:v>
      </x:c>
      <x:c r="N452" t="n">
        <x:v>43922.624999988424</x:v>
      </x:c>
      <x:c r="O452" s="54" t="n">
        <x:v>43830</x:v>
      </x:c>
      <x:c r="P452" t="str">
        <x:v>True</x:v>
      </x:c>
      <x:c r="Q452" t="str">
        <x:v>7ea5ffe1d0d2b913b64d2c20d5ba5881d5ecb6ee00edd9a23394c56e7d278ea2</x:v>
      </x:c>
      <x:c r="R452" t="str">
        <x:v>69033779d0f8a886f48408da3ded847f3c86a22f8c8fe7a27e6dd1fea47648d5</x:v>
      </x:c>
      <x:c r="S452" t="n">
        <x:v>7</x:v>
      </x:c>
      <x:c r="T452" t="str">
        <x:v>2018-12-31|2019-12-31</x:v>
      </x:c>
      <x:c r="U452" s="57" t="n">
        <x:v>-3503.391373201611</x:v>
      </x:c>
      <x:c r="V452" s="57" t="n">
        <x:v>-2.3874817319610337</x:v>
      </x:c>
      <x:c r="W452"/>
      <x:c r="X452"/>
      <x:c r="Y452" s="38" t="n">
        <x:v>0.6409090909090909</x:v>
      </x:c>
      <x:c r="Z452" s="38" t="n">
        <x:v>0.6382433896552948</x:v>
      </x:c>
      <x:c r="AA452" t="str">
        <x:v>NON_POSITIVE_ENTERPRISE_VALUE|NON_POSITIVE_EQUITY_VALUE|NON_POSITIVE_TERMINAL_FCF</x:v>
      </x:c>
    </x:row>
    <x:row r="453">
      <x:c r="A453" s="54" t="n">
        <x:v>44196</x:v>
      </x:c>
      <x:c r="B453" t="n">
        <x:v>44196.624999988424</x:v>
      </x:c>
      <x:c r="C453" t="str">
        <x:v>120240</x:v>
      </x:c>
      <x:c r="D453" t="str">
        <x:v>대정화금</x:v>
      </x:c>
      <x:c r="E453" t="str">
        <x:v>KOSDAQ</x:v>
      </x:c>
      <x:c r="F453" t="str">
        <x:v>SMALL</x:v>
      </x:c>
      <x:c r="G453" t="str">
        <x:v>DCF_SCREENING_EXCLUSION</x:v>
      </x:c>
      <x:c r="H453" t="str">
        <x:v>NON_POSITIVE_ENTERPRISE_VALUE|NON_POSITIVE_EQUITY_VALUE|NON_POSITIVE_TERMINAL_FCF</x:v>
      </x:c>
      <x:c r="I453" s="54" t="n">
        <x:v>44195</x:v>
      </x:c>
      <x:c r="J453" s="55" t="n">
        <x:v>37900</x:v>
      </x:c>
      <x:c r="K453" s="55" t="n">
        <x:v>270431318900</x:v>
      </x:c>
      <x:c r="L453" s="55" t="n">
        <x:v>7135391</x:v>
      </x:c>
      <x:c r="M453" t="str">
        <x:v>20200330002175</x:v>
      </x:c>
      <x:c r="N453" t="n">
        <x:v>43920.624999988424</x:v>
      </x:c>
      <x:c r="O453" s="54" t="n">
        <x:v>43830</x:v>
      </x:c>
      <x:c r="P453" t="str">
        <x:v>False</x:v>
      </x:c>
      <x:c r="Q453" t="str">
        <x:v>6e32cecfd116216d63e50ca240f3c0414512602ddd66fa298ca7ba1fe4873cbe</x:v>
      </x:c>
      <x:c r="R453" t="str">
        <x:v>89928948e3367e7b93ccb0d432c1272b93bc9b4b5aa0d41133188f85c3657bd7</x:v>
      </x:c>
      <x:c r="S453" t="n">
        <x:v>7</x:v>
      </x:c>
      <x:c r="T453" t="str">
        <x:v>2018-12-31|2019-12-31</x:v>
      </x:c>
      <x:c r="U453" s="57" t="n">
        <x:v>-2143.9186035578227</x:v>
      </x:c>
      <x:c r="V453" s="57" t="n">
        <x:v>-1.0565677731809453</x:v>
      </x:c>
      <x:c r="W453"/>
      <x:c r="X453"/>
      <x:c r="Y453" s="38" t="n">
        <x:v>0.6409090909090909</x:v>
      </x:c>
      <x:c r="Z453" s="38" t="n">
        <x:v>0.6375338642560864</x:v>
      </x:c>
      <x:c r="AA453" t="str">
        <x:v>NON_POSITIVE_ENTERPRISE_VALUE|NON_POSITIVE_EQUITY_VALUE|NON_POSITIVE_TERMINAL_FCF</x:v>
      </x:c>
    </x:row>
    <x:row r="454">
      <x:c r="A454" s="54" t="n">
        <x:v>44196</x:v>
      </x:c>
      <x:c r="B454" t="n">
        <x:v>44196.624999988424</x:v>
      </x:c>
      <x:c r="C454" t="str">
        <x:v>348350</x:v>
      </x:c>
      <x:c r="D454" t="str">
        <x:v>위드텍</x:v>
      </x:c>
      <x:c r="E454" t="str">
        <x:v>KOSDAQ</x:v>
      </x:c>
      <x:c r="F454" t="str">
        <x:v>SMALL</x:v>
      </x:c>
      <x:c r="G454" t="str">
        <x:v>NO_PIT_FINANCIALS</x:v>
      </x:c>
      <x:c r="H454"/>
      <x:c r="I454" s="54" t="n">
        <x:v>44195</x:v>
      </x:c>
      <x:c r="J454" s="55" t="n">
        <x:v>48800</x:v>
      </x:c>
      <x:c r="K454" s="55" t="n">
        <x:v>248479840000</x:v>
      </x:c>
      <x:c r="L454" s="55" t="n">
        <x:v>5091800</x:v>
      </x:c>
      <x:c r="M454"/>
      <x:c r="N454"/>
      <x:c r="O454" s="54"/>
      <x:c r="P454"/>
      <x:c r="Q454"/>
      <x:c r="R454"/>
      <x:c r="S454"/>
      <x:c r="T454"/>
      <x:c r="U454" s="57"/>
      <x:c r="V454" s="57"/>
      <x:c r="W454"/>
      <x:c r="X454"/>
      <x:c r="Y454" s="38"/>
      <x:c r="Z454" s="38"/>
      <x:c r="AA454"/>
    </x:row>
    <x:row r="455">
      <x:c r="A455" s="54" t="n">
        <x:v>44196</x:v>
      </x:c>
      <x:c r="B455" t="n">
        <x:v>44196.624999988424</x:v>
      </x:c>
      <x:c r="C455" t="str">
        <x:v>226330</x:v>
      </x:c>
      <x:c r="D455" t="str">
        <x:v>신테카바이오</x:v>
      </x:c>
      <x:c r="E455" t="str">
        <x:v>KOSDAQ</x:v>
      </x:c>
      <x:c r="F455" t="str">
        <x:v>SMALL</x:v>
      </x:c>
      <x:c r="G455" t="str">
        <x:v>DCF_SCREENING_EXCLUSION</x:v>
      </x:c>
      <x:c r="H455" t="str">
        <x:v>NON_POSITIVE_ENTERPRISE_VALUE|NON_POSITIVE_TERMINAL_FCF</x:v>
      </x:c>
      <x:c r="I455" s="54" t="n">
        <x:v>44195</x:v>
      </x:c>
      <x:c r="J455" s="55" t="n">
        <x:v>23000</x:v>
      </x:c>
      <x:c r="K455" s="55" t="n">
        <x:v>307326368000</x:v>
      </x:c>
      <x:c r="L455" s="55" t="n">
        <x:v>13362016</x:v>
      </x:c>
      <x:c r="M455" t="str">
        <x:v>20200330002788</x:v>
      </x:c>
      <x:c r="N455" t="n">
        <x:v>43920.624999988424</x:v>
      </x:c>
      <x:c r="O455" s="54" t="n">
        <x:v>43830</x:v>
      </x:c>
      <x:c r="P455" t="str">
        <x:v>False</x:v>
      </x:c>
      <x:c r="Q455" t="str">
        <x:v>6daebb8f4beeea3517dda3da03a2c1c53b2f64b3b782ad5ddbc0ff0d294f0921</x:v>
      </x:c>
      <x:c r="R455" t="str">
        <x:v>1052b731fe0fc2d8419ea72409def3bfa12f94d43406a0e3034860f25ec72e53</x:v>
      </x:c>
      <x:c r="S455" t="n">
        <x:v>7</x:v>
      </x:c>
      <x:c r="T455" t="str">
        <x:v>2019-12-31</x:v>
      </x:c>
      <x:c r="U455" s="57" t="n">
        <x:v>1195.8737991917387</x:v>
      </x:c>
      <x:c r="V455" s="57" t="n">
        <x:v>-0.9480054869916635</x:v>
      </x:c>
      <x:c r="W455"/>
      <x:c r="X455"/>
      <x:c r="Y455" s="38" t="n">
        <x:v>0.6409090909090909</x:v>
      </x:c>
      <x:c r="Z455" s="38" t="n">
        <x:v>0.6264850986190418</x:v>
      </x:c>
      <x:c r="AA455" t="str">
        <x:v>NON_POSITIVE_ENTERPRISE_VALUE|NON_POSITIVE_TERMINAL_FCF</x:v>
      </x:c>
    </x:row>
    <x:row r="456">
      <x:c r="A456" s="54" t="n">
        <x:v>44196</x:v>
      </x:c>
      <x:c r="B456" t="n">
        <x:v>44196.624999988424</x:v>
      </x:c>
      <x:c r="C456" t="str">
        <x:v>215090</x:v>
      </x:c>
      <x:c r="D456" t="str">
        <x:v>솔디펜스</x:v>
      </x:c>
      <x:c r="E456" t="str">
        <x:v>KOSDAQ</x:v>
      </x:c>
      <x:c r="F456" t="str">
        <x:v>SMALL</x:v>
      </x:c>
      <x:c r="G456" t="str">
        <x:v>DCF_SCREENING_EXCLUSION</x:v>
      </x:c>
      <x:c r="H456" t="str">
        <x:v>NON_POSITIVE_ENTERPRISE_VALUE|NON_POSITIVE_EQUITY_VALUE|NON_POSITIVE_TERMINAL_FCF</x:v>
      </x:c>
      <x:c r="I456" s="54" t="n">
        <x:v>44195</x:v>
      </x:c>
      <x:c r="J456" s="55" t="n">
        <x:v>810</x:v>
      </x:c>
      <x:c r="K456" s="55" t="n">
        <x:v>21177228870</x:v>
      </x:c>
      <x:c r="L456" s="55" t="n">
        <x:v>26144727</x:v>
      </x:c>
      <x:c r="M456" t="str">
        <x:v>20200728000263</x:v>
      </x:c>
      <x:c r="N456" t="n">
        <x:v>44040.624999988424</x:v>
      </x:c>
      <x:c r="O456" s="54" t="n">
        <x:v>43830</x:v>
      </x:c>
      <x:c r="P456" t="str">
        <x:v>True</x:v>
      </x:c>
      <x:c r="Q456" t="str">
        <x:v>4d2c39613f9e0760129259fafaee49448a33e3cbb3e5f6c69da0d5dfef33da78</x:v>
      </x:c>
      <x:c r="R456" t="str">
        <x:v>2e97c817133509a65248dec80fa606568731db20067787d264d135e75637be22</x:v>
      </x:c>
      <x:c r="S456" t="n">
        <x:v>6</x:v>
      </x:c>
      <x:c r="T456" t="str">
        <x:v>2018-12-31|2019-12-31</x:v>
      </x:c>
      <x:c r="U456" s="57" t="n">
        <x:v>-527.2288089072475</x:v>
      </x:c>
      <x:c r="V456" s="57" t="n">
        <x:v>-1.6508997640830216</x:v>
      </x:c>
      <x:c r="W456"/>
      <x:c r="X456"/>
      <x:c r="Y456" s="38" t="n">
        <x:v>0.6409090909090909</x:v>
      </x:c>
      <x:c r="Z456" s="38" t="n">
        <x:v>0.5231366214978009</x:v>
      </x:c>
      <x:c r="AA456" t="str">
        <x:v>NON_POSITIVE_ENTERPRISE_VALUE|NON_POSITIVE_EQUITY_VALUE|NON_POSITIVE_TERMINAL_FCF</x:v>
      </x:c>
    </x:row>
    <x:row r="457">
      <x:c r="A457" s="54" t="n">
        <x:v>44196</x:v>
      </x:c>
      <x:c r="B457" t="n">
        <x:v>44196.624999988424</x:v>
      </x:c>
      <x:c r="C457" t="str">
        <x:v>185490</x:v>
      </x:c>
      <x:c r="D457" t="str">
        <x:v>아이진</x:v>
      </x:c>
      <x:c r="E457" t="str">
        <x:v>KOSDAQ</x:v>
      </x:c>
      <x:c r="F457" t="str">
        <x:v>SMALL</x:v>
      </x:c>
      <x:c r="G457" t="str">
        <x:v>DCF_SCREENING_EXCLUSION</x:v>
      </x:c>
      <x:c r="H457" t="str">
        <x:v>NON_POSITIVE_ENTERPRISE_VALUE|NON_POSITIVE_EQUITY_VALUE|NON_POSITIVE_TERMINAL_FCF</x:v>
      </x:c>
      <x:c r="I457" s="54" t="n">
        <x:v>44195</x:v>
      </x:c>
      <x:c r="J457" s="55" t="n">
        <x:v>12750</x:v>
      </x:c>
      <x:c r="K457" s="55" t="n">
        <x:v>148526649750</x:v>
      </x:c>
      <x:c r="L457" s="55" t="n">
        <x:v>11649149</x:v>
      </x:c>
      <x:c r="M457" t="str">
        <x:v>20200330004564</x:v>
      </x:c>
      <x:c r="N457" t="n">
        <x:v>43920.624999988424</x:v>
      </x:c>
      <x:c r="O457" s="54" t="n">
        <x:v>43830</x:v>
      </x:c>
      <x:c r="P457" t="str">
        <x:v>False</x:v>
      </x:c>
      <x:c r="Q457" t="str">
        <x:v>e7331e812233f02472153e9f9eb45fedaf58f470fc5259825ea470c89ee425f5</x:v>
      </x:c>
      <x:c r="R457" t="str">
        <x:v>095df92f85dd7397d3292171d983613617788dfa7501cc529ef5f750facc06c5</x:v>
      </x:c>
      <x:c r="S457" t="n">
        <x:v>5</x:v>
      </x:c>
      <x:c r="T457" t="str">
        <x:v>2018-12-31|2019-12-31</x:v>
      </x:c>
      <x:c r="U457" s="57" t="n">
        <x:v>-1808.3333166241607</x:v>
      </x:c>
      <x:c r="V457" s="57" t="n">
        <x:v>-1.1418300640489538</x:v>
      </x:c>
      <x:c r="W457"/>
      <x:c r="X457"/>
      <x:c r="Y457" s="38" t="n">
        <x:v>0.6409090909090909</x:v>
      </x:c>
      <x:c r="Z457" s="38" t="n">
        <x:v>0.6422566574366064</x:v>
      </x:c>
      <x:c r="AA457" t="str">
        <x:v>NON_POSITIVE_ENTERPRISE_VALUE|NON_POSITIVE_EQUITY_VALUE|NON_POSITIVE_TERMINAL_FCF</x:v>
      </x:c>
    </x:row>
    <x:row r="458">
      <x:c r="A458" s="54" t="n">
        <x:v>44196</x:v>
      </x:c>
      <x:c r="B458" t="n">
        <x:v>44196.624999988424</x:v>
      </x:c>
      <x:c r="C458" t="str">
        <x:v>333620</x:v>
      </x:c>
      <x:c r="D458" t="str">
        <x:v>엔시스</x:v>
      </x:c>
      <x:c r="E458" t="str">
        <x:v>KOSDAQ</x:v>
      </x:c>
      <x:c r="F458" t="str">
        <x:v>SMALL</x:v>
      </x:c>
      <x:c r="G458" t="str">
        <x:v>NOT_LISTED_OR_NO_PRICE</x:v>
      </x:c>
      <x:c r="H458"/>
      <x:c r="I458" s="54"/>
      <x:c r="J458" s="55"/>
      <x:c r="K458" s="55"/>
      <x:c r="L458" s="55"/>
      <x:c r="M458"/>
      <x:c r="N458"/>
      <x:c r="O458" s="54"/>
      <x:c r="P458"/>
      <x:c r="Q458"/>
      <x:c r="R458"/>
      <x:c r="S458"/>
      <x:c r="T458"/>
      <x:c r="U458" s="57"/>
      <x:c r="V458" s="57"/>
      <x:c r="W458"/>
      <x:c r="X458"/>
      <x:c r="Y458" s="38"/>
      <x:c r="Z458" s="38"/>
      <x:c r="AA458"/>
    </x:row>
    <x:row r="459">
      <x:c r="A459" s="54" t="n">
        <x:v>44196</x:v>
      </x:c>
      <x:c r="B459" t="n">
        <x:v>44196.624999988424</x:v>
      </x:c>
      <x:c r="C459" t="str">
        <x:v>036710</x:v>
      </x:c>
      <x:c r="D459" t="str">
        <x:v>심텍홀딩스</x:v>
      </x:c>
      <x:c r="E459" t="str">
        <x:v>KOSDAQ</x:v>
      </x:c>
      <x:c r="F459" t="str">
        <x:v>SMALL</x:v>
      </x:c>
      <x:c r="G459" t="str">
        <x:v>EXCLUDED_ARCHETYPE</x:v>
      </x:c>
      <x:c r="H459" t="str">
        <x:v>FCFF_NOT_COMPARABLE_FOR_FINANCE_OR_HOLDING_HINT</x:v>
      </x:c>
      <x:c r="I459" s="54"/>
      <x:c r="J459" s="55"/>
      <x:c r="K459" s="55"/>
      <x:c r="L459" s="55"/>
      <x:c r="M459"/>
      <x:c r="N459"/>
      <x:c r="O459" s="54"/>
      <x:c r="P459"/>
      <x:c r="Q459"/>
      <x:c r="R459"/>
      <x:c r="S459"/>
      <x:c r="T459"/>
      <x:c r="U459" s="57"/>
      <x:c r="V459" s="57"/>
      <x:c r="W459"/>
      <x:c r="X459"/>
      <x:c r="Y459" s="38"/>
      <x:c r="Z459" s="38"/>
      <x:c r="AA459"/>
    </x:row>
    <x:row r="460">
      <x:c r="A460" s="54" t="n">
        <x:v>44196</x:v>
      </x:c>
      <x:c r="B460" t="n">
        <x:v>44196.624999988424</x:v>
      </x:c>
      <x:c r="C460" t="str">
        <x:v>049480</x:v>
      </x:c>
      <x:c r="D460" t="str">
        <x:v>오픈베이스</x:v>
      </x:c>
      <x:c r="E460" t="str">
        <x:v>KOSDAQ</x:v>
      </x:c>
      <x:c r="F460" t="str">
        <x:v>SMALL</x:v>
      </x:c>
      <x:c r="G460" t="str">
        <x:v>DCF_SCREENING_EXCLUSION</x:v>
      </x:c>
      <x:c r="H460" t="str">
        <x:v>NON_POSITIVE_ENTERPRISE_VALUE|NON_POSITIVE_TERMINAL_FCF|UNRELIABLE_TERMINAL_VALUE_SHARE</x:v>
      </x:c>
      <x:c r="I460" s="54" t="n">
        <x:v>44195</x:v>
      </x:c>
      <x:c r="J460" s="55" t="n">
        <x:v>3230</x:v>
      </x:c>
      <x:c r="K460" s="55" t="n">
        <x:v>101494297090</x:v>
      </x:c>
      <x:c r="L460" s="55" t="n">
        <x:v>31422383</x:v>
      </x:c>
      <x:c r="M460" t="str">
        <x:v>20200330002421</x:v>
      </x:c>
      <x:c r="N460" t="n">
        <x:v>43920.624999988424</x:v>
      </x:c>
      <x:c r="O460" s="54" t="n">
        <x:v>43830</x:v>
      </x:c>
      <x:c r="P460" t="str">
        <x:v>False</x:v>
      </x:c>
      <x:c r="Q460" t="str">
        <x:v>a80a1e04d75a6cf279cedcc018265987ab81e0b440daf2631cfaf8d327a7d2b8</x:v>
      </x:c>
      <x:c r="R460" t="str">
        <x:v>8fc8dd8b71f7cc0fddace493c9cc4e00cd3df9a0f540034dd8e8d02658b25113</x:v>
      </x:c>
      <x:c r="S460" t="n">
        <x:v>6</x:v>
      </x:c>
      <x:c r="T460" t="str">
        <x:v>2018-12-31|2019-12-31</x:v>
      </x:c>
      <x:c r="U460" s="57" t="n">
        <x:v>165.67116845342238</x:v>
      </x:c>
      <x:c r="V460" s="57" t="n">
        <x:v>-0.9487086165778879</x:v>
      </x:c>
      <x:c r="W460"/>
      <x:c r="X460"/>
      <x:c r="Y460" s="38" t="n">
        <x:v>0.6409090909090909</x:v>
      </x:c>
      <x:c r="Z460" s="38" t="n">
        <x:v>132.0632423192667</x:v>
      </x:c>
      <x:c r="AA460" t="str">
        <x:v>NON_POSITIVE_ENTERPRISE_VALUE|NON_POSITIVE_TERMINAL_FCF|UNRELIABLE_TERMINAL_VALUE_SHARE</x:v>
      </x:c>
    </x:row>
    <x:row r="461">
      <x:c r="A461" s="54" t="n">
        <x:v>44196</x:v>
      </x:c>
      <x:c r="B461" t="n">
        <x:v>44196.624999988424</x:v>
      </x:c>
      <x:c r="C461" t="str">
        <x:v>302430</x:v>
      </x:c>
      <x:c r="D461" t="str">
        <x:v>이노메트리</x:v>
      </x:c>
      <x:c r="E461" t="str">
        <x:v>KOSDAQ</x:v>
      </x:c>
      <x:c r="F461" t="str">
        <x:v>SMALL</x:v>
      </x:c>
      <x:c r="G461" t="str">
        <x:v>ELIGIBLE</x:v>
      </x:c>
      <x:c r="H461"/>
      <x:c r="I461" s="54" t="n">
        <x:v>44195</x:v>
      </x:c>
      <x:c r="J461" s="55" t="n">
        <x:v>21100</x:v>
      </x:c>
      <x:c r="K461" s="55" t="n">
        <x:v>203619557600</x:v>
      </x:c>
      <x:c r="L461" s="55" t="n">
        <x:v>9650216</x:v>
      </x:c>
      <x:c r="M461" t="str">
        <x:v>20200327001949</x:v>
      </x:c>
      <x:c r="N461" t="n">
        <x:v>43917.624999988424</x:v>
      </x:c>
      <x:c r="O461" s="54" t="n">
        <x:v>43830</x:v>
      </x:c>
      <x:c r="P461" t="str">
        <x:v>False</x:v>
      </x:c>
      <x:c r="Q461" t="str">
        <x:v>9439fe9eee7e7027087c8aac09f236db02b328d3f48a7762ddc282e722916be6</x:v>
      </x:c>
      <x:c r="R461" t="str">
        <x:v>a0543e65ba4dcb52330531b24f2a6f526b9b7313f55a60e09c1593ff529413bc</x:v>
      </x:c>
      <x:c r="S461" t="n">
        <x:v>6</x:v>
      </x:c>
      <x:c r="T461" t="str">
        <x:v>2018-12-31|2019-12-31</x:v>
      </x:c>
      <x:c r="U461" s="57" t="n">
        <x:v>4196.108244323621</x:v>
      </x:c>
      <x:c r="V461" s="57" t="n">
        <x:v>-0.801132310695563</x:v>
      </x:c>
      <x:c r="W461" t="n">
        <x:v>51</x:v>
      </x:c>
      <x:c r="X461" t="n">
        <x:v>4</x:v>
      </x:c>
      <x:c r="Y461" s="38" t="n">
        <x:v>0.6409090909090909</x:v>
      </x:c>
      <x:c r="Z461" s="38" t="n">
        <x:v>0.654245628778656</x:v>
      </x:c>
      <x:c r="AA461"/>
    </x:row>
    <x:row r="462">
      <x:c r="A462" s="54" t="n">
        <x:v>44196</x:v>
      </x:c>
      <x:c r="B462" t="n">
        <x:v>44196.624999988424</x:v>
      </x:c>
      <x:c r="C462" t="str">
        <x:v>288620</x:v>
      </x:c>
      <x:c r="D462" t="str">
        <x:v>에스퓨얼셀</x:v>
      </x:c>
      <x:c r="E462" t="str">
        <x:v>KOSDAQ</x:v>
      </x:c>
      <x:c r="F462" t="str">
        <x:v>SMALL</x:v>
      </x:c>
      <x:c r="G462" t="str">
        <x:v>DCF_SCREENING_EXCLUSION</x:v>
      </x:c>
      <x:c r="H462" t="str">
        <x:v>UNRELIABLE_TERMINAL_VALUE_SHARE</x:v>
      </x:c>
      <x:c r="I462" s="54" t="n">
        <x:v>44195</x:v>
      </x:c>
      <x:c r="J462" s="55" t="n">
        <x:v>37300</x:v>
      </x:c>
      <x:c r="K462" s="55" t="n">
        <x:v>214262986800</x:v>
      </x:c>
      <x:c r="L462" s="55" t="n">
        <x:v>5744316</x:v>
      </x:c>
      <x:c r="M462" t="str">
        <x:v>20200330004143</x:v>
      </x:c>
      <x:c r="N462" t="n">
        <x:v>43920.624999988424</x:v>
      </x:c>
      <x:c r="O462" s="54" t="n">
        <x:v>43830</x:v>
      </x:c>
      <x:c r="P462" t="str">
        <x:v>False</x:v>
      </x:c>
      <x:c r="Q462" t="str">
        <x:v>7434c53b7d28e7d6824609c979bc19f88a71849df366c5c682c6ff2ee0402435</x:v>
      </x:c>
      <x:c r="R462" t="str">
        <x:v>0c0cea23382728c122dd388b34cfdf35e1dd29bed5364809d3f4462aae932258</x:v>
      </x:c>
      <x:c r="S462" t="n">
        <x:v>6</x:v>
      </x:c>
      <x:c r="T462" t="str">
        <x:v>2018-12-31|2019-12-31</x:v>
      </x:c>
      <x:c r="U462" s="57" t="n">
        <x:v>617.2510382636931</x:v>
      </x:c>
      <x:c r="V462" s="57" t="n">
        <x:v>-0.9834517147918581</x:v>
      </x:c>
      <x:c r="W462"/>
      <x:c r="X462"/>
      <x:c r="Y462" s="38" t="n">
        <x:v>0.6409090909090909</x:v>
      </x:c>
      <x:c r="Z462" s="38" t="n">
        <x:v>0.982965917448867</x:v>
      </x:c>
      <x:c r="AA462" t="str">
        <x:v>UNRELIABLE_TERMINAL_VALUE_SHARE</x:v>
      </x:c>
    </x:row>
    <x:row r="463">
      <x:c r="A463" s="54" t="n">
        <x:v>44196</x:v>
      </x:c>
      <x:c r="B463" t="n">
        <x:v>44196.624999988424</x:v>
      </x:c>
      <x:c r="C463" t="str">
        <x:v>094840</x:v>
      </x:c>
      <x:c r="D463" t="str">
        <x:v>슈프리마에이치큐</x:v>
      </x:c>
      <x:c r="E463" t="str">
        <x:v>KOSDAQ</x:v>
      </x:c>
      <x:c r="F463" t="str">
        <x:v>SMALL</x:v>
      </x:c>
      <x:c r="G463" t="str">
        <x:v>ELIGIBLE</x:v>
      </x:c>
      <x:c r="H463"/>
      <x:c r="I463" s="54" t="n">
        <x:v>44195</x:v>
      </x:c>
      <x:c r="J463" s="55" t="n">
        <x:v>7540</x:v>
      </x:c>
      <x:c r="K463" s="55" t="n">
        <x:v>78957673600</x:v>
      </x:c>
      <x:c r="L463" s="55" t="n">
        <x:v>10471840</x:v>
      </x:c>
      <x:c r="M463" t="str">
        <x:v>20200407002394</x:v>
      </x:c>
      <x:c r="N463" t="n">
        <x:v>43928.624999988424</x:v>
      </x:c>
      <x:c r="O463" s="54" t="n">
        <x:v>43830</x:v>
      </x:c>
      <x:c r="P463" t="str">
        <x:v>True</x:v>
      </x:c>
      <x:c r="Q463" t="str">
        <x:v>a3f89608e644eb6ff0639c198306cd340a5a8114c9decdfc85db2a2bd9ded52c</x:v>
      </x:c>
      <x:c r="R463" t="str">
        <x:v>7eae6391321b1e1f1afce974d81dd270324ad40ec6663e40acdec085b0439564</x:v>
      </x:c>
      <x:c r="S463" t="n">
        <x:v>6</x:v>
      </x:c>
      <x:c r="T463" t="str">
        <x:v>2018-12-31|2019-12-31</x:v>
      </x:c>
      <x:c r="U463" s="57" t="n">
        <x:v>2903.3884132538665</x:v>
      </x:c>
      <x:c r="V463" s="57" t="n">
        <x:v>-0.6149352237063838</x:v>
      </x:c>
      <x:c r="W463" t="n">
        <x:v>39</x:v>
      </x:c>
      <x:c r="X463" t="n">
        <x:v>4</x:v>
      </x:c>
      <x:c r="Y463" s="38" t="n">
        <x:v>0.6409090909090909</x:v>
      </x:c>
      <x:c r="Z463" s="38" t="n">
        <x:v>0.6640299967652187</x:v>
      </x:c>
      <x:c r="AA463"/>
    </x:row>
    <x:row r="464">
      <x:c r="A464" s="54" t="n">
        <x:v>44196</x:v>
      </x:c>
      <x:c r="B464" t="n">
        <x:v>44196.624999988424</x:v>
      </x:c>
      <x:c r="C464" t="str">
        <x:v>019990</x:v>
      </x:c>
      <x:c r="D464" t="str">
        <x:v>에너토크</x:v>
      </x:c>
      <x:c r="E464" t="str">
        <x:v>KOSDAQ</x:v>
      </x:c>
      <x:c r="F464" t="str">
        <x:v>SMALL</x:v>
      </x:c>
      <x:c r="G464" t="str">
        <x:v>DCF_SCREENING_EXCLUSION</x:v>
      </x:c>
      <x:c r="H464" t="str">
        <x:v>NON_POSITIVE_ENTERPRISE_VALUE|NON_POSITIVE_EQUITY_VALUE|NON_POSITIVE_TERMINAL_FCF</x:v>
      </x:c>
      <x:c r="I464" s="54" t="n">
        <x:v>44195</x:v>
      </x:c>
      <x:c r="J464" s="55" t="n">
        <x:v>4215</x:v>
      </x:c>
      <x:c r="K464" s="55" t="n">
        <x:v>41121910920</x:v>
      </x:c>
      <x:c r="L464" s="55" t="n">
        <x:v>9756088</x:v>
      </x:c>
      <x:c r="M464" t="str">
        <x:v>20200330001788</x:v>
      </x:c>
      <x:c r="N464" t="n">
        <x:v>43920.624999988424</x:v>
      </x:c>
      <x:c r="O464" s="54" t="n">
        <x:v>43830</x:v>
      </x:c>
      <x:c r="P464" t="str">
        <x:v>False</x:v>
      </x:c>
      <x:c r="Q464" t="str">
        <x:v>f2e2396ad6831135dea94697f5e2ed05be027bcbc6fd7f725b66ee39afb94a22</x:v>
      </x:c>
      <x:c r="R464" t="str">
        <x:v>f7893d7a7a04135bbf21a2e2e4878fa7ed6695df6bfc13fcb336eac4f1109c29</x:v>
      </x:c>
      <x:c r="S464" t="n">
        <x:v>7</x:v>
      </x:c>
      <x:c r="T464" t="str">
        <x:v>2018-12-31|2019-12-31</x:v>
      </x:c>
      <x:c r="U464" s="57" t="n">
        <x:v>-309.37462625571885</x:v>
      </x:c>
      <x:c r="V464" s="57" t="n">
        <x:v>-1.0733984878424008</x:v>
      </x:c>
      <x:c r="W464"/>
      <x:c r="X464"/>
      <x:c r="Y464" s="38" t="n">
        <x:v>0.6409090909090909</x:v>
      </x:c>
      <x:c r="Z464" s="38" t="n">
        <x:v>0.5445814290277464</x:v>
      </x:c>
      <x:c r="AA464" t="str">
        <x:v>NON_POSITIVE_ENTERPRISE_VALUE|NON_POSITIVE_EQUITY_VALUE|NON_POSITIVE_TERMINAL_FCF</x:v>
      </x:c>
    </x:row>
    <x:row r="465">
      <x:c r="A465" s="54" t="n">
        <x:v>44196</x:v>
      </x:c>
      <x:c r="B465" t="n">
        <x:v>44196.624999988424</x:v>
      </x:c>
      <x:c r="C465" t="str">
        <x:v>024740</x:v>
      </x:c>
      <x:c r="D465" t="str">
        <x:v>한일단조</x:v>
      </x:c>
      <x:c r="E465" t="str">
        <x:v>KOSDAQ</x:v>
      </x:c>
      <x:c r="F465" t="str">
        <x:v>SMALL</x:v>
      </x:c>
      <x:c r="G465" t="str">
        <x:v>DCF_SCREENING_EXCLUSION</x:v>
      </x:c>
      <x:c r="H465" t="str">
        <x:v>NON_POSITIVE_ENTERPRISE_VALUE|NON_POSITIVE_EQUITY_VALUE|NON_POSITIVE_TERMINAL_FCF</x:v>
      </x:c>
      <x:c r="I465" s="54" t="n">
        <x:v>44195</x:v>
      </x:c>
      <x:c r="J465" s="55" t="n">
        <x:v>1915</x:v>
      </x:c>
      <x:c r="K465" s="55" t="n">
        <x:v>57241893120</x:v>
      </x:c>
      <x:c r="L465" s="55" t="n">
        <x:v>29891328</x:v>
      </x:c>
      <x:c r="M465" t="str">
        <x:v>20200330001710</x:v>
      </x:c>
      <x:c r="N465" t="n">
        <x:v>43920.624999988424</x:v>
      </x:c>
      <x:c r="O465" s="54" t="n">
        <x:v>43830</x:v>
      </x:c>
      <x:c r="P465" t="str">
        <x:v>False</x:v>
      </x:c>
      <x:c r="Q465" t="str">
        <x:v>d15e948aa9dfe94fbd968cd0dae581849a839f3ef47e6a407973ebc195b6f374</x:v>
      </x:c>
      <x:c r="R465" t="str">
        <x:v>78446e23cb8a76ce3efd073c15c4a71203d3c7c8bd55b4f2ae85b3a04229b857</x:v>
      </x:c>
      <x:c r="S465" t="n">
        <x:v>7</x:v>
      </x:c>
      <x:c r="T465" t="str">
        <x:v>2018-12-31|2019-12-31</x:v>
      </x:c>
      <x:c r="U465" s="57" t="n">
        <x:v>-3038.605511049091</x:v>
      </x:c>
      <x:c r="V465" s="57" t="n">
        <x:v>-2.586739170260622</x:v>
      </x:c>
      <x:c r="W465"/>
      <x:c r="X465"/>
      <x:c r="Y465" s="38" t="n">
        <x:v>0.6409090909090909</x:v>
      </x:c>
      <x:c r="Z465" s="38" t="n">
        <x:v>0.7128505204548261</x:v>
      </x:c>
      <x:c r="AA465" t="str">
        <x:v>NON_POSITIVE_ENTERPRISE_VALUE|NON_POSITIVE_EQUITY_VALUE|NON_POSITIVE_TERMINAL_FCF</x:v>
      </x:c>
    </x:row>
    <x:row r="466">
      <x:c r="A466" s="54" t="n">
        <x:v>44196</x:v>
      </x:c>
      <x:c r="B466" t="n">
        <x:v>44196.624999988424</x:v>
      </x:c>
      <x:c r="C466" t="str">
        <x:v>340930</x:v>
      </x:c>
      <x:c r="D466" t="str">
        <x:v>유일에너테크</x:v>
      </x:c>
      <x:c r="E466" t="str">
        <x:v>KOSDAQ</x:v>
      </x:c>
      <x:c r="F466" t="str">
        <x:v>SMALL</x:v>
      </x:c>
      <x:c r="G466" t="str">
        <x:v>NOT_LISTED_OR_NO_PRICE</x:v>
      </x:c>
      <x:c r="H466"/>
      <x:c r="I466" s="54"/>
      <x:c r="J466" s="55"/>
      <x:c r="K466" s="55"/>
      <x:c r="L466" s="55"/>
      <x:c r="M466"/>
      <x:c r="N466"/>
      <x:c r="O466" s="54"/>
      <x:c r="P466"/>
      <x:c r="Q466"/>
      <x:c r="R466"/>
      <x:c r="S466"/>
      <x:c r="T466"/>
      <x:c r="U466" s="57"/>
      <x:c r="V466" s="57"/>
      <x:c r="W466"/>
      <x:c r="X466"/>
      <x:c r="Y466" s="38"/>
      <x:c r="Z466" s="38"/>
      <x:c r="AA466"/>
    </x:row>
    <x:row r="467">
      <x:c r="A467" s="54" t="n">
        <x:v>44196</x:v>
      </x:c>
      <x:c r="B467" t="n">
        <x:v>44196.624999988424</x:v>
      </x:c>
      <x:c r="C467" t="str">
        <x:v>057030</x:v>
      </x:c>
      <x:c r="D467" t="str">
        <x:v>YBM넷</x:v>
      </x:c>
      <x:c r="E467" t="str">
        <x:v>KOSDAQ</x:v>
      </x:c>
      <x:c r="F467" t="str">
        <x:v>SMALL</x:v>
      </x:c>
      <x:c r="G467" t="str">
        <x:v>ELIGIBLE</x:v>
      </x:c>
      <x:c r="H467"/>
      <x:c r="I467" s="54" t="n">
        <x:v>44195</x:v>
      </x:c>
      <x:c r="J467" s="55" t="n">
        <x:v>8610</x:v>
      </x:c>
      <x:c r="K467" s="55" t="n">
        <x:v>140452321170</x:v>
      </x:c>
      <x:c r="L467" s="55" t="n">
        <x:v>16312697</x:v>
      </x:c>
      <x:c r="M467" t="str">
        <x:v>20200330002871</x:v>
      </x:c>
      <x:c r="N467" t="n">
        <x:v>43920.624999988424</x:v>
      </x:c>
      <x:c r="O467" s="54" t="n">
        <x:v>43830</x:v>
      </x:c>
      <x:c r="P467" t="str">
        <x:v>False</x:v>
      </x:c>
      <x:c r="Q467" t="str">
        <x:v>31bfa98f3484f6e39f01291319bd7997853a67bb35d73559fb8f28fcccbc1709</x:v>
      </x:c>
      <x:c r="R467" t="str">
        <x:v>21915651b2c89caf18110e90c277571770e447f5f8360d31f38649cb509448fa</x:v>
      </x:c>
      <x:c r="S467" t="n">
        <x:v>6</x:v>
      </x:c>
      <x:c r="T467" t="str">
        <x:v>2018-12-31|2019-12-31</x:v>
      </x:c>
      <x:c r="U467" s="57" t="n">
        <x:v>250.81223785625028</x:v>
      </x:c>
      <x:c r="V467" s="57" t="n">
        <x:v>-0.9708696587855691</x:v>
      </x:c>
      <x:c r="W467" t="n">
        <x:v>62</x:v>
      </x:c>
      <x:c r="X467" t="n">
        <x:v>5</x:v>
      </x:c>
      <x:c r="Y467" s="38" t="n">
        <x:v>0.6409090909090909</x:v>
      </x:c>
      <x:c r="Z467" s="38" t="n">
        <x:v>0.5055006343771669</x:v>
      </x:c>
      <x:c r="AA467"/>
    </x:row>
    <x:row r="468">
      <x:c r="A468" s="54" t="n">
        <x:v>44196</x:v>
      </x:c>
      <x:c r="B468" t="n">
        <x:v>44196.624999988424</x:v>
      </x:c>
      <x:c r="C468" t="str">
        <x:v>053160</x:v>
      </x:c>
      <x:c r="D468" t="str">
        <x:v>프리엠스</x:v>
      </x:c>
      <x:c r="E468" t="str">
        <x:v>KOSDAQ</x:v>
      </x:c>
      <x:c r="F468" t="str">
        <x:v>SMALL</x:v>
      </x:c>
      <x:c r="G468" t="str">
        <x:v>DCF_SCREENING_EXCLUSION</x:v>
      </x:c>
      <x:c r="H468" t="str">
        <x:v>UNRELIABLE_TERMINAL_VALUE_SHARE</x:v>
      </x:c>
      <x:c r="I468" s="54" t="n">
        <x:v>44195</x:v>
      </x:c>
      <x:c r="J468" s="55" t="n">
        <x:v>16300</x:v>
      </x:c>
      <x:c r="K468" s="55" t="n">
        <x:v>97800000000</x:v>
      </x:c>
      <x:c r="L468" s="55" t="n">
        <x:v>6000000</x:v>
      </x:c>
      <x:c r="M468" t="str">
        <x:v>20200330000416</x:v>
      </x:c>
      <x:c r="N468" t="n">
        <x:v>43920.624999988424</x:v>
      </x:c>
      <x:c r="O468" s="54" t="n">
        <x:v>43830</x:v>
      </x:c>
      <x:c r="P468" t="str">
        <x:v>False</x:v>
      </x:c>
      <x:c r="Q468" t="str">
        <x:v>b8d8d57690688396554de3a51b42deab1fbc22dae9ba62af4b83812081529be9</x:v>
      </x:c>
      <x:c r="R468" t="str">
        <x:v>119800ddc8d32cf6b2b081a667caada1ac28788814c9a2944ba8da87888bf3a3</x:v>
      </x:c>
      <x:c r="S468" t="n">
        <x:v>7</x:v>
      </x:c>
      <x:c r="T468" t="str">
        <x:v>2018-12-31|2019-12-31</x:v>
      </x:c>
      <x:c r="U468" s="57" t="n">
        <x:v>142.32722732995737</x:v>
      </x:c>
      <x:c r="V468" s="57" t="n">
        <x:v>-0.9912682682619658</x:v>
      </x:c>
      <x:c r="W468"/>
      <x:c r="X468"/>
      <x:c r="Y468" s="38" t="n">
        <x:v>0.6409090909090909</x:v>
      </x:c>
      <x:c r="Z468" s="38" t="n">
        <x:v>1.219784346278681</x:v>
      </x:c>
      <x:c r="AA468" t="str">
        <x:v>UNRELIABLE_TERMINAL_VALUE_SHARE</x:v>
      </x:c>
    </x:row>
    <x:row r="469">
      <x:c r="A469" s="54" t="n">
        <x:v>44196</x:v>
      </x:c>
      <x:c r="B469" t="n">
        <x:v>44196.624999988424</x:v>
      </x:c>
      <x:c r="C469" t="str">
        <x:v>038620</x:v>
      </x:c>
      <x:c r="D469" t="str">
        <x:v>위즈코프</x:v>
      </x:c>
      <x:c r="E469" t="str">
        <x:v>KOSDAQ</x:v>
      </x:c>
      <x:c r="F469" t="str">
        <x:v>SMALL</x:v>
      </x:c>
      <x:c r="G469" t="str">
        <x:v>ELIGIBLE</x:v>
      </x:c>
      <x:c r="H469"/>
      <x:c r="I469" s="54" t="n">
        <x:v>44195</x:v>
      </x:c>
      <x:c r="J469" s="55" t="n">
        <x:v>1425</x:v>
      </x:c>
      <x:c r="K469" s="55" t="n">
        <x:v>55333850100</x:v>
      </x:c>
      <x:c r="L469" s="55" t="n">
        <x:v>38830772</x:v>
      </x:c>
      <x:c r="M469" t="str">
        <x:v>20200330003512</x:v>
      </x:c>
      <x:c r="N469" t="n">
        <x:v>43920.624999988424</x:v>
      </x:c>
      <x:c r="O469" s="54" t="n">
        <x:v>43830</x:v>
      </x:c>
      <x:c r="P469" t="str">
        <x:v>False</x:v>
      </x:c>
      <x:c r="Q469" t="str">
        <x:v>0be21a4afbbce00f84fbac53bc2c696c7b14834ea8be19a4e7b4c345190d050f</x:v>
      </x:c>
      <x:c r="R469" t="str">
        <x:v>9352fd7f0b93a3069f8c48b36974d51f96b14f9af18d42251c468565da6460ab</x:v>
      </x:c>
      <x:c r="S469" t="n">
        <x:v>5</x:v>
      </x:c>
      <x:c r="T469" t="str">
        <x:v>2018-12-31|2019-12-31</x:v>
      </x:c>
      <x:c r="U469" s="57" t="n">
        <x:v>282.9420430892279</x:v>
      </x:c>
      <x:c r="V469" s="57" t="n">
        <x:v>-0.8014441802882611</x:v>
      </x:c>
      <x:c r="W469" t="n">
        <x:v>52</x:v>
      </x:c>
      <x:c r="X469" t="n">
        <x:v>5</x:v>
      </x:c>
      <x:c r="Y469" s="38" t="n">
        <x:v>0.6409090909090909</x:v>
      </x:c>
      <x:c r="Z469" s="38" t="n">
        <x:v>0.5351541615818943</x:v>
      </x:c>
      <x:c r="AA469"/>
    </x:row>
    <x:row r="470">
      <x:c r="A470" s="54" t="n">
        <x:v>44196</x:v>
      </x:c>
      <x:c r="B470" t="n">
        <x:v>44196.624999988424</x:v>
      </x:c>
      <x:c r="C470" t="str">
        <x:v>313760</x:v>
      </x:c>
      <x:c r="D470" t="str">
        <x:v>캐리</x:v>
      </x:c>
      <x:c r="E470" t="str">
        <x:v>KOSDAQ</x:v>
      </x:c>
      <x:c r="F470" t="str">
        <x:v>SMALL</x:v>
      </x:c>
      <x:c r="G470" t="str">
        <x:v>ELIGIBLE</x:v>
      </x:c>
      <x:c r="H470"/>
      <x:c r="I470" s="54" t="n">
        <x:v>44195</x:v>
      </x:c>
      <x:c r="J470" s="55" t="n">
        <x:v>16300</x:v>
      </x:c>
      <x:c r="K470" s="55" t="n">
        <x:v>79250600000</x:v>
      </x:c>
      <x:c r="L470" s="55" t="n">
        <x:v>4862000</x:v>
      </x:c>
      <x:c r="M470" t="str">
        <x:v>20200330001096</x:v>
      </x:c>
      <x:c r="N470" t="n">
        <x:v>43920.624999988424</x:v>
      </x:c>
      <x:c r="O470" s="54" t="n">
        <x:v>43830</x:v>
      </x:c>
      <x:c r="P470" t="str">
        <x:v>False</x:v>
      </x:c>
      <x:c r="Q470" t="str">
        <x:v>5eaf0d13b8aa602f0473d18b94ec4985e2122f7d7f192c687da13bed10975db5</x:v>
      </x:c>
      <x:c r="R470" t="str">
        <x:v>adc6b1b633668d036c516f5c32b7415d332ccaccfea5831ebea865a1d3bb1d82</x:v>
      </x:c>
      <x:c r="S470" t="n">
        <x:v>5</x:v>
      </x:c>
      <x:c r="T470" t="str">
        <x:v>2019-12-31</x:v>
      </x:c>
      <x:c r="U470" s="57" t="n">
        <x:v>4050.8466663379677</x:v>
      </x:c>
      <x:c r="V470" s="57" t="n">
        <x:v>-0.7514817996111676</x:v>
      </x:c>
      <x:c r="W470" t="n">
        <x:v>48</x:v>
      </x:c>
      <x:c r="X470" t="n">
        <x:v>4</x:v>
      </x:c>
      <x:c r="Y470" s="38" t="n">
        <x:v>0.6409090909090909</x:v>
      </x:c>
      <x:c r="Z470" s="38" t="n">
        <x:v>0.6264850986190418</x:v>
      </x:c>
      <x:c r="AA470"/>
    </x:row>
    <x:row r="471">
      <x:c r="A471" s="54" t="n">
        <x:v>44196</x:v>
      </x:c>
      <x:c r="B471" t="n">
        <x:v>44196.624999988424</x:v>
      </x:c>
      <x:c r="C471" t="str">
        <x:v>372800</x:v>
      </x:c>
      <x:c r="D471" t="str">
        <x:v>아이티아이즈</x:v>
      </x:c>
      <x:c r="E471" t="str">
        <x:v>KOSDAQ</x:v>
      </x:c>
      <x:c r="F471" t="str">
        <x:v>SMALL</x:v>
      </x:c>
      <x:c r="G471" t="str">
        <x:v>NOT_LISTED_OR_NO_PRICE</x:v>
      </x:c>
      <x:c r="H471"/>
      <x:c r="I471" s="54"/>
      <x:c r="J471" s="55"/>
      <x:c r="K471" s="55"/>
      <x:c r="L471" s="55"/>
      <x:c r="M471"/>
      <x:c r="N471"/>
      <x:c r="O471" s="54"/>
      <x:c r="P471"/>
      <x:c r="Q471"/>
      <x:c r="R471"/>
      <x:c r="S471"/>
      <x:c r="T471"/>
      <x:c r="U471" s="57"/>
      <x:c r="V471" s="57"/>
      <x:c r="W471"/>
      <x:c r="X471"/>
      <x:c r="Y471" s="38"/>
      <x:c r="Z471" s="38"/>
      <x:c r="AA471"/>
    </x:row>
    <x:row r="472">
      <x:c r="A472" s="54" t="n">
        <x:v>44196</x:v>
      </x:c>
      <x:c r="B472" t="n">
        <x:v>44196.624999988424</x:v>
      </x:c>
      <x:c r="C472" t="str">
        <x:v>332290</x:v>
      </x:c>
      <x:c r="D472" t="str">
        <x:v>누보</x:v>
      </x:c>
      <x:c r="E472" t="str">
        <x:v>KOSDAQ</x:v>
      </x:c>
      <x:c r="F472" t="str">
        <x:v>SMALL</x:v>
      </x:c>
      <x:c r="G472" t="str">
        <x:v>NO_PIT_FINANCIALS</x:v>
      </x:c>
      <x:c r="H472"/>
      <x:c r="I472" s="54" t="n">
        <x:v>44195</x:v>
      </x:c>
      <x:c r="J472" s="55" t="n">
        <x:v>2130</x:v>
      </x:c>
      <x:c r="K472" s="55" t="n">
        <x:v>11086650000</x:v>
      </x:c>
      <x:c r="L472" s="55" t="n">
        <x:v>5205000</x:v>
      </x:c>
      <x:c r="M472"/>
      <x:c r="N472"/>
      <x:c r="O472" s="54"/>
      <x:c r="P472"/>
      <x:c r="Q472"/>
      <x:c r="R472"/>
      <x:c r="S472"/>
      <x:c r="T472"/>
      <x:c r="U472" s="57"/>
      <x:c r="V472" s="57"/>
      <x:c r="W472"/>
      <x:c r="X472"/>
      <x:c r="Y472" s="38"/>
      <x:c r="Z472" s="38"/>
      <x:c r="AA472"/>
    </x:row>
    <x:row r="473">
      <x:c r="A473" s="54" t="n">
        <x:v>44196</x:v>
      </x:c>
      <x:c r="B473" t="n">
        <x:v>44196.624999988424</x:v>
      </x:c>
      <x:c r="C473" t="str">
        <x:v>059100</x:v>
      </x:c>
      <x:c r="D473" t="str">
        <x:v>아이컴포넌트</x:v>
      </x:c>
      <x:c r="E473" t="str">
        <x:v>KOSDAQ</x:v>
      </x:c>
      <x:c r="F473" t="str">
        <x:v>SMALL</x:v>
      </x:c>
      <x:c r="G473" t="str">
        <x:v>DCF_SCREENING_EXCLUSION</x:v>
      </x:c>
      <x:c r="H473" t="str">
        <x:v>NON_POSITIVE_EQUITY_VALUE</x:v>
      </x:c>
      <x:c r="I473" s="54" t="n">
        <x:v>44195</x:v>
      </x:c>
      <x:c r="J473" s="55" t="n">
        <x:v>4400</x:v>
      </x:c>
      <x:c r="K473" s="55" t="n">
        <x:v>31111784000</x:v>
      </x:c>
      <x:c r="L473" s="55" t="n">
        <x:v>7070860</x:v>
      </x:c>
      <x:c r="M473" t="str">
        <x:v>20200327000138</x:v>
      </x:c>
      <x:c r="N473" t="n">
        <x:v>43917.624999988424</x:v>
      </x:c>
      <x:c r="O473" s="54" t="n">
        <x:v>43830</x:v>
      </x:c>
      <x:c r="P473" t="str">
        <x:v>False</x:v>
      </x:c>
      <x:c r="Q473" t="str">
        <x:v>4d12405d1f4469a25a3b0cee1621423c78c5b833745fd5449520dd27aab8ae64</x:v>
      </x:c>
      <x:c r="R473" t="str">
        <x:v>305e8d117f3b26f0ebe134331e51961606afb375206f1694033ad71ffbaa5375</x:v>
      </x:c>
      <x:c r="S473" t="n">
        <x:v>7</x:v>
      </x:c>
      <x:c r="T473" t="str">
        <x:v>2018-12-31|2019-12-31</x:v>
      </x:c>
      <x:c r="U473" s="57" t="n">
        <x:v>-517.9732228110661</x:v>
      </x:c>
      <x:c r="V473" s="57" t="n">
        <x:v>-1.117721187002515</x:v>
      </x:c>
      <x:c r="W473"/>
      <x:c r="X473"/>
      <x:c r="Y473" s="38" t="n">
        <x:v>0.6409090909090909</x:v>
      </x:c>
      <x:c r="Z473" s="38" t="n">
        <x:v>0.6202274730231017</x:v>
      </x:c>
      <x:c r="AA473" t="str">
        <x:v>NON_POSITIVE_EQUITY_VALUE</x:v>
      </x:c>
    </x:row>
    <x:row r="474">
      <x:c r="A474" s="54" t="n">
        <x:v>44196</x:v>
      </x:c>
      <x:c r="B474" t="n">
        <x:v>44196.624999988424</x:v>
      </x:c>
      <x:c r="C474" t="str">
        <x:v>060900</x:v>
      </x:c>
      <x:c r="D474" t="str">
        <x:v>DGP</x:v>
      </x:c>
      <x:c r="E474" t="str">
        <x:v>KOSDAQ</x:v>
      </x:c>
      <x:c r="F474" t="str">
        <x:v>SMALL</x:v>
      </x:c>
      <x:c r="G474" t="str">
        <x:v>DCF_SCREENING_EXCLUSION</x:v>
      </x:c>
      <x:c r="H474" t="str">
        <x:v>NON_POSITIVE_ENTERPRISE_VALUE|NON_POSITIVE_EQUITY_VALUE|NON_POSITIVE_TERMINAL_FCF</x:v>
      </x:c>
      <x:c r="I474" s="54" t="n">
        <x:v>44195</x:v>
      </x:c>
      <x:c r="J474" s="55" t="n">
        <x:v>1040</x:v>
      </x:c>
      <x:c r="K474" s="55" t="n">
        <x:v>159418516400</x:v>
      </x:c>
      <x:c r="L474" s="55" t="n">
        <x:v>153287035</x:v>
      </x:c>
      <x:c r="M474" t="str">
        <x:v>20200331002242</x:v>
      </x:c>
      <x:c r="N474" t="n">
        <x:v>43921.624999988424</x:v>
      </x:c>
      <x:c r="O474" s="54" t="n">
        <x:v>43830</x:v>
      </x:c>
      <x:c r="P474" t="str">
        <x:v>True</x:v>
      </x:c>
      <x:c r="Q474" t="str">
        <x:v>ac50e7e79003451d6c3ef8f2db1976662fecb89d432a540a13b72785abeff2ae</x:v>
      </x:c>
      <x:c r="R474" t="str">
        <x:v>ebc1ff8d1acc2ff5dec2c6a71422731b5ff8f9eab544b1cf7d4333ee990e85a4</x:v>
      </x:c>
      <x:c r="S474" t="n">
        <x:v>5</x:v>
      </x:c>
      <x:c r="T474" t="str">
        <x:v>2018-12-31|2019-12-31</x:v>
      </x:c>
      <x:c r="U474" s="57" t="n">
        <x:v>-212.48190115743108</x:v>
      </x:c>
      <x:c r="V474" s="57" t="n">
        <x:v>-1.2043095203436838</x:v>
      </x:c>
      <x:c r="W474"/>
      <x:c r="X474"/>
      <x:c r="Y474" s="38" t="n">
        <x:v>0.6409090909090909</x:v>
      </x:c>
      <x:c r="Z474" s="38" t="n">
        <x:v>0.6282819266558984</x:v>
      </x:c>
      <x:c r="AA474" t="str">
        <x:v>NON_POSITIVE_ENTERPRISE_VALUE|NON_POSITIVE_EQUITY_VALUE|NON_POSITIVE_TERMINAL_FCF</x:v>
      </x:c>
    </x:row>
    <x:row r="475">
      <x:c r="A475" s="54" t="n">
        <x:v>44196</x:v>
      </x:c>
      <x:c r="B475" t="n">
        <x:v>44196.624999988424</x:v>
      </x:c>
      <x:c r="C475" t="str">
        <x:v>232830</x:v>
      </x:c>
      <x:c r="D475" t="str">
        <x:v>아이티센피엔에스</x:v>
      </x:c>
      <x:c r="E475" t="str">
        <x:v>KOSDAQ</x:v>
      </x:c>
      <x:c r="F475" t="str">
        <x:v>SMALL</x:v>
      </x:c>
      <x:c r="G475" t="str">
        <x:v>NO_PIT_FINANCIALS</x:v>
      </x:c>
      <x:c r="H475"/>
      <x:c r="I475" s="54" t="n">
        <x:v>44195</x:v>
      </x:c>
      <x:c r="J475" s="55" t="n">
        <x:v>7600</x:v>
      </x:c>
      <x:c r="K475" s="55" t="n">
        <x:v>72268643200</x:v>
      </x:c>
      <x:c r="L475" s="55" t="n">
        <x:v>9509032</x:v>
      </x:c>
      <x:c r="M475"/>
      <x:c r="N475"/>
      <x:c r="O475" s="54"/>
      <x:c r="P475"/>
      <x:c r="Q475"/>
      <x:c r="R475"/>
      <x:c r="S475"/>
      <x:c r="T475"/>
      <x:c r="U475" s="57"/>
      <x:c r="V475" s="57"/>
      <x:c r="W475"/>
      <x:c r="X475"/>
      <x:c r="Y475" s="38"/>
      <x:c r="Z475" s="38"/>
      <x:c r="AA475"/>
    </x:row>
    <x:row r="476">
      <x:c r="A476" s="54" t="n">
        <x:v>44196</x:v>
      </x:c>
      <x:c r="B476" t="n">
        <x:v>44196.624999988424</x:v>
      </x:c>
      <x:c r="C476" t="str">
        <x:v>070590</x:v>
      </x:c>
      <x:c r="D476" t="str">
        <x:v>한솔인티큐브</x:v>
      </x:c>
      <x:c r="E476" t="str">
        <x:v>KOSDAQ</x:v>
      </x:c>
      <x:c r="F476" t="str">
        <x:v>SMALL</x:v>
      </x:c>
      <x:c r="G476" t="str">
        <x:v>DCF_SCREENING_EXCLUSION</x:v>
      </x:c>
      <x:c r="H476" t="str">
        <x:v>NON_POSITIVE_ENTERPRISE_VALUE|NON_POSITIVE_EQUITY_VALUE|NON_POSITIVE_TERMINAL_FCF</x:v>
      </x:c>
      <x:c r="I476" s="54" t="n">
        <x:v>44195</x:v>
      </x:c>
      <x:c r="J476" s="55" t="n">
        <x:v>2860</x:v>
      </x:c>
      <x:c r="K476" s="55" t="n">
        <x:v>39695430060</x:v>
      </x:c>
      <x:c r="L476" s="55" t="n">
        <x:v>13879521</x:v>
      </x:c>
      <x:c r="M476" t="str">
        <x:v>20200330001085</x:v>
      </x:c>
      <x:c r="N476" t="n">
        <x:v>43920.624999988424</x:v>
      </x:c>
      <x:c r="O476" s="54" t="n">
        <x:v>43830</x:v>
      </x:c>
      <x:c r="P476" t="str">
        <x:v>False</x:v>
      </x:c>
      <x:c r="Q476" t="str">
        <x:v>9e3b02b74a2cf3d4848b75e855c95121a0ac21914d6696344cca86be1b268944</x:v>
      </x:c>
      <x:c r="R476" t="str">
        <x:v>3e69b12c4118b8a1b37a381adc908d621d8915ec2af0ba814d7e4fa91122bf9c</x:v>
      </x:c>
      <x:c r="S476" t="n">
        <x:v>6</x:v>
      </x:c>
      <x:c r="T476" t="str">
        <x:v>2018-12-31|2019-12-31</x:v>
      </x:c>
      <x:c r="U476" s="57" t="n">
        <x:v>-176.62002709958338</x:v>
      </x:c>
      <x:c r="V476" s="57" t="n">
        <x:v>-1.0617552542306237</x:v>
      </x:c>
      <x:c r="W476"/>
      <x:c r="X476"/>
      <x:c r="Y476" s="38" t="n">
        <x:v>0.6409090909090909</x:v>
      </x:c>
      <x:c r="Z476" s="38" t="n">
        <x:v>0.627829623617984</x:v>
      </x:c>
      <x:c r="AA476" t="str">
        <x:v>NON_POSITIVE_ENTERPRISE_VALUE|NON_POSITIVE_EQUITY_VALUE|NON_POSITIVE_TERMINAL_FCF</x:v>
      </x:c>
    </x:row>
    <x:row r="477">
      <x:c r="A477" s="54" t="n">
        <x:v>44196</x:v>
      </x:c>
      <x:c r="B477" t="n">
        <x:v>44196.624999988424</x:v>
      </x:c>
      <x:c r="C477" t="str">
        <x:v>163560</x:v>
      </x:c>
      <x:c r="D477" t="str">
        <x:v>동일고무벨트</x:v>
      </x:c>
      <x:c r="E477" t="str">
        <x:v>KOSPI</x:v>
      </x:c>
      <x:c r="F477" t="str">
        <x:v>SMALL</x:v>
      </x:c>
      <x:c r="G477" t="str">
        <x:v>ELIGIBLE</x:v>
      </x:c>
      <x:c r="H477"/>
      <x:c r="I477" s="54" t="n">
        <x:v>44195</x:v>
      </x:c>
      <x:c r="J477" s="55" t="n">
        <x:v>9860</x:v>
      </x:c>
      <x:c r="K477" s="55" t="n">
        <x:v>134589000000</x:v>
      </x:c>
      <x:c r="L477" s="55" t="n">
        <x:v>13650000</x:v>
      </x:c>
      <x:c r="M477" t="str">
        <x:v>20200330002649</x:v>
      </x:c>
      <x:c r="N477" t="n">
        <x:v>43920.624999988424</x:v>
      </x:c>
      <x:c r="O477" s="54" t="n">
        <x:v>43830</x:v>
      </x:c>
      <x:c r="P477" t="str">
        <x:v>False</x:v>
      </x:c>
      <x:c r="Q477" t="str">
        <x:v>dd18381d36a84123259d2f9d5abef82c3cd9eec87fc7c9d6a8c3704b9d8a9553</x:v>
      </x:c>
      <x:c r="R477" t="str">
        <x:v>92a6150dd322930e92b3969c0d88cbaa02568b454b922b2eca367da7090de13b</x:v>
      </x:c>
      <x:c r="S477" t="n">
        <x:v>5</x:v>
      </x:c>
      <x:c r="T477" t="str">
        <x:v>2018-12-31|2019-12-31</x:v>
      </x:c>
      <x:c r="U477" s="57" t="n">
        <x:v>6112.946267903413</x:v>
      </x:c>
      <x:c r="V477" s="57" t="n">
        <x:v>-0.38002573347835567</x:v>
      </x:c>
      <x:c r="W477" t="n">
        <x:v>25</x:v>
      </x:c>
      <x:c r="X477" t="n">
        <x:v>2</x:v>
      </x:c>
      <x:c r="Y477" s="38" t="n">
        <x:v>0.6409090909090909</x:v>
      </x:c>
      <x:c r="Z477" s="38" t="n">
        <x:v>0.6061242165613651</x:v>
      </x:c>
      <x:c r="AA477"/>
    </x:row>
    <x:row r="478">
      <x:c r="A478" s="54" t="n">
        <x:v>44196</x:v>
      </x:c>
      <x:c r="B478" t="n">
        <x:v>44196.624999988424</x:v>
      </x:c>
      <x:c r="C478" t="str">
        <x:v>004830</x:v>
      </x:c>
      <x:c r="D478" t="str">
        <x:v>덕성</x:v>
      </x:c>
      <x:c r="E478" t="str">
        <x:v>KOSPI</x:v>
      </x:c>
      <x:c r="F478" t="str">
        <x:v>SMALL</x:v>
      </x:c>
      <x:c r="G478" t="str">
        <x:v>DCF_SCREENING_EXCLUSION</x:v>
      </x:c>
      <x:c r="H478" t="str">
        <x:v>NON_POSITIVE_ENTERPRISE_VALUE|NON_POSITIVE_EQUITY_VALUE|NON_POSITIVE_TERMINAL_FCF|UNRELIABLE_TERMINAL_VALUE_SHARE</x:v>
      </x:c>
      <x:c r="I478" s="54" t="n">
        <x:v>44195</x:v>
      </x:c>
      <x:c r="J478" s="55" t="n">
        <x:v>7850</x:v>
      </x:c>
      <x:c r="K478" s="55" t="n">
        <x:v>123088000000</x:v>
      </x:c>
      <x:c r="L478" s="55" t="n">
        <x:v>15680000</x:v>
      </x:c>
      <x:c r="M478" t="str">
        <x:v>20200330001224</x:v>
      </x:c>
      <x:c r="N478" t="n">
        <x:v>43920.624999988424</x:v>
      </x:c>
      <x:c r="O478" s="54" t="n">
        <x:v>43830</x:v>
      </x:c>
      <x:c r="P478" t="str">
        <x:v>False</x:v>
      </x:c>
      <x:c r="Q478" t="str">
        <x:v>29b49876d642cfd4c870ba4a24e9e0814e5e078d39c0657247368f09139f5a51</x:v>
      </x:c>
      <x:c r="R478" t="str">
        <x:v>140fb8c686ef4f5215f46198c133daf53715e99f38a9f5c3a711618e80ffaf54</x:v>
      </x:c>
      <x:c r="S478" t="n">
        <x:v>7</x:v>
      </x:c>
      <x:c r="T478" t="str">
        <x:v>2018-12-31|2019-12-31</x:v>
      </x:c>
      <x:c r="U478" s="57" t="n">
        <x:v>-1243.3350860461567</x:v>
      </x:c>
      <x:c r="V478" s="57" t="n">
        <x:v>-1.1583866351651155</x:v>
      </x:c>
      <x:c r="W478"/>
      <x:c r="X478"/>
      <x:c r="Y478" s="38" t="n">
        <x:v>0.6409090909090909</x:v>
      </x:c>
      <x:c r="Z478" s="38" t="n">
        <x:v>1.771178029767202</x:v>
      </x:c>
      <x:c r="AA478" t="str">
        <x:v>NON_POSITIVE_ENTERPRISE_VALUE|NON_POSITIVE_EQUITY_VALUE|NON_POSITIVE_TERMINAL_FCF|UNRELIABLE_TERMINAL_VALUE_SHARE</x:v>
      </x:c>
    </x:row>
    <x:row r="479">
      <x:c r="A479" s="54" t="n">
        <x:v>44196</x:v>
      </x:c>
      <x:c r="B479" t="n">
        <x:v>44196.624999988424</x:v>
      </x:c>
      <x:c r="C479" t="str">
        <x:v>014440</x:v>
      </x:c>
      <x:c r="D479" t="str">
        <x:v>영보화학</x:v>
      </x:c>
      <x:c r="E479" t="str">
        <x:v>KOSPI</x:v>
      </x:c>
      <x:c r="F479" t="str">
        <x:v>SMALL</x:v>
      </x:c>
      <x:c r="G479" t="str">
        <x:v>ELIGIBLE</x:v>
      </x:c>
      <x:c r="H479"/>
      <x:c r="I479" s="54" t="n">
        <x:v>44195</x:v>
      </x:c>
      <x:c r="J479" s="55" t="n">
        <x:v>3705</x:v>
      </x:c>
      <x:c r="K479" s="55" t="n">
        <x:v>74100000000</x:v>
      </x:c>
      <x:c r="L479" s="55" t="n">
        <x:v>20000000</x:v>
      </x:c>
      <x:c r="M479" t="str">
        <x:v>20200330001293</x:v>
      </x:c>
      <x:c r="N479" t="n">
        <x:v>43920.624999988424</x:v>
      </x:c>
      <x:c r="O479" s="54" t="n">
        <x:v>43830</x:v>
      </x:c>
      <x:c r="P479" t="str">
        <x:v>False</x:v>
      </x:c>
      <x:c r="Q479" t="str">
        <x:v>5d556c2a6e81a8be16d513371202402c75aa3603036c8fbbd9d5858b59582c24</x:v>
      </x:c>
      <x:c r="R479" t="str">
        <x:v>f1227c63e6f2915d351b241d4dbc1c6ae73340efb324308b279eb55a91b61703</x:v>
      </x:c>
      <x:c r="S479" t="n">
        <x:v>6</x:v>
      </x:c>
      <x:c r="T479" t="str">
        <x:v>2018-12-31|2019-12-31</x:v>
      </x:c>
      <x:c r="U479" s="57" t="n">
        <x:v>1718.4461924132418</x:v>
      </x:c>
      <x:c r="V479" s="57" t="n">
        <x:v>-0.5361818643958861</x:v>
      </x:c>
      <x:c r="W479" t="n">
        <x:v>33</x:v>
      </x:c>
      <x:c r="X479" t="n">
        <x:v>3</x:v>
      </x:c>
      <x:c r="Y479" s="38" t="n">
        <x:v>0.6409090909090909</x:v>
      </x:c>
      <x:c r="Z479" s="38" t="n">
        <x:v>0.3797612797825899</x:v>
      </x:c>
      <x:c r="AA479"/>
    </x:row>
    <x:row r="480">
      <x:c r="A480" s="54" t="n">
        <x:v>44196</x:v>
      </x:c>
      <x:c r="B480" t="n">
        <x:v>44196.624999988424</x:v>
      </x:c>
      <x:c r="C480" t="str">
        <x:v>009180</x:v>
      </x:c>
      <x:c r="D480" t="str">
        <x:v>한솔로지스틱스</x:v>
      </x:c>
      <x:c r="E480" t="str">
        <x:v>KOSPI</x:v>
      </x:c>
      <x:c r="F480" t="str">
        <x:v>SMALL</x:v>
      </x:c>
      <x:c r="G480" t="str">
        <x:v>ELIGIBLE</x:v>
      </x:c>
      <x:c r="H480"/>
      <x:c r="I480" s="54" t="n">
        <x:v>44195</x:v>
      </x:c>
      <x:c r="J480" s="55" t="n">
        <x:v>2315</x:v>
      </x:c>
      <x:c r="K480" s="55" t="n">
        <x:v>63610238875</x:v>
      </x:c>
      <x:c r="L480" s="55" t="n">
        <x:v>27477425</x:v>
      </x:c>
      <x:c r="M480" t="str">
        <x:v>20200330002411</x:v>
      </x:c>
      <x:c r="N480" t="n">
        <x:v>43920.624999988424</x:v>
      </x:c>
      <x:c r="O480" s="54" t="n">
        <x:v>43830</x:v>
      </x:c>
      <x:c r="P480" t="str">
        <x:v>False</x:v>
      </x:c>
      <x:c r="Q480" t="str">
        <x:v>c5a4f1aa5865a474678e19d8dd30912b4c7a1414e379cf00e00083829d740456</x:v>
      </x:c>
      <x:c r="R480" t="str">
        <x:v>8822a47582eb9f48a0de6b130a4403e825d1784ad68975b0bdc9fb4d7044647b</x:v>
      </x:c>
      <x:c r="S480" t="n">
        <x:v>6</x:v>
      </x:c>
      <x:c r="T480" t="str">
        <x:v>2018-12-31|2019-12-31</x:v>
      </x:c>
      <x:c r="U480" s="57" t="n">
        <x:v>93.87103692528059</x:v>
      </x:c>
      <x:c r="V480" s="57" t="n">
        <x:v>-0.9594509559718011</x:v>
      </x:c>
      <x:c r="W480" t="n">
        <x:v>61</x:v>
      </x:c>
      <x:c r="X480" t="n">
        <x:v>5</x:v>
      </x:c>
      <x:c r="Y480" s="38" t="n">
        <x:v>0.6409090909090909</x:v>
      </x:c>
      <x:c r="Z480" s="38" t="n">
        <x:v>0.5762308840541649</x:v>
      </x:c>
      <x:c r="AA480"/>
    </x:row>
    <x:row r="481">
      <x:c r="A481" s="54" t="n">
        <x:v>44196</x:v>
      </x:c>
      <x:c r="B481" t="n">
        <x:v>44196.624999988424</x:v>
      </x:c>
      <x:c r="C481" t="str">
        <x:v>004910</x:v>
      </x:c>
      <x:c r="D481" t="str">
        <x:v>조광페인트</x:v>
      </x:c>
      <x:c r="E481" t="str">
        <x:v>KOSPI</x:v>
      </x:c>
      <x:c r="F481" t="str">
        <x:v>SMALL</x:v>
      </x:c>
      <x:c r="G481" t="str">
        <x:v>DCF_SCREENING_EXCLUSION</x:v>
      </x:c>
      <x:c r="H481" t="str">
        <x:v>NON_POSITIVE_ENTERPRISE_VALUE|NON_POSITIVE_EQUITY_VALUE|NON_POSITIVE_TERMINAL_FCF</x:v>
      </x:c>
      <x:c r="I481" s="54" t="n">
        <x:v>44195</x:v>
      </x:c>
      <x:c r="J481" s="55" t="n">
        <x:v>6780</x:v>
      </x:c>
      <x:c r="K481" s="55" t="n">
        <x:v>86784000000</x:v>
      </x:c>
      <x:c r="L481" s="55" t="n">
        <x:v>12800000</x:v>
      </x:c>
      <x:c r="M481" t="str">
        <x:v>20200330000972</x:v>
      </x:c>
      <x:c r="N481" t="n">
        <x:v>43920.624999988424</x:v>
      </x:c>
      <x:c r="O481" s="54" t="n">
        <x:v>43830</x:v>
      </x:c>
      <x:c r="P481" t="str">
        <x:v>False</x:v>
      </x:c>
      <x:c r="Q481" t="str">
        <x:v>3c7f251237cf2fecc7e569116a35a89e18d6b3f451c040c64ceccb5ad2a2b6a9</x:v>
      </x:c>
      <x:c r="R481" t="str">
        <x:v>16a61f56044c27f53ebeafe9d4577de8cb36dba379e89c5de160e3110106f7f0</x:v>
      </x:c>
      <x:c r="S481" t="n">
        <x:v>6</x:v>
      </x:c>
      <x:c r="T481" t="str">
        <x:v>2018-12-31|2019-12-31</x:v>
      </x:c>
      <x:c r="U481" s="57" t="n">
        <x:v>-9428.349657775905</x:v>
      </x:c>
      <x:c r="V481" s="57" t="n">
        <x:v>-2.39061204391975</x:v>
      </x:c>
      <x:c r="W481"/>
      <x:c r="X481"/>
      <x:c r="Y481" s="38" t="n">
        <x:v>0.6409090909090909</x:v>
      </x:c>
      <x:c r="Z481" s="38" t="n">
        <x:v>0.629446326186738</x:v>
      </x:c>
      <x:c r="AA481" t="str">
        <x:v>NON_POSITIVE_ENTERPRISE_VALUE|NON_POSITIVE_EQUITY_VALUE|NON_POSITIVE_TERMINAL_FCF</x:v>
      </x:c>
    </x:row>
    <x:row r="482">
      <x:c r="A482" s="54" t="n">
        <x:v>44196</x:v>
      </x:c>
      <x:c r="B482" t="n">
        <x:v>44196.624999988424</x:v>
      </x:c>
      <x:c r="C482" t="str">
        <x:v>004870</x:v>
      </x:c>
      <x:c r="D482" t="str">
        <x:v>티웨이홀딩스</x:v>
      </x:c>
      <x:c r="E482" t="str">
        <x:v>KOSPI</x:v>
      </x:c>
      <x:c r="F482" t="str">
        <x:v>SMALL</x:v>
      </x:c>
      <x:c r="G482" t="str">
        <x:v>EXCLUDED_ARCHETYPE</x:v>
      </x:c>
      <x:c r="H482" t="str">
        <x:v>FCFF_NOT_COMPARABLE_FOR_FINANCE_OR_HOLDING_HINT</x:v>
      </x:c>
      <x:c r="I482" s="54"/>
      <x:c r="J482" s="55"/>
      <x:c r="K482" s="55"/>
      <x:c r="L482" s="55"/>
      <x:c r="M482"/>
      <x:c r="N482"/>
      <x:c r="O482" s="54"/>
      <x:c r="P482"/>
      <x:c r="Q482"/>
      <x:c r="R482"/>
      <x:c r="S482"/>
      <x:c r="T482"/>
      <x:c r="U482" s="57"/>
      <x:c r="V482" s="57"/>
      <x:c r="W482"/>
      <x:c r="X482"/>
      <x:c r="Y482" s="38"/>
      <x:c r="Z482" s="38"/>
      <x:c r="AA482"/>
    </x:row>
    <x:row r="483">
      <x:c r="A483" s="54" t="n">
        <x:v>44196</x:v>
      </x:c>
      <x:c r="B483" t="n">
        <x:v>44196.624999988424</x:v>
      </x:c>
      <x:c r="C483" t="str">
        <x:v>010770</x:v>
      </x:c>
      <x:c r="D483" t="str">
        <x:v>평화홀딩스</x:v>
      </x:c>
      <x:c r="E483" t="str">
        <x:v>KOSPI</x:v>
      </x:c>
      <x:c r="F483" t="str">
        <x:v>SMALL</x:v>
      </x:c>
      <x:c r="G483" t="str">
        <x:v>EXCLUDED_ARCHETYPE</x:v>
      </x:c>
      <x:c r="H483" t="str">
        <x:v>FCFF_NOT_COMPARABLE_FOR_FINANCE_OR_HOLDING_HINT</x:v>
      </x:c>
      <x:c r="I483" s="54"/>
      <x:c r="J483" s="55"/>
      <x:c r="K483" s="55"/>
      <x:c r="L483" s="55"/>
      <x:c r="M483"/>
      <x:c r="N483"/>
      <x:c r="O483" s="54"/>
      <x:c r="P483"/>
      <x:c r="Q483"/>
      <x:c r="R483"/>
      <x:c r="S483"/>
      <x:c r="T483"/>
      <x:c r="U483" s="57"/>
      <x:c r="V483" s="57"/>
      <x:c r="W483"/>
      <x:c r="X483"/>
      <x:c r="Y483" s="38"/>
      <x:c r="Z483" s="38"/>
      <x:c r="AA483"/>
    </x:row>
    <x:row r="484">
      <x:c r="A484" s="54" t="n">
        <x:v>44196</x:v>
      </x:c>
      <x:c r="B484" t="n">
        <x:v>44196.624999988424</x:v>
      </x:c>
      <x:c r="C484" t="str">
        <x:v>001290</x:v>
      </x:c>
      <x:c r="D484" t="str">
        <x:v>상상인증권</x:v>
      </x:c>
      <x:c r="E484" t="str">
        <x:v>KOSPI</x:v>
      </x:c>
      <x:c r="F484" t="str">
        <x:v>SMALL</x:v>
      </x:c>
      <x:c r="G484" t="str">
        <x:v>EXCLUDED_ARCHETYPE</x:v>
      </x:c>
      <x:c r="H484" t="str">
        <x:v>FCFF_NOT_COMPARABLE_FOR_FINANCE_OR_HOLDING_HINT</x:v>
      </x:c>
      <x:c r="I484" s="54"/>
      <x:c r="J484" s="55"/>
      <x:c r="K484" s="55"/>
      <x:c r="L484" s="55"/>
      <x:c r="M484"/>
      <x:c r="N484"/>
      <x:c r="O484" s="54"/>
      <x:c r="P484"/>
      <x:c r="Q484"/>
      <x:c r="R484"/>
      <x:c r="S484"/>
      <x:c r="T484"/>
      <x:c r="U484" s="57"/>
      <x:c r="V484" s="57"/>
      <x:c r="W484"/>
      <x:c r="X484"/>
      <x:c r="Y484" s="38"/>
      <x:c r="Z484" s="38"/>
      <x:c r="AA484"/>
    </x:row>
    <x:row r="485">
      <x:c r="A485" s="54" t="n">
        <x:v>44196</x:v>
      </x:c>
      <x:c r="B485" t="n">
        <x:v>44196.624999988424</x:v>
      </x:c>
      <x:c r="C485" t="str">
        <x:v>047400</x:v>
      </x:c>
      <x:c r="D485" t="str">
        <x:v>유니온머티리얼</x:v>
      </x:c>
      <x:c r="E485" t="str">
        <x:v>KOSPI</x:v>
      </x:c>
      <x:c r="F485" t="str">
        <x:v>SMALL</x:v>
      </x:c>
      <x:c r="G485" t="str">
        <x:v>DCF_SCREENING_EXCLUSION</x:v>
      </x:c>
      <x:c r="H485" t="str">
        <x:v>NON_POSITIVE_ENTERPRISE_VALUE|NON_POSITIVE_EQUITY_VALUE|NON_POSITIVE_TERMINAL_FCF</x:v>
      </x:c>
      <x:c r="I485" s="54" t="n">
        <x:v>44195</x:v>
      </x:c>
      <x:c r="J485" s="55" t="n">
        <x:v>3900</x:v>
      </x:c>
      <x:c r="K485" s="55" t="n">
        <x:v>163800000000</x:v>
      </x:c>
      <x:c r="L485" s="55" t="n">
        <x:v>42000000</x:v>
      </x:c>
      <x:c r="M485" t="str">
        <x:v>20200330002957</x:v>
      </x:c>
      <x:c r="N485" t="n">
        <x:v>43920.624999988424</x:v>
      </x:c>
      <x:c r="O485" s="54" t="n">
        <x:v>43830</x:v>
      </x:c>
      <x:c r="P485" t="str">
        <x:v>False</x:v>
      </x:c>
      <x:c r="Q485" t="str">
        <x:v>0b5e9973a69d2d4bfadd10227ba7d7aa97981581c61e748614e0cb3c50baf275</x:v>
      </x:c>
      <x:c r="R485" t="str">
        <x:v>4ef81c860d64ce61559559bd0b2e141484a8b98c37b64cf698d10ca5ea45567e</x:v>
      </x:c>
      <x:c r="S485" t="n">
        <x:v>6</x:v>
      </x:c>
      <x:c r="T485" t="str">
        <x:v>2018-12-31|2019-12-31</x:v>
      </x:c>
      <x:c r="U485" s="57" t="n">
        <x:v>-1289.7333698896705</x:v>
      </x:c>
      <x:c r="V485" s="57" t="n">
        <x:v>-1.3307008640742746</x:v>
      </x:c>
      <x:c r="W485"/>
      <x:c r="X485"/>
      <x:c r="Y485" s="38" t="n">
        <x:v>0.6409090909090909</x:v>
      </x:c>
      <x:c r="Z485" s="38" t="n">
        <x:v>0.7785576727541164</x:v>
      </x:c>
      <x:c r="AA485" t="str">
        <x:v>NON_POSITIVE_ENTERPRISE_VALUE|NON_POSITIVE_EQUITY_VALUE|NON_POSITIVE_TERMINAL_FCF</x:v>
      </x:c>
    </x:row>
    <x:row r="486">
      <x:c r="A486" s="54" t="n">
        <x:v>44196</x:v>
      </x:c>
      <x:c r="B486" t="n">
        <x:v>44196.624999988424</x:v>
      </x:c>
      <x:c r="C486" t="str">
        <x:v>011300</x:v>
      </x:c>
      <x:c r="D486" t="str">
        <x:v>성안머티리얼스</x:v>
      </x:c>
      <x:c r="E486" t="str">
        <x:v>KOSPI</x:v>
      </x:c>
      <x:c r="F486" t="str">
        <x:v>SMALL</x:v>
      </x:c>
      <x:c r="G486" t="str">
        <x:v>DCF_SCREENING_EXCLUSION</x:v>
      </x:c>
      <x:c r="H486" t="str">
        <x:v>NON_POSITIVE_ENTERPRISE_VALUE|NON_POSITIVE_EQUITY_VALUE|NON_POSITIVE_TERMINAL_FCF|UNRELIABLE_TERMINAL_VALUE_SHARE</x:v>
      </x:c>
      <x:c r="I486" s="54" t="n">
        <x:v>44195</x:v>
      </x:c>
      <x:c r="J486" s="55" t="n">
        <x:v>347</x:v>
      </x:c>
      <x:c r="K486" s="55" t="n">
        <x:v>19729677420</x:v>
      </x:c>
      <x:c r="L486" s="55" t="n">
        <x:v>56857860</x:v>
      </x:c>
      <x:c r="M486" t="str">
        <x:v>20200330002300</x:v>
      </x:c>
      <x:c r="N486" t="n">
        <x:v>43920.624999988424</x:v>
      </x:c>
      <x:c r="O486" s="54" t="n">
        <x:v>43830</x:v>
      </x:c>
      <x:c r="P486" t="str">
        <x:v>False</x:v>
      </x:c>
      <x:c r="Q486" t="str">
        <x:v>5261a4c9bd0aa83893554e944642d0f875234dad49a73fb31223a3e3e9a54df2</x:v>
      </x:c>
      <x:c r="R486" t="str">
        <x:v>9d48ece75a4f5fda923c402116ea58bfb8689b2c2aabe16d8ddab0ecefc4bdc4</x:v>
      </x:c>
      <x:c r="S486" t="n">
        <x:v>7</x:v>
      </x:c>
      <x:c r="T486" t="str">
        <x:v>2018-12-31|2019-12-31</x:v>
      </x:c>
      <x:c r="U486" s="57" t="n">
        <x:v>-96.38273419389287</x:v>
      </x:c>
      <x:c r="V486" s="57" t="n">
        <x:v>-1.2777600409045904</x:v>
      </x:c>
      <x:c r="W486"/>
      <x:c r="X486"/>
      <x:c r="Y486" s="38" t="n">
        <x:v>0.6409090909090909</x:v>
      </x:c>
      <x:c r="Z486" s="38" t="n">
        <x:v>2.9198639441139567</x:v>
      </x:c>
      <x:c r="AA486" t="str">
        <x:v>NON_POSITIVE_ENTERPRISE_VALUE|NON_POSITIVE_EQUITY_VALUE|NON_POSITIVE_TERMINAL_FCF|UNRELIABLE_TERMINAL_VALUE_SHARE</x:v>
      </x:c>
    </x:row>
    <x:row r="487">
      <x:c r="A487" s="54" t="n">
        <x:v>44196</x:v>
      </x:c>
      <x:c r="B487" t="n">
        <x:v>44196.624999988424</x:v>
      </x:c>
      <x:c r="C487" t="str">
        <x:v>018500</x:v>
      </x:c>
      <x:c r="D487" t="str">
        <x:v>동원금속</x:v>
      </x:c>
      <x:c r="E487" t="str">
        <x:v>KOSPI</x:v>
      </x:c>
      <x:c r="F487" t="str">
        <x:v>SMALL</x:v>
      </x:c>
      <x:c r="G487" t="str">
        <x:v>DCF_SCREENING_EXCLUSION</x:v>
      </x:c>
      <x:c r="H487" t="str">
        <x:v>NON_POSITIVE_ENTERPRISE_VALUE|NON_POSITIVE_EQUITY_VALUE|NON_POSITIVE_TERMINAL_FCF</x:v>
      </x:c>
      <x:c r="I487" s="54" t="n">
        <x:v>44195</x:v>
      </x:c>
      <x:c r="J487" s="55" t="n">
        <x:v>744</x:v>
      </x:c>
      <x:c r="K487" s="55" t="n">
        <x:v>34785670152</x:v>
      </x:c>
      <x:c r="L487" s="55" t="n">
        <x:v>46754933</x:v>
      </x:c>
      <x:c r="M487" t="str">
        <x:v>20200629000448</x:v>
      </x:c>
      <x:c r="N487" t="n">
        <x:v>44011.624999988424</x:v>
      </x:c>
      <x:c r="O487" s="54" t="n">
        <x:v>43921</x:v>
      </x:c>
      <x:c r="P487" t="str">
        <x:v>False</x:v>
      </x:c>
      <x:c r="Q487" t="str">
        <x:v>4078bfbeb64f6068bfe485f31adede65f2ccd676ce8bb90fc589e636c66bcfb2</x:v>
      </x:c>
      <x:c r="R487" t="str">
        <x:v>4baefba43fedcc0bd0ac454910e79f98deedee1fb1981f58313b003f1f2f2bcb</x:v>
      </x:c>
      <x:c r="S487" t="n">
        <x:v>6</x:v>
      </x:c>
      <x:c r="T487" t="str">
        <x:v>2019-03-31|2020-03-31</x:v>
      </x:c>
      <x:c r="U487" s="57" t="n">
        <x:v>-5189.122300360644</x:v>
      </x:c>
      <x:c r="V487" s="57" t="n">
        <x:v>-7.974626747796564</x:v>
      </x:c>
      <x:c r="W487"/>
      <x:c r="X487"/>
      <x:c r="Y487" s="38" t="n">
        <x:v>0.6409090909090909</x:v>
      </x:c>
      <x:c r="Z487" s="38" t="n">
        <x:v>0.7733146802971264</x:v>
      </x:c>
      <x:c r="AA487" t="str">
        <x:v>NON_POSITIVE_ENTERPRISE_VALUE|NON_POSITIVE_EQUITY_VALUE|NON_POSITIVE_TERMINAL_FCF</x:v>
      </x:c>
    </x:row>
    <x:row r="488">
      <x:c r="A488" s="54" t="n">
        <x:v>44196</x:v>
      </x:c>
      <x:c r="B488" t="n">
        <x:v>44196.624999988424</x:v>
      </x:c>
      <x:c r="C488" t="str">
        <x:v>004770</x:v>
      </x:c>
      <x:c r="D488" t="str">
        <x:v>써니전자</x:v>
      </x:c>
      <x:c r="E488" t="str">
        <x:v>KOSPI</x:v>
      </x:c>
      <x:c r="F488" t="str">
        <x:v>SMALL</x:v>
      </x:c>
      <x:c r="G488" t="str">
        <x:v>ELIGIBLE</x:v>
      </x:c>
      <x:c r="H488"/>
      <x:c r="I488" s="54" t="n">
        <x:v>44195</x:v>
      </x:c>
      <x:c r="J488" s="55" t="n">
        <x:v>5090</x:v>
      </x:c>
      <x:c r="K488" s="55" t="n">
        <x:v>177361105990</x:v>
      </x:c>
      <x:c r="L488" s="55" t="n">
        <x:v>34845011</x:v>
      </x:c>
      <x:c r="M488" t="str">
        <x:v>20200327001141</x:v>
      </x:c>
      <x:c r="N488" t="n">
        <x:v>43917.624999988424</x:v>
      </x:c>
      <x:c r="O488" s="54" t="n">
        <x:v>43830</x:v>
      </x:c>
      <x:c r="P488" t="str">
        <x:v>False</x:v>
      </x:c>
      <x:c r="Q488" t="str">
        <x:v>36f7212cac5955b2bbbbf71ec4ea301733504ba17fb41d25d77209fb61400ff4</x:v>
      </x:c>
      <x:c r="R488" t="str">
        <x:v>300aad4fbf97a0014b3e9b60efa12b1ff25746820253b21b78cfded83568880a</x:v>
      </x:c>
      <x:c r="S488" t="n">
        <x:v>7</x:v>
      </x:c>
      <x:c r="T488" t="str">
        <x:v>2018-12-31|2019-12-31</x:v>
      </x:c>
      <x:c r="U488" s="57" t="n">
        <x:v>996.9963660487754</x:v>
      </x:c>
      <x:c r="V488" s="57" t="n">
        <x:v>-0.8041264506780402</x:v>
      </x:c>
      <x:c r="W488" t="n">
        <x:v>53</x:v>
      </x:c>
      <x:c r="X488" t="n">
        <x:v>5</x:v>
      </x:c>
      <x:c r="Y488" s="38" t="n">
        <x:v>0.6409090909090909</x:v>
      </x:c>
      <x:c r="Z488" s="38" t="n">
        <x:v>0.596676519286712</x:v>
      </x:c>
      <x:c r="AA488"/>
    </x:row>
    <x:row r="489">
      <x:c r="A489" s="54" t="n">
        <x:v>44196</x:v>
      </x:c>
      <x:c r="B489" t="n">
        <x:v>44196.624999988424</x:v>
      </x:c>
      <x:c r="C489" t="str">
        <x:v>000890</x:v>
      </x:c>
      <x:c r="D489" t="str">
        <x:v>보해양조</x:v>
      </x:c>
      <x:c r="E489" t="str">
        <x:v>KOSPI</x:v>
      </x:c>
      <x:c r="F489" t="str">
        <x:v>SMALL</x:v>
      </x:c>
      <x:c r="G489" t="str">
        <x:v>DCF_SCREENING_EXCLUSION</x:v>
      </x:c>
      <x:c r="H489" t="str">
        <x:v>NON_POSITIVE_ENTERPRISE_VALUE|NON_POSITIVE_EQUITY_VALUE|NON_POSITIVE_TERMINAL_FCF</x:v>
      </x:c>
      <x:c r="I489" s="54" t="n">
        <x:v>44195</x:v>
      </x:c>
      <x:c r="J489" s="55" t="n">
        <x:v>917</x:v>
      </x:c>
      <x:c r="K489" s="55" t="n">
        <x:v>116871075041</x:v>
      </x:c>
      <x:c r="L489" s="55" t="n">
        <x:v>127449373</x:v>
      </x:c>
      <x:c r="M489" t="str">
        <x:v>20200330001020</x:v>
      </x:c>
      <x:c r="N489" t="n">
        <x:v>43920.624999988424</x:v>
      </x:c>
      <x:c r="O489" s="54" t="n">
        <x:v>43830</x:v>
      </x:c>
      <x:c r="P489" t="str">
        <x:v>False</x:v>
      </x:c>
      <x:c r="Q489" t="str">
        <x:v>50391569b26597bb0c5579214cffeabaca14a8437933cda01623d3c148e67732</x:v>
      </x:c>
      <x:c r="R489" t="str">
        <x:v>a31e9850724b207c93bfa91804bbe0c3017b99ccf01cea1f96c6329d79b15e3e</x:v>
      </x:c>
      <x:c r="S489" t="n">
        <x:v>6</x:v>
      </x:c>
      <x:c r="T489" t="str">
        <x:v>2018-12-31|2019-12-31</x:v>
      </x:c>
      <x:c r="U489" s="57" t="n">
        <x:v>-758.76659079861</x:v>
      </x:c>
      <x:c r="V489" s="57" t="n">
        <x:v>-1.8274444828774372</x:v>
      </x:c>
      <x:c r="W489"/>
      <x:c r="X489"/>
      <x:c r="Y489" s="38" t="n">
        <x:v>0.6409090909090909</x:v>
      </x:c>
      <x:c r="Z489" s="38" t="n">
        <x:v>0.6352970122174221</x:v>
      </x:c>
      <x:c r="AA489" t="str">
        <x:v>NON_POSITIVE_ENTERPRISE_VALUE|NON_POSITIVE_EQUITY_VALUE|NON_POSITIVE_TERMINAL_FCF</x:v>
      </x:c>
    </x:row>
    <x:row r="490">
      <x:c r="A490" s="54" t="n">
        <x:v>44196</x:v>
      </x:c>
      <x:c r="B490" t="n">
        <x:v>44196.624999988424</x:v>
      </x:c>
      <x:c r="C490" t="str">
        <x:v>021050</x:v>
      </x:c>
      <x:c r="D490" t="str">
        <x:v>서원</x:v>
      </x:c>
      <x:c r="E490" t="str">
        <x:v>KOSPI</x:v>
      </x:c>
      <x:c r="F490" t="str">
        <x:v>SMALL</x:v>
      </x:c>
      <x:c r="G490" t="str">
        <x:v>DCF_SCREENING_EXCLUSION</x:v>
      </x:c>
      <x:c r="H490" t="str">
        <x:v>NON_POSITIVE_EQUITY_VALUE</x:v>
      </x:c>
      <x:c r="I490" s="54" t="n">
        <x:v>44195</x:v>
      </x:c>
      <x:c r="J490" s="55" t="n">
        <x:v>2770</x:v>
      </x:c>
      <x:c r="K490" s="55" t="n">
        <x:v>131504614300</x:v>
      </x:c>
      <x:c r="L490" s="55" t="n">
        <x:v>47474590</x:v>
      </x:c>
      <x:c r="M490" t="str">
        <x:v>20200330001276</x:v>
      </x:c>
      <x:c r="N490" t="n">
        <x:v>43920.624999988424</x:v>
      </x:c>
      <x:c r="O490" s="54" t="n">
        <x:v>43830</x:v>
      </x:c>
      <x:c r="P490" t="str">
        <x:v>False</x:v>
      </x:c>
      <x:c r="Q490" t="str">
        <x:v>be1eb5ac3cf4380862664c53ec949951356a5b31ca7ce64ffc5d6018a7385cc7</x:v>
      </x:c>
      <x:c r="R490" t="str">
        <x:v>fd6a080ab3015a7487b136652e4add24618b9e85836f462e955246bfb340a280</x:v>
      </x:c>
      <x:c r="S490" t="n">
        <x:v>6</x:v>
      </x:c>
      <x:c r="T490" t="str">
        <x:v>2018-12-31|2019-12-31</x:v>
      </x:c>
      <x:c r="U490" s="57" t="n">
        <x:v>-1038.8719357404905</x:v>
      </x:c>
      <x:c r="V490" s="57" t="n">
        <x:v>-1.3750440201229208</x:v>
      </x:c>
      <x:c r="W490"/>
      <x:c r="X490"/>
      <x:c r="Y490" s="38" t="n">
        <x:v>0.6409090909090909</x:v>
      </x:c>
      <x:c r="Z490" s="38" t="n">
        <x:v>0.5823844167369767</x:v>
      </x:c>
      <x:c r="AA490" t="str">
        <x:v>NON_POSITIVE_EQUITY_VALUE</x:v>
      </x:c>
    </x:row>
    <x:row r="491">
      <x:c r="A491" s="54" t="n">
        <x:v>44196</x:v>
      </x:c>
      <x:c r="B491" t="n">
        <x:v>44196.624999988424</x:v>
      </x:c>
      <x:c r="C491" t="str">
        <x:v>134790</x:v>
      </x:c>
      <x:c r="D491" t="str">
        <x:v>시디즈</x:v>
      </x:c>
      <x:c r="E491" t="str">
        <x:v>KOSPI</x:v>
      </x:c>
      <x:c r="F491" t="str">
        <x:v>SMALL</x:v>
      </x:c>
      <x:c r="G491" t="str">
        <x:v>ELIGIBLE</x:v>
      </x:c>
      <x:c r="H491"/>
      <x:c r="I491" s="54" t="n">
        <x:v>44195</x:v>
      </x:c>
      <x:c r="J491" s="55" t="n">
        <x:v>55500</x:v>
      </x:c>
      <x:c r="K491" s="55" t="n">
        <x:v>111000000000</x:v>
      </x:c>
      <x:c r="L491" s="55" t="n">
        <x:v>2000000</x:v>
      </x:c>
      <x:c r="M491" t="str">
        <x:v>20200330002460</x:v>
      </x:c>
      <x:c r="N491" t="n">
        <x:v>43920.624999988424</x:v>
      </x:c>
      <x:c r="O491" s="54" t="n">
        <x:v>43830</x:v>
      </x:c>
      <x:c r="P491" t="str">
        <x:v>False</x:v>
      </x:c>
      <x:c r="Q491" t="str">
        <x:v>a46f52aca9731f0f0694a563ebb22133208a263595e37e4a7369a5e25b997b08</x:v>
      </x:c>
      <x:c r="R491" t="str">
        <x:v>342b241dab25c0ef3819e39571fc63ac0ea9264f97be74cfdd3a32c575603dfa</x:v>
      </x:c>
      <x:c r="S491" t="n">
        <x:v>5</x:v>
      </x:c>
      <x:c r="T491" t="str">
        <x:v>2018-12-31|2019-12-31</x:v>
      </x:c>
      <x:c r="U491" s="57" t="n">
        <x:v>39063.956056007715</x:v>
      </x:c>
      <x:c r="V491" s="57" t="n">
        <x:v>-0.29614493592778895</x:v>
      </x:c>
      <x:c r="W491" t="n">
        <x:v>24</x:v>
      </x:c>
      <x:c r="X491" t="n">
        <x:v>2</x:v>
      </x:c>
      <x:c r="Y491" s="38" t="n">
        <x:v>0.6409090909090909</x:v>
      </x:c>
      <x:c r="Z491" s="38" t="n">
        <x:v>0.6293328918665538</x:v>
      </x:c>
      <x:c r="AA491"/>
    </x:row>
    <x:row r="492">
      <x:c r="A492" s="54" t="n">
        <x:v>44196</x:v>
      </x:c>
      <x:c r="B492" t="n">
        <x:v>44196.624999988424</x:v>
      </x:c>
      <x:c r="C492" t="str">
        <x:v>004920</x:v>
      </x:c>
      <x:c r="D492" t="str">
        <x:v>씨아이테크</x:v>
      </x:c>
      <x:c r="E492" t="str">
        <x:v>KOSPI</x:v>
      </x:c>
      <x:c r="F492" t="str">
        <x:v>SMALL</x:v>
      </x:c>
      <x:c r="G492" t="str">
        <x:v>DCF_SCREENING_EXCLUSION</x:v>
      </x:c>
      <x:c r="H492" t="str">
        <x:v>NON_POSITIVE_ENTERPRISE_VALUE|NON_POSITIVE_EQUITY_VALUE|NON_POSITIVE_TERMINAL_FCF</x:v>
      </x:c>
      <x:c r="I492" s="54" t="n">
        <x:v>44195</x:v>
      </x:c>
      <x:c r="J492" s="55" t="n">
        <x:v>899</x:v>
      </x:c>
      <x:c r="K492" s="55" t="n">
        <x:v>22538624028</x:v>
      </x:c>
      <x:c r="L492" s="55" t="n">
        <x:v>25070772</x:v>
      </x:c>
      <x:c r="M492" t="str">
        <x:v>20200330001199</x:v>
      </x:c>
      <x:c r="N492" t="n">
        <x:v>43920.624999988424</x:v>
      </x:c>
      <x:c r="O492" s="54" t="n">
        <x:v>43830</x:v>
      </x:c>
      <x:c r="P492" t="str">
        <x:v>False</x:v>
      </x:c>
      <x:c r="Q492" t="str">
        <x:v>755a4236ba6a89b6882694a6b5e753574834800b6014f15f8342cb189c524817</x:v>
      </x:c>
      <x:c r="R492" t="str">
        <x:v>1b1f26d6ce0c684235930612fcdf320a747fb728f1ee5efedadf87ede029ec6c</x:v>
      </x:c>
      <x:c r="S492" t="n">
        <x:v>6</x:v>
      </x:c>
      <x:c r="T492" t="str">
        <x:v>2018-12-31|2019-12-31</x:v>
      </x:c>
      <x:c r="U492" s="57" t="n">
        <x:v>-1637.7822488011666</x:v>
      </x:c>
      <x:c r="V492" s="57" t="n">
        <x:v>-2.821782256730997</x:v>
      </x:c>
      <x:c r="W492"/>
      <x:c r="X492"/>
      <x:c r="Y492" s="38" t="n">
        <x:v>0.6409090909090909</x:v>
      </x:c>
      <x:c r="Z492" s="38" t="n">
        <x:v>0.6101308946092188</x:v>
      </x:c>
      <x:c r="AA492" t="str">
        <x:v>NON_POSITIVE_ENTERPRISE_VALUE|NON_POSITIVE_EQUITY_VALUE|NON_POSITIVE_TERMINAL_FCF</x:v>
      </x:c>
    </x:row>
    <x:row r="493">
      <x:c r="A493" s="54" t="n">
        <x:v>44196</x:v>
      </x:c>
      <x:c r="B493" t="n">
        <x:v>44196.624999988424</x:v>
      </x:c>
      <x:c r="C493" t="str">
        <x:v>058730</x:v>
      </x:c>
      <x:c r="D493" t="str">
        <x:v>다스코</x:v>
      </x:c>
      <x:c r="E493" t="str">
        <x:v>KOSPI</x:v>
      </x:c>
      <x:c r="F493" t="str">
        <x:v>SMALL</x:v>
      </x:c>
      <x:c r="G493" t="str">
        <x:v>DCF_SCREENING_EXCLUSION</x:v>
      </x:c>
      <x:c r="H493" t="str">
        <x:v>NON_POSITIVE_EQUITY_VALUE</x:v>
      </x:c>
      <x:c r="I493" s="54" t="n">
        <x:v>44195</x:v>
      </x:c>
      <x:c r="J493" s="55" t="n">
        <x:v>5020</x:v>
      </x:c>
      <x:c r="K493" s="55" t="n">
        <x:v>77308000000</x:v>
      </x:c>
      <x:c r="L493" s="55" t="n">
        <x:v>15400000</x:v>
      </x:c>
      <x:c r="M493" t="str">
        <x:v>20200330001086</x:v>
      </x:c>
      <x:c r="N493" t="n">
        <x:v>43920.624999988424</x:v>
      </x:c>
      <x:c r="O493" s="54" t="n">
        <x:v>43830</x:v>
      </x:c>
      <x:c r="P493" t="str">
        <x:v>False</x:v>
      </x:c>
      <x:c r="Q493" t="str">
        <x:v>ccc22d5bc71b5b581b8608b86ef201dd503440b221199b2d31829a825297c90f</x:v>
      </x:c>
      <x:c r="R493" t="str">
        <x:v>e9d5efc428d650efef11343c23675b71f97cc7866d7b8b5e581c6f044806174d</x:v>
      </x:c>
      <x:c r="S493" t="n">
        <x:v>7</x:v>
      </x:c>
      <x:c r="T493" t="str">
        <x:v>2019-12-31</x:v>
      </x:c>
      <x:c r="U493" s="57" t="n">
        <x:v>-858.4296299397403</x:v>
      </x:c>
      <x:c r="V493" s="57" t="n">
        <x:v>-1.1710019183146894</x:v>
      </x:c>
      <x:c r="W493"/>
      <x:c r="X493"/>
      <x:c r="Y493" s="38" t="n">
        <x:v>0.6409090909090909</x:v>
      </x:c>
      <x:c r="Z493" s="38" t="n">
        <x:v>0.6264850986190418</x:v>
      </x:c>
      <x:c r="AA493" t="str">
        <x:v>NON_POSITIVE_EQUITY_VALUE</x:v>
      </x:c>
    </x:row>
    <x:row r="494">
      <x:c r="A494" s="54" t="n">
        <x:v>44196</x:v>
      </x:c>
      <x:c r="B494" t="n">
        <x:v>44196.624999988424</x:v>
      </x:c>
      <x:c r="C494" t="str">
        <x:v>465770</x:v>
      </x:c>
      <x:c r="D494" t="str">
        <x:v>STX그린로지스</x:v>
      </x:c>
      <x:c r="E494" t="str">
        <x:v>KOSPI</x:v>
      </x:c>
      <x:c r="F494" t="str">
        <x:v>SMALL</x:v>
      </x:c>
      <x:c r="G494" t="str">
        <x:v>NOT_LISTED_OR_NO_PRICE</x:v>
      </x:c>
      <x:c r="H494"/>
      <x:c r="I494" s="54"/>
      <x:c r="J494" s="55"/>
      <x:c r="K494" s="55"/>
      <x:c r="L494" s="55"/>
      <x:c r="M494"/>
      <x:c r="N494"/>
      <x:c r="O494" s="54"/>
      <x:c r="P494"/>
      <x:c r="Q494"/>
      <x:c r="R494"/>
      <x:c r="S494"/>
      <x:c r="T494"/>
      <x:c r="U494" s="57"/>
      <x:c r="V494" s="57"/>
      <x:c r="W494"/>
      <x:c r="X494"/>
      <x:c r="Y494" s="38"/>
      <x:c r="Z494" s="38"/>
      <x:c r="AA494"/>
    </x:row>
    <x:row r="495">
      <x:c r="A495" s="54" t="n">
        <x:v>44196</x:v>
      </x:c>
      <x:c r="B495" t="n">
        <x:v>44196.624999988424</x:v>
      </x:c>
      <x:c r="C495" t="str">
        <x:v>000950</x:v>
      </x:c>
      <x:c r="D495" t="str">
        <x:v>전방</x:v>
      </x:c>
      <x:c r="E495" t="str">
        <x:v>KOSPI</x:v>
      </x:c>
      <x:c r="F495" t="str">
        <x:v>SMALL</x:v>
      </x:c>
      <x:c r="G495" t="str">
        <x:v>DCF_SCREENING_EXCLUSION</x:v>
      </x:c>
      <x:c r="H495" t="str">
        <x:v>NON_POSITIVE_ENTERPRISE_VALUE|NON_POSITIVE_EQUITY_VALUE|NON_POSITIVE_TERMINAL_FCF</x:v>
      </x:c>
      <x:c r="I495" s="54" t="n">
        <x:v>44195</x:v>
      </x:c>
      <x:c r="J495" s="55" t="n">
        <x:v>29850</x:v>
      </x:c>
      <x:c r="K495" s="55" t="n">
        <x:v>50148000000</x:v>
      </x:c>
      <x:c r="L495" s="55" t="n">
        <x:v>1680000</x:v>
      </x:c>
      <x:c r="M495" t="str">
        <x:v>20200330003342</x:v>
      </x:c>
      <x:c r="N495" t="n">
        <x:v>43920.624999988424</x:v>
      </x:c>
      <x:c r="O495" s="54" t="n">
        <x:v>43830</x:v>
      </x:c>
      <x:c r="P495" t="str">
        <x:v>False</x:v>
      </x:c>
      <x:c r="Q495" t="str">
        <x:v>d37a995ab75af5058a65fe6350a8034a0683d0929924512ef0bea4a8ad758fe5</x:v>
      </x:c>
      <x:c r="R495" t="str">
        <x:v>436e5dce599534e31efa6ebfac505210fb8df932489c5a943b4a6323ad21c373</x:v>
      </x:c>
      <x:c r="S495" t="n">
        <x:v>6</x:v>
      </x:c>
      <x:c r="T495" t="str">
        <x:v>2018-12-31|2019-12-31</x:v>
      </x:c>
      <x:c r="U495" s="57" t="n">
        <x:v>-194134.81381388978</x:v>
      </x:c>
      <x:c r="V495" s="57" t="n">
        <x:v>-7.503678854736676</x:v>
      </x:c>
      <x:c r="W495"/>
      <x:c r="X495"/>
      <x:c r="Y495" s="38" t="n">
        <x:v>0.6409090909090909</x:v>
      </x:c>
      <x:c r="Z495" s="38" t="n">
        <x:v>0.5879471041668033</x:v>
      </x:c>
      <x:c r="AA495" t="str">
        <x:v>NON_POSITIVE_ENTERPRISE_VALUE|NON_POSITIVE_EQUITY_VALUE|NON_POSITIVE_TERMINAL_FCF</x:v>
      </x:c>
    </x:row>
    <x:row r="496">
      <x:c r="A496" s="54" t="n">
        <x:v>44196</x:v>
      </x:c>
      <x:c r="B496" t="n">
        <x:v>44196.624999988424</x:v>
      </x:c>
      <x:c r="C496" t="str">
        <x:v>019180</x:v>
      </x:c>
      <x:c r="D496" t="str">
        <x:v>티에이치엔</x:v>
      </x:c>
      <x:c r="E496" t="str">
        <x:v>KOSPI</x:v>
      </x:c>
      <x:c r="F496" t="str">
        <x:v>SMALL</x:v>
      </x:c>
      <x:c r="G496" t="str">
        <x:v>ELIGIBLE</x:v>
      </x:c>
      <x:c r="H496"/>
      <x:c r="I496" s="54" t="n">
        <x:v>44195</x:v>
      </x:c>
      <x:c r="J496" s="55" t="n">
        <x:v>2565</x:v>
      </x:c>
      <x:c r="K496" s="55" t="n">
        <x:v>46170000000</x:v>
      </x:c>
      <x:c r="L496" s="55" t="n">
        <x:v>18000000</x:v>
      </x:c>
      <x:c r="M496" t="str">
        <x:v>20200330004530</x:v>
      </x:c>
      <x:c r="N496" t="n">
        <x:v>43920.624999988424</x:v>
      </x:c>
      <x:c r="O496" s="54" t="n">
        <x:v>43830</x:v>
      </x:c>
      <x:c r="P496" t="str">
        <x:v>False</x:v>
      </x:c>
      <x:c r="Q496" t="str">
        <x:v>68216fb88b1a317246b475734369fb25facd12f5f4512ce66fa4639ef15b17ce</x:v>
      </x:c>
      <x:c r="R496" t="str">
        <x:v>d2e46042d1ceff8b2a9c9623f3e88dfcb3808ae33e684ca58d553c0ffb0687aa</x:v>
      </x:c>
      <x:c r="S496" t="n">
        <x:v>6</x:v>
      </x:c>
      <x:c r="T496" t="str">
        <x:v>2018-12-31|2019-12-31</x:v>
      </x:c>
      <x:c r="U496" s="57" t="n">
        <x:v>3940.127164987125</x:v>
      </x:c>
      <x:c r="V496" s="57" t="n">
        <x:v>0.5361119551606726</x:v>
      </x:c>
      <x:c r="W496" t="n">
        <x:v>10</x:v>
      </x:c>
      <x:c r="X496" t="n">
        <x:v>1</x:v>
      </x:c>
      <x:c r="Y496" s="38" t="n">
        <x:v>0.6409090909090909</x:v>
      </x:c>
      <x:c r="Z496" s="38" t="n">
        <x:v>0.5901293254205667</x:v>
      </x:c>
      <x:c r="AA496"/>
    </x:row>
    <x:row r="497">
      <x:c r="A497" s="54" t="n">
        <x:v>44196</x:v>
      </x:c>
      <x:c r="B497" t="n">
        <x:v>44196.624999988424</x:v>
      </x:c>
      <x:c r="C497" t="str">
        <x:v>020760</x:v>
      </x:c>
      <x:c r="D497" t="str">
        <x:v>일진디스플</x:v>
      </x:c>
      <x:c r="E497" t="str">
        <x:v>KOSPI</x:v>
      </x:c>
      <x:c r="F497" t="str">
        <x:v>SMALL</x:v>
      </x:c>
      <x:c r="G497" t="str">
        <x:v>DCF_SCREENING_EXCLUSION</x:v>
      </x:c>
      <x:c r="H497" t="str">
        <x:v>NON_POSITIVE_ENTERPRISE_VALUE|NON_POSITIVE_EQUITY_VALUE|NON_POSITIVE_TERMINAL_FCF</x:v>
      </x:c>
      <x:c r="I497" s="54" t="n">
        <x:v>44195</x:v>
      </x:c>
      <x:c r="J497" s="55" t="n">
        <x:v>6740</x:v>
      </x:c>
      <x:c r="K497" s="55" t="n">
        <x:v>190839325600</x:v>
      </x:c>
      <x:c r="L497" s="55" t="n">
        <x:v>28314440</x:v>
      </x:c>
      <x:c r="M497" t="str">
        <x:v>20200330001399</x:v>
      </x:c>
      <x:c r="N497" t="n">
        <x:v>43920.624999988424</x:v>
      </x:c>
      <x:c r="O497" s="54" t="n">
        <x:v>43830</x:v>
      </x:c>
      <x:c r="P497" t="str">
        <x:v>False</x:v>
      </x:c>
      <x:c r="Q497" t="str">
        <x:v>db157d99f0d4f0676948476f9a72b6225c32b500b9933d68ba0be9a06c1cc8ed</x:v>
      </x:c>
      <x:c r="R497" t="str">
        <x:v>a386523c6ca32a1de7ee2465d75295041cb4433c2d8f2e1a226cce410f316d04</x:v>
      </x:c>
      <x:c r="S497" t="n">
        <x:v>6</x:v>
      </x:c>
      <x:c r="T497" t="str">
        <x:v>2018-12-31|2019-12-31</x:v>
      </x:c>
      <x:c r="U497" s="57" t="n">
        <x:v>-5326.370333110132</x:v>
      </x:c>
      <x:c r="V497" s="57" t="n">
        <x:v>-1.7902626606988328</x:v>
      </x:c>
      <x:c r="W497"/>
      <x:c r="X497"/>
      <x:c r="Y497" s="38" t="n">
        <x:v>0.6409090909090909</x:v>
      </x:c>
      <x:c r="Z497" s="38" t="n">
        <x:v>0.5871397980731997</x:v>
      </x:c>
      <x:c r="AA497" t="str">
        <x:v>NON_POSITIVE_ENTERPRISE_VALUE|NON_POSITIVE_EQUITY_VALUE|NON_POSITIVE_TERMINAL_FCF</x:v>
      </x:c>
    </x:row>
    <x:row r="498">
      <x:c r="A498" s="54" t="n">
        <x:v>44196</x:v>
      </x:c>
      <x:c r="B498" t="n">
        <x:v>44196.624999988424</x:v>
      </x:c>
      <x:c r="C498" t="str">
        <x:v>069640</x:v>
      </x:c>
      <x:c r="D498" t="str">
        <x:v>한세엠케이</x:v>
      </x:c>
      <x:c r="E498" t="str">
        <x:v>KOSPI</x:v>
      </x:c>
      <x:c r="F498" t="str">
        <x:v>SMALL</x:v>
      </x:c>
      <x:c r="G498" t="str">
        <x:v>DCF_SCREENING_EXCLUSION</x:v>
      </x:c>
      <x:c r="H498" t="str">
        <x:v>NON_POSITIVE_ENTERPRISE_VALUE|NON_POSITIVE_EQUITY_VALUE|NON_POSITIVE_TERMINAL_FCF</x:v>
      </x:c>
      <x:c r="I498" s="54" t="n">
        <x:v>44195</x:v>
      </x:c>
      <x:c r="J498" s="55" t="n">
        <x:v>3470</x:v>
      </x:c>
      <x:c r="K498" s="55" t="n">
        <x:v>44795347340</x:v>
      </x:c>
      <x:c r="L498" s="55" t="n">
        <x:v>12909322</x:v>
      </x:c>
      <x:c r="M498" t="str">
        <x:v>20200330003907</x:v>
      </x:c>
      <x:c r="N498" t="n">
        <x:v>43920.624999988424</x:v>
      </x:c>
      <x:c r="O498" s="54" t="n">
        <x:v>43830</x:v>
      </x:c>
      <x:c r="P498" t="str">
        <x:v>False</x:v>
      </x:c>
      <x:c r="Q498" t="str">
        <x:v>d582b638edf54a77993e4c57f8907871545a652959e3b1059944451377cae74c</x:v>
      </x:c>
      <x:c r="R498" t="str">
        <x:v>0a27ded62679dd2528856bd9d6e3bebf08e92f009aac7b00113f02d3b5a50055</x:v>
      </x:c>
      <x:c r="S498" t="n">
        <x:v>6</x:v>
      </x:c>
      <x:c r="T498" t="str">
        <x:v>2018-12-31|2019-12-31</x:v>
      </x:c>
      <x:c r="U498" s="57" t="n">
        <x:v>-11602.608488693524</x:v>
      </x:c>
      <x:c r="V498" s="57" t="n">
        <x:v>-4.343691207116289</x:v>
      </x:c>
      <x:c r="W498"/>
      <x:c r="X498"/>
      <x:c r="Y498" s="38" t="n">
        <x:v>0.6409090909090909</x:v>
      </x:c>
      <x:c r="Z498" s="38" t="n">
        <x:v>0.5784421593253344</x:v>
      </x:c>
      <x:c r="AA498" t="str">
        <x:v>NON_POSITIVE_ENTERPRISE_VALUE|NON_POSITIVE_EQUITY_VALUE|NON_POSITIVE_TERMINAL_FCF</x:v>
      </x:c>
    </x:row>
    <x:row r="499">
      <x:c r="A499" s="54" t="n">
        <x:v>44196</x:v>
      </x:c>
      <x:c r="B499" t="n">
        <x:v>44196.624999988424</x:v>
      </x:c>
      <x:c r="C499" t="str">
        <x:v>000040</x:v>
      </x:c>
      <x:c r="D499" t="str">
        <x:v>KR모터스</x:v>
      </x:c>
      <x:c r="E499" t="str">
        <x:v>KOSPI</x:v>
      </x:c>
      <x:c r="F499" t="str">
        <x:v>SMALL</x:v>
      </x:c>
      <x:c r="G499" t="str">
        <x:v>DCF_SCREENING_EXCLUSION</x:v>
      </x:c>
      <x:c r="H499" t="str">
        <x:v>NON_POSITIVE_ENTERPRISE_VALUE|NON_POSITIVE_EQUITY_VALUE|NON_POSITIVE_TERMINAL_FCF</x:v>
      </x:c>
      <x:c r="I499" s="54" t="n">
        <x:v>44195</x:v>
      </x:c>
      <x:c r="J499" s="55" t="n">
        <x:v>1135</x:v>
      </x:c>
      <x:c r="K499" s="55" t="n">
        <x:v>104035255430</x:v>
      </x:c>
      <x:c r="L499" s="55" t="n">
        <x:v>91661018</x:v>
      </x:c>
      <x:c r="M499" t="str">
        <x:v>20200519000184</x:v>
      </x:c>
      <x:c r="N499" t="n">
        <x:v>43970.624999988424</x:v>
      </x:c>
      <x:c r="O499" s="54" t="n">
        <x:v>43830</x:v>
      </x:c>
      <x:c r="P499" t="str">
        <x:v>True</x:v>
      </x:c>
      <x:c r="Q499" t="str">
        <x:v>34c0806c1c8d44add89c49f0baca97eac277fb493035f681e7bf8aec1094cd82</x:v>
      </x:c>
      <x:c r="R499" t="str">
        <x:v>f87153fba01b4aa875f0517ae3f37b769c7423c1f1463f4ff75adfe019199f16</x:v>
      </x:c>
      <x:c r="S499" t="n">
        <x:v>6</x:v>
      </x:c>
      <x:c r="T499" t="str">
        <x:v>2018-12-31|2019-12-31</x:v>
      </x:c>
      <x:c r="U499" s="57" t="n">
        <x:v>-3872.5928397499765</x:v>
      </x:c>
      <x:c r="V499" s="57" t="n">
        <x:v>-4.411976070264297</x:v>
      </x:c>
      <x:c r="W499"/>
      <x:c r="X499"/>
      <x:c r="Y499" s="38" t="n">
        <x:v>0.6409090909090909</x:v>
      </x:c>
      <x:c r="Z499" s="38" t="n">
        <x:v>0.6474817543038013</x:v>
      </x:c>
      <x:c r="AA499" t="str">
        <x:v>NON_POSITIVE_ENTERPRISE_VALUE|NON_POSITIVE_EQUITY_VALUE|NON_POSITIVE_TERMINAL_FCF</x:v>
      </x:c>
    </x:row>
    <x:row r="500">
      <x:c r="A500" s="54" t="n">
        <x:v>44196</x:v>
      </x:c>
      <x:c r="B500" t="n">
        <x:v>44196.624999988424</x:v>
      </x:c>
      <x:c r="C500" t="str">
        <x:v>003680</x:v>
      </x:c>
      <x:c r="D500" t="str">
        <x:v>한성기업</x:v>
      </x:c>
      <x:c r="E500" t="str">
        <x:v>KOSPI</x:v>
      </x:c>
      <x:c r="F500" t="str">
        <x:v>SMALL</x:v>
      </x:c>
      <x:c r="G500" t="str">
        <x:v>DCF_SCREENING_EXCLUSION</x:v>
      </x:c>
      <x:c r="H500" t="str">
        <x:v>NON_POSITIVE_ENTERPRISE_VALUE|NON_POSITIVE_EQUITY_VALUE|NON_POSITIVE_TERMINAL_FCF</x:v>
      </x:c>
      <x:c r="I500" s="54" t="n">
        <x:v>44195</x:v>
      </x:c>
      <x:c r="J500" s="55" t="n">
        <x:v>8310</x:v>
      </x:c>
      <x:c r="K500" s="55" t="n">
        <x:v>51601069650</x:v>
      </x:c>
      <x:c r="L500" s="55" t="n">
        <x:v>6209515</x:v>
      </x:c>
      <x:c r="M500" t="str">
        <x:v>20200330004211</x:v>
      </x:c>
      <x:c r="N500" t="n">
        <x:v>43920.624999988424</x:v>
      </x:c>
      <x:c r="O500" s="54" t="n">
        <x:v>43830</x:v>
      </x:c>
      <x:c r="P500" t="str">
        <x:v>False</x:v>
      </x:c>
      <x:c r="Q500" t="str">
        <x:v>b6c33c7411c8ff5095f894b66c6f3da044f8e20c07af25a5a3a0f719a4091286</x:v>
      </x:c>
      <x:c r="R500" t="str">
        <x:v>9eb855d088bb513330027b21190e897b5e5c5dfc71bb8af1138dea6a41967dfd</x:v>
      </x:c>
      <x:c r="S500" t="n">
        <x:v>7</x:v>
      </x:c>
      <x:c r="T500" t="str">
        <x:v>2018-12-31|2019-12-31</x:v>
      </x:c>
      <x:c r="U500" s="57" t="n">
        <x:v>-20036.250794547082</x:v>
      </x:c>
      <x:c r="V500" s="57" t="n">
        <x:v>-3.4111011786458585</x:v>
      </x:c>
      <x:c r="W500"/>
      <x:c r="X500"/>
      <x:c r="Y500" s="38" t="n">
        <x:v>0.6409090909090909</x:v>
      </x:c>
      <x:c r="Z500" s="38" t="n">
        <x:v>0.5076943890299815</x:v>
      </x:c>
      <x:c r="AA500" t="str">
        <x:v>NON_POSITIVE_ENTERPRISE_VALUE|NON_POSITIVE_EQUITY_VALUE|NON_POSITIVE_TERMINAL_FCF</x:v>
      </x:c>
    </x:row>
    <x:row r="501">
      <x:c r="A501" s="54" t="n">
        <x:v>44196</x:v>
      </x:c>
      <x:c r="B501" t="n">
        <x:v>44196.624999988424</x:v>
      </x:c>
      <x:c r="C501" t="str">
        <x:v>008600</x:v>
      </x:c>
      <x:c r="D501" t="str">
        <x:v>윌비스</x:v>
      </x:c>
      <x:c r="E501" t="str">
        <x:v>KOSPI</x:v>
      </x:c>
      <x:c r="F501" t="str">
        <x:v>SMALL</x:v>
      </x:c>
      <x:c r="G501" t="str">
        <x:v>DCF_SCREENING_EXCLUSION</x:v>
      </x:c>
      <x:c r="H501" t="str">
        <x:v>NON_POSITIVE_ENTERPRISE_VALUE|NON_POSITIVE_EQUITY_VALUE|NON_POSITIVE_TERMINAL_FCF</x:v>
      </x:c>
      <x:c r="I501" s="54" t="n">
        <x:v>44195</x:v>
      </x:c>
      <x:c r="J501" s="55" t="n">
        <x:v>1345</x:v>
      </x:c>
      <x:c r="K501" s="55" t="n">
        <x:v>87637345910</x:v>
      </x:c>
      <x:c r="L501" s="55" t="n">
        <x:v>65157878</x:v>
      </x:c>
      <x:c r="M501" t="str">
        <x:v>20200330003123</x:v>
      </x:c>
      <x:c r="N501" t="n">
        <x:v>43920.624999988424</x:v>
      </x:c>
      <x:c r="O501" s="54" t="n">
        <x:v>43830</x:v>
      </x:c>
      <x:c r="P501" t="str">
        <x:v>False</x:v>
      </x:c>
      <x:c r="Q501" t="str">
        <x:v>7e8fd51560f40a1a662fa919b163c172d060dc71957e0620218cc1897d5ad541</x:v>
      </x:c>
      <x:c r="R501" t="str">
        <x:v>04f371472a0b93f1aba2b5efe86d5d03779c91e01ad3060f274de7654ac2b769</x:v>
      </x:c>
      <x:c r="S501" t="n">
        <x:v>6</x:v>
      </x:c>
      <x:c r="T501" t="str">
        <x:v>2018-12-31|2019-12-31</x:v>
      </x:c>
      <x:c r="U501" s="57" t="n">
        <x:v>-3478.146082462138</x:v>
      </x:c>
      <x:c r="V501" s="57" t="n">
        <x:v>-3.585982217443969</x:v>
      </x:c>
      <x:c r="W501"/>
      <x:c r="X501"/>
      <x:c r="Y501" s="38" t="n">
        <x:v>0.6409090909090909</x:v>
      </x:c>
      <x:c r="Z501" s="38" t="n">
        <x:v>0.5663409703975026</x:v>
      </x:c>
      <x:c r="AA501" t="str">
        <x:v>NON_POSITIVE_ENTERPRISE_VALUE|NON_POSITIVE_EQUITY_VALUE|NON_POSITIVE_TERMINAL_FCF</x:v>
      </x:c>
    </x:row>
    <x:row r="502">
      <x:c r="A502" s="54" t="n">
        <x:v>44196</x:v>
      </x:c>
      <x:c r="B502" t="n">
        <x:v>44196.624999988424</x:v>
      </x:c>
      <x:c r="C502" t="str">
        <x:v>018310</x:v>
      </x:c>
      <x:c r="D502" t="str">
        <x:v>삼목에스폼</x:v>
      </x:c>
      <x:c r="E502" t="str">
        <x:v>KOSDAQ</x:v>
      </x:c>
      <x:c r="F502" t="str">
        <x:v>MID</x:v>
      </x:c>
      <x:c r="G502" t="str">
        <x:v>ELIGIBLE</x:v>
      </x:c>
      <x:c r="H502"/>
      <x:c r="I502" s="54" t="n">
        <x:v>44195</x:v>
      </x:c>
      <x:c r="J502" s="55" t="n">
        <x:v>8620</x:v>
      </x:c>
      <x:c r="K502" s="55" t="n">
        <x:v>126714000000</x:v>
      </x:c>
      <x:c r="L502" s="55" t="n">
        <x:v>14700000</x:v>
      </x:c>
      <x:c r="M502" t="str">
        <x:v>20200330002433</x:v>
      </x:c>
      <x:c r="N502" t="n">
        <x:v>43920.624999988424</x:v>
      </x:c>
      <x:c r="O502" s="54" t="n">
        <x:v>43830</x:v>
      </x:c>
      <x:c r="P502" t="str">
        <x:v>False</x:v>
      </x:c>
      <x:c r="Q502" t="str">
        <x:v>165898838cd69ad40369c26b1fa45961c942ece56f8a7dbfffb4d74e40a358e7</x:v>
      </x:c>
      <x:c r="R502" t="str">
        <x:v>d60a7dcf4afd70be0a2a367ebf14f199fe1721ac1b45ad9ac406ffbe097cc6d0</x:v>
      </x:c>
      <x:c r="S502" t="n">
        <x:v>5</x:v>
      </x:c>
      <x:c r="T502" t="str">
        <x:v>2018-12-31|2019-12-31</x:v>
      </x:c>
      <x:c r="U502" s="57" t="n">
        <x:v>6651.212683986018</x:v>
      </x:c>
      <x:c r="V502" s="57" t="n">
        <x:v>-0.22839760046565913</x:v>
      </x:c>
      <x:c r="W502" t="n">
        <x:v>21</x:v>
      </x:c>
      <x:c r="X502" t="n">
        <x:v>2</x:v>
      </x:c>
      <x:c r="Y502" s="38" t="n">
        <x:v>0.6409090909090909</x:v>
      </x:c>
      <x:c r="Z502" s="38" t="n">
        <x:v>0.7638335065934094</x:v>
      </x:c>
      <x:c r="AA502"/>
    </x:row>
    <x:row r="503">
      <x:c r="A503" s="54" t="n">
        <x:v>44196</x:v>
      </x:c>
      <x:c r="B503" t="n">
        <x:v>44196.624999988424</x:v>
      </x:c>
      <x:c r="C503" t="str">
        <x:v>090360</x:v>
      </x:c>
      <x:c r="D503" t="str">
        <x:v>로보스타</x:v>
      </x:c>
      <x:c r="E503" t="str">
        <x:v>KOSDAQ</x:v>
      </x:c>
      <x:c r="F503" t="str">
        <x:v>MID</x:v>
      </x:c>
      <x:c r="G503" t="str">
        <x:v>DCF_SCREENING_EXCLUSION</x:v>
      </x:c>
      <x:c r="H503" t="str">
        <x:v>NON_POSITIVE_ENTERPRISE_VALUE|NON_POSITIVE_EQUITY_VALUE|NON_POSITIVE_TERMINAL_FCF</x:v>
      </x:c>
      <x:c r="I503" s="54" t="n">
        <x:v>44195</x:v>
      </x:c>
      <x:c r="J503" s="55" t="n">
        <x:v>19250</x:v>
      </x:c>
      <x:c r="K503" s="55" t="n">
        <x:v>187687500000</x:v>
      </x:c>
      <x:c r="L503" s="55" t="n">
        <x:v>9750000</x:v>
      </x:c>
      <x:c r="M503" t="str">
        <x:v>20200330004227</x:v>
      </x:c>
      <x:c r="N503" t="n">
        <x:v>43920.624999988424</x:v>
      </x:c>
      <x:c r="O503" s="54" t="n">
        <x:v>43830</x:v>
      </x:c>
      <x:c r="P503" t="str">
        <x:v>False</x:v>
      </x:c>
      <x:c r="Q503" t="str">
        <x:v>7cad18e461b2964c30b4d657a679f043e79ee242b52751cb6ffb53e6a1c5e5bc</x:v>
      </x:c>
      <x:c r="R503" t="str">
        <x:v>e326df905f70cf48b5dfe1216a9cb1a5e975932ce8d9984619c113ff1cc4bd1b</x:v>
      </x:c>
      <x:c r="S503" t="n">
        <x:v>5</x:v>
      </x:c>
      <x:c r="T503" t="str">
        <x:v>2018-12-31|2019-12-31</x:v>
      </x:c>
      <x:c r="U503" s="57" t="n">
        <x:v>-983.5331588588693</x:v>
      </x:c>
      <x:c r="V503" s="57" t="n">
        <x:v>-1.051092631629032</x:v>
      </x:c>
      <x:c r="W503"/>
      <x:c r="X503"/>
      <x:c r="Y503" s="38" t="n">
        <x:v>0.6409090909090909</x:v>
      </x:c>
      <x:c r="Z503" s="38" t="n">
        <x:v>0.5517478406566056</x:v>
      </x:c>
      <x:c r="AA503" t="str">
        <x:v>NON_POSITIVE_ENTERPRISE_VALUE|NON_POSITIVE_EQUITY_VALUE|NON_POSITIVE_TERMINAL_FCF</x:v>
      </x:c>
    </x:row>
    <x:row r="504">
      <x:c r="A504" s="54" t="n">
        <x:v>44196</x:v>
      </x:c>
      <x:c r="B504" t="n">
        <x:v>44196.624999988424</x:v>
      </x:c>
      <x:c r="C504" t="str">
        <x:v>144960</x:v>
      </x:c>
      <x:c r="D504" t="str">
        <x:v>뉴파워프라즈마</x:v>
      </x:c>
      <x:c r="E504" t="str">
        <x:v>KOSDAQ</x:v>
      </x:c>
      <x:c r="F504" t="str">
        <x:v>MID</x:v>
      </x:c>
      <x:c r="G504" t="str">
        <x:v>ELIGIBLE</x:v>
      </x:c>
      <x:c r="H504"/>
      <x:c r="I504" s="54" t="n">
        <x:v>44195</x:v>
      </x:c>
      <x:c r="J504" s="55" t="n">
        <x:v>6590</x:v>
      </x:c>
      <x:c r="K504" s="55" t="n">
        <x:v>287934392160</x:v>
      </x:c>
      <x:c r="L504" s="55" t="n">
        <x:v>43692624</x:v>
      </x:c>
      <x:c r="M504" t="str">
        <x:v>20200330003611</x:v>
      </x:c>
      <x:c r="N504" t="n">
        <x:v>43920.624999988424</x:v>
      </x:c>
      <x:c r="O504" s="54" t="n">
        <x:v>43830</x:v>
      </x:c>
      <x:c r="P504" t="str">
        <x:v>False</x:v>
      </x:c>
      <x:c r="Q504" t="str">
        <x:v>8de8cc407cf36453da7a36c0c631d6f70e15f223e09b2b161a328a8b0b0e274d</x:v>
      </x:c>
      <x:c r="R504" t="str">
        <x:v>6d4c85e8edf23b57315e94db856a6d89d1cd1b83c2474ed8aa669e8f32dd4a0f</x:v>
      </x:c>
      <x:c r="S504" t="n">
        <x:v>6</x:v>
      </x:c>
      <x:c r="T504" t="str">
        <x:v>2018-12-31|2019-12-31</x:v>
      </x:c>
      <x:c r="U504" s="57" t="n">
        <x:v>604.3951183633446</x:v>
      </x:c>
      <x:c r="V504" s="57" t="n">
        <x:v>-0.9082860214926639</x:v>
      </x:c>
      <x:c r="W504" t="n">
        <x:v>58</x:v>
      </x:c>
      <x:c r="X504" t="n">
        <x:v>5</x:v>
      </x:c>
      <x:c r="Y504" s="38" t="n">
        <x:v>0.6409090909090909</x:v>
      </x:c>
      <x:c r="Z504" s="38" t="n">
        <x:v>0.7291259709349471</x:v>
      </x:c>
      <x:c r="AA504"/>
    </x:row>
    <x:row r="505">
      <x:c r="A505" s="54" t="n">
        <x:v>44196</x:v>
      </x:c>
      <x:c r="B505" t="n">
        <x:v>44196.624999988424</x:v>
      </x:c>
      <x:c r="C505" t="str">
        <x:v>065660</x:v>
      </x:c>
      <x:c r="D505" t="str">
        <x:v>안트로젠</x:v>
      </x:c>
      <x:c r="E505" t="str">
        <x:v>KOSDAQ</x:v>
      </x:c>
      <x:c r="F505" t="str">
        <x:v>MID</x:v>
      </x:c>
      <x:c r="G505" t="str">
        <x:v>DCF_SCREENING_EXCLUSION</x:v>
      </x:c>
      <x:c r="H505" t="str">
        <x:v>NON_POSITIVE_ENTERPRISE_VALUE|NON_POSITIVE_TERMINAL_FCF</x:v>
      </x:c>
      <x:c r="I505" s="54" t="n">
        <x:v>44195</x:v>
      </x:c>
      <x:c r="J505" s="55" t="n">
        <x:v>62300</x:v>
      </x:c>
      <x:c r="K505" s="55" t="n">
        <x:v>566527168200</x:v>
      </x:c>
      <x:c r="L505" s="55" t="n">
        <x:v>9093534</x:v>
      </x:c>
      <x:c r="M505" t="str">
        <x:v>20200327000620</x:v>
      </x:c>
      <x:c r="N505" t="n">
        <x:v>43917.624999988424</x:v>
      </x:c>
      <x:c r="O505" s="54" t="n">
        <x:v>43830</x:v>
      </x:c>
      <x:c r="P505" t="str">
        <x:v>False</x:v>
      </x:c>
      <x:c r="Q505" t="str">
        <x:v>e393b791c5128fd52c22b5f9a30acb3eab1a1ea9e6d0296769d8f122da5a913b</x:v>
      </x:c>
      <x:c r="R505" t="str">
        <x:v>0eaa0820dd6320358f91fc416d8f116d7562d0d57503cf9c1eb3484d3c360c02</x:v>
      </x:c>
      <x:c r="S505" t="n">
        <x:v>5</x:v>
      </x:c>
      <x:c r="T505" t="str">
        <x:v>2018-12-31|2019-12-31</x:v>
      </x:c>
      <x:c r="U505" s="57" t="n">
        <x:v>3099.9130892778076</x:v>
      </x:c>
      <x:c r="V505" s="57" t="n">
        <x:v>-0.9502421655011588</x:v>
      </x:c>
      <x:c r="W505"/>
      <x:c r="X505"/>
      <x:c r="Y505" s="38" t="n">
        <x:v>0.6409090909090909</x:v>
      </x:c>
      <x:c r="Z505" s="38" t="n">
        <x:v>0.6635957394517747</x:v>
      </x:c>
      <x:c r="AA505" t="str">
        <x:v>NON_POSITIVE_ENTERPRISE_VALUE|NON_POSITIVE_TERMINAL_FCF</x:v>
      </x:c>
    </x:row>
    <x:row r="506">
      <x:c r="A506" s="54" t="n">
        <x:v>44196</x:v>
      </x:c>
      <x:c r="B506" t="n">
        <x:v>44196.624999988424</x:v>
      </x:c>
      <x:c r="C506" t="str">
        <x:v>255220</x:v>
      </x:c>
      <x:c r="D506" t="str">
        <x:v>SG</x:v>
      </x:c>
      <x:c r="E506" t="str">
        <x:v>KOSDAQ</x:v>
      </x:c>
      <x:c r="F506" t="str">
        <x:v>MID</x:v>
      </x:c>
      <x:c r="G506" t="str">
        <x:v>DCF_SCREENING_EXCLUSION</x:v>
      </x:c>
      <x:c r="H506" t="str">
        <x:v>NON_POSITIVE_EQUITY_VALUE</x:v>
      </x:c>
      <x:c r="I506" s="54" t="n">
        <x:v>44195</x:v>
      </x:c>
      <x:c r="J506" s="55" t="n">
        <x:v>1865</x:v>
      </x:c>
      <x:c r="K506" s="55" t="n">
        <x:v>68482850355</x:v>
      </x:c>
      <x:c r="L506" s="55" t="n">
        <x:v>36720027</x:v>
      </x:c>
      <x:c r="M506" t="str">
        <x:v>20200330002142</x:v>
      </x:c>
      <x:c r="N506" t="n">
        <x:v>43920.624999988424</x:v>
      </x:c>
      <x:c r="O506" s="54" t="n">
        <x:v>43830</x:v>
      </x:c>
      <x:c r="P506" t="str">
        <x:v>False</x:v>
      </x:c>
      <x:c r="Q506" t="str">
        <x:v>c19d966ea0c3e188aef328dfae11253fde0293673b1d88e53b090542924e246c</x:v>
      </x:c>
      <x:c r="R506" t="str">
        <x:v>e96e2156cbff1ce8f673d16811513cbc20272538b93262a6e065e0763eb33535</x:v>
      </x:c>
      <x:c r="S506" t="n">
        <x:v>6</x:v>
      </x:c>
      <x:c r="T506" t="str">
        <x:v>2018-12-31|2019-12-31</x:v>
      </x:c>
      <x:c r="U506" s="57" t="n">
        <x:v>-274.1292153525808</x:v>
      </x:c>
      <x:c r="V506" s="57" t="n">
        <x:v>-1.146986174451786</x:v>
      </x:c>
      <x:c r="W506"/>
      <x:c r="X506"/>
      <x:c r="Y506" s="38" t="n">
        <x:v>0.6409090909090909</x:v>
      </x:c>
      <x:c r="Z506" s="38" t="n">
        <x:v>0.6622124389251648</x:v>
      </x:c>
      <x:c r="AA506" t="str">
        <x:v>NON_POSITIVE_EQUITY_VALUE</x:v>
      </x:c>
    </x:row>
    <x:row r="507">
      <x:c r="A507" s="54" t="n">
        <x:v>44196</x:v>
      </x:c>
      <x:c r="B507" t="n">
        <x:v>44196.624999988424</x:v>
      </x:c>
      <x:c r="C507" t="str">
        <x:v>356680</x:v>
      </x:c>
      <x:c r="D507" t="str">
        <x:v>엑스게이트</x:v>
      </x:c>
      <x:c r="E507" t="str">
        <x:v>KOSDAQ</x:v>
      </x:c>
      <x:c r="F507" t="str">
        <x:v>MID</x:v>
      </x:c>
      <x:c r="G507" t="str">
        <x:v>NOT_LISTED_OR_NO_PRICE</x:v>
      </x:c>
      <x:c r="H507"/>
      <x:c r="I507" s="54"/>
      <x:c r="J507" s="55"/>
      <x:c r="K507" s="55"/>
      <x:c r="L507" s="55"/>
      <x:c r="M507"/>
      <x:c r="N507"/>
      <x:c r="O507" s="54"/>
      <x:c r="P507"/>
      <x:c r="Q507"/>
      <x:c r="R507"/>
      <x:c r="S507"/>
      <x:c r="T507"/>
      <x:c r="U507" s="57"/>
      <x:c r="V507" s="57"/>
      <x:c r="W507"/>
      <x:c r="X507"/>
      <x:c r="Y507" s="38"/>
      <x:c r="Z507" s="38"/>
      <x:c r="AA507"/>
    </x:row>
    <x:row r="508">
      <x:c r="A508" s="54" t="n">
        <x:v>44196</x:v>
      </x:c>
      <x:c r="B508" t="n">
        <x:v>44196.624999988424</x:v>
      </x:c>
      <x:c r="C508" t="str">
        <x:v>038390</x:v>
      </x:c>
      <x:c r="D508" t="str">
        <x:v>레드캡투어</x:v>
      </x:c>
      <x:c r="E508" t="str">
        <x:v>KOSDAQ</x:v>
      </x:c>
      <x:c r="F508" t="str">
        <x:v>MID</x:v>
      </x:c>
      <x:c r="G508" t="str">
        <x:v>ELIGIBLE</x:v>
      </x:c>
      <x:c r="H508"/>
      <x:c r="I508" s="54" t="n">
        <x:v>44195</x:v>
      </x:c>
      <x:c r="J508" s="55" t="n">
        <x:v>19200</x:v>
      </x:c>
      <x:c r="K508" s="55" t="n">
        <x:v>164918016000</x:v>
      </x:c>
      <x:c r="L508" s="55" t="n">
        <x:v>8589480</x:v>
      </x:c>
      <x:c r="M508" t="str">
        <x:v>20200330001056</x:v>
      </x:c>
      <x:c r="N508" t="n">
        <x:v>43920.624999988424</x:v>
      </x:c>
      <x:c r="O508" s="54" t="n">
        <x:v>43830</x:v>
      </x:c>
      <x:c r="P508" t="str">
        <x:v>False</x:v>
      </x:c>
      <x:c r="Q508" t="str">
        <x:v>0ed4d7e76fec63b8aaef9e570a935e91f1c114de8e88e76028d6576bd56dfe1c</x:v>
      </x:c>
      <x:c r="R508" t="str">
        <x:v>9ca028bc32b84d8c11c49b231ccb0cb4a9fdaf6127f7ed9a607c722190daca14</x:v>
      </x:c>
      <x:c r="S508" t="n">
        <x:v>6</x:v>
      </x:c>
      <x:c r="T508" t="str">
        <x:v>2018-12-31|2019-12-31</x:v>
      </x:c>
      <x:c r="U508" s="57" t="n">
        <x:v>19218.41668035128</x:v>
      </x:c>
      <x:c r="V508" s="57" t="n">
        <x:v>0.0009592021016291957</x:v>
      </x:c>
      <x:c r="W508" t="n">
        <x:v>16</x:v>
      </x:c>
      <x:c r="X508" t="n">
        <x:v>2</x:v>
      </x:c>
      <x:c r="Y508" s="38" t="n">
        <x:v>0.6409090909090909</x:v>
      </x:c>
      <x:c r="Z508" s="38" t="n">
        <x:v>0.6509275162397761</x:v>
      </x:c>
      <x:c r="AA508"/>
    </x:row>
    <x:row r="509">
      <x:c r="A509" s="54" t="n">
        <x:v>44196</x:v>
      </x:c>
      <x:c r="B509" t="n">
        <x:v>44196.624999988424</x:v>
      </x:c>
      <x:c r="C509" t="str">
        <x:v>083930</x:v>
      </x:c>
      <x:c r="D509" t="str">
        <x:v>아바코</x:v>
      </x:c>
      <x:c r="E509" t="str">
        <x:v>KOSDAQ</x:v>
      </x:c>
      <x:c r="F509" t="str">
        <x:v>MID</x:v>
      </x:c>
      <x:c r="G509" t="str">
        <x:v>ELIGIBLE</x:v>
      </x:c>
      <x:c r="H509"/>
      <x:c r="I509" s="54" t="n">
        <x:v>44195</x:v>
      </x:c>
      <x:c r="J509" s="55" t="n">
        <x:v>10650</x:v>
      </x:c>
      <x:c r="K509" s="55" t="n">
        <x:v>164146298700</x:v>
      </x:c>
      <x:c r="L509" s="55" t="n">
        <x:v>15412798</x:v>
      </x:c>
      <x:c r="M509" t="str">
        <x:v>20200330003217</x:v>
      </x:c>
      <x:c r="N509" t="n">
        <x:v>43920.624999988424</x:v>
      </x:c>
      <x:c r="O509" s="54" t="n">
        <x:v>43830</x:v>
      </x:c>
      <x:c r="P509" t="str">
        <x:v>False</x:v>
      </x:c>
      <x:c r="Q509" t="str">
        <x:v>6fe112766ead0fff9903fdac4ab584f8524a512815d8a732af0c90eaa77b57bf</x:v>
      </x:c>
      <x:c r="R509" t="str">
        <x:v>3b615f1fd988c1c5033d71762dd36efa6dd6dd19d7b2282334628ddd2d2fc2cb</x:v>
      </x:c>
      <x:c r="S509" t="n">
        <x:v>7</x:v>
      </x:c>
      <x:c r="T509" t="str">
        <x:v>2018-12-31|2019-12-31</x:v>
      </x:c>
      <x:c r="U509" s="57" t="n">
        <x:v>11080.323791102901</x:v>
      </x:c>
      <x:c r="V509" s="57" t="n">
        <x:v>0.040405989774920305</x:v>
      </x:c>
      <x:c r="W509" t="n">
        <x:v>15</x:v>
      </x:c>
      <x:c r="X509" t="n">
        <x:v>2</x:v>
      </x:c>
      <x:c r="Y509" s="38" t="n">
        <x:v>0.6409090909090909</x:v>
      </x:c>
      <x:c r="Z509" s="38" t="n">
        <x:v>0.5946474082816877</x:v>
      </x:c>
      <x:c r="AA509"/>
    </x:row>
    <x:row r="510">
      <x:c r="A510" s="54" t="n">
        <x:v>44196</x:v>
      </x:c>
      <x:c r="B510" t="n">
        <x:v>44196.624999988424</x:v>
      </x:c>
      <x:c r="C510" t="str">
        <x:v>089600</x:v>
      </x:c>
      <x:c r="D510" t="str">
        <x:v>KT나스미디어</x:v>
      </x:c>
      <x:c r="E510" t="str">
        <x:v>KOSDAQ</x:v>
      </x:c>
      <x:c r="F510" t="str">
        <x:v>MID</x:v>
      </x:c>
      <x:c r="G510" t="str">
        <x:v>ELIGIBLE</x:v>
      </x:c>
      <x:c r="H510"/>
      <x:c r="I510" s="54" t="n">
        <x:v>44195</x:v>
      </x:c>
      <x:c r="J510" s="55" t="n">
        <x:v>30600</x:v>
      </x:c>
      <x:c r="K510" s="55" t="n">
        <x:v>267893544600</x:v>
      </x:c>
      <x:c r="L510" s="55" t="n">
        <x:v>8754691</x:v>
      </x:c>
      <x:c r="M510" t="str">
        <x:v>20200330003971</x:v>
      </x:c>
      <x:c r="N510" t="n">
        <x:v>43920.624999988424</x:v>
      </x:c>
      <x:c r="O510" s="54" t="n">
        <x:v>43830</x:v>
      </x:c>
      <x:c r="P510" t="str">
        <x:v>False</x:v>
      </x:c>
      <x:c r="Q510" t="str">
        <x:v>7366a9a946afb807904d9c068adeee1c2b11b8f4ce52b600edd8231e0270e3af</x:v>
      </x:c>
      <x:c r="R510" t="str">
        <x:v>a1780843cd2e0dc320178dfa80fdea6a1484ec5b2418439dcb6c1f6bfc73acf5</x:v>
      </x:c>
      <x:c r="S510" t="n">
        <x:v>6</x:v>
      </x:c>
      <x:c r="T510" t="str">
        <x:v>2019-12-31</x:v>
      </x:c>
      <x:c r="U510" s="57" t="n">
        <x:v>32148.67306797827</x:v>
      </x:c>
      <x:c r="V510" s="57" t="n">
        <x:v>0.050610230979682085</x:v>
      </x:c>
      <x:c r="W510" t="n">
        <x:v>14</x:v>
      </x:c>
      <x:c r="X510" t="n">
        <x:v>2</x:v>
      </x:c>
      <x:c r="Y510" s="38" t="n">
        <x:v>0.6409090909090909</x:v>
      </x:c>
      <x:c r="Z510" s="38" t="n">
        <x:v>0.6701769222689359</x:v>
      </x:c>
      <x:c r="AA510"/>
    </x:row>
    <x:row r="511">
      <x:c r="A511" s="54" t="n">
        <x:v>44196</x:v>
      </x:c>
      <x:c r="B511" t="n">
        <x:v>44196.624999988424</x:v>
      </x:c>
      <x:c r="C511" t="str">
        <x:v>091120</x:v>
      </x:c>
      <x:c r="D511" t="str">
        <x:v>이엠텍</x:v>
      </x:c>
      <x:c r="E511" t="str">
        <x:v>KOSDAQ</x:v>
      </x:c>
      <x:c r="F511" t="str">
        <x:v>MID</x:v>
      </x:c>
      <x:c r="G511" t="str">
        <x:v>DCF_SCREENING_EXCLUSION</x:v>
      </x:c>
      <x:c r="H511" t="str">
        <x:v>NON_POSITIVE_ENTERPRISE_VALUE|NON_POSITIVE_EQUITY_VALUE|NON_POSITIVE_TERMINAL_FCF</x:v>
      </x:c>
      <x:c r="I511" s="54" t="n">
        <x:v>44195</x:v>
      </x:c>
      <x:c r="J511" s="55" t="n">
        <x:v>12300</x:v>
      </x:c>
      <x:c r="K511" s="55" t="n">
        <x:v>197549512800</x:v>
      </x:c>
      <x:c r="L511" s="55" t="n">
        <x:v>16060936</x:v>
      </x:c>
      <x:c r="M511" t="str">
        <x:v>20200327001294</x:v>
      </x:c>
      <x:c r="N511" t="n">
        <x:v>43917.624999988424</x:v>
      </x:c>
      <x:c r="O511" s="54" t="n">
        <x:v>43830</x:v>
      </x:c>
      <x:c r="P511" t="str">
        <x:v>False</x:v>
      </x:c>
      <x:c r="Q511" t="str">
        <x:v>2d24983f4c6ef246eb83385f0559caa906d62eb07d0c727c440087294d8e0ac1</x:v>
      </x:c>
      <x:c r="R511" t="str">
        <x:v>47b28b8cb7206e847ab0c31138de31f5f565461bc77cf232929bb0bd4e51f734</x:v>
      </x:c>
      <x:c r="S511" t="n">
        <x:v>6</x:v>
      </x:c>
      <x:c r="T511" t="str">
        <x:v>2018-12-31|2019-12-31</x:v>
      </x:c>
      <x:c r="U511" s="57" t="n">
        <x:v>-486.89593659803876</x:v>
      </x:c>
      <x:c r="V511" s="57" t="n">
        <x:v>-1.0395850354957754</x:v>
      </x:c>
      <x:c r="W511"/>
      <x:c r="X511"/>
      <x:c r="Y511" s="38" t="n">
        <x:v>0.6409090909090909</x:v>
      </x:c>
      <x:c r="Z511" s="38" t="n">
        <x:v>0.4477369167724004</x:v>
      </x:c>
      <x:c r="AA511" t="str">
        <x:v>NON_POSITIVE_ENTERPRISE_VALUE|NON_POSITIVE_EQUITY_VALUE|NON_POSITIVE_TERMINAL_FCF</x:v>
      </x:c>
    </x:row>
    <x:row r="512">
      <x:c r="A512" s="54" t="n">
        <x:v>44196</x:v>
      </x:c>
      <x:c r="B512" t="n">
        <x:v>44196.624999988424</x:v>
      </x:c>
      <x:c r="C512" t="str">
        <x:v>353810</x:v>
      </x:c>
      <x:c r="D512" t="str">
        <x:v>이지바이오</x:v>
      </x:c>
      <x:c r="E512" t="str">
        <x:v>KOSDAQ</x:v>
      </x:c>
      <x:c r="F512" t="str">
        <x:v>MID</x:v>
      </x:c>
      <x:c r="G512" t="str">
        <x:v>NO_PIT_FINANCIALS</x:v>
      </x:c>
      <x:c r="H512"/>
      <x:c r="I512" s="54" t="n">
        <x:v>44195</x:v>
      </x:c>
      <x:c r="J512" s="55" t="n">
        <x:v>31000</x:v>
      </x:c>
      <x:c r="K512" s="55" t="n">
        <x:v>211988664000</x:v>
      </x:c>
      <x:c r="L512" s="55" t="n">
        <x:v>6838344</x:v>
      </x:c>
      <x:c r="M512"/>
      <x:c r="N512"/>
      <x:c r="O512" s="54"/>
      <x:c r="P512"/>
      <x:c r="Q512"/>
      <x:c r="R512"/>
      <x:c r="S512"/>
      <x:c r="T512"/>
      <x:c r="U512" s="57"/>
      <x:c r="V512" s="57"/>
      <x:c r="W512"/>
      <x:c r="X512"/>
      <x:c r="Y512" s="38"/>
      <x:c r="Z512" s="38"/>
      <x:c r="AA512"/>
    </x:row>
    <x:row r="513">
      <x:c r="A513" s="54" t="n">
        <x:v>44196</x:v>
      </x:c>
      <x:c r="B513" t="n">
        <x:v>44196.624999988424</x:v>
      </x:c>
      <x:c r="C513" t="str">
        <x:v>203650</x:v>
      </x:c>
      <x:c r="D513" t="str">
        <x:v>드림시큐리티</x:v>
      </x:c>
      <x:c r="E513" t="str">
        <x:v>KOSDAQ</x:v>
      </x:c>
      <x:c r="F513" t="str">
        <x:v>MID</x:v>
      </x:c>
      <x:c r="G513" t="str">
        <x:v>ELIGIBLE</x:v>
      </x:c>
      <x:c r="H513"/>
      <x:c r="I513" s="54" t="n">
        <x:v>44195</x:v>
      </x:c>
      <x:c r="J513" s="55" t="n">
        <x:v>3930</x:v>
      </x:c>
      <x:c r="K513" s="55" t="n">
        <x:v>198880613220</x:v>
      </x:c>
      <x:c r="L513" s="55" t="n">
        <x:v>50605754</x:v>
      </x:c>
      <x:c r="M513" t="str">
        <x:v>20200330002245</x:v>
      </x:c>
      <x:c r="N513" t="n">
        <x:v>43920.624999988424</x:v>
      </x:c>
      <x:c r="O513" s="54" t="n">
        <x:v>43830</x:v>
      </x:c>
      <x:c r="P513" t="str">
        <x:v>False</x:v>
      </x:c>
      <x:c r="Q513" t="str">
        <x:v>57c3d3517db60ca075b2c8d11f58e42070e7165608af392777e68b9ef42f02de</x:v>
      </x:c>
      <x:c r="R513" t="str">
        <x:v>6df67fc742d01a8516ea913e46378977817ffd387d4cef500e4488e05bc9a1be</x:v>
      </x:c>
      <x:c r="S513" t="n">
        <x:v>6</x:v>
      </x:c>
      <x:c r="T513" t="str">
        <x:v>2018-12-31|2019-12-31</x:v>
      </x:c>
      <x:c r="U513" s="57" t="n">
        <x:v>234.19899304557862</x:v>
      </x:c>
      <x:c r="V513" s="57" t="n">
        <x:v>-0.9404073809044329</x:v>
      </x:c>
      <x:c r="W513" t="n">
        <x:v>59</x:v>
      </x:c>
      <x:c r="X513" t="n">
        <x:v>5</x:v>
      </x:c>
      <x:c r="Y513" s="38" t="n">
        <x:v>0.6409090909090909</x:v>
      </x:c>
      <x:c r="Z513" s="38" t="n">
        <x:v>0.7096876554646769</x:v>
      </x:c>
      <x:c r="AA513"/>
    </x:row>
    <x:row r="514">
      <x:c r="A514" s="54" t="n">
        <x:v>44196</x:v>
      </x:c>
      <x:c r="B514" t="n">
        <x:v>44196.624999988424</x:v>
      </x:c>
      <x:c r="C514" t="str">
        <x:v>251120</x:v>
      </x:c>
      <x:c r="D514" t="str">
        <x:v>바이오에프디엔씨</x:v>
      </x:c>
      <x:c r="E514" t="str">
        <x:v>KOSDAQ</x:v>
      </x:c>
      <x:c r="F514" t="str">
        <x:v>MID</x:v>
      </x:c>
      <x:c r="G514" t="str">
        <x:v>NOT_LISTED_OR_NO_PRICE</x:v>
      </x:c>
      <x:c r="H514"/>
      <x:c r="I514" s="54"/>
      <x:c r="J514" s="55"/>
      <x:c r="K514" s="55"/>
      <x:c r="L514" s="55"/>
      <x:c r="M514"/>
      <x:c r="N514"/>
      <x:c r="O514" s="54"/>
      <x:c r="P514"/>
      <x:c r="Q514"/>
      <x:c r="R514"/>
      <x:c r="S514"/>
      <x:c r="T514"/>
      <x:c r="U514" s="57"/>
      <x:c r="V514" s="57"/>
      <x:c r="W514"/>
      <x:c r="X514"/>
      <x:c r="Y514" s="38"/>
      <x:c r="Z514" s="38"/>
      <x:c r="AA514"/>
    </x:row>
    <x:row r="515">
      <x:c r="A515" s="54" t="n">
        <x:v>44196</x:v>
      </x:c>
      <x:c r="B515" t="n">
        <x:v>44196.624999988424</x:v>
      </x:c>
      <x:c r="C515" t="str">
        <x:v>094820</x:v>
      </x:c>
      <x:c r="D515" t="str">
        <x:v>일진파워</x:v>
      </x:c>
      <x:c r="E515" t="str">
        <x:v>KOSDAQ</x:v>
      </x:c>
      <x:c r="F515" t="str">
        <x:v>MID</x:v>
      </x:c>
      <x:c r="G515" t="str">
        <x:v>ELIGIBLE</x:v>
      </x:c>
      <x:c r="H515"/>
      <x:c r="I515" s="54" t="n">
        <x:v>44195</x:v>
      </x:c>
      <x:c r="J515" s="55" t="n">
        <x:v>5540</x:v>
      </x:c>
      <x:c r="K515" s="55" t="n">
        <x:v>83536047860</x:v>
      </x:c>
      <x:c r="L515" s="55" t="n">
        <x:v>15078709</x:v>
      </x:c>
      <x:c r="M515" t="str">
        <x:v>20200330003625</x:v>
      </x:c>
      <x:c r="N515" t="n">
        <x:v>43920.624999988424</x:v>
      </x:c>
      <x:c r="O515" s="54" t="n">
        <x:v>43830</x:v>
      </x:c>
      <x:c r="P515" t="str">
        <x:v>False</x:v>
      </x:c>
      <x:c r="Q515" t="str">
        <x:v>b59d85b4dcc8495f35c926f0be8e9fc82a38a7e715e631d2aaa36b6ab594f7a5</x:v>
      </x:c>
      <x:c r="R515" t="str">
        <x:v>433d6a7d85480f55117e65b211d43de0f789d445ad6e9cd7e61d82eccb9873d8</x:v>
      </x:c>
      <x:c r="S515" t="n">
        <x:v>5</x:v>
      </x:c>
      <x:c r="T515" t="str">
        <x:v>2018-12-31|2019-12-31</x:v>
      </x:c>
      <x:c r="U515" s="57" t="n">
        <x:v>14773.966135425591</x:v>
      </x:c>
      <x:c r="V515" s="57" t="n">
        <x:v>1.6667808908710453</x:v>
      </x:c>
      <x:c r="W515" t="n">
        <x:v>4</x:v>
      </x:c>
      <x:c r="X515" t="n">
        <x:v>1</x:v>
      </x:c>
      <x:c r="Y515" s="38" t="n">
        <x:v>0.6409090909090909</x:v>
      </x:c>
      <x:c r="Z515" s="38" t="n">
        <x:v>0.7315079400342607</x:v>
      </x:c>
      <x:c r="AA515"/>
    </x:row>
    <x:row r="516">
      <x:c r="A516" s="54" t="n">
        <x:v>44196</x:v>
      </x:c>
      <x:c r="B516" t="n">
        <x:v>44196.624999988424</x:v>
      </x:c>
      <x:c r="C516" t="str">
        <x:v>333430</x:v>
      </x:c>
      <x:c r="D516" t="str">
        <x:v>일승</x:v>
      </x:c>
      <x:c r="E516" t="str">
        <x:v>KOSDAQ</x:v>
      </x:c>
      <x:c r="F516" t="str">
        <x:v>MID</x:v>
      </x:c>
      <x:c r="G516" t="str">
        <x:v>NO_PIT_FINANCIALS</x:v>
      </x:c>
      <x:c r="H516"/>
      <x:c r="I516" s="54" t="n">
        <x:v>44195</x:v>
      </x:c>
      <x:c r="J516" s="55" t="n">
        <x:v>2050</x:v>
      </x:c>
      <x:c r="K516" s="55" t="n">
        <x:v>8999500000</x:v>
      </x:c>
      <x:c r="L516" s="55" t="n">
        <x:v>4390000</x:v>
      </x:c>
      <x:c r="M516"/>
      <x:c r="N516"/>
      <x:c r="O516" s="54"/>
      <x:c r="P516"/>
      <x:c r="Q516"/>
      <x:c r="R516"/>
      <x:c r="S516"/>
      <x:c r="T516"/>
      <x:c r="U516" s="57"/>
      <x:c r="V516" s="57"/>
      <x:c r="W516"/>
      <x:c r="X516"/>
      <x:c r="Y516" s="38"/>
      <x:c r="Z516" s="38"/>
      <x:c r="AA516"/>
    </x:row>
    <x:row r="517">
      <x:c r="A517" s="54" t="n">
        <x:v>44196</x:v>
      </x:c>
      <x:c r="B517" t="n">
        <x:v>44196.624999988424</x:v>
      </x:c>
      <x:c r="C517" t="str">
        <x:v>041440</x:v>
      </x:c>
      <x:c r="D517" t="str">
        <x:v>현대에버다임</x:v>
      </x:c>
      <x:c r="E517" t="str">
        <x:v>KOSDAQ</x:v>
      </x:c>
      <x:c r="F517" t="str">
        <x:v>MID</x:v>
      </x:c>
      <x:c r="G517" t="str">
        <x:v>ELIGIBLE</x:v>
      </x:c>
      <x:c r="H517"/>
      <x:c r="I517" s="54" t="n">
        <x:v>44195</x:v>
      </x:c>
      <x:c r="J517" s="55" t="n">
        <x:v>4300</x:v>
      </x:c>
      <x:c r="K517" s="55" t="n">
        <x:v>77038559200</x:v>
      </x:c>
      <x:c r="L517" s="55" t="n">
        <x:v>17915944</x:v>
      </x:c>
      <x:c r="M517" t="str">
        <x:v>20200330003194</x:v>
      </x:c>
      <x:c r="N517" t="n">
        <x:v>43920.624999988424</x:v>
      </x:c>
      <x:c r="O517" s="54" t="n">
        <x:v>43830</x:v>
      </x:c>
      <x:c r="P517" t="str">
        <x:v>False</x:v>
      </x:c>
      <x:c r="Q517" t="str">
        <x:v>16997b4392a0bd28ea72e13e4e114acc5a569dcbee456947a306d17b34b51b31</x:v>
      </x:c>
      <x:c r="R517" t="str">
        <x:v>3b14c0c6043d928661a22489109067489d88031687d22b7a5311c2499b3d669e</x:v>
      </x:c>
      <x:c r="S517" t="n">
        <x:v>7</x:v>
      </x:c>
      <x:c r="T517" t="str">
        <x:v>2018-12-31|2019-12-31</x:v>
      </x:c>
      <x:c r="U517" s="57" t="n">
        <x:v>2614.9217888781814</x:v>
      </x:c>
      <x:c r="V517" s="57" t="n">
        <x:v>-0.3918786537492601</x:v>
      </x:c>
      <x:c r="W517" t="n">
        <x:v>26</x:v>
      </x:c>
      <x:c r="X517" t="n">
        <x:v>2</x:v>
      </x:c>
      <x:c r="Y517" s="38" t="n">
        <x:v>0.6409090909090909</x:v>
      </x:c>
      <x:c r="Z517" s="38" t="n">
        <x:v>0.5430879733724859</x:v>
      </x:c>
      <x:c r="AA517"/>
    </x:row>
    <x:row r="518">
      <x:c r="A518" s="54" t="n">
        <x:v>44196</x:v>
      </x:c>
      <x:c r="B518" t="n">
        <x:v>44196.624999988424</x:v>
      </x:c>
      <x:c r="C518" t="str">
        <x:v>067990</x:v>
      </x:c>
      <x:c r="D518" t="str">
        <x:v>도이치모터스</x:v>
      </x:c>
      <x:c r="E518" t="str">
        <x:v>KOSDAQ</x:v>
      </x:c>
      <x:c r="F518" t="str">
        <x:v>MID</x:v>
      </x:c>
      <x:c r="G518" t="str">
        <x:v>ELIGIBLE</x:v>
      </x:c>
      <x:c r="H518"/>
      <x:c r="I518" s="54" t="n">
        <x:v>44195</x:v>
      </x:c>
      <x:c r="J518" s="55" t="n">
        <x:v>7410</x:v>
      </x:c>
      <x:c r="K518" s="55" t="n">
        <x:v>215367337380</x:v>
      </x:c>
      <x:c r="L518" s="55" t="n">
        <x:v>29064418</x:v>
      </x:c>
      <x:c r="M518" t="str">
        <x:v>20200330002842</x:v>
      </x:c>
      <x:c r="N518" t="n">
        <x:v>43920.624999988424</x:v>
      </x:c>
      <x:c r="O518" s="54" t="n">
        <x:v>43830</x:v>
      </x:c>
      <x:c r="P518" t="str">
        <x:v>False</x:v>
      </x:c>
      <x:c r="Q518" t="str">
        <x:v>aeacc35410dd89cf6139f4be6bb14aba09ed69b2f5d811329db7df6416017ded</x:v>
      </x:c>
      <x:c r="R518" t="str">
        <x:v>b2fb1a002fe7969aba9cfd8a3177ce8fd1e9db6221a2beade61bbc30173bcc11</x:v>
      </x:c>
      <x:c r="S518" t="n">
        <x:v>6</x:v>
      </x:c>
      <x:c r="T518" t="str">
        <x:v>2016-12-31|2018-12-31|2019-12-31</x:v>
      </x:c>
      <x:c r="U518" s="57" t="n">
        <x:v>214.56428736707983</x:v>
      </x:c>
      <x:c r="V518" s="57" t="n">
        <x:v>-0.9710439558209069</x:v>
      </x:c>
      <x:c r="W518" t="n">
        <x:v>63</x:v>
      </x:c>
      <x:c r="X518" t="n">
        <x:v>5</x:v>
      </x:c>
      <x:c r="Y518" s="38" t="n">
        <x:v>0.6409090909090909</x:v>
      </x:c>
      <x:c r="Z518" s="38" t="n">
        <x:v>0.6888518992756371</x:v>
      </x:c>
      <x:c r="AA518"/>
    </x:row>
    <x:row r="519">
      <x:c r="A519" s="54" t="n">
        <x:v>44196</x:v>
      </x:c>
      <x:c r="B519" t="n">
        <x:v>44196.624999988424</x:v>
      </x:c>
      <x:c r="C519" t="str">
        <x:v>037070</x:v>
      </x:c>
      <x:c r="D519" t="str">
        <x:v>파세코</x:v>
      </x:c>
      <x:c r="E519" t="str">
        <x:v>KOSDAQ</x:v>
      </x:c>
      <x:c r="F519" t="str">
        <x:v>MID</x:v>
      </x:c>
      <x:c r="G519" t="str">
        <x:v>ELIGIBLE</x:v>
      </x:c>
      <x:c r="H519"/>
      <x:c r="I519" s="54" t="n">
        <x:v>44195</x:v>
      </x:c>
      <x:c r="J519" s="55" t="n">
        <x:v>13800</x:v>
      </x:c>
      <x:c r="K519" s="55" t="n">
        <x:v>193200000000</x:v>
      </x:c>
      <x:c r="L519" s="55" t="n">
        <x:v>14000000</x:v>
      </x:c>
      <x:c r="M519" t="str">
        <x:v>20200330000501</x:v>
      </x:c>
      <x:c r="N519" t="n">
        <x:v>43920.624999988424</x:v>
      </x:c>
      <x:c r="O519" s="54" t="n">
        <x:v>43830</x:v>
      </x:c>
      <x:c r="P519" t="str">
        <x:v>False</x:v>
      </x:c>
      <x:c r="Q519" t="str">
        <x:v>1440c88124d8765b5f68d20b777357d7374aa8b1e0c49a3563a248e24267c8ad</x:v>
      </x:c>
      <x:c r="R519" t="str">
        <x:v>83c055e1264fdcdfca2ec0cb820207c239f947ecafcf9ebf65e7828b84f8d22e</x:v>
      </x:c>
      <x:c r="S519" t="n">
        <x:v>7</x:v>
      </x:c>
      <x:c r="T519" t="str">
        <x:v>2018-12-31|2019-12-31</x:v>
      </x:c>
      <x:c r="U519" s="57" t="n">
        <x:v>5223.088421177067</x:v>
      </x:c>
      <x:c r="V519" s="57" t="n">
        <x:v>-0.6215153317987633</x:v>
      </x:c>
      <x:c r="W519" t="n">
        <x:v>40</x:v>
      </x:c>
      <x:c r="X519" t="n">
        <x:v>4</x:v>
      </x:c>
      <x:c r="Y519" s="38" t="n">
        <x:v>0.6409090909090909</x:v>
      </x:c>
      <x:c r="Z519" s="38" t="n">
        <x:v>0.6978683163387078</x:v>
      </x:c>
      <x:c r="AA519"/>
    </x:row>
    <x:row r="520">
      <x:c r="A520" s="54" t="n">
        <x:v>44196</x:v>
      </x:c>
      <x:c r="B520" t="n">
        <x:v>44196.624999988424</x:v>
      </x:c>
      <x:c r="C520" t="str">
        <x:v>365330</x:v>
      </x:c>
      <x:c r="D520" t="str">
        <x:v>에스와이스틸텍</x:v>
      </x:c>
      <x:c r="E520" t="str">
        <x:v>KOSDAQ</x:v>
      </x:c>
      <x:c r="F520" t="str">
        <x:v>MID</x:v>
      </x:c>
      <x:c r="G520" t="str">
        <x:v>NOT_LISTED_OR_NO_PRICE</x:v>
      </x:c>
      <x:c r="H520"/>
      <x:c r="I520" s="54"/>
      <x:c r="J520" s="55"/>
      <x:c r="K520" s="55"/>
      <x:c r="L520" s="55"/>
      <x:c r="M520"/>
      <x:c r="N520"/>
      <x:c r="O520" s="54"/>
      <x:c r="P520"/>
      <x:c r="Q520"/>
      <x:c r="R520"/>
      <x:c r="S520"/>
      <x:c r="T520"/>
      <x:c r="U520" s="57"/>
      <x:c r="V520" s="57"/>
      <x:c r="W520"/>
      <x:c r="X520"/>
      <x:c r="Y520" s="38"/>
      <x:c r="Z520" s="38"/>
      <x:c r="AA520"/>
    </x:row>
    <x:row r="521">
      <x:c r="A521" s="54" t="n">
        <x:v>44196</x:v>
      </x:c>
      <x:c r="B521" t="n">
        <x:v>44196.624999988424</x:v>
      </x:c>
      <x:c r="C521" t="str">
        <x:v>086960</x:v>
      </x:c>
      <x:c r="D521" t="str">
        <x:v>MDS테크</x:v>
      </x:c>
      <x:c r="E521" t="str">
        <x:v>KOSDAQ</x:v>
      </x:c>
      <x:c r="F521" t="str">
        <x:v>MID</x:v>
      </x:c>
      <x:c r="G521" t="str">
        <x:v>ELIGIBLE</x:v>
      </x:c>
      <x:c r="H521"/>
      <x:c r="I521" s="54" t="n">
        <x:v>44195</x:v>
      </x:c>
      <x:c r="J521" s="55" t="n">
        <x:v>14500</x:v>
      </x:c>
      <x:c r="K521" s="55" t="n">
        <x:v>128014816000</x:v>
      </x:c>
      <x:c r="L521" s="55" t="n">
        <x:v>8828608</x:v>
      </x:c>
      <x:c r="M521" t="str">
        <x:v>20200330004715</x:v>
      </x:c>
      <x:c r="N521" t="n">
        <x:v>43920.624999988424</x:v>
      </x:c>
      <x:c r="O521" s="54" t="n">
        <x:v>43830</x:v>
      </x:c>
      <x:c r="P521" t="str">
        <x:v>False</x:v>
      </x:c>
      <x:c r="Q521" t="str">
        <x:v>e12cfe4d5ff5e5c542ec0d8495e3843c8348276f8555fb7d98bb89e81e3665a2</x:v>
      </x:c>
      <x:c r="R521" t="str">
        <x:v>b0c66fc2fb6fac40330559f877804f0bff7ac374b2575a6ea395c9a9b70e3167</x:v>
      </x:c>
      <x:c r="S521" t="n">
        <x:v>6</x:v>
      </x:c>
      <x:c r="T521" t="str">
        <x:v>2018-12-31|2019-12-31</x:v>
      </x:c>
      <x:c r="U521" s="57" t="n">
        <x:v>6344.674242254344</x:v>
      </x:c>
      <x:c r="V521" s="57" t="n">
        <x:v>-0.5624362591548728</x:v>
      </x:c>
      <x:c r="W521" t="n">
        <x:v>36</x:v>
      </x:c>
      <x:c r="X521" t="n">
        <x:v>3</x:v>
      </x:c>
      <x:c r="Y521" s="38" t="n">
        <x:v>0.6409090909090909</x:v>
      </x:c>
      <x:c r="Z521" s="38" t="n">
        <x:v>0.6982440714901555</x:v>
      </x:c>
      <x:c r="AA521"/>
    </x:row>
    <x:row r="522">
      <x:c r="A522" s="54" t="n">
        <x:v>44196</x:v>
      </x:c>
      <x:c r="B522" t="n">
        <x:v>44196.624999988424</x:v>
      </x:c>
      <x:c r="C522" t="str">
        <x:v>014970</x:v>
      </x:c>
      <x:c r="D522" t="str">
        <x:v>삼륭물산</x:v>
      </x:c>
      <x:c r="E522" t="str">
        <x:v>KOSDAQ</x:v>
      </x:c>
      <x:c r="F522" t="str">
        <x:v>MID</x:v>
      </x:c>
      <x:c r="G522" t="str">
        <x:v>DCF_SCREENING_EXCLUSION</x:v>
      </x:c>
      <x:c r="H522" t="str">
        <x:v>NON_POSITIVE_ENTERPRISE_VALUE|NON_POSITIVE_EQUITY_VALUE|NON_POSITIVE_TERMINAL_FCF</x:v>
      </x:c>
      <x:c r="I522" s="54" t="n">
        <x:v>44195</x:v>
      </x:c>
      <x:c r="J522" s="55" t="n">
        <x:v>9990</x:v>
      </x:c>
      <x:c r="K522" s="55" t="n">
        <x:v>151098750000</x:v>
      </x:c>
      <x:c r="L522" s="55" t="n">
        <x:v>15125000</x:v>
      </x:c>
      <x:c r="M522" t="str">
        <x:v>20200330001231</x:v>
      </x:c>
      <x:c r="N522" t="n">
        <x:v>43920.624999988424</x:v>
      </x:c>
      <x:c r="O522" s="54" t="n">
        <x:v>43830</x:v>
      </x:c>
      <x:c r="P522" t="str">
        <x:v>False</x:v>
      </x:c>
      <x:c r="Q522" t="str">
        <x:v>21a6612fa1d8adc381bb8d3396631928e9039f8bd05fa7ea91072d692a3dfb47</x:v>
      </x:c>
      <x:c r="R522" t="str">
        <x:v>70478854bbb12305e24bddc0c290cb6ad246ff20271c970a5769219bf7c4b2a1</x:v>
      </x:c>
      <x:c r="S522" t="n">
        <x:v>6</x:v>
      </x:c>
      <x:c r="T522" t="str">
        <x:v>2018-12-31|2019-12-31</x:v>
      </x:c>
      <x:c r="U522" s="57" t="n">
        <x:v>-1768.3349650620855</x:v>
      </x:c>
      <x:c r="V522" s="57" t="n">
        <x:v>-1.1770105070132217</x:v>
      </x:c>
      <x:c r="W522"/>
      <x:c r="X522"/>
      <x:c r="Y522" s="38" t="n">
        <x:v>0.6409090909090909</x:v>
      </x:c>
      <x:c r="Z522" s="38" t="n">
        <x:v>0.7248643288015433</x:v>
      </x:c>
      <x:c r="AA522" t="str">
        <x:v>NON_POSITIVE_ENTERPRISE_VALUE|NON_POSITIVE_EQUITY_VALUE|NON_POSITIVE_TERMINAL_FCF</x:v>
      </x:c>
    </x:row>
    <x:row r="523">
      <x:c r="A523" s="54" t="n">
        <x:v>44196</x:v>
      </x:c>
      <x:c r="B523" t="n">
        <x:v>44196.624999988424</x:v>
      </x:c>
      <x:c r="C523" t="str">
        <x:v>088390</x:v>
      </x:c>
      <x:c r="D523" t="str">
        <x:v>이녹스</x:v>
      </x:c>
      <x:c r="E523" t="str">
        <x:v>KOSDAQ</x:v>
      </x:c>
      <x:c r="F523" t="str">
        <x:v>MID</x:v>
      </x:c>
      <x:c r="G523" t="str">
        <x:v>DCF_SCREENING_EXCLUSION</x:v>
      </x:c>
      <x:c r="H523" t="str">
        <x:v>NON_POSITIVE_ENTERPRISE_VALUE|NON_POSITIVE_EQUITY_VALUE|NON_POSITIVE_TERMINAL_FCF</x:v>
      </x:c>
      <x:c r="I523" s="54" t="n">
        <x:v>44195</x:v>
      </x:c>
      <x:c r="J523" s="55" t="n">
        <x:v>11850</x:v>
      </x:c>
      <x:c r="K523" s="55" t="n">
        <x:v>110807501400</x:v>
      </x:c>
      <x:c r="L523" s="55" t="n">
        <x:v>9350844</x:v>
      </x:c>
      <x:c r="M523" t="str">
        <x:v>20200330003059</x:v>
      </x:c>
      <x:c r="N523" t="n">
        <x:v>43920.624999988424</x:v>
      </x:c>
      <x:c r="O523" s="54" t="n">
        <x:v>43830</x:v>
      </x:c>
      <x:c r="P523" t="str">
        <x:v>False</x:v>
      </x:c>
      <x:c r="Q523" t="str">
        <x:v>bc74951a1639cf1eb7676d69b4515777f215d2150d9cc50f3a866f2f129cfa12</x:v>
      </x:c>
      <x:c r="R523" t="str">
        <x:v>c320bc3acef0433b509301378d65f9638ccdc3066bcb82e31a33138a991f6cc8</x:v>
      </x:c>
      <x:c r="S523" t="n">
        <x:v>6</x:v>
      </x:c>
      <x:c r="T523" t="str">
        <x:v>2018-12-31|2019-12-31</x:v>
      </x:c>
      <x:c r="U523" s="57" t="n">
        <x:v>-4282.590892540294</x:v>
      </x:c>
      <x:c r="V523" s="57" t="n">
        <x:v>-1.361400075319856</x:v>
      </x:c>
      <x:c r="W523"/>
      <x:c r="X523"/>
      <x:c r="Y523" s="38" t="n">
        <x:v>0.6409090909090909</x:v>
      </x:c>
      <x:c r="Z523" s="38" t="n">
        <x:v>0.5105267656336687</x:v>
      </x:c>
      <x:c r="AA523" t="str">
        <x:v>NON_POSITIVE_ENTERPRISE_VALUE|NON_POSITIVE_EQUITY_VALUE|NON_POSITIVE_TERMINAL_FCF</x:v>
      </x:c>
    </x:row>
    <x:row r="524">
      <x:c r="A524" s="54" t="n">
        <x:v>44196</x:v>
      </x:c>
      <x:c r="B524" t="n">
        <x:v>44196.624999988424</x:v>
      </x:c>
      <x:c r="C524" t="str">
        <x:v>170920</x:v>
      </x:c>
      <x:c r="D524" t="str">
        <x:v>엘티씨</x:v>
      </x:c>
      <x:c r="E524" t="str">
        <x:v>KOSDAQ</x:v>
      </x:c>
      <x:c r="F524" t="str">
        <x:v>MID</x:v>
      </x:c>
      <x:c r="G524" t="str">
        <x:v>DCF_SCREENING_EXCLUSION</x:v>
      </x:c>
      <x:c r="H524" t="str">
        <x:v>NON_POSITIVE_EQUITY_VALUE</x:v>
      </x:c>
      <x:c r="I524" s="54" t="n">
        <x:v>44195</x:v>
      </x:c>
      <x:c r="J524" s="55" t="n">
        <x:v>12350</x:v>
      </x:c>
      <x:c r="K524" s="55" t="n">
        <x:v>93712368100</x:v>
      </x:c>
      <x:c r="L524" s="55" t="n">
        <x:v>7588046</x:v>
      </x:c>
      <x:c r="M524" t="str">
        <x:v>20200330003521</x:v>
      </x:c>
      <x:c r="N524" t="n">
        <x:v>43920.624999988424</x:v>
      </x:c>
      <x:c r="O524" s="54" t="n">
        <x:v>43830</x:v>
      </x:c>
      <x:c r="P524" t="str">
        <x:v>False</x:v>
      </x:c>
      <x:c r="Q524" t="str">
        <x:v>094b43a9646c14cf4b4a5028aadf065471abca6a1e429841fa075ddc6ffb9ae6</x:v>
      </x:c>
      <x:c r="R524" t="str">
        <x:v>91da179e879255be3a36e278d740050e160054052e5419ce38085511ef1ad2ae</x:v>
      </x:c>
      <x:c r="S524" t="n">
        <x:v>6</x:v>
      </x:c>
      <x:c r="T524" t="str">
        <x:v>2018-12-31|2019-12-31</x:v>
      </x:c>
      <x:c r="U524" s="57" t="n">
        <x:v>-1761.7328235417115</x:v>
      </x:c>
      <x:c r="V524" s="57" t="n">
        <x:v>-1.142650431056009</x:v>
      </x:c>
      <x:c r="W524"/>
      <x:c r="X524"/>
      <x:c r="Y524" s="38" t="n">
        <x:v>0.6409090909090909</x:v>
      </x:c>
      <x:c r="Z524" s="38" t="n">
        <x:v>0.5969398834129253</x:v>
      </x:c>
      <x:c r="AA524" t="str">
        <x:v>NON_POSITIVE_EQUITY_VALUE</x:v>
      </x:c>
    </x:row>
    <x:row r="525">
      <x:c r="A525" s="54" t="n">
        <x:v>44196</x:v>
      </x:c>
      <x:c r="B525" t="n">
        <x:v>44196.624999988424</x:v>
      </x:c>
      <x:c r="C525" t="str">
        <x:v>021080</x:v>
      </x:c>
      <x:c r="D525" t="str">
        <x:v>에이티넘인베스트</x:v>
      </x:c>
      <x:c r="E525" t="str">
        <x:v>KOSDAQ</x:v>
      </x:c>
      <x:c r="F525" t="str">
        <x:v>MID</x:v>
      </x:c>
      <x:c r="G525" t="str">
        <x:v>ELIGIBLE</x:v>
      </x:c>
      <x:c r="H525"/>
      <x:c r="I525" s="54" t="n">
        <x:v>44195</x:v>
      </x:c>
      <x:c r="J525" s="55" t="n">
        <x:v>2595</x:v>
      </x:c>
      <x:c r="K525" s="55" t="n">
        <x:v>124560000000</x:v>
      </x:c>
      <x:c r="L525" s="55" t="n">
        <x:v>48000000</x:v>
      </x:c>
      <x:c r="M525" t="str">
        <x:v>20200330003524</x:v>
      </x:c>
      <x:c r="N525" t="n">
        <x:v>43920.624999988424</x:v>
      </x:c>
      <x:c r="O525" s="54" t="n">
        <x:v>43830</x:v>
      </x:c>
      <x:c r="P525" t="str">
        <x:v>False</x:v>
      </x:c>
      <x:c r="Q525" t="str">
        <x:v>4a1503d8d4033756eda0e402269fd4db602c588edd5b9d49d25c05133d6133b9</x:v>
      </x:c>
      <x:c r="R525" t="str">
        <x:v>183e8dac3ff116c45a343bdb7d1009c227b9783593b404c7fa730133890b20ca</x:v>
      </x:c>
      <x:c r="S525" t="n">
        <x:v>4</x:v>
      </x:c>
      <x:c r="T525" t="str">
        <x:v>2018-12-31|2019-12-31</x:v>
      </x:c>
      <x:c r="U525" s="57" t="n">
        <x:v>2127.1860994390026</x:v>
      </x:c>
      <x:c r="V525" s="57" t="n">
        <x:v>-0.180275106189209</x:v>
      </x:c>
      <x:c r="W525" t="n">
        <x:v>18</x:v>
      </x:c>
      <x:c r="X525" t="n">
        <x:v>2</x:v>
      </x:c>
      <x:c r="Y525" s="38" t="n">
        <x:v>0.6409090909090909</x:v>
      </x:c>
      <x:c r="Z525" s="38" t="n">
        <x:v>0.6847587029208964</x:v>
      </x:c>
      <x:c r="AA525"/>
    </x:row>
    <x:row r="526">
      <x:c r="A526" s="54" t="n">
        <x:v>44196</x:v>
      </x:c>
      <x:c r="B526" t="n">
        <x:v>44196.624999988424</x:v>
      </x:c>
      <x:c r="C526" t="str">
        <x:v>302550</x:v>
      </x:c>
      <x:c r="D526" t="str">
        <x:v>리메드</x:v>
      </x:c>
      <x:c r="E526" t="str">
        <x:v>KOSDAQ</x:v>
      </x:c>
      <x:c r="F526" t="str">
        <x:v>MID</x:v>
      </x:c>
      <x:c r="G526" t="str">
        <x:v>ELIGIBLE</x:v>
      </x:c>
      <x:c r="H526"/>
      <x:c r="I526" s="54" t="n">
        <x:v>44195</x:v>
      </x:c>
      <x:c r="J526" s="55" t="n">
        <x:v>32700</x:v>
      </x:c>
      <x:c r="K526" s="55" t="n">
        <x:v>199107553200</x:v>
      </x:c>
      <x:c r="L526" s="55" t="n">
        <x:v>6088916</x:v>
      </x:c>
      <x:c r="M526" t="str">
        <x:v>20200330001899</x:v>
      </x:c>
      <x:c r="N526" t="n">
        <x:v>43920.624999988424</x:v>
      </x:c>
      <x:c r="O526" s="54" t="n">
        <x:v>43830</x:v>
      </x:c>
      <x:c r="P526" t="str">
        <x:v>False</x:v>
      </x:c>
      <x:c r="Q526" t="str">
        <x:v>2b0ad29a1cfb9a47d8efbd13c5809b4b269b2288d58cb9ad87afaeed110c9e0f</x:v>
      </x:c>
      <x:c r="R526" t="str">
        <x:v>eee307bc967bc425dc1ce9041607c54274cce8e19f9bd043dd7982e8ebedb5b9</x:v>
      </x:c>
      <x:c r="S526" t="n">
        <x:v>6</x:v>
      </x:c>
      <x:c r="T526" t="str">
        <x:v>2019-12-31</x:v>
      </x:c>
      <x:c r="U526" s="57" t="n">
        <x:v>8272.403055844616</x:v>
      </x:c>
      <x:c r="V526" s="57" t="n">
        <x:v>-0.747021313276923</x:v>
      </x:c>
      <x:c r="W526" t="n">
        <x:v>47</x:v>
      </x:c>
      <x:c r="X526" t="n">
        <x:v>4</x:v>
      </x:c>
      <x:c r="Y526" s="38" t="n">
        <x:v>0.6409090909090909</x:v>
      </x:c>
      <x:c r="Z526" s="38" t="n">
        <x:v>0.6701769222689359</x:v>
      </x:c>
      <x:c r="AA526"/>
    </x:row>
    <x:row r="527">
      <x:c r="A527" s="54" t="n">
        <x:v>44196</x:v>
      </x:c>
      <x:c r="B527" t="n">
        <x:v>44196.624999988424</x:v>
      </x:c>
      <x:c r="C527" t="str">
        <x:v>011760</x:v>
      </x:c>
      <x:c r="D527" t="str">
        <x:v>현대코퍼레이션</x:v>
      </x:c>
      <x:c r="E527" t="str">
        <x:v>KOSPI</x:v>
      </x:c>
      <x:c r="F527" t="str">
        <x:v>MID</x:v>
      </x:c>
      <x:c r="G527" t="str">
        <x:v>ELIGIBLE</x:v>
      </x:c>
      <x:c r="H527"/>
      <x:c r="I527" s="54" t="n">
        <x:v>44195</x:v>
      </x:c>
      <x:c r="J527" s="55" t="n">
        <x:v>15950</x:v>
      </x:c>
      <x:c r="K527" s="55" t="n">
        <x:v>211002007700</x:v>
      </x:c>
      <x:c r="L527" s="55" t="n">
        <x:v>13228966</x:v>
      </x:c>
      <x:c r="M527" t="str">
        <x:v>20200330004653</x:v>
      </x:c>
      <x:c r="N527" t="n">
        <x:v>43920.624999988424</x:v>
      </x:c>
      <x:c r="O527" s="54" t="n">
        <x:v>43830</x:v>
      </x:c>
      <x:c r="P527" t="str">
        <x:v>False</x:v>
      </x:c>
      <x:c r="Q527" t="str">
        <x:v>4754479f417b4793bded3ca7cbf60241a92ecdd53b38aac7f22e80c41b078630</x:v>
      </x:c>
      <x:c r="R527" t="str">
        <x:v>345e1c1bfe86df966199fededb4e3499dd1c54aad8ed206a86eda695c6f72506</x:v>
      </x:c>
      <x:c r="S527" t="n">
        <x:v>6</x:v>
      </x:c>
      <x:c r="T527" t="str">
        <x:v>2018-12-31|2019-12-31</x:v>
      </x:c>
      <x:c r="U527" s="57" t="n">
        <x:v>6395.226270204237</x:v>
      </x:c>
      <x:c r="V527" s="57" t="n">
        <x:v>-0.5990453749088253</x:v>
      </x:c>
      <x:c r="W527" t="n">
        <x:v>37</x:v>
      </x:c>
      <x:c r="X527" t="n">
        <x:v>3</x:v>
      </x:c>
      <x:c r="Y527" s="38" t="n">
        <x:v>0.6409090909090909</x:v>
      </x:c>
      <x:c r="Z527" s="38" t="n">
        <x:v>0.6599730728439424</x:v>
      </x:c>
      <x:c r="AA527"/>
    </x:row>
    <x:row r="528">
      <x:c r="A528" s="54" t="n">
        <x:v>44196</x:v>
      </x:c>
      <x:c r="B528" t="n">
        <x:v>44196.624999988424</x:v>
      </x:c>
      <x:c r="C528" t="str">
        <x:v>010690</x:v>
      </x:c>
      <x:c r="D528" t="str">
        <x:v>화신</x:v>
      </x:c>
      <x:c r="E528" t="str">
        <x:v>KOSPI</x:v>
      </x:c>
      <x:c r="F528" t="str">
        <x:v>MID</x:v>
      </x:c>
      <x:c r="G528" t="str">
        <x:v>DCF_SCREENING_EXCLUSION</x:v>
      </x:c>
      <x:c r="H528" t="str">
        <x:v>NON_POSITIVE_ENTERPRISE_VALUE|NON_POSITIVE_EQUITY_VALUE|NON_POSITIVE_TERMINAL_FCF</x:v>
      </x:c>
      <x:c r="I528" s="54" t="n">
        <x:v>44195</x:v>
      </x:c>
      <x:c r="J528" s="55" t="n">
        <x:v>3385</x:v>
      </x:c>
      <x:c r="K528" s="55" t="n">
        <x:v>118205587850</x:v>
      </x:c>
      <x:c r="L528" s="55" t="n">
        <x:v>34920410</x:v>
      </x:c>
      <x:c r="M528" t="str">
        <x:v>20200330003805</x:v>
      </x:c>
      <x:c r="N528" t="n">
        <x:v>43920.624999988424</x:v>
      </x:c>
      <x:c r="O528" s="54" t="n">
        <x:v>43830</x:v>
      </x:c>
      <x:c r="P528" t="str">
        <x:v>False</x:v>
      </x:c>
      <x:c r="Q528" t="str">
        <x:v>e5349b639aea9edae9ddaf2116118d2c44d3dc42d9e779caf4a3bd7bf411a356</x:v>
      </x:c>
      <x:c r="R528" t="str">
        <x:v>303b8e71869a33739dc6a9e96be06f9e3d9e00525955e6642963471d5acbc7fb</x:v>
      </x:c>
      <x:c r="S528" t="n">
        <x:v>6</x:v>
      </x:c>
      <x:c r="T528" t="str">
        <x:v>2018-12-31|2019-12-31</x:v>
      </x:c>
      <x:c r="U528" s="57" t="n">
        <x:v>-16790.20368228414</x:v>
      </x:c>
      <x:c r="V528" s="57" t="n">
        <x:v>-5.960178340408905</x:v>
      </x:c>
      <x:c r="W528"/>
      <x:c r="X528"/>
      <x:c r="Y528" s="38" t="n">
        <x:v>0.6409090909090909</x:v>
      </x:c>
      <x:c r="Z528" s="38" t="n">
        <x:v>0.6757018488650337</x:v>
      </x:c>
      <x:c r="AA528" t="str">
        <x:v>NON_POSITIVE_ENTERPRISE_VALUE|NON_POSITIVE_EQUITY_VALUE|NON_POSITIVE_TERMINAL_FCF</x:v>
      </x:c>
    </x:row>
    <x:row r="529">
      <x:c r="A529" s="54" t="n">
        <x:v>44196</x:v>
      </x:c>
      <x:c r="B529" t="n">
        <x:v>44196.624999988424</x:v>
      </x:c>
      <x:c r="C529" t="str">
        <x:v>029460</x:v>
      </x:c>
      <x:c r="D529" t="str">
        <x:v>케이씨</x:v>
      </x:c>
      <x:c r="E529" t="str">
        <x:v>KOSPI</x:v>
      </x:c>
      <x:c r="F529" t="str">
        <x:v>MID</x:v>
      </x:c>
      <x:c r="G529" t="str">
        <x:v>ELIGIBLE</x:v>
      </x:c>
      <x:c r="H529"/>
      <x:c r="I529" s="54" t="n">
        <x:v>44195</x:v>
      </x:c>
      <x:c r="J529" s="55" t="n">
        <x:v>27650</x:v>
      </x:c>
      <x:c r="K529" s="55" t="n">
        <x:v>374769316600</x:v>
      </x:c>
      <x:c r="L529" s="55" t="n">
        <x:v>13554044</x:v>
      </x:c>
      <x:c r="M529" t="str">
        <x:v>20201222000443</x:v>
      </x:c>
      <x:c r="N529" t="n">
        <x:v>44187.624999988424</x:v>
      </x:c>
      <x:c r="O529" s="54" t="n">
        <x:v>43830</x:v>
      </x:c>
      <x:c r="P529" t="str">
        <x:v>True</x:v>
      </x:c>
      <x:c r="Q529" t="str">
        <x:v>71ed9e9cc584d23efe6decf7007063d086e19d5352d9e79f07b4adcf3f03d9da</x:v>
      </x:c>
      <x:c r="R529" t="str">
        <x:v>cdbc761935e4d14e1bf94f5a02c27ba57071217f7e3d5ed48895c3ed7a5d97fc</x:v>
      </x:c>
      <x:c r="S529" t="n">
        <x:v>7</x:v>
      </x:c>
      <x:c r="T529" t="str">
        <x:v>2018-12-31|2019-12-31</x:v>
      </x:c>
      <x:c r="U529" s="57" t="n">
        <x:v>43011.1449402755</x:v>
      </x:c>
      <x:c r="V529" s="57" t="n">
        <x:v>0.5555567790334722</x:v>
      </x:c>
      <x:c r="W529" t="n">
        <x:v>9</x:v>
      </x:c>
      <x:c r="X529" t="n">
        <x:v>1</x:v>
      </x:c>
      <x:c r="Y529" s="38" t="n">
        <x:v>0.6409090909090909</x:v>
      </x:c>
      <x:c r="Z529" s="38" t="n">
        <x:v>0.6743164390078458</x:v>
      </x:c>
      <x:c r="AA529"/>
    </x:row>
    <x:row r="530">
      <x:c r="A530" s="54" t="n">
        <x:v>44196</x:v>
      </x:c>
      <x:c r="B530" t="n">
        <x:v>44196.624999988424</x:v>
      </x:c>
      <x:c r="C530" t="str">
        <x:v>122900</x:v>
      </x:c>
      <x:c r="D530" t="str">
        <x:v>아이마켓코리아</x:v>
      </x:c>
      <x:c r="E530" t="str">
        <x:v>KOSPI</x:v>
      </x:c>
      <x:c r="F530" t="str">
        <x:v>MID</x:v>
      </x:c>
      <x:c r="G530" t="str">
        <x:v>ELIGIBLE</x:v>
      </x:c>
      <x:c r="H530"/>
      <x:c r="I530" s="54" t="n">
        <x:v>44195</x:v>
      </x:c>
      <x:c r="J530" s="55" t="n">
        <x:v>8740</x:v>
      </x:c>
      <x:c r="K530" s="55" t="n">
        <x:v>309337791600</x:v>
      </x:c>
      <x:c r="L530" s="55" t="n">
        <x:v>35393340</x:v>
      </x:c>
      <x:c r="M530" t="str">
        <x:v>20200402002288</x:v>
      </x:c>
      <x:c r="N530" t="n">
        <x:v>43923.624999988424</x:v>
      </x:c>
      <x:c r="O530" s="54" t="n">
        <x:v>43830</x:v>
      </x:c>
      <x:c r="P530" t="str">
        <x:v>True</x:v>
      </x:c>
      <x:c r="Q530" t="str">
        <x:v>564f1e474d45626fcdd8b0a59937e9f30e966910c20c1477132b2eb32f5b3374</x:v>
      </x:c>
      <x:c r="R530" t="str">
        <x:v>af22ec3185291a526bf90871769e82c85f3656e2a9ce2bba4cff342ca52006e5</x:v>
      </x:c>
      <x:c r="S530" t="n">
        <x:v>7</x:v>
      </x:c>
      <x:c r="T530" t="str">
        <x:v>2018-12-31|2019-12-31</x:v>
      </x:c>
      <x:c r="U530" s="57" t="n">
        <x:v>8711.448286396057</x:v>
      </x:c>
      <x:c r="V530" s="57" t="n">
        <x:v>-0.003266786453540343</x:v>
      </x:c>
      <x:c r="W530" t="n">
        <x:v>17</x:v>
      </x:c>
      <x:c r="X530" t="n">
        <x:v>2</x:v>
      </x:c>
      <x:c r="Y530" s="38" t="n">
        <x:v>0.6409090909090909</x:v>
      </x:c>
      <x:c r="Z530" s="38" t="n">
        <x:v>0.6304476342571812</x:v>
      </x:c>
      <x:c r="AA530"/>
    </x:row>
    <x:row r="531">
      <x:c r="A531" s="54" t="n">
        <x:v>44196</x:v>
      </x:c>
      <x:c r="B531" t="n">
        <x:v>44196.624999988424</x:v>
      </x:c>
      <x:c r="C531" t="str">
        <x:v>001820</x:v>
      </x:c>
      <x:c r="D531" t="str">
        <x:v>삼화콘덴서</x:v>
      </x:c>
      <x:c r="E531" t="str">
        <x:v>KOSPI</x:v>
      </x:c>
      <x:c r="F531" t="str">
        <x:v>MID</x:v>
      </x:c>
      <x:c r="G531" t="str">
        <x:v>ELIGIBLE</x:v>
      </x:c>
      <x:c r="H531"/>
      <x:c r="I531" s="54" t="n">
        <x:v>44195</x:v>
      </x:c>
      <x:c r="J531" s="55" t="n">
        <x:v>65900</x:v>
      </x:c>
      <x:c r="K531" s="55" t="n">
        <x:v>685030500000</x:v>
      </x:c>
      <x:c r="L531" s="55" t="n">
        <x:v>10395000</x:v>
      </x:c>
      <x:c r="M531" t="str">
        <x:v>20200330002899</x:v>
      </x:c>
      <x:c r="N531" t="n">
        <x:v>43920.624999988424</x:v>
      </x:c>
      <x:c r="O531" s="54" t="n">
        <x:v>43830</x:v>
      </x:c>
      <x:c r="P531" t="str">
        <x:v>False</x:v>
      </x:c>
      <x:c r="Q531" t="str">
        <x:v>99c078a33c5fc908ff1beb8dbc163cdd2dce6fa00366ec10c2666a9abba05955</x:v>
      </x:c>
      <x:c r="R531" t="str">
        <x:v>aed10e91a3a899ae6a09ccde78576755cca230a3385eb9ff6652a844ea4e38e8</x:v>
      </x:c>
      <x:c r="S531" t="n">
        <x:v>6</x:v>
      </x:c>
      <x:c r="T531" t="str">
        <x:v>2018-12-31|2019-12-31</x:v>
      </x:c>
      <x:c r="U531" s="57" t="n">
        <x:v>28891.873319226353</x:v>
      </x:c>
      <x:c r="V531" s="57" t="n">
        <x:v>-0.5615800710284317</x:v>
      </x:c>
      <x:c r="W531" t="n">
        <x:v>35</x:v>
      </x:c>
      <x:c r="X531" t="n">
        <x:v>3</x:v>
      </x:c>
      <x:c r="Y531" s="38" t="n">
        <x:v>0.6409090909090909</x:v>
      </x:c>
      <x:c r="Z531" s="38" t="n">
        <x:v>0.7180339568037247</x:v>
      </x:c>
      <x:c r="AA531"/>
    </x:row>
    <x:row r="532">
      <x:c r="A532" s="54" t="n">
        <x:v>44196</x:v>
      </x:c>
      <x:c r="B532" t="n">
        <x:v>44196.624999988424</x:v>
      </x:c>
      <x:c r="C532" t="str">
        <x:v>001790</x:v>
      </x:c>
      <x:c r="D532" t="str">
        <x:v>대한제당</x:v>
      </x:c>
      <x:c r="E532" t="str">
        <x:v>KOSPI</x:v>
      </x:c>
      <x:c r="F532" t="str">
        <x:v>MID</x:v>
      </x:c>
      <x:c r="G532" t="str">
        <x:v>ELIGIBLE</x:v>
      </x:c>
      <x:c r="H532"/>
      <x:c r="I532" s="54" t="n">
        <x:v>44195</x:v>
      </x:c>
      <x:c r="J532" s="55" t="n">
        <x:v>22950</x:v>
      </x:c>
      <x:c r="K532" s="55" t="n">
        <x:v>205853651100</x:v>
      </x:c>
      <x:c r="L532" s="55" t="n">
        <x:v>8969658</x:v>
      </x:c>
      <x:c r="M532" t="str">
        <x:v>20200330002117</x:v>
      </x:c>
      <x:c r="N532" t="n">
        <x:v>43920.624999988424</x:v>
      </x:c>
      <x:c r="O532" s="54" t="n">
        <x:v>43830</x:v>
      </x:c>
      <x:c r="P532" t="str">
        <x:v>False</x:v>
      </x:c>
      <x:c r="Q532" t="str">
        <x:v>c083b7cf10d3aebfee764ce1ac5e537e432b37701e33cf0f62d249678606903c</x:v>
      </x:c>
      <x:c r="R532" t="str">
        <x:v>265131ceb1d219122acae4cf0dbceb5a5b03543d503b229a50b3cce4dad26d26</x:v>
      </x:c>
      <x:c r="S532" t="n">
        <x:v>6</x:v>
      </x:c>
      <x:c r="T532" t="str">
        <x:v>2018-12-31|2019-12-31</x:v>
      </x:c>
      <x:c r="U532" s="57" t="n">
        <x:v>6256.13382557168</x:v>
      </x:c>
      <x:c r="V532" s="57" t="n">
        <x:v>-0.7274015762278135</x:v>
      </x:c>
      <x:c r="W532" t="n">
        <x:v>44</x:v>
      </x:c>
      <x:c r="X532" t="n">
        <x:v>4</x:v>
      </x:c>
      <x:c r="Y532" s="38" t="n">
        <x:v>0.6409090909090909</x:v>
      </x:c>
      <x:c r="Z532" s="38" t="n">
        <x:v>0.6305036695454717</x:v>
      </x:c>
      <x:c r="AA532"/>
    </x:row>
    <x:row r="533">
      <x:c r="A533" s="54" t="n">
        <x:v>44196</x:v>
      </x:c>
      <x:c r="B533" t="n">
        <x:v>44196.624999988424</x:v>
      </x:c>
      <x:c r="C533" t="str">
        <x:v>001340</x:v>
      </x:c>
      <x:c r="D533" t="str">
        <x:v>PKC</x:v>
      </x:c>
      <x:c r="E533" t="str">
        <x:v>KOSPI</x:v>
      </x:c>
      <x:c r="F533" t="str">
        <x:v>MID</x:v>
      </x:c>
      <x:c r="G533" t="str">
        <x:v>ELIGIBLE</x:v>
      </x:c>
      <x:c r="H533"/>
      <x:c r="I533" s="54" t="n">
        <x:v>44195</x:v>
      </x:c>
      <x:c r="J533" s="55" t="n">
        <x:v>3315</x:v>
      </x:c>
      <x:c r="K533" s="55" t="n">
        <x:v>148904519205</x:v>
      </x:c>
      <x:c r="L533" s="55" t="n">
        <x:v>44918407</x:v>
      </x:c>
      <x:c r="M533" t="str">
        <x:v>20200330003056</x:v>
      </x:c>
      <x:c r="N533" t="n">
        <x:v>43920.624999988424</x:v>
      </x:c>
      <x:c r="O533" s="54" t="n">
        <x:v>43830</x:v>
      </x:c>
      <x:c r="P533" t="str">
        <x:v>False</x:v>
      </x:c>
      <x:c r="Q533" t="str">
        <x:v>acc8e968cd81637994e834a70458c05a41a169062c904ea19abc1942c1d53f3c</x:v>
      </x:c>
      <x:c r="R533" t="str">
        <x:v>388ae882bda0091d495ab408e0cebd39e9760ce033da1b7161336eabd3d15b38</x:v>
      </x:c>
      <x:c r="S533" t="n">
        <x:v>6</x:v>
      </x:c>
      <x:c r="T533" t="str">
        <x:v>2016-12-31|2017-12-31|2018-12-31|2019-12-31</x:v>
      </x:c>
      <x:c r="U533" s="57" t="n">
        <x:v>1314.5568614023782</x:v>
      </x:c>
      <x:c r="V533" s="57" t="n">
        <x:v>-0.6034519271787698</x:v>
      </x:c>
      <x:c r="W533" t="n">
        <x:v>38</x:v>
      </x:c>
      <x:c r="X533" t="n">
        <x:v>3</x:v>
      </x:c>
      <x:c r="Y533" s="38" t="n">
        <x:v>0.6409090909090909</x:v>
      </x:c>
      <x:c r="Z533" s="38" t="n">
        <x:v>0.6203188155150424</x:v>
      </x:c>
      <x:c r="AA533"/>
    </x:row>
    <x:row r="534">
      <x:c r="A534" s="54" t="n">
        <x:v>44196</x:v>
      </x:c>
      <x:c r="B534" t="n">
        <x:v>44196.624999988424</x:v>
      </x:c>
      <x:c r="C534" t="str">
        <x:v>096760</x:v>
      </x:c>
      <x:c r="D534" t="str">
        <x:v>JW홀딩스</x:v>
      </x:c>
      <x:c r="E534" t="str">
        <x:v>KOSPI</x:v>
      </x:c>
      <x:c r="F534" t="str">
        <x:v>MID</x:v>
      </x:c>
      <x:c r="G534" t="str">
        <x:v>EXCLUDED_ARCHETYPE</x:v>
      </x:c>
      <x:c r="H534" t="str">
        <x:v>FCFF_NOT_COMPARABLE_FOR_FINANCE_OR_HOLDING_HINT</x:v>
      </x:c>
      <x:c r="I534" s="54"/>
      <x:c r="J534" s="55"/>
      <x:c r="K534" s="55"/>
      <x:c r="L534" s="55"/>
      <x:c r="M534"/>
      <x:c r="N534"/>
      <x:c r="O534" s="54"/>
      <x:c r="P534"/>
      <x:c r="Q534"/>
      <x:c r="R534"/>
      <x:c r="S534"/>
      <x:c r="T534"/>
      <x:c r="U534" s="57"/>
      <x:c r="V534" s="57"/>
      <x:c r="W534"/>
      <x:c r="X534"/>
      <x:c r="Y534" s="38"/>
      <x:c r="Z534" s="38"/>
      <x:c r="AA534"/>
    </x:row>
    <x:row r="535">
      <x:c r="A535" s="54" t="n">
        <x:v>44196</x:v>
      </x:c>
      <x:c r="B535" t="n">
        <x:v>44196.624999988424</x:v>
      </x:c>
      <x:c r="C535" t="str">
        <x:v>005010</x:v>
      </x:c>
      <x:c r="D535" t="str">
        <x:v>휴스틸</x:v>
      </x:c>
      <x:c r="E535" t="str">
        <x:v>KOSPI</x:v>
      </x:c>
      <x:c r="F535" t="str">
        <x:v>MID</x:v>
      </x:c>
      <x:c r="G535" t="str">
        <x:v>DCF_SCREENING_EXCLUSION</x:v>
      </x:c>
      <x:c r="H535" t="str">
        <x:v>NON_POSITIVE_ENTERPRISE_VALUE|NON_POSITIVE_EQUITY_VALUE|NON_POSITIVE_TERMINAL_FCF</x:v>
      </x:c>
      <x:c r="I535" s="54" t="n">
        <x:v>44195</x:v>
      </x:c>
      <x:c r="J535" s="55" t="n">
        <x:v>7290</x:v>
      </x:c>
      <x:c r="K535" s="55" t="n">
        <x:v>55561959720</x:v>
      </x:c>
      <x:c r="L535" s="55" t="n">
        <x:v>7621668</x:v>
      </x:c>
      <x:c r="M535" t="str">
        <x:v>20200330004131</x:v>
      </x:c>
      <x:c r="N535" t="n">
        <x:v>43920.624999988424</x:v>
      </x:c>
      <x:c r="O535" s="54" t="n">
        <x:v>43830</x:v>
      </x:c>
      <x:c r="P535" t="str">
        <x:v>False</x:v>
      </x:c>
      <x:c r="Q535" t="str">
        <x:v>2474b54ef3f4da0a6f47f43740c2e4a1b887d622fd15ff66754d4541b65cbac1</x:v>
      </x:c>
      <x:c r="R535" t="str">
        <x:v>7b6761afac314597c99c5e25dc68ce5ce5ce5a1a8b5bc6214347bacfb3030bc8</x:v>
      </x:c>
      <x:c r="S535" t="n">
        <x:v>7</x:v>
      </x:c>
      <x:c r="T535" t="str">
        <x:v>2018-12-31|2019-12-31</x:v>
      </x:c>
      <x:c r="U535" s="57" t="n">
        <x:v>-11237.475653582416</x:v>
      </x:c>
      <x:c r="V535" s="57" t="n">
        <x:v>-2.5414918592019773</x:v>
      </x:c>
      <x:c r="W535"/>
      <x:c r="X535"/>
      <x:c r="Y535" s="38" t="n">
        <x:v>0.6409090909090909</x:v>
      </x:c>
      <x:c r="Z535" s="38" t="n">
        <x:v>0.5305323535895214</x:v>
      </x:c>
      <x:c r="AA535" t="str">
        <x:v>NON_POSITIVE_ENTERPRISE_VALUE|NON_POSITIVE_EQUITY_VALUE|NON_POSITIVE_TERMINAL_FCF</x:v>
      </x:c>
    </x:row>
    <x:row r="536">
      <x:c r="A536" s="54" t="n">
        <x:v>44196</x:v>
      </x:c>
      <x:c r="B536" t="n">
        <x:v>44196.624999988424</x:v>
      </x:c>
      <x:c r="C536" t="str">
        <x:v>001630</x:v>
      </x:c>
      <x:c r="D536" t="str">
        <x:v>종근당홀딩스</x:v>
      </x:c>
      <x:c r="E536" t="str">
        <x:v>KOSPI</x:v>
      </x:c>
      <x:c r="F536" t="str">
        <x:v>MID</x:v>
      </x:c>
      <x:c r="G536" t="str">
        <x:v>EXCLUDED_ARCHETYPE</x:v>
      </x:c>
      <x:c r="H536" t="str">
        <x:v>FCFF_NOT_COMPARABLE_FOR_FINANCE_OR_HOLDING_HINT</x:v>
      </x:c>
      <x:c r="I536" s="54"/>
      <x:c r="J536" s="55"/>
      <x:c r="K536" s="55"/>
      <x:c r="L536" s="55"/>
      <x:c r="M536"/>
      <x:c r="N536"/>
      <x:c r="O536" s="54"/>
      <x:c r="P536"/>
      <x:c r="Q536"/>
      <x:c r="R536"/>
      <x:c r="S536"/>
      <x:c r="T536"/>
      <x:c r="U536" s="57"/>
      <x:c r="V536" s="57"/>
      <x:c r="W536"/>
      <x:c r="X536"/>
      <x:c r="Y536" s="38"/>
      <x:c r="Z536" s="38"/>
      <x:c r="AA536"/>
    </x:row>
    <x:row r="537">
      <x:c r="A537" s="54" t="n">
        <x:v>44196</x:v>
      </x:c>
      <x:c r="B537" t="n">
        <x:v>44196.624999988424</x:v>
      </x:c>
      <x:c r="C537" t="str">
        <x:v>005680</x:v>
      </x:c>
      <x:c r="D537" t="str">
        <x:v>삼영전자</x:v>
      </x:c>
      <x:c r="E537" t="str">
        <x:v>KOSPI</x:v>
      </x:c>
      <x:c r="F537" t="str">
        <x:v>MID</x:v>
      </x:c>
      <x:c r="G537" t="str">
        <x:v>ELIGIBLE</x:v>
      </x:c>
      <x:c r="H537"/>
      <x:c r="I537" s="54" t="n">
        <x:v>44195</x:v>
      </x:c>
      <x:c r="J537" s="55" t="n">
        <x:v>10200</x:v>
      </x:c>
      <x:c r="K537" s="55" t="n">
        <x:v>204000000000</x:v>
      </x:c>
      <x:c r="L537" s="55" t="n">
        <x:v>20000000</x:v>
      </x:c>
      <x:c r="M537" t="str">
        <x:v>20200330000493</x:v>
      </x:c>
      <x:c r="N537" t="n">
        <x:v>43920.624999988424</x:v>
      </x:c>
      <x:c r="O537" s="54" t="n">
        <x:v>43830</x:v>
      </x:c>
      <x:c r="P537" t="str">
        <x:v>False</x:v>
      </x:c>
      <x:c r="Q537" t="str">
        <x:v>ee27736ea1a689291a82d2b77e773f57a1bfe6bdfe09a4cf48a9071e817a5758</x:v>
      </x:c>
      <x:c r="R537" t="str">
        <x:v>e737d0a6caf4c5f5f7c07c0a31f9883fad28993b98106c1fbf6beba15ed21580</x:v>
      </x:c>
      <x:c r="S537" t="n">
        <x:v>6</x:v>
      </x:c>
      <x:c r="T537" t="str">
        <x:v>2018-12-31|2019-12-31</x:v>
      </x:c>
      <x:c r="U537" s="57" t="n">
        <x:v>2760.929315699904</x:v>
      </x:c>
      <x:c r="V537" s="57" t="n">
        <x:v>-0.7293206553235388</x:v>
      </x:c>
      <x:c r="W537" t="n">
        <x:v>45</x:v>
      </x:c>
      <x:c r="X537" t="n">
        <x:v>4</x:v>
      </x:c>
      <x:c r="Y537" s="38" t="n">
        <x:v>0.6409090909090909</x:v>
      </x:c>
      <x:c r="Z537" s="38" t="n">
        <x:v>0.4222058451118061</x:v>
      </x:c>
      <x:c r="AA537"/>
    </x:row>
    <x:row r="538">
      <x:c r="A538" s="54" t="n">
        <x:v>44196</x:v>
      </x:c>
      <x:c r="B538" t="n">
        <x:v>44196.624999988424</x:v>
      </x:c>
      <x:c r="C538" t="str">
        <x:v>028100</x:v>
      </x:c>
      <x:c r="D538" t="str">
        <x:v>동아지질</x:v>
      </x:c>
      <x:c r="E538" t="str">
        <x:v>KOSPI</x:v>
      </x:c>
      <x:c r="F538" t="str">
        <x:v>MID</x:v>
      </x:c>
      <x:c r="G538" t="str">
        <x:v>ELIGIBLE</x:v>
      </x:c>
      <x:c r="H538"/>
      <x:c r="I538" s="54" t="n">
        <x:v>44195</x:v>
      </x:c>
      <x:c r="J538" s="55" t="n">
        <x:v>15700</x:v>
      </x:c>
      <x:c r="K538" s="55" t="n">
        <x:v>180550000000</x:v>
      </x:c>
      <x:c r="L538" s="55" t="n">
        <x:v>11500000</x:v>
      </x:c>
      <x:c r="M538" t="str">
        <x:v>20200605000203</x:v>
      </x:c>
      <x:c r="N538" t="n">
        <x:v>43987.624999988424</x:v>
      </x:c>
      <x:c r="O538" s="54" t="n">
        <x:v>43830</x:v>
      </x:c>
      <x:c r="P538" t="str">
        <x:v>True</x:v>
      </x:c>
      <x:c r="Q538" t="str">
        <x:v>8d69796995c0341749da12439146cb63fa25deac0045601c8e12a9778203e74d</x:v>
      </x:c>
      <x:c r="R538" t="str">
        <x:v>4cbf451f44278bdd6b815a9664affb63bc894c1eaa95c1ad93b3c82d1a7e5bd4</x:v>
      </x:c>
      <x:c r="S538" t="n">
        <x:v>7</x:v>
      </x:c>
      <x:c r="T538" t="str">
        <x:v>2018-12-31|2019-12-31</x:v>
      </x:c>
      <x:c r="U538" s="57" t="n">
        <x:v>9314.379669635025</x:v>
      </x:c>
      <x:c r="V538" s="57" t="n">
        <x:v>-0.40672740957738696</x:v>
      </x:c>
      <x:c r="W538" t="n">
        <x:v>27</x:v>
      </x:c>
      <x:c r="X538" t="n">
        <x:v>3</x:v>
      </x:c>
      <x:c r="Y538" s="38" t="n">
        <x:v>0.6409090909090909</x:v>
      </x:c>
      <x:c r="Z538" s="38" t="n">
        <x:v>0.7154675060987346</x:v>
      </x:c>
      <x:c r="AA538"/>
    </x:row>
    <x:row r="539">
      <x:c r="A539" s="54" t="n">
        <x:v>44196</x:v>
      </x:c>
      <x:c r="B539" t="n">
        <x:v>44196.624999988424</x:v>
      </x:c>
      <x:c r="C539" t="str">
        <x:v>001750</x:v>
      </x:c>
      <x:c r="D539" t="str">
        <x:v>한양증권</x:v>
      </x:c>
      <x:c r="E539" t="str">
        <x:v>KOSPI</x:v>
      </x:c>
      <x:c r="F539" t="str">
        <x:v>MID</x:v>
      </x:c>
      <x:c r="G539" t="str">
        <x:v>EXCLUDED_ARCHETYPE</x:v>
      </x:c>
      <x:c r="H539" t="str">
        <x:v>FCFF_NOT_COMPARABLE_FOR_FINANCE_OR_HOLDING_HINT</x:v>
      </x:c>
      <x:c r="I539" s="54"/>
      <x:c r="J539" s="55"/>
      <x:c r="K539" s="55"/>
      <x:c r="L539" s="55"/>
      <x:c r="M539"/>
      <x:c r="N539"/>
      <x:c r="O539" s="54"/>
      <x:c r="P539"/>
      <x:c r="Q539"/>
      <x:c r="R539"/>
      <x:c r="S539"/>
      <x:c r="T539"/>
      <x:c r="U539" s="57"/>
      <x:c r="V539" s="57"/>
      <x:c r="W539"/>
      <x:c r="X539"/>
      <x:c r="Y539" s="38"/>
      <x:c r="Z539" s="38"/>
      <x:c r="AA539"/>
    </x:row>
    <x:row r="540">
      <x:c r="A540" s="54" t="n">
        <x:v>44196</x:v>
      </x:c>
      <x:c r="B540" t="n">
        <x:v>44196.624999988424</x:v>
      </x:c>
      <x:c r="C540" t="str">
        <x:v>102460</x:v>
      </x:c>
      <x:c r="D540" t="str">
        <x:v>이연제약</x:v>
      </x:c>
      <x:c r="E540" t="str">
        <x:v>KOSPI</x:v>
      </x:c>
      <x:c r="F540" t="str">
        <x:v>MID</x:v>
      </x:c>
      <x:c r="G540" t="str">
        <x:v>ELIGIBLE</x:v>
      </x:c>
      <x:c r="H540"/>
      <x:c r="I540" s="54" t="n">
        <x:v>44195</x:v>
      </x:c>
      <x:c r="J540" s="55" t="n">
        <x:v>22100</x:v>
      </x:c>
      <x:c r="K540" s="55" t="n">
        <x:v>388128819000</x:v>
      </x:c>
      <x:c r="L540" s="55" t="n">
        <x:v>17562390</x:v>
      </x:c>
      <x:c r="M540" t="str">
        <x:v>20200330004583</x:v>
      </x:c>
      <x:c r="N540" t="n">
        <x:v>43920.624999988424</x:v>
      </x:c>
      <x:c r="O540" s="54" t="n">
        <x:v>43830</x:v>
      </x:c>
      <x:c r="P540" t="str">
        <x:v>False</x:v>
      </x:c>
      <x:c r="Q540" t="str">
        <x:v>841f82d6f87d6c1c37525d79fbae0d5eb5445369de6402bd7d62c7048b57c859</x:v>
      </x:c>
      <x:c r="R540" t="str">
        <x:v>edc7318d9f15732135f029aab155ce5b6226bb7178139b555f2df6b6cbab770f</x:v>
      </x:c>
      <x:c r="S540" t="n">
        <x:v>4</x:v>
      </x:c>
      <x:c r="T540" t="str">
        <x:v>2018-12-31|2019-12-31</x:v>
      </x:c>
      <x:c r="U540" s="57" t="n">
        <x:v>2327.0720482505626</x:v>
      </x:c>
      <x:c r="V540" s="57" t="n">
        <x:v>-0.8947026222511058</x:v>
      </x:c>
      <x:c r="W540" t="n">
        <x:v>57</x:v>
      </x:c>
      <x:c r="X540" t="n">
        <x:v>5</x:v>
      </x:c>
      <x:c r="Y540" s="38" t="n">
        <x:v>0.6409090909090909</x:v>
      </x:c>
      <x:c r="Z540" s="38" t="n">
        <x:v>0.6277316350657505</x:v>
      </x:c>
      <x:c r="AA540"/>
    </x:row>
    <x:row r="541">
      <x:c r="A541" s="54" t="n">
        <x:v>44196</x:v>
      </x:c>
      <x:c r="B541" t="n">
        <x:v>44196.624999988424</x:v>
      </x:c>
      <x:c r="C541" t="str">
        <x:v>053690</x:v>
      </x:c>
      <x:c r="D541" t="str">
        <x:v>한미글로벌</x:v>
      </x:c>
      <x:c r="E541" t="str">
        <x:v>KOSPI</x:v>
      </x:c>
      <x:c r="F541" t="str">
        <x:v>MID</x:v>
      </x:c>
      <x:c r="G541" t="str">
        <x:v>ELIGIBLE</x:v>
      </x:c>
      <x:c r="H541"/>
      <x:c r="I541" s="54" t="n">
        <x:v>44195</x:v>
      </x:c>
      <x:c r="J541" s="55" t="n">
        <x:v>10450</x:v>
      </x:c>
      <x:c r="K541" s="55" t="n">
        <x:v>114506397500</x:v>
      </x:c>
      <x:c r="L541" s="55" t="n">
        <x:v>10957550</x:v>
      </x:c>
      <x:c r="M541" t="str">
        <x:v>20200330003518</x:v>
      </x:c>
      <x:c r="N541" t="n">
        <x:v>43920.624999988424</x:v>
      </x:c>
      <x:c r="O541" s="54" t="n">
        <x:v>43830</x:v>
      </x:c>
      <x:c r="P541" t="str">
        <x:v>False</x:v>
      </x:c>
      <x:c r="Q541" t="str">
        <x:v>67a27cabb893bdb895dd50a8955d88a1e32ad56aa9de6b468fbffa2df17289e8</x:v>
      </x:c>
      <x:c r="R541" t="str">
        <x:v>b658827c2523f90506cdc711f156b1902c5bc5b8ed017467e4d4d0aacdef398e</x:v>
      </x:c>
      <x:c r="S541" t="n">
        <x:v>6</x:v>
      </x:c>
      <x:c r="T541" t="str">
        <x:v>2018-12-31|2019-12-31</x:v>
      </x:c>
      <x:c r="U541" s="57" t="n">
        <x:v>20146.717122432205</x:v>
      </x:c>
      <x:c r="V541" s="57" t="n">
        <x:v>0.927915514108345</x:v>
      </x:c>
      <x:c r="W541" t="n">
        <x:v>7</x:v>
      </x:c>
      <x:c r="X541" t="n">
        <x:v>1</x:v>
      </x:c>
      <x:c r="Y541" s="38" t="n">
        <x:v>0.6409090909090909</x:v>
      </x:c>
      <x:c r="Z541" s="38" t="n">
        <x:v>0.6948654288748654</x:v>
      </x:c>
      <x:c r="AA541"/>
    </x:row>
    <x:row r="542">
      <x:c r="A542" s="54" t="n">
        <x:v>44196</x:v>
      </x:c>
      <x:c r="B542" t="n">
        <x:v>44196.624999988424</x:v>
      </x:c>
      <x:c r="C542" t="str">
        <x:v>213500</x:v>
      </x:c>
      <x:c r="D542" t="str">
        <x:v>한솔제지</x:v>
      </x:c>
      <x:c r="E542" t="str">
        <x:v>KOSPI</x:v>
      </x:c>
      <x:c r="F542" t="str">
        <x:v>MID</x:v>
      </x:c>
      <x:c r="G542" t="str">
        <x:v>ELIGIBLE</x:v>
      </x:c>
      <x:c r="H542"/>
      <x:c r="I542" s="54" t="n">
        <x:v>44195</x:v>
      </x:c>
      <x:c r="J542" s="55" t="n">
        <x:v>13850</x:v>
      </x:c>
      <x:c r="K542" s="55" t="n">
        <x:v>329637977600</x:v>
      </x:c>
      <x:c r="L542" s="55" t="n">
        <x:v>23800576</x:v>
      </x:c>
      <x:c r="M542" t="str">
        <x:v>20200325000999</x:v>
      </x:c>
      <x:c r="N542" t="n">
        <x:v>43915.624999988424</x:v>
      </x:c>
      <x:c r="O542" s="54" t="n">
        <x:v>43830</x:v>
      </x:c>
      <x:c r="P542" t="str">
        <x:v>False</x:v>
      </x:c>
      <x:c r="Q542" t="str">
        <x:v>692399356fba85e309d5c708f5d65e510a92fb9eec652991b3a9f272805fd0aa</x:v>
      </x:c>
      <x:c r="R542" t="str">
        <x:v>c6578357446409148135ea79abee07b4b979d63ade76372865acdaf66f164674</x:v>
      </x:c>
      <x:c r="S542" t="n">
        <x:v>6</x:v>
      </x:c>
      <x:c r="T542" t="str">
        <x:v>2018-12-31|2019-12-31</x:v>
      </x:c>
      <x:c r="U542" s="57" t="n">
        <x:v>18621.598812478103</x:v>
      </x:c>
      <x:c r="V542" s="57" t="n">
        <x:v>0.3445197698540147</x:v>
      </x:c>
      <x:c r="W542" t="n">
        <x:v>12</x:v>
      </x:c>
      <x:c r="X542" t="n">
        <x:v>1</x:v>
      </x:c>
      <x:c r="Y542" s="38" t="n">
        <x:v>0.6409090909090909</x:v>
      </x:c>
      <x:c r="Z542" s="38" t="n">
        <x:v>0.6986420377854025</x:v>
      </x:c>
      <x:c r="AA542"/>
    </x:row>
    <x:row r="543">
      <x:c r="A543" s="54" t="n">
        <x:v>44196</x:v>
      </x:c>
      <x:c r="B543" t="n">
        <x:v>44196.624999988424</x:v>
      </x:c>
      <x:c r="C543" t="str">
        <x:v>005430</x:v>
      </x:c>
      <x:c r="D543" t="str">
        <x:v>한국공항</x:v>
      </x:c>
      <x:c r="E543" t="str">
        <x:v>KOSPI</x:v>
      </x:c>
      <x:c r="F543" t="str">
        <x:v>MID</x:v>
      </x:c>
      <x:c r="G543" t="str">
        <x:v>ELIGIBLE</x:v>
      </x:c>
      <x:c r="H543"/>
      <x:c r="I543" s="54" t="n">
        <x:v>44195</x:v>
      </x:c>
      <x:c r="J543" s="55" t="n">
        <x:v>37650</x:v>
      </x:c>
      <x:c r="K543" s="55" t="n">
        <x:v>119213265750</x:v>
      </x:c>
      <x:c r="L543" s="55" t="n">
        <x:v>3166355</x:v>
      </x:c>
      <x:c r="M543" t="str">
        <x:v>20200330004590</x:v>
      </x:c>
      <x:c r="N543" t="n">
        <x:v>43920.624999988424</x:v>
      </x:c>
      <x:c r="O543" s="54" t="n">
        <x:v>43830</x:v>
      </x:c>
      <x:c r="P543" t="str">
        <x:v>False</x:v>
      </x:c>
      <x:c r="Q543" t="str">
        <x:v>852f9aae649b8a3410b87bc3bbd094ee69f67ab2afe4a3bd838332c8fd824770</x:v>
      </x:c>
      <x:c r="R543" t="str">
        <x:v>33ab0f509a472c4b83c9f004fbc07436d48661f26a5c00deb28f0f27de90c6e4</x:v>
      </x:c>
      <x:c r="S543" t="n">
        <x:v>7</x:v>
      </x:c>
      <x:c r="T543" t="str">
        <x:v>2018-12-31|2019-12-31</x:v>
      </x:c>
      <x:c r="U543" s="57" t="n">
        <x:v>72841.83177870208</x:v>
      </x:c>
      <x:c r="V543" s="57" t="n">
        <x:v>0.9347100074024458</x:v>
      </x:c>
      <x:c r="W543" t="n">
        <x:v>6</x:v>
      </x:c>
      <x:c r="X543" t="n">
        <x:v>1</x:v>
      </x:c>
      <x:c r="Y543" s="38" t="n">
        <x:v>0.6409090909090909</x:v>
      </x:c>
      <x:c r="Z543" s="38" t="n">
        <x:v>0.6743256080208252</x:v>
      </x:c>
      <x:c r="AA543"/>
    </x:row>
    <x:row r="544">
      <x:c r="A544" s="54" t="n">
        <x:v>44196</x:v>
      </x:c>
      <x:c r="B544" t="n">
        <x:v>44196.624999988424</x:v>
      </x:c>
      <x:c r="C544" t="str">
        <x:v>003460</x:v>
      </x:c>
      <x:c r="D544" t="str">
        <x:v>유화증권</x:v>
      </x:c>
      <x:c r="E544" t="str">
        <x:v>KOSPI</x:v>
      </x:c>
      <x:c r="F544" t="str">
        <x:v>MID</x:v>
      </x:c>
      <x:c r="G544" t="str">
        <x:v>EXCLUDED_ARCHETYPE</x:v>
      </x:c>
      <x:c r="H544" t="str">
        <x:v>FCFF_NOT_COMPARABLE_FOR_FINANCE_OR_HOLDING_HINT</x:v>
      </x:c>
      <x:c r="I544" s="54"/>
      <x:c r="J544" s="55"/>
      <x:c r="K544" s="55"/>
      <x:c r="L544" s="55"/>
      <x:c r="M544"/>
      <x:c r="N544"/>
      <x:c r="O544" s="54"/>
      <x:c r="P544"/>
      <x:c r="Q544"/>
      <x:c r="R544"/>
      <x:c r="S544"/>
      <x:c r="T544"/>
      <x:c r="U544" s="57"/>
      <x:c r="V544" s="57"/>
      <x:c r="W544"/>
      <x:c r="X544"/>
      <x:c r="Y544" s="38"/>
      <x:c r="Z544" s="38"/>
      <x:c r="AA544"/>
    </x:row>
    <x:row r="545">
      <x:c r="A545" s="54" t="n">
        <x:v>44196</x:v>
      </x:c>
      <x:c r="B545" t="n">
        <x:v>44196.624999988424</x:v>
      </x:c>
      <x:c r="C545" t="str">
        <x:v>004140</x:v>
      </x:c>
      <x:c r="D545" t="str">
        <x:v>동방</x:v>
      </x:c>
      <x:c r="E545" t="str">
        <x:v>KOSPI</x:v>
      </x:c>
      <x:c r="F545" t="str">
        <x:v>MID</x:v>
      </x:c>
      <x:c r="G545" t="str">
        <x:v>ELIGIBLE</x:v>
      </x:c>
      <x:c r="H545"/>
      <x:c r="I545" s="54" t="n">
        <x:v>44195</x:v>
      </x:c>
      <x:c r="J545" s="55" t="n">
        <x:v>2290</x:v>
      </x:c>
      <x:c r="K545" s="55" t="n">
        <x:v>90790388820</x:v>
      </x:c>
      <x:c r="L545" s="55" t="n">
        <x:v>39646458</x:v>
      </x:c>
      <x:c r="M545" t="str">
        <x:v>20200330003987</x:v>
      </x:c>
      <x:c r="N545" t="n">
        <x:v>43920.624999988424</x:v>
      </x:c>
      <x:c r="O545" s="54" t="n">
        <x:v>43830</x:v>
      </x:c>
      <x:c r="P545" t="str">
        <x:v>False</x:v>
      </x:c>
      <x:c r="Q545" t="str">
        <x:v>46ac67228e64535f85a4a0689b1dfcc0063d4286b357ca203fdfe76133d6497f</x:v>
      </x:c>
      <x:c r="R545" t="str">
        <x:v>add3a32413fc964b70dd1e0a674a71f8748dbdcfa1e06626305b2a21811f2589</x:v>
      </x:c>
      <x:c r="S545" t="n">
        <x:v>7</x:v>
      </x:c>
      <x:c r="T545" t="str">
        <x:v>2018-12-31|2019-12-31</x:v>
      </x:c>
      <x:c r="U545" s="57" t="n">
        <x:v>599.1469292435341</x:v>
      </x:c>
      <x:c r="V545" s="57" t="n">
        <x:v>-0.7383637863565353</x:v>
      </x:c>
      <x:c r="W545" t="n">
        <x:v>46</x:v>
      </x:c>
      <x:c r="X545" t="n">
        <x:v>4</x:v>
      </x:c>
      <x:c r="Y545" s="38" t="n">
        <x:v>0.6409090909090909</x:v>
      </x:c>
      <x:c r="Z545" s="38" t="n">
        <x:v>0.6716049770453923</x:v>
      </x:c>
      <x:c r="AA545"/>
    </x:row>
    <x:row r="546">
      <x:c r="A546" s="54" t="n">
        <x:v>44196</x:v>
      </x:c>
      <x:c r="B546" t="n">
        <x:v>44196.624999988424</x:v>
      </x:c>
      <x:c r="C546" t="str">
        <x:v>317400</x:v>
      </x:c>
      <x:c r="D546" t="str">
        <x:v>자이에스앤디</x:v>
      </x:c>
      <x:c r="E546" t="str">
        <x:v>KOSPI</x:v>
      </x:c>
      <x:c r="F546" t="str">
        <x:v>MID</x:v>
      </x:c>
      <x:c r="G546" t="str">
        <x:v>ELIGIBLE</x:v>
      </x:c>
      <x:c r="H546"/>
      <x:c r="I546" s="54" t="n">
        <x:v>44195</x:v>
      </x:c>
      <x:c r="J546" s="55" t="n">
        <x:v>12550</x:v>
      </x:c>
      <x:c r="K546" s="55" t="n">
        <x:v>336120626000</x:v>
      </x:c>
      <x:c r="L546" s="55" t="n">
        <x:v>26782520</x:v>
      </x:c>
      <x:c r="M546" t="str">
        <x:v>20200327000947</x:v>
      </x:c>
      <x:c r="N546" t="n">
        <x:v>43917.624999988424</x:v>
      </x:c>
      <x:c r="O546" s="54" t="n">
        <x:v>43830</x:v>
      </x:c>
      <x:c r="P546" t="str">
        <x:v>False</x:v>
      </x:c>
      <x:c r="Q546" t="str">
        <x:v>b12fa64867f28fbab0ad7b544f2a2f1cdd2c212114a842392a1957abd20354b4</x:v>
      </x:c>
      <x:c r="R546" t="str">
        <x:v>63371c38ca41f80f803d94e219c0ca1977eda2bec0e3cbb3cc52050bb355cd0c</x:v>
      </x:c>
      <x:c r="S546" t="n">
        <x:v>6</x:v>
      </x:c>
      <x:c r="T546" t="str">
        <x:v>2019-12-31</x:v>
      </x:c>
      <x:c r="U546" s="57" t="n">
        <x:v>6935.871302294737</x:v>
      </x:c>
      <x:c r="V546" s="57" t="n">
        <x:v>-0.4473409320880688</x:v>
      </x:c>
      <x:c r="W546" t="n">
        <x:v>30</x:v>
      </x:c>
      <x:c r="X546" t="n">
        <x:v>3</x:v>
      </x:c>
      <x:c r="Y546" s="38" t="n">
        <x:v>0.6409090909090909</x:v>
      </x:c>
      <x:c r="Z546" s="38" t="n">
        <x:v>0.6701769222689359</x:v>
      </x:c>
      <x:c r="AA546"/>
    </x:row>
    <x:row r="547">
      <x:c r="A547" s="54" t="n">
        <x:v>44196</x:v>
      </x:c>
      <x:c r="B547" t="n">
        <x:v>44196.624999988424</x:v>
      </x:c>
      <x:c r="C547" t="str">
        <x:v>077500</x:v>
      </x:c>
      <x:c r="D547" t="str">
        <x:v>유니퀘스트</x:v>
      </x:c>
      <x:c r="E547" t="str">
        <x:v>KOSPI</x:v>
      </x:c>
      <x:c r="F547" t="str">
        <x:v>MID</x:v>
      </x:c>
      <x:c r="G547" t="str">
        <x:v>ELIGIBLE</x:v>
      </x:c>
      <x:c r="H547"/>
      <x:c r="I547" s="54" t="n">
        <x:v>44195</x:v>
      </x:c>
      <x:c r="J547" s="55" t="n">
        <x:v>14700</x:v>
      </x:c>
      <x:c r="K547" s="55" t="n">
        <x:v>401416207500</x:v>
      </x:c>
      <x:c r="L547" s="55" t="n">
        <x:v>27307225</x:v>
      </x:c>
      <x:c r="M547" t="str">
        <x:v>20200330004272</x:v>
      </x:c>
      <x:c r="N547" t="n">
        <x:v>43920.624999988424</x:v>
      </x:c>
      <x:c r="O547" s="54" t="n">
        <x:v>43830</x:v>
      </x:c>
      <x:c r="P547" t="str">
        <x:v>False</x:v>
      </x:c>
      <x:c r="Q547" t="str">
        <x:v>f02a31728b7870ed14585a0b158899ceb8452a1805c3c0e9d88cbf7adc750e9d</x:v>
      </x:c>
      <x:c r="R547" t="str">
        <x:v>df82c5ac1ec8e95ba893f06ac1655f0f67f7826216938a5fcc3eec39300a5313</x:v>
      </x:c>
      <x:c r="S547" t="n">
        <x:v>6</x:v>
      </x:c>
      <x:c r="T547" t="str">
        <x:v>2011-12-31|2012-12-31|2013-12-31|2014-12-31|2015-12-31|2016-12-31|2017-12-31|2018-12-31|2019-12-31</x:v>
      </x:c>
      <x:c r="U547" s="57" t="n">
        <x:v>1942.6218375302233</x:v>
      </x:c>
      <x:c r="V547" s="57" t="n">
        <x:v>-0.8678488545897808</x:v>
      </x:c>
      <x:c r="W547" t="n">
        <x:v>56</x:v>
      </x:c>
      <x:c r="X547" t="n">
        <x:v>5</x:v>
      </x:c>
      <x:c r="Y547" s="38" t="n">
        <x:v>0.6409090909090909</x:v>
      </x:c>
      <x:c r="Z547" s="38" t="n">
        <x:v>0.731247750122653</x:v>
      </x:c>
      <x:c r="AA547"/>
    </x:row>
    <x:row r="548">
      <x:c r="A548" s="54" t="n">
        <x:v>44196</x:v>
      </x:c>
      <x:c r="B548" t="n">
        <x:v>44196.624999988424</x:v>
      </x:c>
      <x:c r="C548" t="str">
        <x:v>012800</x:v>
      </x:c>
      <x:c r="D548" t="str">
        <x:v>대창</x:v>
      </x:c>
      <x:c r="E548" t="str">
        <x:v>KOSPI</x:v>
      </x:c>
      <x:c r="F548" t="str">
        <x:v>MID</x:v>
      </x:c>
      <x:c r="G548" t="str">
        <x:v>DCF_SCREENING_EXCLUSION</x:v>
      </x:c>
      <x:c r="H548" t="str">
        <x:v>NON_POSITIVE_EQUITY_VALUE</x:v>
      </x:c>
      <x:c r="I548" s="54" t="n">
        <x:v>44195</x:v>
      </x:c>
      <x:c r="J548" s="55" t="n">
        <x:v>1540</x:v>
      </x:c>
      <x:c r="K548" s="55" t="n">
        <x:v>140356368460</x:v>
      </x:c>
      <x:c r="L548" s="55" t="n">
        <x:v>91140499</x:v>
      </x:c>
      <x:c r="M548" t="str">
        <x:v>20200330001326</x:v>
      </x:c>
      <x:c r="N548" t="n">
        <x:v>43920.624999988424</x:v>
      </x:c>
      <x:c r="O548" s="54" t="n">
        <x:v>43830</x:v>
      </x:c>
      <x:c r="P548" t="str">
        <x:v>False</x:v>
      </x:c>
      <x:c r="Q548" t="str">
        <x:v>498080458de2d5ef2bd3152e3d969187ee38dfbc94b9f8422a74209e83040d81</x:v>
      </x:c>
      <x:c r="R548" t="str">
        <x:v>28f1d7b11b4f317d2b458ea28e2060475272aae7f10bba248ee9a1eb83e4d84f</x:v>
      </x:c>
      <x:c r="S548" t="n">
        <x:v>6</x:v>
      </x:c>
      <x:c r="T548" t="str">
        <x:v>2018-12-31|2019-12-31</x:v>
      </x:c>
      <x:c r="U548" s="57" t="n">
        <x:v>-1690.4590138700046</x:v>
      </x:c>
      <x:c r="V548" s="57" t="n">
        <x:v>-2.097700658357146</x:v>
      </x:c>
      <x:c r="W548"/>
      <x:c r="X548"/>
      <x:c r="Y548" s="38" t="n">
        <x:v>0.6409090909090909</x:v>
      </x:c>
      <x:c r="Z548" s="38" t="n">
        <x:v>0.65771556088542</x:v>
      </x:c>
      <x:c r="AA548" t="str">
        <x:v>NON_POSITIVE_EQUITY_VALUE</x:v>
      </x:c>
    </x:row>
    <x:row r="549">
      <x:c r="A549" s="54" t="n">
        <x:v>44196</x:v>
      </x:c>
      <x:c r="B549" t="n">
        <x:v>44196.624999988424</x:v>
      </x:c>
      <x:c r="C549" t="str">
        <x:v>063160</x:v>
      </x:c>
      <x:c r="D549" t="str">
        <x:v>종근당바이오</x:v>
      </x:c>
      <x:c r="E549" t="str">
        <x:v>KOSPI</x:v>
      </x:c>
      <x:c r="F549" t="str">
        <x:v>MID</x:v>
      </x:c>
      <x:c r="G549" t="str">
        <x:v>ELIGIBLE</x:v>
      </x:c>
      <x:c r="H549"/>
      <x:c r="I549" s="54" t="n">
        <x:v>44195</x:v>
      </x:c>
      <x:c r="J549" s="55" t="n">
        <x:v>79900</x:v>
      </x:c>
      <x:c r="K549" s="55" t="n">
        <x:v>438328363800</x:v>
      </x:c>
      <x:c r="L549" s="55" t="n">
        <x:v>5485962</x:v>
      </x:c>
      <x:c r="M549" t="str">
        <x:v>20200814001004</x:v>
      </x:c>
      <x:c r="N549" t="n">
        <x:v>44057.624999988424</x:v>
      </x:c>
      <x:c r="O549" s="54" t="n">
        <x:v>43830</x:v>
      </x:c>
      <x:c r="P549" t="str">
        <x:v>True</x:v>
      </x:c>
      <x:c r="Q549" t="str">
        <x:v>94abc31715d4206f129ab866f52d276494112e2594c97b21f9ae519545a3574a</x:v>
      </x:c>
      <x:c r="R549" t="str">
        <x:v>6d663d541d213a0df80db934c55f60c457d7b9c6ad3f5c44456f43cef70febd5</x:v>
      </x:c>
      <x:c r="S549" t="n">
        <x:v>6</x:v>
      </x:c>
      <x:c r="T549" t="str">
        <x:v>2018-12-31|2019-12-31</x:v>
      </x:c>
      <x:c r="U549" s="57" t="n">
        <x:v>3675.5112327711754</x:v>
      </x:c>
      <x:c r="V549" s="57" t="n">
        <x:v>-0.953998607850173</x:v>
      </x:c>
      <x:c r="W549" t="n">
        <x:v>60</x:v>
      </x:c>
      <x:c r="X549" t="n">
        <x:v>5</x:v>
      </x:c>
      <x:c r="Y549" s="38" t="n">
        <x:v>0.6409090909090909</x:v>
      </x:c>
      <x:c r="Z549" s="38" t="n">
        <x:v>0.6952202293915488</x:v>
      </x:c>
      <x:c r="AA549"/>
    </x:row>
    <x:row r="550">
      <x:c r="A550" s="54" t="n">
        <x:v>44196</x:v>
      </x:c>
      <x:c r="B550" t="n">
        <x:v>44196.624999988424</x:v>
      </x:c>
      <x:c r="C550" t="str">
        <x:v>013570</x:v>
      </x:c>
      <x:c r="D550" t="str">
        <x:v>디와이</x:v>
      </x:c>
      <x:c r="E550" t="str">
        <x:v>KOSPI</x:v>
      </x:c>
      <x:c r="F550" t="str">
        <x:v>MID</x:v>
      </x:c>
      <x:c r="G550" t="str">
        <x:v>ELIGIBLE</x:v>
      </x:c>
      <x:c r="H550"/>
      <x:c r="I550" s="54" t="n">
        <x:v>44195</x:v>
      </x:c>
      <x:c r="J550" s="55" t="n">
        <x:v>4530</x:v>
      </x:c>
      <x:c r="K550" s="55" t="n">
        <x:v>119227937490</x:v>
      </x:c>
      <x:c r="L550" s="55" t="n">
        <x:v>26319633</x:v>
      </x:c>
      <x:c r="M550" t="str">
        <x:v>20200330003559</x:v>
      </x:c>
      <x:c r="N550" t="n">
        <x:v>43920.624999988424</x:v>
      </x:c>
      <x:c r="O550" s="54" t="n">
        <x:v>43830</x:v>
      </x:c>
      <x:c r="P550" t="str">
        <x:v>False</x:v>
      </x:c>
      <x:c r="Q550" t="str">
        <x:v>c78f20d0b3aef6385ceb685359560cdab6d539bc512dfb59d6982cee937a717f</x:v>
      </x:c>
      <x:c r="R550" t="str">
        <x:v>5bff211939d071f76b6413850f18d8b6bf95a4df390178e8a48cb89c681ed2e4</x:v>
      </x:c>
      <x:c r="S550" t="n">
        <x:v>7</x:v>
      </x:c>
      <x:c r="T550" t="str">
        <x:v>2018-12-31|2019-12-31</x:v>
      </x:c>
      <x:c r="U550" s="57" t="n">
        <x:v>6839.065234736271</x:v>
      </x:c>
      <x:c r="V550" s="57" t="n">
        <x:v>0.5097274248865941</x:v>
      </x:c>
      <x:c r="W550" t="n">
        <x:v>11</x:v>
      </x:c>
      <x:c r="X550" t="n">
        <x:v>1</x:v>
      </x:c>
      <x:c r="Y550" s="38" t="n">
        <x:v>0.6409090909090909</x:v>
      </x:c>
      <x:c r="Z550" s="38" t="n">
        <x:v>0.5847338959435144</x:v>
      </x:c>
      <x:c r="AA550"/>
    </x:row>
    <x:row r="551">
      <x:c r="A551" s="54" t="n">
        <x:v>44196</x:v>
      </x:c>
      <x:c r="B551" t="n">
        <x:v>44196.624999988424</x:v>
      </x:c>
      <x:c r="C551" t="str">
        <x:v>227840</x:v>
      </x:c>
      <x:c r="D551" t="str">
        <x:v>현대코퍼레이션홀딩스</x:v>
      </x:c>
      <x:c r="E551" t="str">
        <x:v>KOSPI</x:v>
      </x:c>
      <x:c r="F551" t="str">
        <x:v>MID</x:v>
      </x:c>
      <x:c r="G551" t="str">
        <x:v>EXCLUDED_ARCHETYPE</x:v>
      </x:c>
      <x:c r="H551" t="str">
        <x:v>FCFF_NOT_COMPARABLE_FOR_FINANCE_OR_HOLDING_HINT</x:v>
      </x:c>
      <x:c r="I551" s="54"/>
      <x:c r="J551" s="55"/>
      <x:c r="K551" s="55"/>
      <x:c r="L551" s="55"/>
      <x:c r="M551"/>
      <x:c r="N551"/>
      <x:c r="O551" s="54"/>
      <x:c r="P551"/>
      <x:c r="Q551"/>
      <x:c r="R551"/>
      <x:c r="S551"/>
      <x:c r="T551"/>
      <x:c r="U551" s="57"/>
      <x:c r="V551" s="57"/>
      <x:c r="W551"/>
      <x:c r="X551"/>
      <x:c r="Y551" s="38"/>
      <x:c r="Z551" s="38"/>
      <x:c r="AA551"/>
    </x:row>
    <x:row r="552">
      <x:c r="A552" s="54" t="n">
        <x:v>44196</x:v>
      </x:c>
      <x:c r="B552" t="n">
        <x:v>44196.624999988424</x:v>
      </x:c>
      <x:c r="C552" t="str">
        <x:v>247540</x:v>
      </x:c>
      <x:c r="D552" t="str">
        <x:v>에코프로비엠</x:v>
      </x:c>
      <x:c r="E552" t="str">
        <x:v>KOSDAQ</x:v>
      </x:c>
      <x:c r="F552" t="str">
        <x:v>LARGE</x:v>
      </x:c>
      <x:c r="G552" t="str">
        <x:v>DCF_SCREENING_EXCLUSION</x:v>
      </x:c>
      <x:c r="H552" t="str">
        <x:v>NON_POSITIVE_ENTERPRISE_VALUE|NON_POSITIVE_EQUITY_VALUE|NON_POSITIVE_TERMINAL_FCF</x:v>
      </x:c>
      <x:c r="I552" s="54" t="n">
        <x:v>44195</x:v>
      </x:c>
      <x:c r="J552" s="55" t="n">
        <x:v>170100</x:v>
      </x:c>
      <x:c r="K552" s="55" t="n">
        <x:v>3578081736600</x:v>
      </x:c>
      <x:c r="L552" s="55" t="n">
        <x:v>21035166</x:v>
      </x:c>
      <x:c r="M552" t="str">
        <x:v>20200330004369</x:v>
      </x:c>
      <x:c r="N552" t="n">
        <x:v>43920.624999988424</x:v>
      </x:c>
      <x:c r="O552" s="54" t="n">
        <x:v>43830</x:v>
      </x:c>
      <x:c r="P552" t="str">
        <x:v>False</x:v>
      </x:c>
      <x:c r="Q552" t="str">
        <x:v>3597bcb81acefe374299e3309d77437744c4161a0c8d4cbc6a6d72d56b2fa4ec</x:v>
      </x:c>
      <x:c r="R552" t="str">
        <x:v>a5125dedbae87640a30e6344a78e09761f8a6ef5373d8e477eb08137d1a6e442</x:v>
      </x:c>
      <x:c r="S552" t="n">
        <x:v>7</x:v>
      </x:c>
      <x:c r="T552" t="str">
        <x:v>2018-12-31|2019-12-31</x:v>
      </x:c>
      <x:c r="U552" s="57" t="n">
        <x:v>-27493.048905142117</x:v>
      </x:c>
      <x:c r="V552" s="57" t="n">
        <x:v>-1.1616287413588602</x:v>
      </x:c>
      <x:c r="W552"/>
      <x:c r="X552"/>
      <x:c r="Y552" s="38" t="n">
        <x:v>0.6409090909090909</x:v>
      </x:c>
      <x:c r="Z552" s="38" t="n">
        <x:v>0.6742941324327638</x:v>
      </x:c>
      <x:c r="AA552" t="str">
        <x:v>NON_POSITIVE_ENTERPRISE_VALUE|NON_POSITIVE_EQUITY_VALUE|NON_POSITIVE_TERMINAL_FCF</x:v>
      </x:c>
    </x:row>
    <x:row r="553">
      <x:c r="A553" s="54" t="n">
        <x:v>44196</x:v>
      </x:c>
      <x:c r="B553" t="n">
        <x:v>44196.624999988424</x:v>
      </x:c>
      <x:c r="C553" t="str">
        <x:v>086520</x:v>
      </x:c>
      <x:c r="D553" t="str">
        <x:v>에코프로</x:v>
      </x:c>
      <x:c r="E553" t="str">
        <x:v>KOSDAQ</x:v>
      </x:c>
      <x:c r="F553" t="str">
        <x:v>LARGE</x:v>
      </x:c>
      <x:c r="G553" t="str">
        <x:v>DCF_SCREENING_EXCLUSION</x:v>
      </x:c>
      <x:c r="H553" t="str">
        <x:v>UNRELIABLE_TERMINAL_VALUE_SHARE</x:v>
      </x:c>
      <x:c r="I553" s="54" t="n">
        <x:v>44195</x:v>
      </x:c>
      <x:c r="J553" s="55" t="n">
        <x:v>49700</x:v>
      </x:c>
      <x:c r="K553" s="55" t="n">
        <x:v>1097882492700</x:v>
      </x:c>
      <x:c r="L553" s="55" t="n">
        <x:v>22090191</x:v>
      </x:c>
      <x:c r="M553" t="str">
        <x:v>20200330004613</x:v>
      </x:c>
      <x:c r="N553" t="n">
        <x:v>43920.624999988424</x:v>
      </x:c>
      <x:c r="O553" s="54" t="n">
        <x:v>43830</x:v>
      </x:c>
      <x:c r="P553" t="str">
        <x:v>False</x:v>
      </x:c>
      <x:c r="Q553" t="str">
        <x:v>1c2282847103a39eaa6bcecec4b85f229e4355ac1793db3112a590599b4f15a2</x:v>
      </x:c>
      <x:c r="R553" t="str">
        <x:v>1bef9106e1b24b123d824c45e61a4053c4eb1605a48e35993d9d9d8a2598b57c</x:v>
      </x:c>
      <x:c r="S553" t="n">
        <x:v>6</x:v>
      </x:c>
      <x:c r="T553" t="str">
        <x:v>2018-12-31|2019-12-31</x:v>
      </x:c>
      <x:c r="U553" s="57" t="n">
        <x:v>4709.94088047829</x:v>
      </x:c>
      <x:c r="V553" s="57" t="n">
        <x:v>-0.9052325778575797</x:v>
      </x:c>
      <x:c r="W553"/>
      <x:c r="X553"/>
      <x:c r="Y553" s="38" t="n">
        <x:v>0.6409090909090909</x:v>
      </x:c>
      <x:c r="Z553" s="38" t="n">
        <x:v>0.9913912690782153</x:v>
      </x:c>
      <x:c r="AA553" t="str">
        <x:v>UNRELIABLE_TERMINAL_VALUE_SHARE</x:v>
      </x:c>
    </x:row>
    <x:row r="554">
      <x:c r="A554" s="54" t="n">
        <x:v>44196</x:v>
      </x:c>
      <x:c r="B554" t="n">
        <x:v>44196.624999988424</x:v>
      </x:c>
      <x:c r="C554" t="str">
        <x:v>214450</x:v>
      </x:c>
      <x:c r="D554" t="str">
        <x:v>파마리서치</x:v>
      </x:c>
      <x:c r="E554" t="str">
        <x:v>KOSDAQ</x:v>
      </x:c>
      <x:c r="F554" t="str">
        <x:v>LARGE</x:v>
      </x:c>
      <x:c r="G554" t="str">
        <x:v>ELIGIBLE</x:v>
      </x:c>
      <x:c r="H554"/>
      <x:c r="I554" s="54" t="n">
        <x:v>44195</x:v>
      </x:c>
      <x:c r="J554" s="55" t="n">
        <x:v>57200</x:v>
      </x:c>
      <x:c r="K554" s="55" t="n">
        <x:v>559934918400</x:v>
      </x:c>
      <x:c r="L554" s="55" t="n">
        <x:v>9789072</x:v>
      </x:c>
      <x:c r="M554" t="str">
        <x:v>20200327000355</x:v>
      </x:c>
      <x:c r="N554" t="n">
        <x:v>43917.624999988424</x:v>
      </x:c>
      <x:c r="O554" s="54" t="n">
        <x:v>43830</x:v>
      </x:c>
      <x:c r="P554" t="str">
        <x:v>False</x:v>
      </x:c>
      <x:c r="Q554" t="str">
        <x:v>fd03303d7bd776279dc75309bfa6c4cbbc8a7bec1d7cbd61f199a105644001d4</x:v>
      </x:c>
      <x:c r="R554" t="str">
        <x:v>a386e837ac17da6bd37ed7a5c4ff15782dda931014c70cd151d017558380c76a</x:v>
      </x:c>
      <x:c r="S554" t="n">
        <x:v>6</x:v>
      </x:c>
      <x:c r="T554" t="str">
        <x:v>2018-12-31|2019-12-31</x:v>
      </x:c>
      <x:c r="U554" s="57" t="n">
        <x:v>16459.227934026676</x:v>
      </x:c>
      <x:c r="V554" s="57" t="n">
        <x:v>-0.7122512598946386</x:v>
      </x:c>
      <x:c r="W554" t="n">
        <x:v>43</x:v>
      </x:c>
      <x:c r="X554" t="n">
        <x:v>4</x:v>
      </x:c>
      <x:c r="Y554" s="38" t="n">
        <x:v>0.6409090909090909</x:v>
      </x:c>
      <x:c r="Z554" s="38" t="n">
        <x:v>0.6897281984708911</x:v>
      </x:c>
      <x:c r="AA554"/>
    </x:row>
    <x:row r="555">
      <x:c r="A555" s="54" t="n">
        <x:v>44196</x:v>
      </x:c>
      <x:c r="B555" t="n">
        <x:v>44196.624999988424</x:v>
      </x:c>
      <x:c r="C555" t="str">
        <x:v>277810</x:v>
      </x:c>
      <x:c r="D555" t="str">
        <x:v>레인보우로보틱스</x:v>
      </x:c>
      <x:c r="E555" t="str">
        <x:v>KOSDAQ</x:v>
      </x:c>
      <x:c r="F555" t="str">
        <x:v>LARGE</x:v>
      </x:c>
      <x:c r="G555" t="str">
        <x:v>NOT_LISTED_OR_NO_PRICE</x:v>
      </x:c>
      <x:c r="H555"/>
      <x:c r="I555" s="54"/>
      <x:c r="J555" s="55"/>
      <x:c r="K555" s="55"/>
      <x:c r="L555" s="55"/>
      <x:c r="M555"/>
      <x:c r="N555"/>
      <x:c r="O555" s="54"/>
      <x:c r="P555"/>
      <x:c r="Q555"/>
      <x:c r="R555"/>
      <x:c r="S555"/>
      <x:c r="T555"/>
      <x:c r="U555" s="57"/>
      <x:c r="V555" s="57"/>
      <x:c r="W555"/>
      <x:c r="X555"/>
      <x:c r="Y555" s="38"/>
      <x:c r="Z555" s="38"/>
      <x:c r="AA555"/>
    </x:row>
    <x:row r="556">
      <x:c r="A556" s="54" t="n">
        <x:v>44196</x:v>
      </x:c>
      <x:c r="B556" t="n">
        <x:v>44196.624999988424</x:v>
      </x:c>
      <x:c r="C556" t="str">
        <x:v>310210</x:v>
      </x:c>
      <x:c r="D556" t="str">
        <x:v>보로노이</x:v>
      </x:c>
      <x:c r="E556" t="str">
        <x:v>KOSDAQ</x:v>
      </x:c>
      <x:c r="F556" t="str">
        <x:v>LARGE</x:v>
      </x:c>
      <x:c r="G556" t="str">
        <x:v>NOT_LISTED_OR_NO_PRICE</x:v>
      </x:c>
      <x:c r="H556"/>
      <x:c r="I556" s="54"/>
      <x:c r="J556" s="55"/>
      <x:c r="K556" s="55"/>
      <x:c r="L556" s="55"/>
      <x:c r="M556"/>
      <x:c r="N556"/>
      <x:c r="O556" s="54"/>
      <x:c r="P556"/>
      <x:c r="Q556"/>
      <x:c r="R556"/>
      <x:c r="S556"/>
      <x:c r="T556"/>
      <x:c r="U556" s="57"/>
      <x:c r="V556" s="57"/>
      <x:c r="W556"/>
      <x:c r="X556"/>
      <x:c r="Y556" s="38"/>
      <x:c r="Z556" s="38"/>
      <x:c r="AA556"/>
    </x:row>
    <x:row r="557">
      <x:c r="A557" s="54" t="n">
        <x:v>44196</x:v>
      </x:c>
      <x:c r="B557" t="n">
        <x:v>44196.624999988424</x:v>
      </x:c>
      <x:c r="C557" t="str">
        <x:v>195940</x:v>
      </x:c>
      <x:c r="D557" t="str">
        <x:v>HK이노엔</x:v>
      </x:c>
      <x:c r="E557" t="str">
        <x:v>KOSDAQ</x:v>
      </x:c>
      <x:c r="F557" t="str">
        <x:v>LARGE</x:v>
      </x:c>
      <x:c r="G557" t="str">
        <x:v>NOT_LISTED_OR_NO_PRICE</x:v>
      </x:c>
      <x:c r="H557"/>
      <x:c r="I557" s="54"/>
      <x:c r="J557" s="55"/>
      <x:c r="K557" s="55"/>
      <x:c r="L557" s="55"/>
      <x:c r="M557"/>
      <x:c r="N557"/>
      <x:c r="O557" s="54"/>
      <x:c r="P557"/>
      <x:c r="Q557"/>
      <x:c r="R557"/>
      <x:c r="S557"/>
      <x:c r="T557"/>
      <x:c r="U557" s="57"/>
      <x:c r="V557" s="57"/>
      <x:c r="W557"/>
      <x:c r="X557"/>
      <x:c r="Y557" s="38"/>
      <x:c r="Z557" s="38"/>
      <x:c r="AA557"/>
    </x:row>
    <x:row r="558">
      <x:c r="A558" s="54" t="n">
        <x:v>44196</x:v>
      </x:c>
      <x:c r="B558" t="n">
        <x:v>44196.624999988424</x:v>
      </x:c>
      <x:c r="C558" t="str">
        <x:v>039200</x:v>
      </x:c>
      <x:c r="D558" t="str">
        <x:v>오스코텍</x:v>
      </x:c>
      <x:c r="E558" t="str">
        <x:v>KOSDAQ</x:v>
      </x:c>
      <x:c r="F558" t="str">
        <x:v>LARGE</x:v>
      </x:c>
      <x:c r="G558" t="str">
        <x:v>DCF_SCREENING_EXCLUSION</x:v>
      </x:c>
      <x:c r="H558" t="str">
        <x:v>NON_POSITIVE_ENTERPRISE_VALUE|NON_POSITIVE_TERMINAL_FCF</x:v>
      </x:c>
      <x:c r="I558" s="54" t="n">
        <x:v>44195</x:v>
      </x:c>
      <x:c r="J558" s="55" t="n">
        <x:v>65600</x:v>
      </x:c>
      <x:c r="K558" s="55" t="n">
        <x:v>1915540401600</x:v>
      </x:c>
      <x:c r="L558" s="55" t="n">
        <x:v>29200311</x:v>
      </x:c>
      <x:c r="M558" t="str">
        <x:v>20200330002576</x:v>
      </x:c>
      <x:c r="N558" t="n">
        <x:v>43920.624999988424</x:v>
      </x:c>
      <x:c r="O558" s="54" t="n">
        <x:v>43830</x:v>
      </x:c>
      <x:c r="P558" t="str">
        <x:v>False</x:v>
      </x:c>
      <x:c r="Q558" t="str">
        <x:v>c42e31430f046a3ee830ef9bb901e7a336ad0968a534b3592d2521b6d1120ba4</x:v>
      </x:c>
      <x:c r="R558" t="str">
        <x:v>9a0d7e047df089371e003de8b56d997379b966290e29e4646dc2bbc48fd37603</x:v>
      </x:c>
      <x:c r="S558" t="n">
        <x:v>6</x:v>
      </x:c>
      <x:c r="T558" t="str">
        <x:v>2018-12-31|2019-12-31</x:v>
      </x:c>
      <x:c r="U558" s="57" t="n">
        <x:v>1328.548992188751</x:v>
      </x:c>
      <x:c r="V558" s="57" t="n">
        <x:v>-0.9797477287776105</x:v>
      </x:c>
      <x:c r="W558"/>
      <x:c r="X558"/>
      <x:c r="Y558" s="38" t="n">
        <x:v>0.6409090909090909</x:v>
      </x:c>
      <x:c r="Z558" s="38" t="n">
        <x:v>0.7197094049882916</x:v>
      </x:c>
      <x:c r="AA558" t="str">
        <x:v>NON_POSITIVE_ENTERPRISE_VALUE|NON_POSITIVE_TERMINAL_FCF</x:v>
      </x:c>
    </x:row>
    <x:row r="559">
      <x:c r="A559" s="54" t="n">
        <x:v>44196</x:v>
      </x:c>
      <x:c r="B559" t="n">
        <x:v>44196.624999988424</x:v>
      </x:c>
      <x:c r="C559" t="str">
        <x:v>084370</x:v>
      </x:c>
      <x:c r="D559" t="str">
        <x:v>유진테크</x:v>
      </x:c>
      <x:c r="E559" t="str">
        <x:v>KOSDAQ</x:v>
      </x:c>
      <x:c r="F559" t="str">
        <x:v>LARGE</x:v>
      </x:c>
      <x:c r="G559" t="str">
        <x:v>ELIGIBLE</x:v>
      </x:c>
      <x:c r="H559"/>
      <x:c r="I559" s="54" t="n">
        <x:v>44195</x:v>
      </x:c>
      <x:c r="J559" s="55" t="n">
        <x:v>33350</x:v>
      </x:c>
      <x:c r="K559" s="55" t="n">
        <x:v>764250000700</x:v>
      </x:c>
      <x:c r="L559" s="55" t="n">
        <x:v>22916042</x:v>
      </x:c>
      <x:c r="M559" t="str">
        <x:v>20200327001867</x:v>
      </x:c>
      <x:c r="N559" t="n">
        <x:v>43917.624999988424</x:v>
      </x:c>
      <x:c r="O559" s="54" t="n">
        <x:v>43830</x:v>
      </x:c>
      <x:c r="P559" t="str">
        <x:v>False</x:v>
      </x:c>
      <x:c r="Q559" t="str">
        <x:v>60271e62f85dcbe367c8b6cbbb59648ce1add688fcab42ff804b3aac9dc19bdd</x:v>
      </x:c>
      <x:c r="R559" t="str">
        <x:v>f9959762c8064e09c1b11b196b6a9c92f4ef0a610c26b4d2cf681f3d176d462c</x:v>
      </x:c>
      <x:c r="S559" t="n">
        <x:v>5</x:v>
      </x:c>
      <x:c r="T559" t="str">
        <x:v>2018-12-31|2019-12-31</x:v>
      </x:c>
      <x:c r="U559" s="57" t="n">
        <x:v>8060.634405309973</x:v>
      </x:c>
      <x:c r="V559" s="57" t="n">
        <x:v>-0.7583018169322348</x:v>
      </x:c>
      <x:c r="W559" t="n">
        <x:v>49</x:v>
      </x:c>
      <x:c r="X559" t="n">
        <x:v>4</x:v>
      </x:c>
      <x:c r="Y559" s="38" t="n">
        <x:v>0.6409090909090909</x:v>
      </x:c>
      <x:c r="Z559" s="38" t="n">
        <x:v>0.7079967318019821</x:v>
      </x:c>
      <x:c r="AA559"/>
    </x:row>
    <x:row r="560">
      <x:c r="A560" s="54" t="n">
        <x:v>44196</x:v>
      </x:c>
      <x:c r="B560" t="n">
        <x:v>44196.624999988424</x:v>
      </x:c>
      <x:c r="C560" t="str">
        <x:v>160190</x:v>
      </x:c>
      <x:c r="D560" t="str">
        <x:v>하이젠알앤엠</x:v>
      </x:c>
      <x:c r="E560" t="str">
        <x:v>KOSDAQ</x:v>
      </x:c>
      <x:c r="F560" t="str">
        <x:v>LARGE</x:v>
      </x:c>
      <x:c r="G560" t="str">
        <x:v>NOT_LISTED_OR_NO_PRICE</x:v>
      </x:c>
      <x:c r="H560"/>
      <x:c r="I560" s="54"/>
      <x:c r="J560" s="55"/>
      <x:c r="K560" s="55"/>
      <x:c r="L560" s="55"/>
      <x:c r="M560"/>
      <x:c r="N560"/>
      <x:c r="O560" s="54"/>
      <x:c r="P560"/>
      <x:c r="Q560"/>
      <x:c r="R560"/>
      <x:c r="S560"/>
      <x:c r="T560"/>
      <x:c r="U560" s="57"/>
      <x:c r="V560" s="57"/>
      <x:c r="W560"/>
      <x:c r="X560"/>
      <x:c r="Y560" s="38"/>
      <x:c r="Z560" s="38"/>
      <x:c r="AA560"/>
    </x:row>
    <x:row r="561">
      <x:c r="A561" s="54" t="n">
        <x:v>44196</x:v>
      </x:c>
      <x:c r="B561" t="n">
        <x:v>44196.624999988424</x:v>
      </x:c>
      <x:c r="C561" t="str">
        <x:v>281740</x:v>
      </x:c>
      <x:c r="D561" t="str">
        <x:v>레이크머티리얼즈</x:v>
      </x:c>
      <x:c r="E561" t="str">
        <x:v>KOSDAQ</x:v>
      </x:c>
      <x:c r="F561" t="str">
        <x:v>LARGE</x:v>
      </x:c>
      <x:c r="G561" t="str">
        <x:v>NO_PIT_FINANCIALS</x:v>
      </x:c>
      <x:c r="H561"/>
      <x:c r="I561" s="54" t="n">
        <x:v>44195</x:v>
      </x:c>
      <x:c r="J561" s="55" t="n">
        <x:v>2760</x:v>
      </x:c>
      <x:c r="K561" s="55" t="n">
        <x:v>181416312480</x:v>
      </x:c>
      <x:c r="L561" s="55" t="n">
        <x:v>65730548</x:v>
      </x:c>
      <x:c r="M561"/>
      <x:c r="N561"/>
      <x:c r="O561" s="54"/>
      <x:c r="P561"/>
      <x:c r="Q561"/>
      <x:c r="R561"/>
      <x:c r="S561"/>
      <x:c r="T561"/>
      <x:c r="U561" s="57"/>
      <x:c r="V561" s="57"/>
      <x:c r="W561"/>
      <x:c r="X561"/>
      <x:c r="Y561" s="38"/>
      <x:c r="Z561" s="38"/>
      <x:c r="AA561"/>
    </x:row>
    <x:row r="562">
      <x:c r="A562" s="54" t="n">
        <x:v>44196</x:v>
      </x:c>
      <x:c r="B562" t="n">
        <x:v>44196.624999988424</x:v>
      </x:c>
      <x:c r="C562" t="str">
        <x:v>078130</x:v>
      </x:c>
      <x:c r="D562" t="str">
        <x:v>국일제지</x:v>
      </x:c>
      <x:c r="E562" t="str">
        <x:v>KOSDAQ</x:v>
      </x:c>
      <x:c r="F562" t="str">
        <x:v>LARGE</x:v>
      </x:c>
      <x:c r="G562" t="str">
        <x:v>DCF_SCREENING_EXCLUSION</x:v>
      </x:c>
      <x:c r="H562" t="str">
        <x:v>NON_POSITIVE_ENTERPRISE_VALUE|NON_POSITIVE_EQUITY_VALUE|NON_POSITIVE_TERMINAL_FCF</x:v>
      </x:c>
      <x:c r="I562" s="54" t="n">
        <x:v>44195</x:v>
      </x:c>
      <x:c r="J562" s="55" t="n">
        <x:v>5200</x:v>
      </x:c>
      <x:c r="K562" s="55" t="n">
        <x:v>657011596800</x:v>
      </x:c>
      <x:c r="L562" s="55" t="n">
        <x:v>126348384</x:v>
      </x:c>
      <x:c r="M562" t="str">
        <x:v>20200422000338</x:v>
      </x:c>
      <x:c r="N562" t="n">
        <x:v>43943.624999988424</x:v>
      </x:c>
      <x:c r="O562" s="54" t="n">
        <x:v>43830</x:v>
      </x:c>
      <x:c r="P562" t="str">
        <x:v>True</x:v>
      </x:c>
      <x:c r="Q562" t="str">
        <x:v>12a10de5a3ed854887f9b2dbb4c68843ad7ddd2b14cd6503c43de01a36a063d0</x:v>
      </x:c>
      <x:c r="R562" t="str">
        <x:v>bc59d31861ec13e47c25fb20e4c3fc5709e2453b201893f6d705714dea25b898</x:v>
      </x:c>
      <x:c r="S562" t="n">
        <x:v>7</x:v>
      </x:c>
      <x:c r="T562" t="str">
        <x:v>2018-12-31|2019-12-31</x:v>
      </x:c>
      <x:c r="U562" s="57" t="n">
        <x:v>-995.4081808467447</x:v>
      </x:c>
      <x:c r="V562" s="57" t="n">
        <x:v>-1.1914246501628356</x:v>
      </x:c>
      <x:c r="W562"/>
      <x:c r="X562"/>
      <x:c r="Y562" s="38" t="n">
        <x:v>0.6409090909090909</x:v>
      </x:c>
      <x:c r="Z562" s="38" t="n">
        <x:v>0.6438806626825183</x:v>
      </x:c>
      <x:c r="AA562" t="str">
        <x:v>NON_POSITIVE_ENTERPRISE_VALUE|NON_POSITIVE_EQUITY_VALUE|NON_POSITIVE_TERMINAL_FCF</x:v>
      </x:c>
    </x:row>
    <x:row r="563">
      <x:c r="A563" s="54" t="n">
        <x:v>44196</x:v>
      </x:c>
      <x:c r="B563" t="n">
        <x:v>44196.624999988424</x:v>
      </x:c>
      <x:c r="C563" t="str">
        <x:v>131970</x:v>
      </x:c>
      <x:c r="D563" t="str">
        <x:v>두산테스나</x:v>
      </x:c>
      <x:c r="E563" t="str">
        <x:v>KOSDAQ</x:v>
      </x:c>
      <x:c r="F563" t="str">
        <x:v>LARGE</x:v>
      </x:c>
      <x:c r="G563" t="str">
        <x:v>ELIGIBLE</x:v>
      </x:c>
      <x:c r="H563"/>
      <x:c r="I563" s="54" t="n">
        <x:v>44195</x:v>
      </x:c>
      <x:c r="J563" s="55" t="n">
        <x:v>56200</x:v>
      </x:c>
      <x:c r="K563" s="55" t="n">
        <x:v>829488227400</x:v>
      </x:c>
      <x:c r="L563" s="55" t="n">
        <x:v>14759577</x:v>
      </x:c>
      <x:c r="M563" t="str">
        <x:v>20200330002541</x:v>
      </x:c>
      <x:c r="N563" t="n">
        <x:v>43920.624999988424</x:v>
      </x:c>
      <x:c r="O563" s="54" t="n">
        <x:v>43830</x:v>
      </x:c>
      <x:c r="P563" t="str">
        <x:v>False</x:v>
      </x:c>
      <x:c r="Q563" t="str">
        <x:v>174cf2e7e5d7adbbf4428b7775e8fa66b45def4c0b6fe0ed67bd838c6faf172b</x:v>
      </x:c>
      <x:c r="R563" t="str">
        <x:v>e2e30cd1e50cb21708ef90932a2bca29a931a2a86063558508c6549b50cc660a</x:v>
      </x:c>
      <x:c r="S563" t="n">
        <x:v>5</x:v>
      </x:c>
      <x:c r="T563" t="str">
        <x:v>2018-12-31|2019-12-31</x:v>
      </x:c>
      <x:c r="U563" s="57" t="n">
        <x:v>21240.20391245587</x:v>
      </x:c>
      <x:c r="V563" s="57" t="n">
        <x:v>-0.622060428603988</x:v>
      </x:c>
      <x:c r="W563" t="n">
        <x:v>41</x:v>
      </x:c>
      <x:c r="X563" t="n">
        <x:v>4</x:v>
      </x:c>
      <x:c r="Y563" s="38" t="n">
        <x:v>0.6409090909090909</x:v>
      </x:c>
      <x:c r="Z563" s="38" t="n">
        <x:v>0.7244345316347346</x:v>
      </x:c>
      <x:c r="AA563"/>
    </x:row>
    <x:row r="564">
      <x:c r="A564" s="54" t="n">
        <x:v>44196</x:v>
      </x:c>
      <x:c r="B564" t="n">
        <x:v>44196.624999988424</x:v>
      </x:c>
      <x:c r="C564" t="str">
        <x:v>025320</x:v>
      </x:c>
      <x:c r="D564" t="str">
        <x:v>시노펙스</x:v>
      </x:c>
      <x:c r="E564" t="str">
        <x:v>KOSDAQ</x:v>
      </x:c>
      <x:c r="F564" t="str">
        <x:v>LARGE</x:v>
      </x:c>
      <x:c r="G564" t="str">
        <x:v>ELIGIBLE</x:v>
      </x:c>
      <x:c r="H564"/>
      <x:c r="I564" s="54" t="n">
        <x:v>44195</x:v>
      </x:c>
      <x:c r="J564" s="55" t="n">
        <x:v>4215</x:v>
      </x:c>
      <x:c r="K564" s="55" t="n">
        <x:v>308719067970</x:v>
      </x:c>
      <x:c r="L564" s="55" t="n">
        <x:v>73242958</x:v>
      </x:c>
      <x:c r="M564" t="str">
        <x:v>20200330003989</x:v>
      </x:c>
      <x:c r="N564" t="n">
        <x:v>43920.624999988424</x:v>
      </x:c>
      <x:c r="O564" s="54" t="n">
        <x:v>43830</x:v>
      </x:c>
      <x:c r="P564" t="str">
        <x:v>False</x:v>
      </x:c>
      <x:c r="Q564" t="str">
        <x:v>7044785e3dd70cf8b3a62f236b6730909895713eba05a28c133a62e4c268bd32</x:v>
      </x:c>
      <x:c r="R564" t="str">
        <x:v>6c312ef2a9cfccb74e99dc0f4301a82209e9a6af70ed4e4b8f7afdaca9de1926</x:v>
      </x:c>
      <x:c r="S564" t="n">
        <x:v>6</x:v>
      </x:c>
      <x:c r="T564" t="str">
        <x:v>2018-12-31|2019-12-31</x:v>
      </x:c>
      <x:c r="U564" s="57" t="n">
        <x:v>804.0776743464871</x:v>
      </x:c>
      <x:c r="V564" s="57" t="n">
        <x:v>-0.8092342409616875</x:v>
      </x:c>
      <x:c r="W564" t="n">
        <x:v>54</x:v>
      </x:c>
      <x:c r="X564" t="n">
        <x:v>5</x:v>
      </x:c>
      <x:c r="Y564" s="38" t="n">
        <x:v>0.6409090909090909</x:v>
      </x:c>
      <x:c r="Z564" s="38" t="n">
        <x:v>0.5558118889209015</x:v>
      </x:c>
      <x:c r="AA564"/>
    </x:row>
    <x:row r="565">
      <x:c r="A565" s="54" t="n">
        <x:v>44196</x:v>
      </x:c>
      <x:c r="B565" t="n">
        <x:v>44196.624999988424</x:v>
      </x:c>
      <x:c r="C565" t="str">
        <x:v>347700</x:v>
      </x:c>
      <x:c r="D565" t="str">
        <x:v>스피어</x:v>
      </x:c>
      <x:c r="E565" t="str">
        <x:v>KOSDAQ</x:v>
      </x:c>
      <x:c r="F565" t="str">
        <x:v>LARGE</x:v>
      </x:c>
      <x:c r="G565" t="str">
        <x:v>NOT_LISTED_OR_NO_PRICE</x:v>
      </x:c>
      <x:c r="H565"/>
      <x:c r="I565" s="54"/>
      <x:c r="J565" s="55"/>
      <x:c r="K565" s="55"/>
      <x:c r="L565" s="55"/>
      <x:c r="M565"/>
      <x:c r="N565"/>
      <x:c r="O565" s="54"/>
      <x:c r="P565"/>
      <x:c r="Q565"/>
      <x:c r="R565"/>
      <x:c r="S565"/>
      <x:c r="T565"/>
      <x:c r="U565" s="57"/>
      <x:c r="V565" s="57"/>
      <x:c r="W565"/>
      <x:c r="X565"/>
      <x:c r="Y565" s="38"/>
      <x:c r="Z565" s="38"/>
      <x:c r="AA565"/>
    </x:row>
    <x:row r="566">
      <x:c r="A566" s="54" t="n">
        <x:v>44196</x:v>
      </x:c>
      <x:c r="B566" t="n">
        <x:v>44196.624999988424</x:v>
      </x:c>
      <x:c r="C566" t="str">
        <x:v>119850</x:v>
      </x:c>
      <x:c r="D566" t="str">
        <x:v>지엔씨에너지</x:v>
      </x:c>
      <x:c r="E566" t="str">
        <x:v>KOSDAQ</x:v>
      </x:c>
      <x:c r="F566" t="str">
        <x:v>LARGE</x:v>
      </x:c>
      <x:c r="G566" t="str">
        <x:v>ELIGIBLE</x:v>
      </x:c>
      <x:c r="H566"/>
      <x:c r="I566" s="54" t="n">
        <x:v>44195</x:v>
      </x:c>
      <x:c r="J566" s="55" t="n">
        <x:v>6160</x:v>
      </x:c>
      <x:c r="K566" s="55" t="n">
        <x:v>100382300480</x:v>
      </x:c>
      <x:c r="L566" s="55" t="n">
        <x:v>16295828</x:v>
      </x:c>
      <x:c r="M566" t="str">
        <x:v>20200330004281</x:v>
      </x:c>
      <x:c r="N566" t="n">
        <x:v>43920.624999988424</x:v>
      </x:c>
      <x:c r="O566" s="54" t="n">
        <x:v>43830</x:v>
      </x:c>
      <x:c r="P566" t="str">
        <x:v>False</x:v>
      </x:c>
      <x:c r="Q566" t="str">
        <x:v>8417e1ec351af38e02d4ffc9a37182dbc856d60e1cc58d214eb2411457a1ef6d</x:v>
      </x:c>
      <x:c r="R566" t="str">
        <x:v>6dd037efc870cf454f6bb48c6c442ad5bf291fd2c246553032e00a1a931d49b6</x:v>
      </x:c>
      <x:c r="S566" t="n">
        <x:v>6</x:v>
      </x:c>
      <x:c r="T566" t="str">
        <x:v>2018-12-31|2019-12-31</x:v>
      </x:c>
      <x:c r="U566" s="57" t="n">
        <x:v>4736.631875343494</x:v>
      </x:c>
      <x:c r="V566" s="57" t="n">
        <x:v>-0.23106625400267955</x:v>
      </x:c>
      <x:c r="W566" t="n">
        <x:v>22</x:v>
      </x:c>
      <x:c r="X566" t="n">
        <x:v>2</x:v>
      </x:c>
      <x:c r="Y566" s="38" t="n">
        <x:v>0.6409090909090909</x:v>
      </x:c>
      <x:c r="Z566" s="38" t="n">
        <x:v>0.7118530583614918</x:v>
      </x:c>
      <x:c r="AA566"/>
    </x:row>
    <x:row r="567">
      <x:c r="A567" s="54" t="n">
        <x:v>44196</x:v>
      </x:c>
      <x:c r="B567" t="n">
        <x:v>44196.624999988424</x:v>
      </x:c>
      <x:c r="C567" t="str">
        <x:v>084110</x:v>
      </x:c>
      <x:c r="D567" t="str">
        <x:v>휴온스글로벌</x:v>
      </x:c>
      <x:c r="E567" t="str">
        <x:v>KOSDAQ</x:v>
      </x:c>
      <x:c r="F567" t="str">
        <x:v>LARGE</x:v>
      </x:c>
      <x:c r="G567" t="str">
        <x:v>ELIGIBLE</x:v>
      </x:c>
      <x:c r="H567"/>
      <x:c r="I567" s="54" t="n">
        <x:v>44195</x:v>
      </x:c>
      <x:c r="J567" s="55" t="n">
        <x:v>29250</x:v>
      </x:c>
      <x:c r="K567" s="55" t="n">
        <x:v>335325714750</x:v>
      </x:c>
      <x:c r="L567" s="55" t="n">
        <x:v>11464127</x:v>
      </x:c>
      <x:c r="M567" t="str">
        <x:v>20200327001990</x:v>
      </x:c>
      <x:c r="N567" t="n">
        <x:v>43917.624999988424</x:v>
      </x:c>
      <x:c r="O567" s="54" t="n">
        <x:v>43830</x:v>
      </x:c>
      <x:c r="P567" t="str">
        <x:v>False</x:v>
      </x:c>
      <x:c r="Q567" t="str">
        <x:v>eb455f03802e72563fd6bd72ff9aa02990d04cdf6e4810f60b8090e9f8189f9a</x:v>
      </x:c>
      <x:c r="R567" t="str">
        <x:v>abb4dd4e19dbd229608f198849951e5cfa13879c5c6e18eac3a47f8c32c0572a</x:v>
      </x:c>
      <x:c r="S567" t="n">
        <x:v>6</x:v>
      </x:c>
      <x:c r="T567" t="str">
        <x:v>2018-12-31|2019-12-31</x:v>
      </x:c>
      <x:c r="U567" s="57" t="n">
        <x:v>66207.27415149733</x:v>
      </x:c>
      <x:c r="V567" s="57" t="n">
        <x:v>1.2634965521879429</x:v>
      </x:c>
      <x:c r="W567" t="n">
        <x:v>5</x:v>
      </x:c>
      <x:c r="X567" t="n">
        <x:v>1</x:v>
      </x:c>
      <x:c r="Y567" s="38" t="n">
        <x:v>0.6409090909090909</x:v>
      </x:c>
      <x:c r="Z567" s="38" t="n">
        <x:v>0.7384070510009209</x:v>
      </x:c>
      <x:c r="AA567"/>
    </x:row>
    <x:row r="568">
      <x:c r="A568" s="54" t="n">
        <x:v>44196</x:v>
      </x:c>
      <x:c r="B568" t="n">
        <x:v>44196.624999988424</x:v>
      </x:c>
      <x:c r="C568" t="str">
        <x:v>206650</x:v>
      </x:c>
      <x:c r="D568" t="str">
        <x:v>유바이오로직스</x:v>
      </x:c>
      <x:c r="E568" t="str">
        <x:v>KOSDAQ</x:v>
      </x:c>
      <x:c r="F568" t="str">
        <x:v>LARGE</x:v>
      </x:c>
      <x:c r="G568" t="str">
        <x:v>ELIGIBLE</x:v>
      </x:c>
      <x:c r="H568"/>
      <x:c r="I568" s="54" t="n">
        <x:v>44195</x:v>
      </x:c>
      <x:c r="J568" s="55" t="n">
        <x:v>21300</x:v>
      </x:c>
      <x:c r="K568" s="55" t="n">
        <x:v>655399338600</x:v>
      </x:c>
      <x:c r="L568" s="55" t="n">
        <x:v>30769922</x:v>
      </x:c>
      <x:c r="M568" t="str">
        <x:v>20200330002886</x:v>
      </x:c>
      <x:c r="N568" t="n">
        <x:v>43920.624999988424</x:v>
      </x:c>
      <x:c r="O568" s="54" t="n">
        <x:v>43830</x:v>
      </x:c>
      <x:c r="P568" t="str">
        <x:v>False</x:v>
      </x:c>
      <x:c r="Q568" t="str">
        <x:v>0d309bad4df48d241000e297f8d41a01d053fd2539cc7496c1d64fa8b17d7d30</x:v>
      </x:c>
      <x:c r="R568" t="str">
        <x:v>28944ca25ba3963fc9d6cbaad58509d5975bd5a33c6c9c5a52ae922b1fc2e0ba</x:v>
      </x:c>
      <x:c r="S568" t="n">
        <x:v>4</x:v>
      </x:c>
      <x:c r="T568" t="str">
        <x:v>2018-12-31|2019-12-31</x:v>
      </x:c>
      <x:c r="U568" s="57" t="n">
        <x:v>3709.499131830816</x:v>
      </x:c>
      <x:c r="V568" s="57" t="n">
        <x:v>-0.8258451111816518</x:v>
      </x:c>
      <x:c r="W568" t="n">
        <x:v>55</x:v>
      </x:c>
      <x:c r="X568" t="n">
        <x:v>5</x:v>
      </x:c>
      <x:c r="Y568" s="38" t="n">
        <x:v>0.6409090909090909</x:v>
      </x:c>
      <x:c r="Z568" s="38" t="n">
        <x:v>0.7114085801253023</x:v>
      </x:c>
      <x:c r="AA568"/>
    </x:row>
    <x:row r="569">
      <x:c r="A569" s="54" t="n">
        <x:v>44196</x:v>
      </x:c>
      <x:c r="B569" t="n">
        <x:v>44196.624999988424</x:v>
      </x:c>
      <x:c r="C569" t="str">
        <x:v>365340</x:v>
      </x:c>
      <x:c r="D569" t="str">
        <x:v>성일하이텍</x:v>
      </x:c>
      <x:c r="E569" t="str">
        <x:v>KOSDAQ</x:v>
      </x:c>
      <x:c r="F569" t="str">
        <x:v>LARGE</x:v>
      </x:c>
      <x:c r="G569" t="str">
        <x:v>NOT_LISTED_OR_NO_PRICE</x:v>
      </x:c>
      <x:c r="H569"/>
      <x:c r="I569" s="54"/>
      <x:c r="J569" s="55"/>
      <x:c r="K569" s="55"/>
      <x:c r="L569" s="55"/>
      <x:c r="M569"/>
      <x:c r="N569"/>
      <x:c r="O569" s="54"/>
      <x:c r="P569"/>
      <x:c r="Q569"/>
      <x:c r="R569"/>
      <x:c r="S569"/>
      <x:c r="T569"/>
      <x:c r="U569" s="57"/>
      <x:c r="V569" s="57"/>
      <x:c r="W569"/>
      <x:c r="X569"/>
      <x:c r="Y569" s="38"/>
      <x:c r="Z569" s="38"/>
      <x:c r="AA569"/>
    </x:row>
    <x:row r="570">
      <x:c r="A570" s="54" t="n">
        <x:v>44196</x:v>
      </x:c>
      <x:c r="B570" t="n">
        <x:v>44196.624999988424</x:v>
      </x:c>
      <x:c r="C570" t="str">
        <x:v>030530</x:v>
      </x:c>
      <x:c r="D570" t="str">
        <x:v>원익홀딩스</x:v>
      </x:c>
      <x:c r="E570" t="str">
        <x:v>KOSDAQ</x:v>
      </x:c>
      <x:c r="F570" t="str">
        <x:v>LARGE</x:v>
      </x:c>
      <x:c r="G570" t="str">
        <x:v>EXCLUDED_ARCHETYPE</x:v>
      </x:c>
      <x:c r="H570" t="str">
        <x:v>FCFF_NOT_COMPARABLE_FOR_FINANCE_OR_HOLDING_HINT</x:v>
      </x:c>
      <x:c r="I570" s="54"/>
      <x:c r="J570" s="55"/>
      <x:c r="K570" s="55"/>
      <x:c r="L570" s="55"/>
      <x:c r="M570"/>
      <x:c r="N570"/>
      <x:c r="O570" s="54"/>
      <x:c r="P570"/>
      <x:c r="Q570"/>
      <x:c r="R570"/>
      <x:c r="S570"/>
      <x:c r="T570"/>
      <x:c r="U570" s="57"/>
      <x:c r="V570" s="57"/>
      <x:c r="W570"/>
      <x:c r="X570"/>
      <x:c r="Y570" s="38"/>
      <x:c r="Z570" s="38"/>
      <x:c r="AA570"/>
    </x:row>
    <x:row r="571">
      <x:c r="A571" s="54" t="n">
        <x:v>44196</x:v>
      </x:c>
      <x:c r="B571" t="n">
        <x:v>44196.624999988424</x:v>
      </x:c>
      <x:c r="C571" t="str">
        <x:v>220100</x:v>
      </x:c>
      <x:c r="D571" t="str">
        <x:v>퓨쳐켐</x:v>
      </x:c>
      <x:c r="E571" t="str">
        <x:v>KOSDAQ</x:v>
      </x:c>
      <x:c r="F571" t="str">
        <x:v>LARGE</x:v>
      </x:c>
      <x:c r="G571" t="str">
        <x:v>DCF_SCREENING_EXCLUSION</x:v>
      </x:c>
      <x:c r="H571" t="str">
        <x:v>NON_POSITIVE_ENTERPRISE_VALUE|NON_POSITIVE_EQUITY_VALUE|NON_POSITIVE_TERMINAL_FCF</x:v>
      </x:c>
      <x:c r="I571" s="54" t="n">
        <x:v>44195</x:v>
      </x:c>
      <x:c r="J571" s="55" t="n">
        <x:v>24450</x:v>
      </x:c>
      <x:c r="K571" s="55" t="n">
        <x:v>309357952650</x:v>
      </x:c>
      <x:c r="L571" s="55" t="n">
        <x:v>12652677</x:v>
      </x:c>
      <x:c r="M571" t="str">
        <x:v>20200327000690</x:v>
      </x:c>
      <x:c r="N571" t="n">
        <x:v>43917.624999988424</x:v>
      </x:c>
      <x:c r="O571" s="54" t="n">
        <x:v>43830</x:v>
      </x:c>
      <x:c r="P571" t="str">
        <x:v>False</x:v>
      </x:c>
      <x:c r="Q571" t="str">
        <x:v>0c01a2b382ccf00213b24c087725fa01e806aa79f2a882e36e2a41329d3a623b</x:v>
      </x:c>
      <x:c r="R571" t="str">
        <x:v>f1c222dd3adc9c5bc785922e000fdf4b13b0cfd5d0de74051650956b468f2abb</x:v>
      </x:c>
      <x:c r="S571" t="n">
        <x:v>5</x:v>
      </x:c>
      <x:c r="T571" t="str">
        <x:v>2018-12-31|2019-12-31</x:v>
      </x:c>
      <x:c r="U571" s="57" t="n">
        <x:v>-1642.3694748998248</x:v>
      </x:c>
      <x:c r="V571" s="57" t="n">
        <x:v>-1.0671725756605246</x:v>
      </x:c>
      <x:c r="W571"/>
      <x:c r="X571"/>
      <x:c r="Y571" s="38" t="n">
        <x:v>0.6409090909090909</x:v>
      </x:c>
      <x:c r="Z571" s="38" t="n">
        <x:v>0.7149594422554854</x:v>
      </x:c>
      <x:c r="AA571" t="str">
        <x:v>NON_POSITIVE_ENTERPRISE_VALUE|NON_POSITIVE_EQUITY_VALUE|NON_POSITIVE_TERMINAL_FCF</x:v>
      </x:c>
    </x:row>
    <x:row r="572">
      <x:c r="A572" s="54" t="n">
        <x:v>44196</x:v>
      </x:c>
      <x:c r="B572" t="n">
        <x:v>44196.624999988424</x:v>
      </x:c>
      <x:c r="C572" t="str">
        <x:v>416180</x:v>
      </x:c>
      <x:c r="D572" t="str">
        <x:v>신성에스티</x:v>
      </x:c>
      <x:c r="E572" t="str">
        <x:v>KOSDAQ</x:v>
      </x:c>
      <x:c r="F572" t="str">
        <x:v>LARGE</x:v>
      </x:c>
      <x:c r="G572" t="str">
        <x:v>NOT_LISTED_OR_NO_PRICE</x:v>
      </x:c>
      <x:c r="H572"/>
      <x:c r="I572" s="54"/>
      <x:c r="J572" s="55"/>
      <x:c r="K572" s="55"/>
      <x:c r="L572" s="55"/>
      <x:c r="M572"/>
      <x:c r="N572"/>
      <x:c r="O572" s="54"/>
      <x:c r="P572"/>
      <x:c r="Q572"/>
      <x:c r="R572"/>
      <x:c r="S572"/>
      <x:c r="T572"/>
      <x:c r="U572" s="57"/>
      <x:c r="V572" s="57"/>
      <x:c r="W572"/>
      <x:c r="X572"/>
      <x:c r="Y572" s="38"/>
      <x:c r="Z572" s="38"/>
      <x:c r="AA572"/>
    </x:row>
    <x:row r="573">
      <x:c r="A573" s="54" t="n">
        <x:v>44196</x:v>
      </x:c>
      <x:c r="B573" t="n">
        <x:v>44196.624999988424</x:v>
      </x:c>
      <x:c r="C573" t="str">
        <x:v>082800</x:v>
      </x:c>
      <x:c r="D573" t="str">
        <x:v>비보존제약</x:v>
      </x:c>
      <x:c r="E573" t="str">
        <x:v>KOSDAQ</x:v>
      </x:c>
      <x:c r="F573" t="str">
        <x:v>LARGE</x:v>
      </x:c>
      <x:c r="G573" t="str">
        <x:v>DCF_SCREENING_EXCLUSION</x:v>
      </x:c>
      <x:c r="H573" t="str">
        <x:v>NON_POSITIVE_ENTERPRISE_VALUE|NON_POSITIVE_EQUITY_VALUE|NON_POSITIVE_TERMINAL_FCF</x:v>
      </x:c>
      <x:c r="I573" s="54" t="n">
        <x:v>44195</x:v>
      </x:c>
      <x:c r="J573" s="55" t="n">
        <x:v>2110</x:v>
      </x:c>
      <x:c r="K573" s="55" t="n">
        <x:v>296773806230</x:v>
      </x:c>
      <x:c r="L573" s="55" t="n">
        <x:v>140651093</x:v>
      </x:c>
      <x:c r="M573" t="str">
        <x:v>20200330004808</x:v>
      </x:c>
      <x:c r="N573" t="n">
        <x:v>43920.624999988424</x:v>
      </x:c>
      <x:c r="O573" s="54" t="n">
        <x:v>43830</x:v>
      </x:c>
      <x:c r="P573" t="str">
        <x:v>False</x:v>
      </x:c>
      <x:c r="Q573" t="str">
        <x:v>b5f127826cb00a752f2986ef2591ece8a42d2339f0886b6f6a9d54572352614e</x:v>
      </x:c>
      <x:c r="R573" t="str">
        <x:v>976e7c56bb6d88056b274481293b921144108c1b0e0d23d032953246eec65fc9</x:v>
      </x:c>
      <x:c r="S573" t="n">
        <x:v>5</x:v>
      </x:c>
      <x:c r="T573" t="str">
        <x:v>2018-12-31|2019-12-31</x:v>
      </x:c>
      <x:c r="U573" s="57" t="n">
        <x:v>-353.8994928575184</x:v>
      </x:c>
      <x:c r="V573" s="57" t="n">
        <x:v>-1.1677248781315253</x:v>
      </x:c>
      <x:c r="W573"/>
      <x:c r="X573"/>
      <x:c r="Y573" s="38" t="n">
        <x:v>0.6409090909090909</x:v>
      </x:c>
      <x:c r="Z573" s="38" t="n">
        <x:v>0.7861719092432783</x:v>
      </x:c>
      <x:c r="AA573" t="str">
        <x:v>NON_POSITIVE_ENTERPRISE_VALUE|NON_POSITIVE_EQUITY_VALUE|NON_POSITIVE_TERMINAL_FCF</x:v>
      </x:c>
    </x:row>
    <x:row r="574">
      <x:c r="A574" s="54" t="n">
        <x:v>44196</x:v>
      </x:c>
      <x:c r="B574" t="n">
        <x:v>44196.624999988424</x:v>
      </x:c>
      <x:c r="C574" t="str">
        <x:v>204620</x:v>
      </x:c>
      <x:c r="D574" t="str">
        <x:v>글로벌텍스프리</x:v>
      </x:c>
      <x:c r="E574" t="str">
        <x:v>KOSDAQ</x:v>
      </x:c>
      <x:c r="F574" t="str">
        <x:v>LARGE</x:v>
      </x:c>
      <x:c r="G574" t="str">
        <x:v>ELIGIBLE</x:v>
      </x:c>
      <x:c r="H574"/>
      <x:c r="I574" s="54" t="n">
        <x:v>44195</x:v>
      </x:c>
      <x:c r="J574" s="55" t="n">
        <x:v>3135</x:v>
      </x:c>
      <x:c r="K574" s="55" t="n">
        <x:v>121623387765</x:v>
      </x:c>
      <x:c r="L574" s="55" t="n">
        <x:v>38795339</x:v>
      </x:c>
      <x:c r="M574" t="str">
        <x:v>20200330001582</x:v>
      </x:c>
      <x:c r="N574" t="n">
        <x:v>43920.624999988424</x:v>
      </x:c>
      <x:c r="O574" s="54" t="n">
        <x:v>43830</x:v>
      </x:c>
      <x:c r="P574" t="str">
        <x:v>False</x:v>
      </x:c>
      <x:c r="Q574" t="str">
        <x:v>c3e3032eb52f1f75571ce48df740b3c28136cf7ecc540e0f08878ab35f680172</x:v>
      </x:c>
      <x:c r="R574" t="str">
        <x:v>a08b6628c319e5f148c97c1d70353771cefb45473c0b6aebeb3c566f9e403af8</x:v>
      </x:c>
      <x:c r="S574" t="n">
        <x:v>7</x:v>
      </x:c>
      <x:c r="T574" t="str">
        <x:v>2018-12-31|2019-12-31</x:v>
      </x:c>
      <x:c r="U574" s="57" t="n">
        <x:v>3486.825674188218</x:v>
      </x:c>
      <x:c r="V574" s="57" t="n">
        <x:v>0.11222509543483822</x:v>
      </x:c>
      <x:c r="W574" t="n">
        <x:v>13</x:v>
      </x:c>
      <x:c r="X574" t="n">
        <x:v>1</x:v>
      </x:c>
      <x:c r="Y574" s="38" t="n">
        <x:v>0.6409090909090909</x:v>
      </x:c>
      <x:c r="Z574" s="38" t="n">
        <x:v>0.7182330048545312</x:v>
      </x:c>
      <x:c r="AA574"/>
    </x:row>
    <x:row r="575">
      <x:c r="A575" s="54" t="n">
        <x:v>44196</x:v>
      </x:c>
      <x:c r="B575" t="n">
        <x:v>44196.624999988424</x:v>
      </x:c>
      <x:c r="C575" t="str">
        <x:v>445090</x:v>
      </x:c>
      <x:c r="D575" t="str">
        <x:v>에이직랜드</x:v>
      </x:c>
      <x:c r="E575" t="str">
        <x:v>KOSDAQ</x:v>
      </x:c>
      <x:c r="F575" t="str">
        <x:v>LARGE</x:v>
      </x:c>
      <x:c r="G575" t="str">
        <x:v>NOT_LISTED_OR_NO_PRICE</x:v>
      </x:c>
      <x:c r="H575"/>
      <x:c r="I575" s="54"/>
      <x:c r="J575" s="55"/>
      <x:c r="K575" s="55"/>
      <x:c r="L575" s="55"/>
      <x:c r="M575"/>
      <x:c r="N575"/>
      <x:c r="O575" s="54"/>
      <x:c r="P575"/>
      <x:c r="Q575"/>
      <x:c r="R575"/>
      <x:c r="S575"/>
      <x:c r="T575"/>
      <x:c r="U575" s="57"/>
      <x:c r="V575" s="57"/>
      <x:c r="W575"/>
      <x:c r="X575"/>
      <x:c r="Y575" s="38"/>
      <x:c r="Z575" s="38"/>
      <x:c r="AA575"/>
    </x:row>
    <x:row r="576">
      <x:c r="A576" s="54" t="n">
        <x:v>44196</x:v>
      </x:c>
      <x:c r="B576" t="n">
        <x:v>44196.624999988424</x:v>
      </x:c>
      <x:c r="C576" t="str">
        <x:v>115450</x:v>
      </x:c>
      <x:c r="D576" t="str">
        <x:v>HLB테라퓨틱스</x:v>
      </x:c>
      <x:c r="E576" t="str">
        <x:v>KOSDAQ</x:v>
      </x:c>
      <x:c r="F576" t="str">
        <x:v>LARGE</x:v>
      </x:c>
      <x:c r="G576" t="str">
        <x:v>DCF_SCREENING_EXCLUSION</x:v>
      </x:c>
      <x:c r="H576" t="str">
        <x:v>NON_POSITIVE_ENTERPRISE_VALUE|NON_POSITIVE_EQUITY_VALUE|NON_POSITIVE_TERMINAL_FCF</x:v>
      </x:c>
      <x:c r="I576" s="54" t="n">
        <x:v>44195</x:v>
      </x:c>
      <x:c r="J576" s="55" t="n">
        <x:v>29200</x:v>
      </x:c>
      <x:c r="K576" s="55" t="n">
        <x:v>785752786400</x:v>
      </x:c>
      <x:c r="L576" s="55" t="n">
        <x:v>26909342</x:v>
      </x:c>
      <x:c r="M576" t="str">
        <x:v>20200327001512</x:v>
      </x:c>
      <x:c r="N576" t="n">
        <x:v>43917.624999988424</x:v>
      </x:c>
      <x:c r="O576" s="54" t="n">
        <x:v>43830</x:v>
      </x:c>
      <x:c r="P576" t="str">
        <x:v>False</x:v>
      </x:c>
      <x:c r="Q576" t="str">
        <x:v>c0c9b99c7c03017b2e0ccd1e13f7b9621e992265d92891993d3dbf47dab0bdc0</x:v>
      </x:c>
      <x:c r="R576" t="str">
        <x:v>e1098632bfc10fff006e977449a9a13edc8c315c03bd6387c45ce9a8cfff7cc1</x:v>
      </x:c>
      <x:c r="S576" t="n">
        <x:v>6</x:v>
      </x:c>
      <x:c r="T576" t="str">
        <x:v>2018-12-31|2019-12-31</x:v>
      </x:c>
      <x:c r="U576" s="57" t="n">
        <x:v>-4931.901245796493</x:v>
      </x:c>
      <x:c r="V576" s="57" t="n">
        <x:v>-1.1689007275957704</x:v>
      </x:c>
      <x:c r="W576"/>
      <x:c r="X576"/>
      <x:c r="Y576" s="38" t="n">
        <x:v>0.6409090909090909</x:v>
      </x:c>
      <x:c r="Z576" s="38" t="n">
        <x:v>0.6871569100901241</x:v>
      </x:c>
      <x:c r="AA576" t="str">
        <x:v>NON_POSITIVE_ENTERPRISE_VALUE|NON_POSITIVE_EQUITY_VALUE|NON_POSITIVE_TERMINAL_FCF</x:v>
      </x:c>
    </x:row>
    <x:row r="577">
      <x:c r="A577" s="54" t="n">
        <x:v>44196</x:v>
      </x:c>
      <x:c r="B577" t="n">
        <x:v>44196.624999988424</x:v>
      </x:c>
      <x:c r="C577" t="str">
        <x:v>035420</x:v>
      </x:c>
      <x:c r="D577" t="str">
        <x:v>NAVER</x:v>
      </x:c>
      <x:c r="E577" t="str">
        <x:v>KOSPI</x:v>
      </x:c>
      <x:c r="F577" t="str">
        <x:v>LARGE</x:v>
      </x:c>
      <x:c r="G577" t="str">
        <x:v>ELIGIBLE</x:v>
      </x:c>
      <x:c r="H577"/>
      <x:c r="I577" s="54" t="n">
        <x:v>44195</x:v>
      </x:c>
      <x:c r="J577" s="55" t="n">
        <x:v>292500</x:v>
      </x:c>
      <x:c r="K577" s="55" t="n">
        <x:v>48047043037500</x:v>
      </x:c>
      <x:c r="L577" s="55" t="n">
        <x:v>164263395</x:v>
      </x:c>
      <x:c r="M577" t="str">
        <x:v>20200330004603</x:v>
      </x:c>
      <x:c r="N577" t="n">
        <x:v>43920.624999988424</x:v>
      </x:c>
      <x:c r="O577" s="54" t="n">
        <x:v>43830</x:v>
      </x:c>
      <x:c r="P577" t="str">
        <x:v>False</x:v>
      </x:c>
      <x:c r="Q577" t="str">
        <x:v>7e12af29ea19a63f4ab4f811d45f6f6fd68cae289df20b942eb1245479e37a23</x:v>
      </x:c>
      <x:c r="R577" t="str">
        <x:v>aa863b7b51010cfbe2d4f4e5810c7cae4e483f1bbafb6edf3c4e5feebc68a7f2</x:v>
      </x:c>
      <x:c r="S577" t="n">
        <x:v>6</x:v>
      </x:c>
      <x:c r="T577" t="str">
        <x:v>2018-12-31|2019-12-31</x:v>
      </x:c>
      <x:c r="U577" s="57" t="n">
        <x:v>68752.18393116405</x:v>
      </x:c>
      <x:c r="V577" s="57" t="n">
        <x:v>-0.7649497985259349</x:v>
      </x:c>
      <x:c r="W577" t="n">
        <x:v>50</x:v>
      </x:c>
      <x:c r="X577" t="n">
        <x:v>4</x:v>
      </x:c>
      <x:c r="Y577" s="38" t="n">
        <x:v>0.6409090909090909</x:v>
      </x:c>
      <x:c r="Z577" s="38" t="n">
        <x:v>0.7489570591610162</x:v>
      </x:c>
      <x:c r="AA577"/>
    </x:row>
    <x:row r="578">
      <x:c r="A578" s="54" t="n">
        <x:v>44196</x:v>
      </x:c>
      <x:c r="B578" t="n">
        <x:v>44196.624999988424</x:v>
      </x:c>
      <x:c r="C578" t="str">
        <x:v>030200</x:v>
      </x:c>
      <x:c r="D578" t="str">
        <x:v>KT</x:v>
      </x:c>
      <x:c r="E578" t="str">
        <x:v>KOSPI</x:v>
      </x:c>
      <x:c r="F578" t="str">
        <x:v>LARGE</x:v>
      </x:c>
      <x:c r="G578" t="str">
        <x:v>ELIGIBLE</x:v>
      </x:c>
      <x:c r="H578"/>
      <x:c r="I578" s="54" t="n">
        <x:v>44195</x:v>
      </x:c>
      <x:c r="J578" s="55" t="n">
        <x:v>24000</x:v>
      </x:c>
      <x:c r="K578" s="55" t="n">
        <x:v>6266683392000</x:v>
      </x:c>
      <x:c r="L578" s="55" t="n">
        <x:v>261111808</x:v>
      </x:c>
      <x:c r="M578" t="str">
        <x:v>20200330004658</x:v>
      </x:c>
      <x:c r="N578" t="n">
        <x:v>43920.624999988424</x:v>
      </x:c>
      <x:c r="O578" s="54" t="n">
        <x:v>43830</x:v>
      </x:c>
      <x:c r="P578" t="str">
        <x:v>False</x:v>
      </x:c>
      <x:c r="Q578" t="str">
        <x:v>411a42a1090839d40d451defa74d8c561057f03ccf876c255129e032d9ad1f77</x:v>
      </x:c>
      <x:c r="R578" t="str">
        <x:v>f6e6a8d2313c55b57e8d8f83fd27a802541d6721ca23f2530804690fbdd5f9cf</x:v>
      </x:c>
      <x:c r="S578" t="n">
        <x:v>6</x:v>
      </x:c>
      <x:c r="T578" t="str">
        <x:v>2018-12-31|2019-12-31</x:v>
      </x:c>
      <x:c r="U578" s="57" t="n">
        <x:v>44351.92750450468</x:v>
      </x:c>
      <x:c r="V578" s="57" t="n">
        <x:v>0.8479969793543618</x:v>
      </x:c>
      <x:c r="W578" t="n">
        <x:v>8</x:v>
      </x:c>
      <x:c r="X578" t="n">
        <x:v>1</x:v>
      </x:c>
      <x:c r="Y578" s="38" t="n">
        <x:v>0.6409090909090909</x:v>
      </x:c>
      <x:c r="Z578" s="38" t="n">
        <x:v>0.7124511639379508</x:v>
      </x:c>
      <x:c r="AA578"/>
    </x:row>
    <x:row r="579">
      <x:c r="A579" s="54" t="n">
        <x:v>44196</x:v>
      </x:c>
      <x:c r="B579" t="n">
        <x:v>44196.624999988424</x:v>
      </x:c>
      <x:c r="C579" t="str">
        <x:v>018260</x:v>
      </x:c>
      <x:c r="D579" t="str">
        <x:v>삼성에스디에스</x:v>
      </x:c>
      <x:c r="E579" t="str">
        <x:v>KOSPI</x:v>
      </x:c>
      <x:c r="F579" t="str">
        <x:v>LARGE</x:v>
      </x:c>
      <x:c r="G579" t="str">
        <x:v>ELIGIBLE</x:v>
      </x:c>
      <x:c r="H579"/>
      <x:c r="I579" s="54" t="n">
        <x:v>44195</x:v>
      </x:c>
      <x:c r="J579" s="55" t="n">
        <x:v>178500</x:v>
      </x:c>
      <x:c r="K579" s="55" t="n">
        <x:v>13811937300000</x:v>
      </x:c>
      <x:c r="L579" s="55" t="n">
        <x:v>77377800</x:v>
      </x:c>
      <x:c r="M579" t="str">
        <x:v>20200330004186</x:v>
      </x:c>
      <x:c r="N579" t="n">
        <x:v>43920.624999988424</x:v>
      </x:c>
      <x:c r="O579" s="54" t="n">
        <x:v>43830</x:v>
      </x:c>
      <x:c r="P579" t="str">
        <x:v>False</x:v>
      </x:c>
      <x:c r="Q579" t="str">
        <x:v>cd32295c56019ec510face1ff2a3719f4b2c2a2520185f3633d5c26c11ae04d0</x:v>
      </x:c>
      <x:c r="R579" t="str">
        <x:v>7e0894f632d59624dd50e8b6a583a5760a0e54f3392107b2865def257d6904cd</x:v>
      </x:c>
      <x:c r="S579" t="n">
        <x:v>6</x:v>
      </x:c>
      <x:c r="T579" t="str">
        <x:v>2018-12-31|2019-12-31</x:v>
      </x:c>
      <x:c r="U579" s="57" t="n">
        <x:v>133355.7495652602</x:v>
      </x:c>
      <x:c r="V579" s="57" t="n">
        <x:v>-0.25290896602095125</x:v>
      </x:c>
      <x:c r="W579" t="n">
        <x:v>23</x:v>
      </x:c>
      <x:c r="X579" t="n">
        <x:v>2</x:v>
      </x:c>
      <x:c r="Y579" s="38" t="n">
        <x:v>0.6409090909090909</x:v>
      </x:c>
      <x:c r="Z579" s="38" t="n">
        <x:v>0.7032158233120083</x:v>
      </x:c>
      <x:c r="AA579"/>
    </x:row>
    <x:row r="580">
      <x:c r="A580" s="54" t="n">
        <x:v>44196</x:v>
      </x:c>
      <x:c r="B580" t="n">
        <x:v>44196.624999988424</x:v>
      </x:c>
      <x:c r="C580" t="str">
        <x:v>090430</x:v>
      </x:c>
      <x:c r="D580" t="str">
        <x:v>아모레퍼시픽</x:v>
      </x:c>
      <x:c r="E580" t="str">
        <x:v>KOSPI</x:v>
      </x:c>
      <x:c r="F580" t="str">
        <x:v>LARGE</x:v>
      </x:c>
      <x:c r="G580" t="str">
        <x:v>ELIGIBLE</x:v>
      </x:c>
      <x:c r="H580"/>
      <x:c r="I580" s="54" t="n">
        <x:v>44195</x:v>
      </x:c>
      <x:c r="J580" s="55" t="n">
        <x:v>206000</x:v>
      </x:c>
      <x:c r="K580" s="55" t="n">
        <x:v>12042448940000</x:v>
      </x:c>
      <x:c r="L580" s="55" t="n">
        <x:v>58458490</x:v>
      </x:c>
      <x:c r="M580" t="str">
        <x:v>20200429000691</x:v>
      </x:c>
      <x:c r="N580" t="n">
        <x:v>43950.624999988424</x:v>
      </x:c>
      <x:c r="O580" s="54" t="n">
        <x:v>43830</x:v>
      </x:c>
      <x:c r="P580" t="str">
        <x:v>True</x:v>
      </x:c>
      <x:c r="Q580" t="str">
        <x:v>fb17ecc132c7a420a1071246484146020133d3480a6ec2ff2a7324a39fe69192</x:v>
      </x:c>
      <x:c r="R580" t="str">
        <x:v>a068a5eb81bee9458a1b9ec7138b3e54fe84ca9261b8cc30c5ab8656df8746ee</x:v>
      </x:c>
      <x:c r="S580" t="n">
        <x:v>6</x:v>
      </x:c>
      <x:c r="T580" t="str">
        <x:v>2018-12-31|2019-12-31</x:v>
      </x:c>
      <x:c r="U580" s="57" t="n">
        <x:v>60382.664823435625</x:v>
      </x:c>
      <x:c r="V580" s="57" t="n">
        <x:v>-0.7068802678473999</x:v>
      </x:c>
      <x:c r="W580" t="n">
        <x:v>42</x:v>
      </x:c>
      <x:c r="X580" t="n">
        <x:v>4</x:v>
      </x:c>
      <x:c r="Y580" s="38" t="n">
        <x:v>0.6409090909090909</x:v>
      </x:c>
      <x:c r="Z580" s="38" t="n">
        <x:v>0.7238800972045121</x:v>
      </x:c>
      <x:c r="AA580"/>
    </x:row>
    <x:row r="581">
      <x:c r="A581" s="54" t="n">
        <x:v>44196</x:v>
      </x:c>
      <x:c r="B581" t="n">
        <x:v>44196.624999988424</x:v>
      </x:c>
      <x:c r="C581" t="str">
        <x:v>278470</x:v>
      </x:c>
      <x:c r="D581" t="str">
        <x:v>에이피알</x:v>
      </x:c>
      <x:c r="E581" t="str">
        <x:v>KOSPI</x:v>
      </x:c>
      <x:c r="F581" t="str">
        <x:v>LARGE</x:v>
      </x:c>
      <x:c r="G581" t="str">
        <x:v>NOT_LISTED_OR_NO_PRICE</x:v>
      </x:c>
      <x:c r="H581"/>
      <x:c r="I581" s="54"/>
      <x:c r="J581" s="55"/>
      <x:c r="K581" s="55"/>
      <x:c r="L581" s="55"/>
      <x:c r="M581"/>
      <x:c r="N581"/>
      <x:c r="O581" s="54"/>
      <x:c r="P581"/>
      <x:c r="Q581"/>
      <x:c r="R581"/>
      <x:c r="S581"/>
      <x:c r="T581"/>
      <x:c r="U581" s="57"/>
      <x:c r="V581" s="57"/>
      <x:c r="W581"/>
      <x:c r="X581"/>
      <x:c r="Y581" s="38"/>
      <x:c r="Z581" s="38"/>
      <x:c r="AA581"/>
    </x:row>
    <x:row r="582">
      <x:c r="A582" s="54" t="n">
        <x:v>44196</x:v>
      </x:c>
      <x:c r="B582" t="n">
        <x:v>44196.624999988424</x:v>
      </x:c>
      <x:c r="C582" t="str">
        <x:v>006260</x:v>
      </x:c>
      <x:c r="D582" t="str">
        <x:v>LS</x:v>
      </x:c>
      <x:c r="E582" t="str">
        <x:v>KOSPI</x:v>
      </x:c>
      <x:c r="F582" t="str">
        <x:v>LARGE</x:v>
      </x:c>
      <x:c r="G582" t="str">
        <x:v>ELIGIBLE</x:v>
      </x:c>
      <x:c r="H582"/>
      <x:c r="I582" s="54" t="n">
        <x:v>44195</x:v>
      </x:c>
      <x:c r="J582" s="55" t="n">
        <x:v>71400</x:v>
      </x:c>
      <x:c r="K582" s="55" t="n">
        <x:v>2299080000000</x:v>
      </x:c>
      <x:c r="L582" s="55" t="n">
        <x:v>32200000</x:v>
      </x:c>
      <x:c r="M582" t="str">
        <x:v>20200330004547</x:v>
      </x:c>
      <x:c r="N582" t="n">
        <x:v>43920.624999988424</x:v>
      </x:c>
      <x:c r="O582" s="54" t="n">
        <x:v>43830</x:v>
      </x:c>
      <x:c r="P582" t="str">
        <x:v>False</x:v>
      </x:c>
      <x:c r="Q582" t="str">
        <x:v>0ec196d1f084a76a238c047092ac2d6371f5eea1abfb4c1d732f0360c9db31a5</x:v>
      </x:c>
      <x:c r="R582" t="str">
        <x:v>fedfeb662682b5b893212e59ad5d62d201af782924c5f09cab8d15fa1c991c15</x:v>
      </x:c>
      <x:c r="S582" t="n">
        <x:v>6</x:v>
      </x:c>
      <x:c r="T582" t="str">
        <x:v>2018-12-31|2019-12-31</x:v>
      </x:c>
      <x:c r="U582" s="57" t="n">
        <x:v>55207.39311864186</x:v>
      </x:c>
      <x:c r="V582" s="57" t="n">
        <x:v>-0.2267872112235033</x:v>
      </x:c>
      <x:c r="W582" t="n">
        <x:v>20</x:v>
      </x:c>
      <x:c r="X582" t="n">
        <x:v>2</x:v>
      </x:c>
      <x:c r="Y582" s="38" t="n">
        <x:v>0.6409090909090909</x:v>
      </x:c>
      <x:c r="Z582" s="38" t="n">
        <x:v>0.7297769121142873</x:v>
      </x:c>
      <x:c r="AA582"/>
    </x:row>
    <x:row r="583">
      <x:c r="A583" s="54" t="n">
        <x:v>44196</x:v>
      </x:c>
      <x:c r="B583" t="n">
        <x:v>44196.624999988424</x:v>
      </x:c>
      <x:c r="C583" t="str">
        <x:v>454910</x:v>
      </x:c>
      <x:c r="D583" t="str">
        <x:v>두산로보틱스</x:v>
      </x:c>
      <x:c r="E583" t="str">
        <x:v>KOSPI</x:v>
      </x:c>
      <x:c r="F583" t="str">
        <x:v>LARGE</x:v>
      </x:c>
      <x:c r="G583" t="str">
        <x:v>NOT_LISTED_OR_NO_PRICE</x:v>
      </x:c>
      <x:c r="H583"/>
      <x:c r="I583" s="54"/>
      <x:c r="J583" s="55"/>
      <x:c r="K583" s="55"/>
      <x:c r="L583" s="55"/>
      <x:c r="M583"/>
      <x:c r="N583"/>
      <x:c r="O583" s="54"/>
      <x:c r="P583"/>
      <x:c r="Q583"/>
      <x:c r="R583"/>
      <x:c r="S583"/>
      <x:c r="T583"/>
      <x:c r="U583" s="57"/>
      <x:c r="V583" s="57"/>
      <x:c r="W583"/>
      <x:c r="X583"/>
      <x:c r="Y583" s="38"/>
      <x:c r="Z583" s="38"/>
      <x:c r="AA583"/>
    </x:row>
    <x:row r="584">
      <x:c r="A584" s="54" t="n">
        <x:v>44196</x:v>
      </x:c>
      <x:c r="B584" t="n">
        <x:v>44196.624999988424</x:v>
      </x:c>
      <x:c r="C584" t="str">
        <x:v>012750</x:v>
      </x:c>
      <x:c r="D584" t="str">
        <x:v>에스원</x:v>
      </x:c>
      <x:c r="E584" t="str">
        <x:v>KOSPI</x:v>
      </x:c>
      <x:c r="F584" t="str">
        <x:v>LARGE</x:v>
      </x:c>
      <x:c r="G584" t="str">
        <x:v>ELIGIBLE</x:v>
      </x:c>
      <x:c r="H584"/>
      <x:c r="I584" s="54" t="n">
        <x:v>44195</x:v>
      </x:c>
      <x:c r="J584" s="55" t="n">
        <x:v>85000</x:v>
      </x:c>
      <x:c r="K584" s="55" t="n">
        <x:v>3229930130000</x:v>
      </x:c>
      <x:c r="L584" s="55" t="n">
        <x:v>37999178</x:v>
      </x:c>
      <x:c r="M584" t="str">
        <x:v>20200330003830</x:v>
      </x:c>
      <x:c r="N584" t="n">
        <x:v>43920.624999988424</x:v>
      </x:c>
      <x:c r="O584" s="54" t="n">
        <x:v>43830</x:v>
      </x:c>
      <x:c r="P584" t="str">
        <x:v>False</x:v>
      </x:c>
      <x:c r="Q584" t="str">
        <x:v>403c4aaed611f6f197feee5127fc49d53c8243ad428a5b9153f1491619efbb7b</x:v>
      </x:c>
      <x:c r="R584" t="str">
        <x:v>f0c2234c7275e7b9583bedcb918a3cf27fd40d6b21f0f0a07bc6454547a0aacc</x:v>
      </x:c>
      <x:c r="S584" t="n">
        <x:v>6</x:v>
      </x:c>
      <x:c r="T584" t="str">
        <x:v>2018-12-31|2019-12-31</x:v>
      </x:c>
      <x:c r="U584" s="57" t="n">
        <x:v>48920.81603703547</x:v>
      </x:c>
      <x:c r="V584" s="57" t="n">
        <x:v>-0.42446098779958275</x:v>
      </x:c>
      <x:c r="W584" t="n">
        <x:v>28</x:v>
      </x:c>
      <x:c r="X584" t="n">
        <x:v>3</x:v>
      </x:c>
      <x:c r="Y584" s="38" t="n">
        <x:v>0.6409090909090909</x:v>
      </x:c>
      <x:c r="Z584" s="38" t="n">
        <x:v>0.7122128124289423</x:v>
      </x:c>
      <x:c r="AA584"/>
    </x:row>
    <x:row r="585">
      <x:c r="A585" s="54" t="n">
        <x:v>44196</x:v>
      </x:c>
      <x:c r="B585" t="n">
        <x:v>44196.624999988424</x:v>
      </x:c>
      <x:c r="C585" t="str">
        <x:v>081660</x:v>
      </x:c>
      <x:c r="D585" t="str">
        <x:v>미스토홀딩스</x:v>
      </x:c>
      <x:c r="E585" t="str">
        <x:v>KOSPI</x:v>
      </x:c>
      <x:c r="F585" t="str">
        <x:v>LARGE</x:v>
      </x:c>
      <x:c r="G585" t="str">
        <x:v>EXCLUDED_ARCHETYPE</x:v>
      </x:c>
      <x:c r="H585" t="str">
        <x:v>FCFF_NOT_COMPARABLE_FOR_FINANCE_OR_HOLDING_HINT</x:v>
      </x:c>
      <x:c r="I585" s="54"/>
      <x:c r="J585" s="55"/>
      <x:c r="K585" s="55"/>
      <x:c r="L585" s="55"/>
      <x:c r="M585"/>
      <x:c r="N585"/>
      <x:c r="O585" s="54"/>
      <x:c r="P585"/>
      <x:c r="Q585"/>
      <x:c r="R585"/>
      <x:c r="S585"/>
      <x:c r="T585"/>
      <x:c r="U585" s="57"/>
      <x:c r="V585" s="57"/>
      <x:c r="W585"/>
      <x:c r="X585"/>
      <x:c r="Y585" s="38"/>
      <x:c r="Z585" s="38"/>
      <x:c r="AA585"/>
    </x:row>
    <x:row r="586">
      <x:c r="A586" s="54" t="n">
        <x:v>44196</x:v>
      </x:c>
      <x:c r="B586" t="n">
        <x:v>44196.624999988424</x:v>
      </x:c>
      <x:c r="C586" t="str">
        <x:v>282330</x:v>
      </x:c>
      <x:c r="D586" t="str">
        <x:v>BGF리테일</x:v>
      </x:c>
      <x:c r="E586" t="str">
        <x:v>KOSPI</x:v>
      </x:c>
      <x:c r="F586" t="str">
        <x:v>LARGE</x:v>
      </x:c>
      <x:c r="G586" t="str">
        <x:v>ELIGIBLE</x:v>
      </x:c>
      <x:c r="H586"/>
      <x:c r="I586" s="54" t="n">
        <x:v>44195</x:v>
      </x:c>
      <x:c r="J586" s="55" t="n">
        <x:v>135500</x:v>
      </x:c>
      <x:c r="K586" s="55" t="n">
        <x:v>2341969263000</x:v>
      </x:c>
      <x:c r="L586" s="55" t="n">
        <x:v>17283906</x:v>
      </x:c>
      <x:c r="M586" t="str">
        <x:v>20200330003848</x:v>
      </x:c>
      <x:c r="N586" t="n">
        <x:v>43920.624999988424</x:v>
      </x:c>
      <x:c r="O586" s="54" t="n">
        <x:v>43830</x:v>
      </x:c>
      <x:c r="P586" t="str">
        <x:v>False</x:v>
      </x:c>
      <x:c r="Q586" t="str">
        <x:v>789faf2a7a91e08b88b2843fd828db6f98905720ed29ad59cfc78668f2c840cc</x:v>
      </x:c>
      <x:c r="R586" t="str">
        <x:v>14007ce1d2d9f1bec784fc2b4b58a31493ae1d7bcc5d4c8a3481f96832a78c25</x:v>
      </x:c>
      <x:c r="S586" t="n">
        <x:v>6</x:v>
      </x:c>
      <x:c r="T586" t="str">
        <x:v>2018-12-31|2019-12-31</x:v>
      </x:c>
      <x:c r="U586" s="57" t="n">
        <x:v>76583.33050148396</x:v>
      </x:c>
      <x:c r="V586" s="57" t="n">
        <x:v>-0.4348093689927383</x:v>
      </x:c>
      <x:c r="W586" t="n">
        <x:v>29</x:v>
      </x:c>
      <x:c r="X586" t="n">
        <x:v>3</x:v>
      </x:c>
      <x:c r="Y586" s="38" t="n">
        <x:v>0.6409090909090909</x:v>
      </x:c>
      <x:c r="Z586" s="38" t="n">
        <x:v>0.7017224672267075</x:v>
      </x:c>
      <x:c r="AA586"/>
    </x:row>
    <x:row r="587">
      <x:c r="A587" s="54" t="n">
        <x:v>44196</x:v>
      </x:c>
      <x:c r="B587" t="n">
        <x:v>44196.624999988424</x:v>
      </x:c>
      <x:c r="C587" t="str">
        <x:v>023590</x:v>
      </x:c>
      <x:c r="D587" t="str">
        <x:v>다우기술</x:v>
      </x:c>
      <x:c r="E587" t="str">
        <x:v>KOSPI</x:v>
      </x:c>
      <x:c r="F587" t="str">
        <x:v>LARGE</x:v>
      </x:c>
      <x:c r="G587" t="str">
        <x:v>DCF_SCREENING_EXCLUSION</x:v>
      </x:c>
      <x:c r="H587" t="str">
        <x:v>NON_POSITIVE_EQUITY_VALUE</x:v>
      </x:c>
      <x:c r="I587" s="54" t="n">
        <x:v>44195</x:v>
      </x:c>
      <x:c r="J587" s="55" t="n">
        <x:v>21900</x:v>
      </x:c>
      <x:c r="K587" s="55" t="n">
        <x:v>982578912300</x:v>
      </x:c>
      <x:c r="L587" s="55" t="n">
        <x:v>44866617</x:v>
      </x:c>
      <x:c r="M587" t="str">
        <x:v>20200330004643</x:v>
      </x:c>
      <x:c r="N587" t="n">
        <x:v>43920.624999988424</x:v>
      </x:c>
      <x:c r="O587" s="54" t="n">
        <x:v>43830</x:v>
      </x:c>
      <x:c r="P587" t="str">
        <x:v>False</x:v>
      </x:c>
      <x:c r="Q587" t="str">
        <x:v>2141ccc71183cf5f6c11d701e37ca529ebfbfe796a6b25b4d5cdba72ef13c08d</x:v>
      </x:c>
      <x:c r="R587" t="str">
        <x:v>8c4dc3ef7094456ee8503c7b9a0cac48c4ca2a29876ed6566312a134a1969762</x:v>
      </x:c>
      <x:c r="S587" t="n">
        <x:v>7</x:v>
      </x:c>
      <x:c r="T587" t="str">
        <x:v>2018-12-31|2019-12-31</x:v>
      </x:c>
      <x:c r="U587" s="57" t="n">
        <x:v>-30236.949757827184</x:v>
      </x:c>
      <x:c r="V587" s="57" t="n">
        <x:v>-2.380682637343707</x:v>
      </x:c>
      <x:c r="W587"/>
      <x:c r="X587"/>
      <x:c r="Y587" s="38" t="n">
        <x:v>0.6409090909090909</x:v>
      </x:c>
      <x:c r="Z587" s="38" t="n">
        <x:v>0.7074953251162477</x:v>
      </x:c>
      <x:c r="AA587" t="str">
        <x:v>NON_POSITIVE_EQUITY_VALUE</x:v>
      </x:c>
    </x:row>
    <x:row r="588">
      <x:c r="A588" s="54" t="n">
        <x:v>44196</x:v>
      </x:c>
      <x:c r="B588" t="n">
        <x:v>44196.624999988424</x:v>
      </x:c>
      <x:c r="C588" t="str">
        <x:v>300720</x:v>
      </x:c>
      <x:c r="D588" t="str">
        <x:v>한일시멘트</x:v>
      </x:c>
      <x:c r="E588" t="str">
        <x:v>KOSPI</x:v>
      </x:c>
      <x:c r="F588" t="str">
        <x:v>LARGE</x:v>
      </x:c>
      <x:c r="G588" t="str">
        <x:v>ELIGIBLE</x:v>
      </x:c>
      <x:c r="H588"/>
      <x:c r="I588" s="54" t="n">
        <x:v>44195</x:v>
      </x:c>
      <x:c r="J588" s="55" t="n">
        <x:v>105000</x:v>
      </x:c>
      <x:c r="K588" s="55" t="n">
        <x:v>727246170000</x:v>
      </x:c>
      <x:c r="L588" s="55" t="n">
        <x:v>6926154</x:v>
      </x:c>
      <x:c r="M588" t="str">
        <x:v>20200401002489</x:v>
      </x:c>
      <x:c r="N588" t="n">
        <x:v>43922.624999988424</x:v>
      </x:c>
      <x:c r="O588" s="54" t="n">
        <x:v>43830</x:v>
      </x:c>
      <x:c r="P588" t="str">
        <x:v>True</x:v>
      </x:c>
      <x:c r="Q588" t="str">
        <x:v>3735e5a95e1437cbc0270ecde44fbc086a8d87f920ba017edbabf56a3cdfd2c2</x:v>
      </x:c>
      <x:c r="R588" t="str">
        <x:v>938c293f9d2f9672355ea2288258abbded4fa14bf9376fe87e41baeea56ae5f8</x:v>
      </x:c>
      <x:c r="S588" t="n">
        <x:v>6</x:v>
      </x:c>
      <x:c r="T588" t="str">
        <x:v>2019-12-31</x:v>
      </x:c>
      <x:c r="U588" s="57" t="n">
        <x:v>81500.55011627405</x:v>
      </x:c>
      <x:c r="V588" s="57" t="n">
        <x:v>-0.2238042846069138</x:v>
      </x:c>
      <x:c r="W588" t="n">
        <x:v>19</x:v>
      </x:c>
      <x:c r="X588" t="n">
        <x:v>2</x:v>
      </x:c>
      <x:c r="Y588" s="38" t="n">
        <x:v>0.6409090909090909</x:v>
      </x:c>
      <x:c r="Z588" s="38" t="n">
        <x:v>0.7013426708992583</x:v>
      </x:c>
      <x:c r="AA588"/>
    </x:row>
    <x:row r="589">
      <x:c r="A589" s="54" t="n">
        <x:v>44196</x:v>
      </x:c>
      <x:c r="B589" t="n">
        <x:v>44196.624999988424</x:v>
      </x:c>
      <x:c r="C589" t="str">
        <x:v>007070</x:v>
      </x:c>
      <x:c r="D589" t="str">
        <x:v>GS리테일</x:v>
      </x:c>
      <x:c r="E589" t="str">
        <x:v>KOSPI</x:v>
      </x:c>
      <x:c r="F589" t="str">
        <x:v>LARGE</x:v>
      </x:c>
      <x:c r="G589" t="str">
        <x:v>ELIGIBLE</x:v>
      </x:c>
      <x:c r="H589"/>
      <x:c r="I589" s="54" t="n">
        <x:v>44195</x:v>
      </x:c>
      <x:c r="J589" s="55" t="n">
        <x:v>34450</x:v>
      </x:c>
      <x:c r="K589" s="55" t="n">
        <x:v>2652650000000</x:v>
      </x:c>
      <x:c r="L589" s="55" t="n">
        <x:v>77000000</x:v>
      </x:c>
      <x:c r="M589" t="str">
        <x:v>20200512000554</x:v>
      </x:c>
      <x:c r="N589" t="n">
        <x:v>43963.624999988424</x:v>
      </x:c>
      <x:c r="O589" s="54" t="n">
        <x:v>43830</x:v>
      </x:c>
      <x:c r="P589" t="str">
        <x:v>True</x:v>
      </x:c>
      <x:c r="Q589" t="str">
        <x:v>07c7c59b42311e98ac5e8e15e032091ce21d33190fb5086c52f067a2b4de44d2</x:v>
      </x:c>
      <x:c r="R589" t="str">
        <x:v>ecb2f0ea4273e5ac4d323780ab2b5919b7761a2d98b17372e21827a47d59eca1</x:v>
      </x:c>
      <x:c r="S589" t="n">
        <x:v>5</x:v>
      </x:c>
      <x:c r="T589" t="str">
        <x:v>2018-12-31|2019-12-31</x:v>
      </x:c>
      <x:c r="U589" s="57" t="n">
        <x:v>15170.912532063267</x:v>
      </x:c>
      <x:c r="V589" s="57" t="n">
        <x:v>-0.5596251804916323</x:v>
      </x:c>
      <x:c r="W589" t="n">
        <x:v>34</x:v>
      </x:c>
      <x:c r="X589" t="n">
        <x:v>3</x:v>
      </x:c>
      <x:c r="Y589" s="38" t="n">
        <x:v>0.6409090909090909</x:v>
      </x:c>
      <x:c r="Z589" s="38" t="n">
        <x:v>0.6752491604821305</x:v>
      </x:c>
      <x:c r="AA589"/>
    </x:row>
    <x:row r="590">
      <x:c r="A590" s="54" t="n">
        <x:v>44196</x:v>
      </x:c>
      <x:c r="B590" t="n">
        <x:v>44196.624999988424</x:v>
      </x:c>
      <x:c r="C590" t="str">
        <x:v>280360</x:v>
      </x:c>
      <x:c r="D590" t="str">
        <x:v>롯데웰푸드</x:v>
      </x:c>
      <x:c r="E590" t="str">
        <x:v>KOSPI</x:v>
      </x:c>
      <x:c r="F590" t="str">
        <x:v>LARGE</x:v>
      </x:c>
      <x:c r="G590" t="str">
        <x:v>ELIGIBLE</x:v>
      </x:c>
      <x:c r="H590"/>
      <x:c r="I590" s="54" t="n">
        <x:v>44195</x:v>
      </x:c>
      <x:c r="J590" s="55" t="n">
        <x:v>102000</x:v>
      </x:c>
      <x:c r="K590" s="55" t="n">
        <x:v>654505134000</x:v>
      </x:c>
      <x:c r="L590" s="55" t="n">
        <x:v>6416717</x:v>
      </x:c>
      <x:c r="M590" t="str">
        <x:v>20200330004070</x:v>
      </x:c>
      <x:c r="N590" t="n">
        <x:v>43920.624999988424</x:v>
      </x:c>
      <x:c r="O590" s="54" t="n">
        <x:v>43830</x:v>
      </x:c>
      <x:c r="P590" t="str">
        <x:v>False</x:v>
      </x:c>
      <x:c r="Q590" t="str">
        <x:v>f49b6c0c20ff0684447f15f101d49d1e47ad1510e992e5ff7bd83f1cbd36cb91</x:v>
      </x:c>
      <x:c r="R590" t="str">
        <x:v>40005f91daca10fc3c2b36dd94092130e9ecdc5b20f68462816a735c814fa45b</x:v>
      </x:c>
      <x:c r="S590" t="n">
        <x:v>5</x:v>
      </x:c>
      <x:c r="T590" t="str">
        <x:v>2018-12-31|2019-12-31</x:v>
      </x:c>
      <x:c r="U590" s="57" t="n">
        <x:v>330137.22375057806</x:v>
      </x:c>
      <x:c r="V590" s="57" t="n">
        <x:v>2.236639448535079</x:v>
      </x:c>
      <x:c r="W590" t="n">
        <x:v>3</x:v>
      </x:c>
      <x:c r="X590" t="n">
        <x:v>1</x:v>
      </x:c>
      <x:c r="Y590" s="38" t="n">
        <x:v>0.6409090909090909</x:v>
      </x:c>
      <x:c r="Z590" s="38" t="n">
        <x:v>0.7429356110829911</x:v>
      </x:c>
      <x:c r="AA590"/>
    </x:row>
    <x:row r="591">
      <x:c r="A591" s="54" t="n">
        <x:v>44196</x:v>
      </x:c>
      <x:c r="B591" t="n">
        <x:v>44196.624999988424</x:v>
      </x:c>
      <x:c r="C591" t="str">
        <x:v>039130</x:v>
      </x:c>
      <x:c r="D591" t="str">
        <x:v>하나투어</x:v>
      </x:c>
      <x:c r="E591" t="str">
        <x:v>KOSPI</x:v>
      </x:c>
      <x:c r="F591" t="str">
        <x:v>LARGE</x:v>
      </x:c>
      <x:c r="G591" t="str">
        <x:v>DCF_SCREENING_EXCLUSION</x:v>
      </x:c>
      <x:c r="H591" t="str">
        <x:v>NON_POSITIVE_EQUITY_VALUE</x:v>
      </x:c>
      <x:c r="I591" s="54" t="n">
        <x:v>44195</x:v>
      </x:c>
      <x:c r="J591" s="55" t="n">
        <x:v>56000</x:v>
      </x:c>
      <x:c r="K591" s="55" t="n">
        <x:v>780594360000</x:v>
      </x:c>
      <x:c r="L591" s="55" t="n">
        <x:v>13939185</x:v>
      </x:c>
      <x:c r="M591" t="str">
        <x:v>20200330002664</x:v>
      </x:c>
      <x:c r="N591" t="n">
        <x:v>43920.624999988424</x:v>
      </x:c>
      <x:c r="O591" s="54" t="n">
        <x:v>43830</x:v>
      </x:c>
      <x:c r="P591" t="str">
        <x:v>False</x:v>
      </x:c>
      <x:c r="Q591" t="str">
        <x:v>fbe751059989d62ca8f4f7478e672785cff95737f635cf3e78e1833343d2658b</x:v>
      </x:c>
      <x:c r="R591" t="str">
        <x:v>a37625ffb3f594ef74475b89b8d6a51a35605e2e1d18560e49b3e0e6549208e4</x:v>
      </x:c>
      <x:c r="S591" t="n">
        <x:v>5</x:v>
      </x:c>
      <x:c r="T591" t="str">
        <x:v>2018-12-31|2019-12-31</x:v>
      </x:c>
      <x:c r="U591" s="57" t="n">
        <x:v>-14937.544681896548</x:v>
      </x:c>
      <x:c r="V591" s="57" t="n">
        <x:v>-1.266741869319581</x:v>
      </x:c>
      <x:c r="W591"/>
      <x:c r="X591"/>
      <x:c r="Y591" s="38" t="n">
        <x:v>0.6409090909090909</x:v>
      </x:c>
      <x:c r="Z591" s="38" t="n">
        <x:v>0.6865240790654953</x:v>
      </x:c>
      <x:c r="AA591" t="str">
        <x:v>NON_POSITIVE_EQUITY_VALUE</x:v>
      </x:c>
    </x:row>
    <x:row r="592">
      <x:c r="A592" s="54" t="n">
        <x:v>44196</x:v>
      </x:c>
      <x:c r="B592" t="n">
        <x:v>44196.624999988424</x:v>
      </x:c>
      <x:c r="C592" t="str">
        <x:v>005690</x:v>
      </x:c>
      <x:c r="D592" t="str">
        <x:v>파미셀</x:v>
      </x:c>
      <x:c r="E592" t="str">
        <x:v>KOSPI</x:v>
      </x:c>
      <x:c r="F592" t="str">
        <x:v>LARGE</x:v>
      </x:c>
      <x:c r="G592" t="str">
        <x:v>DCF_SCREENING_EXCLUSION</x:v>
      </x:c>
      <x:c r="H592" t="str">
        <x:v>NON_POSITIVE_ENTERPRISE_VALUE|NON_POSITIVE_TERMINAL_FCF</x:v>
      </x:c>
      <x:c r="I592" s="54" t="n">
        <x:v>44195</x:v>
      </x:c>
      <x:c r="J592" s="55" t="n">
        <x:v>17300</x:v>
      </x:c>
      <x:c r="K592" s="55" t="n">
        <x:v>1037289835000</x:v>
      </x:c>
      <x:c r="L592" s="55" t="n">
        <x:v>59958950</x:v>
      </x:c>
      <x:c r="M592" t="str">
        <x:v>20200330004368</x:v>
      </x:c>
      <x:c r="N592" t="n">
        <x:v>43920.624999988424</x:v>
      </x:c>
      <x:c r="O592" s="54" t="n">
        <x:v>43830</x:v>
      </x:c>
      <x:c r="P592" t="str">
        <x:v>False</x:v>
      </x:c>
      <x:c r="Q592" t="str">
        <x:v>bfcc085538d0dda9438b3fc945e9299777a5a3bf4af27e167faf8ac8f363954e</x:v>
      </x:c>
      <x:c r="R592" t="str">
        <x:v>eb3eebdb03d8dcb54137662ae290b73052fa7c43cb22fef18a7b9e1113c65bea</x:v>
      </x:c>
      <x:c r="S592" t="n">
        <x:v>6</x:v>
      </x:c>
      <x:c r="T592" t="str">
        <x:v>2018-12-31|2019-12-31</x:v>
      </x:c>
      <x:c r="U592" s="57" t="n">
        <x:v>75.33653788615449</x:v>
      </x:c>
      <x:c r="V592" s="57" t="n">
        <x:v>-0.99564528682739</x:v>
      </x:c>
      <x:c r="W592"/>
      <x:c r="X592"/>
      <x:c r="Y592" s="38" t="n">
        <x:v>0.6409090909090909</x:v>
      </x:c>
      <x:c r="Z592" s="38" t="n">
        <x:v>0.5858711725692298</x:v>
      </x:c>
      <x:c r="AA592" t="str">
        <x:v>NON_POSITIVE_ENTERPRISE_VALUE|NON_POSITIVE_TERMINAL_FCF</x:v>
      </x:c>
    </x:row>
    <x:row r="593">
      <x:c r="A593" s="54" t="n">
        <x:v>44196</x:v>
      </x:c>
      <x:c r="B593" t="n">
        <x:v>44196.624999988424</x:v>
      </x:c>
      <x:c r="C593" t="str">
        <x:v>002030</x:v>
      </x:c>
      <x:c r="D593" t="str">
        <x:v>아세아</x:v>
      </x:c>
      <x:c r="E593" t="str">
        <x:v>KOSPI</x:v>
      </x:c>
      <x:c r="F593" t="str">
        <x:v>LARGE</x:v>
      </x:c>
      <x:c r="G593" t="str">
        <x:v>ELIGIBLE</x:v>
      </x:c>
      <x:c r="H593"/>
      <x:c r="I593" s="54" t="n">
        <x:v>44195</x:v>
      </x:c>
      <x:c r="J593" s="55" t="n">
        <x:v>90500</x:v>
      </x:c>
      <x:c r="K593" s="55" t="n">
        <x:v>198287672000</x:v>
      </x:c>
      <x:c r="L593" s="55" t="n">
        <x:v>2191024</x:v>
      </x:c>
      <x:c r="M593" t="str">
        <x:v>20200330004716</x:v>
      </x:c>
      <x:c r="N593" t="n">
        <x:v>43920.624999988424</x:v>
      </x:c>
      <x:c r="O593" s="54" t="n">
        <x:v>43830</x:v>
      </x:c>
      <x:c r="P593" t="str">
        <x:v>False</x:v>
      </x:c>
      <x:c r="Q593" t="str">
        <x:v>8e6c1c7d3fef97f129cd30373d0f84183b8125c1e47c44c23fbf9ca80abd0bb4</x:v>
      </x:c>
      <x:c r="R593" t="str">
        <x:v>36c2ce2a210a189504f3a476df367cb0ec6d1c508b6806944f1a26ee8a267c02</x:v>
      </x:c>
      <x:c r="S593" t="n">
        <x:v>6</x:v>
      </x:c>
      <x:c r="T593" t="str">
        <x:v>2018-12-31|2019-12-31</x:v>
      </x:c>
      <x:c r="U593" s="57" t="n">
        <x:v>506948.9154582979</x:v>
      </x:c>
      <x:c r="V593" s="57" t="n">
        <x:v>4.6016454746773245</x:v>
      </x:c>
      <x:c r="W593" t="n">
        <x:v>2</x:v>
      </x:c>
      <x:c r="X593" t="n">
        <x:v>1</x:v>
      </x:c>
      <x:c r="Y593" s="38" t="n">
        <x:v>0.6409090909090909</x:v>
      </x:c>
      <x:c r="Z593" s="38" t="n">
        <x:v>0.6790236450854973</x:v>
      </x:c>
      <x:c r="AA593"/>
    </x:row>
    <x:row r="594">
      <x:c r="A594" s="54" t="n">
        <x:v>44196</x:v>
      </x:c>
      <x:c r="B594" t="n">
        <x:v>44196.624999988424</x:v>
      </x:c>
      <x:c r="C594" t="str">
        <x:v>009410</x:v>
      </x:c>
      <x:c r="D594" t="str">
        <x:v>태영건설</x:v>
      </x:c>
      <x:c r="E594" t="str">
        <x:v>KOSPI</x:v>
      </x:c>
      <x:c r="F594" t="str">
        <x:v>LARGE</x:v>
      </x:c>
      <x:c r="G594" t="str">
        <x:v>ELIGIBLE</x:v>
      </x:c>
      <x:c r="H594"/>
      <x:c r="I594" s="54" t="n">
        <x:v>44195</x:v>
      </x:c>
      <x:c r="J594" s="55" t="n">
        <x:v>11800</x:v>
      </x:c>
      <x:c r="K594" s="55" t="n">
        <x:v>459009356400</x:v>
      </x:c>
      <x:c r="L594" s="55" t="n">
        <x:v>38899098</x:v>
      </x:c>
      <x:c r="M594" t="str">
        <x:v>20200330003911</x:v>
      </x:c>
      <x:c r="N594" t="n">
        <x:v>43920.624999988424</x:v>
      </x:c>
      <x:c r="O594" s="54" t="n">
        <x:v>43830</x:v>
      </x:c>
      <x:c r="P594" t="str">
        <x:v>False</x:v>
      </x:c>
      <x:c r="Q594" t="str">
        <x:v>1447c7502e035cd4deff36d3d9312df24e301a5a48ea1ebbba9d611d0f917a21</x:v>
      </x:c>
      <x:c r="R594" t="str">
        <x:v>a13ffe9a3c7db90d4c6ac6b110415d85fc9fde7ace4b09440c8dba9a08634efa</x:v>
      </x:c>
      <x:c r="S594" t="n">
        <x:v>6</x:v>
      </x:c>
      <x:c r="T594" t="str">
        <x:v>2018-12-31|2019-12-31</x:v>
      </x:c>
      <x:c r="U594" s="57" t="n">
        <x:v>78873.79704935633</x:v>
      </x:c>
      <x:c r="V594" s="57" t="n">
        <x:v>5.684220088928503</x:v>
      </x:c>
      <x:c r="W594" t="n">
        <x:v>1</x:v>
      </x:c>
      <x:c r="X594" t="n">
        <x:v>1</x:v>
      </x:c>
      <x:c r="Y594" s="38" t="n">
        <x:v>0.6409090909090909</x:v>
      </x:c>
      <x:c r="Z594" s="38" t="n">
        <x:v>0.7132993121748787</x:v>
      </x:c>
      <x:c r="AA594"/>
    </x:row>
    <x:row r="595">
      <x:c r="A595" s="54" t="n">
        <x:v>44196</x:v>
      </x:c>
      <x:c r="B595" t="n">
        <x:v>44196.624999988424</x:v>
      </x:c>
      <x:c r="C595" t="str">
        <x:v>010780</x:v>
      </x:c>
      <x:c r="D595" t="str">
        <x:v>아이에스동서</x:v>
      </x:c>
      <x:c r="E595" t="str">
        <x:v>KOSPI</x:v>
      </x:c>
      <x:c r="F595" t="str">
        <x:v>LARGE</x:v>
      </x:c>
      <x:c r="G595" t="str">
        <x:v>ELIGIBLE</x:v>
      </x:c>
      <x:c r="H595"/>
      <x:c r="I595" s="54" t="n">
        <x:v>44195</x:v>
      </x:c>
      <x:c r="J595" s="55" t="n">
        <x:v>53400</x:v>
      </x:c>
      <x:c r="K595" s="55" t="n">
        <x:v>1649665160400</x:v>
      </x:c>
      <x:c r="L595" s="55" t="n">
        <x:v>30892606</x:v>
      </x:c>
      <x:c r="M595" t="str">
        <x:v>20200330004452</x:v>
      </x:c>
      <x:c r="N595" t="n">
        <x:v>43920.624999988424</x:v>
      </x:c>
      <x:c r="O595" s="54" t="n">
        <x:v>43830</x:v>
      </x:c>
      <x:c r="P595" t="str">
        <x:v>False</x:v>
      </x:c>
      <x:c r="Q595" t="str">
        <x:v>9f1492ed6c55e8b05f4c7f5a45a1d2fe155f138dd2b8ab11cd6bff4abe56d5c7</x:v>
      </x:c>
      <x:c r="R595" t="str">
        <x:v>fbe8c69f3f39d7af7a7669cbf92bc5363cdc63a9e378e143711d437883d2c467</x:v>
      </x:c>
      <x:c r="S595" t="n">
        <x:v>6</x:v>
      </x:c>
      <x:c r="T595" t="str">
        <x:v>2018-12-31|2019-12-31</x:v>
      </x:c>
      <x:c r="U595" s="57" t="n">
        <x:v>24992.20993951776</x:v>
      </x:c>
      <x:c r="V595" s="57" t="n">
        <x:v>-0.5319810872749483</x:v>
      </x:c>
      <x:c r="W595" t="n">
        <x:v>32</x:v>
      </x:c>
      <x:c r="X595" t="n">
        <x:v>3</x:v>
      </x:c>
      <x:c r="Y595" s="38" t="n">
        <x:v>0.6409090909090909</x:v>
      </x:c>
      <x:c r="Z595" s="38" t="n">
        <x:v>0.7064734758802966</x:v>
      </x:c>
      <x:c r="AA595"/>
    </x:row>
    <x:row r="596">
      <x:c r="A596" s="54" t="n">
        <x:v>44196</x:v>
      </x:c>
      <x:c r="B596" t="n">
        <x:v>44196.624999988424</x:v>
      </x:c>
      <x:c r="C596" t="str">
        <x:v>453340</x:v>
      </x:c>
      <x:c r="D596" t="str">
        <x:v>현대그린푸드</x:v>
      </x:c>
      <x:c r="E596" t="str">
        <x:v>KOSPI</x:v>
      </x:c>
      <x:c r="F596" t="str">
        <x:v>LARGE</x:v>
      </x:c>
      <x:c r="G596" t="str">
        <x:v>NOT_LISTED_OR_NO_PRICE</x:v>
      </x:c>
      <x:c r="H596"/>
      <x:c r="I596" s="54"/>
      <x:c r="J596" s="55"/>
      <x:c r="K596" s="55"/>
      <x:c r="L596" s="55"/>
      <x:c r="M596"/>
      <x:c r="N596"/>
      <x:c r="O596" s="54"/>
      <x:c r="P596"/>
      <x:c r="Q596"/>
      <x:c r="R596"/>
      <x:c r="S596"/>
      <x:c r="T596"/>
      <x:c r="U596" s="57"/>
      <x:c r="V596" s="57"/>
      <x:c r="W596"/>
      <x:c r="X596"/>
      <x:c r="Y596" s="38"/>
      <x:c r="Z596" s="38"/>
      <x:c r="AA596"/>
    </x:row>
    <x:row r="597">
      <x:c r="A597" s="54" t="n">
        <x:v>44196</x:v>
      </x:c>
      <x:c r="B597" t="n">
        <x:v>44196.624999988424</x:v>
      </x:c>
      <x:c r="C597" t="str">
        <x:v>006220</x:v>
      </x:c>
      <x:c r="D597" t="str">
        <x:v>제주은행</x:v>
      </x:c>
      <x:c r="E597" t="str">
        <x:v>KOSPI</x:v>
      </x:c>
      <x:c r="F597" t="str">
        <x:v>LARGE</x:v>
      </x:c>
      <x:c r="G597" t="str">
        <x:v>EXCLUDED_ARCHETYPE</x:v>
      </x:c>
      <x:c r="H597" t="str">
        <x:v>FCFF_NOT_COMPARABLE_FOR_FINANCE_OR_HOLDING_HINT</x:v>
      </x:c>
      <x:c r="I597" s="54"/>
      <x:c r="J597" s="55"/>
      <x:c r="K597" s="55"/>
      <x:c r="L597" s="55"/>
      <x:c r="M597"/>
      <x:c r="N597"/>
      <x:c r="O597" s="54"/>
      <x:c r="P597"/>
      <x:c r="Q597"/>
      <x:c r="R597"/>
      <x:c r="S597"/>
      <x:c r="T597"/>
      <x:c r="U597" s="57"/>
      <x:c r="V597" s="57"/>
      <x:c r="W597"/>
      <x:c r="X597"/>
      <x:c r="Y597" s="38"/>
      <x:c r="Z597" s="38"/>
      <x:c r="AA597"/>
    </x:row>
    <x:row r="598">
      <x:c r="A598" s="54" t="n">
        <x:v>44196</x:v>
      </x:c>
      <x:c r="B598" t="n">
        <x:v>44196.624999988424</x:v>
      </x:c>
      <x:c r="C598" t="str">
        <x:v>094800</x:v>
      </x:c>
      <x:c r="D598" t="str">
        <x:v>맵스리얼티1</x:v>
      </x:c>
      <x:c r="E598" t="str">
        <x:v>KOSPI</x:v>
      </x:c>
      <x:c r="F598" t="str">
        <x:v>LARGE</x:v>
      </x:c>
      <x:c r="G598" t="str">
        <x:v>NO_PIT_FINANCIALS</x:v>
      </x:c>
      <x:c r="H598"/>
      <x:c r="I598" s="54" t="n">
        <x:v>44195</x:v>
      </x:c>
      <x:c r="J598" s="55" t="n">
        <x:v>3995</x:v>
      </x:c>
      <x:c r="K598" s="55" t="n">
        <x:v>370873152345</x:v>
      </x:c>
      <x:c r="L598" s="55" t="n">
        <x:v>92834331</x:v>
      </x:c>
      <x:c r="M598"/>
      <x:c r="N598"/>
      <x:c r="O598" s="54"/>
      <x:c r="P598"/>
      <x:c r="Q598"/>
      <x:c r="R598"/>
      <x:c r="S598"/>
      <x:c r="T598"/>
      <x:c r="U598" s="57"/>
      <x:c r="V598" s="57"/>
      <x:c r="W598"/>
      <x:c r="X598"/>
      <x:c r="Y598" s="38"/>
      <x:c r="Z598" s="38"/>
      <x:c r="AA598"/>
    </x:row>
    <x:row r="599">
      <x:c r="A599" s="54" t="n">
        <x:v>44196</x:v>
      </x:c>
      <x:c r="B599" t="n">
        <x:v>44196.624999988424</x:v>
      </x:c>
      <x:c r="C599" t="str">
        <x:v>003160</x:v>
      </x:c>
      <x:c r="D599" t="str">
        <x:v>디아이</x:v>
      </x:c>
      <x:c r="E599" t="str">
        <x:v>KOSPI</x:v>
      </x:c>
      <x:c r="F599" t="str">
        <x:v>LARGE</x:v>
      </x:c>
      <x:c r="G599" t="str">
        <x:v>DCF_SCREENING_EXCLUSION</x:v>
      </x:c>
      <x:c r="H599" t="str">
        <x:v>NON_POSITIVE_ENTERPRISE_VALUE|NON_POSITIVE_EQUITY_VALUE|NON_POSITIVE_TERMINAL_FCF</x:v>
      </x:c>
      <x:c r="I599" s="54" t="n">
        <x:v>44195</x:v>
      </x:c>
      <x:c r="J599" s="55" t="n">
        <x:v>4775</x:v>
      </x:c>
      <x:c r="K599" s="55" t="n">
        <x:v>150397148375</x:v>
      </x:c>
      <x:c r="L599" s="55" t="n">
        <x:v>31496785</x:v>
      </x:c>
      <x:c r="M599" t="str">
        <x:v>20200330003463</x:v>
      </x:c>
      <x:c r="N599" t="n">
        <x:v>43920.624999988424</x:v>
      </x:c>
      <x:c r="O599" s="54" t="n">
        <x:v>43830</x:v>
      </x:c>
      <x:c r="P599" t="str">
        <x:v>False</x:v>
      </x:c>
      <x:c r="Q599" t="str">
        <x:v>2c9d26a13fb91a7897133f5d4181ea50b14f29018bdea81421148d222d049e90</x:v>
      </x:c>
      <x:c r="R599" t="str">
        <x:v>950ea701b3bd25d531df2e7f61c753710e6726cf120fcfb0505eea39b55f555f</x:v>
      </x:c>
      <x:c r="S599" t="n">
        <x:v>6</x:v>
      </x:c>
      <x:c r="T599" t="str">
        <x:v>2018-12-31|2019-12-31</x:v>
      </x:c>
      <x:c r="U599" s="57" t="n">
        <x:v>-1228.0531534836705</x:v>
      </x:c>
      <x:c r="V599" s="57" t="n">
        <x:v>-1.257183906488727</x:v>
      </x:c>
      <x:c r="W599"/>
      <x:c r="X599"/>
      <x:c r="Y599" s="38" t="n">
        <x:v>0.6409090909090909</x:v>
      </x:c>
      <x:c r="Z599" s="38" t="n">
        <x:v>0.5343254520509092</x:v>
      </x:c>
      <x:c r="AA599" t="str">
        <x:v>NON_POSITIVE_ENTERPRISE_VALUE|NON_POSITIVE_EQUITY_VALUE|NON_POSITIVE_TERMINAL_FCF</x:v>
      </x:c>
    </x:row>
    <x:row r="600">
      <x:c r="A600" s="54" t="n">
        <x:v>44196</x:v>
      </x:c>
      <x:c r="B600" t="n">
        <x:v>44196.624999988424</x:v>
      </x:c>
      <x:c r="C600" t="str">
        <x:v>001940</x:v>
      </x:c>
      <x:c r="D600" t="str">
        <x:v>KISCO홀딩스</x:v>
      </x:c>
      <x:c r="E600" t="str">
        <x:v>KOSPI</x:v>
      </x:c>
      <x:c r="F600" t="str">
        <x:v>LARGE</x:v>
      </x:c>
      <x:c r="G600" t="str">
        <x:v>EXCLUDED_ARCHETYPE</x:v>
      </x:c>
      <x:c r="H600" t="str">
        <x:v>FCFF_NOT_COMPARABLE_FOR_FINANCE_OR_HOLDING_HINT</x:v>
      </x:c>
      <x:c r="I600" s="54"/>
      <x:c r="J600" s="55"/>
      <x:c r="K600" s="55"/>
      <x:c r="L600" s="55"/>
      <x:c r="M600"/>
      <x:c r="N600"/>
      <x:c r="O600" s="54"/>
      <x:c r="P600"/>
      <x:c r="Q600"/>
      <x:c r="R600"/>
      <x:c r="S600"/>
      <x:c r="T600"/>
      <x:c r="U600" s="57"/>
      <x:c r="V600" s="57"/>
      <x:c r="W600"/>
      <x:c r="X600"/>
      <x:c r="Y600" s="38"/>
      <x:c r="Z600" s="38"/>
      <x:c r="AA600"/>
    </x:row>
    <x:row r="601">
      <x:c r="A601" s="54" t="n">
        <x:v>44196</x:v>
      </x:c>
      <x:c r="B601" t="n">
        <x:v>44196.624999988424</x:v>
      </x:c>
      <x:c r="C601" t="str">
        <x:v>009290</x:v>
      </x:c>
      <x:c r="D601" t="str">
        <x:v>광동제약</x:v>
      </x:c>
      <x:c r="E601" t="str">
        <x:v>KOSPI</x:v>
      </x:c>
      <x:c r="F601" t="str">
        <x:v>LARGE</x:v>
      </x:c>
      <x:c r="G601" t="str">
        <x:v>ELIGIBLE</x:v>
      </x:c>
      <x:c r="H601"/>
      <x:c r="I601" s="54" t="n">
        <x:v>44195</x:v>
      </x:c>
      <x:c r="J601" s="55" t="n">
        <x:v>10250</x:v>
      </x:c>
      <x:c r="K601" s="55" t="n">
        <x:v>537313722750</x:v>
      </x:c>
      <x:c r="L601" s="55" t="n">
        <x:v>52420851</x:v>
      </x:c>
      <x:c r="M601" t="str">
        <x:v>20200330002372</x:v>
      </x:c>
      <x:c r="N601" t="n">
        <x:v>43920.624999988424</x:v>
      </x:c>
      <x:c r="O601" s="54" t="n">
        <x:v>43830</x:v>
      </x:c>
      <x:c r="P601" t="str">
        <x:v>False</x:v>
      </x:c>
      <x:c r="Q601" t="str">
        <x:v>a12d7ccdb27c289d6b06e61d33b23da31b8c0ea8af860870017a08baecb958d7</x:v>
      </x:c>
      <x:c r="R601" t="str">
        <x:v>3e58c327a845a3a4c23f9f84fbb8c83e24d1ad92468bbcd7c9dc2c86f66658f3</x:v>
      </x:c>
      <x:c r="S601" t="n">
        <x:v>6</x:v>
      </x:c>
      <x:c r="T601" t="str">
        <x:v>2018-12-31|2019-12-31</x:v>
      </x:c>
      <x:c r="U601" s="57" t="n">
        <x:v>5510.422302971301</x:v>
      </x:c>
      <x:c r="V601" s="57" t="n">
        <x:v>-0.46239782410036084</x:v>
      </x:c>
      <x:c r="W601" t="n">
        <x:v>31</x:v>
      </x:c>
      <x:c r="X601" t="n">
        <x:v>3</x:v>
      </x:c>
      <x:c r="Y601" s="38" t="n">
        <x:v>0.6409090909090909</x:v>
      </x:c>
      <x:c r="Z601" s="38" t="n">
        <x:v>0.7188634599914384</x:v>
      </x:c>
      <x:c r="AA601"/>
    </x:row>
    <x:row r="602">
      <x:c r="A602" s="54" t="n">
        <x:v>44286</x:v>
      </x:c>
      <x:c r="B602" t="n">
        <x:v>44286.624999988424</x:v>
      </x:c>
      <x:c r="C602" t="str">
        <x:v>168330</x:v>
      </x:c>
      <x:c r="D602" t="str">
        <x:v>내츄럴엔도텍</x:v>
      </x:c>
      <x:c r="E602" t="str">
        <x:v>KOSDAQ</x:v>
      </x:c>
      <x:c r="F602" t="str">
        <x:v>SMALL</x:v>
      </x:c>
      <x:c r="G602" t="str">
        <x:v>DCF_SCREENING_EXCLUSION</x:v>
      </x:c>
      <x:c r="H602" t="str">
        <x:v>NON_POSITIVE_ENTERPRISE_VALUE|NON_POSITIVE_EQUITY_VALUE|NON_POSITIVE_TERMINAL_FCF</x:v>
      </x:c>
      <x:c r="I602" s="54" t="n">
        <x:v>44286</x:v>
      </x:c>
      <x:c r="J602" s="55" t="n">
        <x:v>2525</x:v>
      </x:c>
      <x:c r="K602" s="55" t="n">
        <x:v>52181200550</x:v>
      </x:c>
      <x:c r="L602" s="55" t="n">
        <x:v>20665822</x:v>
      </x:c>
      <x:c r="M602" t="str">
        <x:v>20210303000280</x:v>
      </x:c>
      <x:c r="N602" t="n">
        <x:v>44258.624999988424</x:v>
      </x:c>
      <x:c r="O602" s="54" t="n">
        <x:v>44196</x:v>
      </x:c>
      <x:c r="P602" t="str">
        <x:v>False</x:v>
      </x:c>
      <x:c r="Q602" t="str">
        <x:v>12f6d395c0e4b1b8f425dcaa44cdc4180e5de60af484fd89e630977f15ab3f94</x:v>
      </x:c>
      <x:c r="R602" t="str">
        <x:v>ebe0fbf72d88fe7fc52cacc68d69c2d42eb3b0e9bd705b3702023f6c356cfeb3</x:v>
      </x:c>
      <x:c r="S602" t="n">
        <x:v>6</x:v>
      </x:c>
      <x:c r="T602" t="str">
        <x:v>2018-12-31|2019-12-31|2020-12-31</x:v>
      </x:c>
      <x:c r="U602" s="57" t="n">
        <x:v>-2775.566079259259</x:v>
      </x:c>
      <x:c r="V602" s="57" t="n">
        <x:v>-2.099234090795746</x:v>
      </x:c>
      <x:c r="W602"/>
      <x:c r="X602"/>
      <x:c r="Y602" s="38" t="n">
        <x:v>0.6409090909090909</x:v>
      </x:c>
      <x:c r="Z602" s="38" t="n">
        <x:v>0.7104871108598526</x:v>
      </x:c>
      <x:c r="AA602" t="str">
        <x:v>NON_POSITIVE_ENTERPRISE_VALUE|NON_POSITIVE_EQUITY_VALUE|NON_POSITIVE_TERMINAL_FCF</x:v>
      </x:c>
    </x:row>
    <x:row r="603">
      <x:c r="A603" s="54" t="n">
        <x:v>44286</x:v>
      </x:c>
      <x:c r="B603" t="n">
        <x:v>44286.624999988424</x:v>
      </x:c>
      <x:c r="C603" t="str">
        <x:v>120240</x:v>
      </x:c>
      <x:c r="D603" t="str">
        <x:v>대정화금</x:v>
      </x:c>
      <x:c r="E603" t="str">
        <x:v>KOSDAQ</x:v>
      </x:c>
      <x:c r="F603" t="str">
        <x:v>SMALL</x:v>
      </x:c>
      <x:c r="G603" t="str">
        <x:v>ELIGIBLE</x:v>
      </x:c>
      <x:c r="H603"/>
      <x:c r="I603" s="54" t="n">
        <x:v>44286</x:v>
      </x:c>
      <x:c r="J603" s="55" t="n">
        <x:v>25600</x:v>
      </x:c>
      <x:c r="K603" s="55" t="n">
        <x:v>184074009600</x:v>
      </x:c>
      <x:c r="L603" s="55" t="n">
        <x:v>7190391</x:v>
      </x:c>
      <x:c r="M603" t="str">
        <x:v>20210317000302</x:v>
      </x:c>
      <x:c r="N603" t="n">
        <x:v>44272.624999988424</x:v>
      </x:c>
      <x:c r="O603" s="54" t="n">
        <x:v>44196</x:v>
      </x:c>
      <x:c r="P603" t="str">
        <x:v>False</x:v>
      </x:c>
      <x:c r="Q603" t="str">
        <x:v>79ea1097aa607227b98a7a32e6dd80c1d5fbd37a9488ebb72f6587a882384460</x:v>
      </x:c>
      <x:c r="R603" t="str">
        <x:v>e8a0c6d1ef5fd661a02144f028419a8ba978bcafe2ce5c299aefae98596c795e</x:v>
      </x:c>
      <x:c r="S603" t="n">
        <x:v>7</x:v>
      </x:c>
      <x:c r="T603" t="str">
        <x:v>2018-12-31|2019-12-31|2020-12-31</x:v>
      </x:c>
      <x:c r="U603" s="57" t="n">
        <x:v>5007.145691336183</x:v>
      </x:c>
      <x:c r="V603" s="57" t="n">
        <x:v>-0.8044083714321804</x:v>
      </x:c>
      <x:c r="W603" t="n">
        <x:v>50</x:v>
      </x:c>
      <x:c r="X603" t="n">
        <x:v>5</x:v>
      </x:c>
      <x:c r="Y603" s="38" t="n">
        <x:v>0.6409090909090909</x:v>
      </x:c>
      <x:c r="Z603" s="38" t="n">
        <x:v>0.6314380977867342</x:v>
      </x:c>
      <x:c r="AA603"/>
    </x:row>
    <x:row r="604">
      <x:c r="A604" s="54" t="n">
        <x:v>44286</x:v>
      </x:c>
      <x:c r="B604" t="n">
        <x:v>44286.624999988424</x:v>
      </x:c>
      <x:c r="C604" t="str">
        <x:v>348350</x:v>
      </x:c>
      <x:c r="D604" t="str">
        <x:v>위드텍</x:v>
      </x:c>
      <x:c r="E604" t="str">
        <x:v>KOSDAQ</x:v>
      </x:c>
      <x:c r="F604" t="str">
        <x:v>SMALL</x:v>
      </x:c>
      <x:c r="G604" t="str">
        <x:v>ELIGIBLE</x:v>
      </x:c>
      <x:c r="H604"/>
      <x:c r="I604" s="54" t="n">
        <x:v>44286</x:v>
      </x:c>
      <x:c r="J604" s="55" t="n">
        <x:v>45950</x:v>
      </x:c>
      <x:c r="K604" s="55" t="n">
        <x:v>233968210000</x:v>
      </x:c>
      <x:c r="L604" s="55" t="n">
        <x:v>5091800</x:v>
      </x:c>
      <x:c r="M604" t="str">
        <x:v>20210318000566</x:v>
      </x:c>
      <x:c r="N604" t="n">
        <x:v>44273.624999988424</x:v>
      </x:c>
      <x:c r="O604" s="54" t="n">
        <x:v>44196</x:v>
      </x:c>
      <x:c r="P604" t="str">
        <x:v>False</x:v>
      </x:c>
      <x:c r="Q604" t="str">
        <x:v>ef77d72fcd4a365e95b6be9846d366d11a2f9ee03c72d882691e5300ec03a056</x:v>
      </x:c>
      <x:c r="R604" t="str">
        <x:v>35f1438d299f1113fe8669add4e885c78e17d05552fb887ce7f2635e77cbd3f0</x:v>
      </x:c>
      <x:c r="S604" t="n">
        <x:v>5</x:v>
      </x:c>
      <x:c r="T604" t="str">
        <x:v>2020-12-31</x:v>
      </x:c>
      <x:c r="U604" s="57" t="n">
        <x:v>17939.754428422246</x:v>
      </x:c>
      <x:c r="V604" s="57" t="n">
        <x:v>-0.6095809700016921</x:v>
      </x:c>
      <x:c r="W604" t="n">
        <x:v>37</x:v>
      </x:c>
      <x:c r="X604" t="n">
        <x:v>4</x:v>
      </x:c>
      <x:c r="Y604" s="38" t="n">
        <x:v>0.6409090909090909</x:v>
      </x:c>
      <x:c r="Z604" s="38" t="n">
        <x:v>0.6264850986190418</x:v>
      </x:c>
      <x:c r="AA604"/>
    </x:row>
    <x:row r="605">
      <x:c r="A605" s="54" t="n">
        <x:v>44286</x:v>
      </x:c>
      <x:c r="B605" t="n">
        <x:v>44286.624999988424</x:v>
      </x:c>
      <x:c r="C605" t="str">
        <x:v>226330</x:v>
      </x:c>
      <x:c r="D605" t="str">
        <x:v>신테카바이오</x:v>
      </x:c>
      <x:c r="E605" t="str">
        <x:v>KOSDAQ</x:v>
      </x:c>
      <x:c r="F605" t="str">
        <x:v>SMALL</x:v>
      </x:c>
      <x:c r="G605" t="str">
        <x:v>DCF_SCREENING_EXCLUSION</x:v>
      </x:c>
      <x:c r="H605" t="str">
        <x:v>NON_POSITIVE_ENTERPRISE_VALUE|NON_POSITIVE_TERMINAL_FCF</x:v>
      </x:c>
      <x:c r="I605" s="54" t="n">
        <x:v>44286</x:v>
      </x:c>
      <x:c r="J605" s="55" t="n">
        <x:v>16000</x:v>
      </x:c>
      <x:c r="K605" s="55" t="n">
        <x:v>214464256000</x:v>
      </x:c>
      <x:c r="L605" s="55" t="n">
        <x:v>13404016</x:v>
      </x:c>
      <x:c r="M605" t="str">
        <x:v>20210323001152</x:v>
      </x:c>
      <x:c r="N605" t="n">
        <x:v>44278.624999988424</x:v>
      </x:c>
      <x:c r="O605" s="54" t="n">
        <x:v>44196</x:v>
      </x:c>
      <x:c r="P605" t="str">
        <x:v>True</x:v>
      </x:c>
      <x:c r="Q605" t="str">
        <x:v>ce98964656906fc43fddc4803a6c6b19f9bf4a6688a10bee455a0a31893feceb</x:v>
      </x:c>
      <x:c r="R605" t="str">
        <x:v>2a6dbe07d20906809ea8e91ac560e7f862458f1cb005768b81cf0d00e616ad73</x:v>
      </x:c>
      <x:c r="S605" t="n">
        <x:v>5</x:v>
      </x:c>
      <x:c r="T605" t="str">
        <x:v>2019-12-31|2020-12-31</x:v>
      </x:c>
      <x:c r="U605" s="57" t="n">
        <x:v>76.86638646259958</x:v>
      </x:c>
      <x:c r="V605" s="57" t="n">
        <x:v>-0.9951958508460875</x:v>
      </x:c>
      <x:c r="W605"/>
      <x:c r="X605"/>
      <x:c r="Y605" s="38" t="n">
        <x:v>0.6409090909090909</x:v>
      </x:c>
      <x:c r="Z605" s="38" t="n">
        <x:v>0.6422566574366064</x:v>
      </x:c>
      <x:c r="AA605" t="str">
        <x:v>NON_POSITIVE_ENTERPRISE_VALUE|NON_POSITIVE_TERMINAL_FCF</x:v>
      </x:c>
    </x:row>
    <x:row r="606">
      <x:c r="A606" s="54" t="n">
        <x:v>44286</x:v>
      </x:c>
      <x:c r="B606" t="n">
        <x:v>44286.624999988424</x:v>
      </x:c>
      <x:c r="C606" t="str">
        <x:v>215090</x:v>
      </x:c>
      <x:c r="D606" t="str">
        <x:v>솔디펜스</x:v>
      </x:c>
      <x:c r="E606" t="str">
        <x:v>KOSDAQ</x:v>
      </x:c>
      <x:c r="F606" t="str">
        <x:v>SMALL</x:v>
      </x:c>
      <x:c r="G606" t="str">
        <x:v>DCF_SCREENING_EXCLUSION</x:v>
      </x:c>
      <x:c r="H606" t="str">
        <x:v>NON_POSITIVE_ENTERPRISE_VALUE|NON_POSITIVE_TERMINAL_FCF|UNRELIABLE_TERMINAL_VALUE_SHARE</x:v>
      </x:c>
      <x:c r="I606" s="54" t="n">
        <x:v>44286</x:v>
      </x:c>
      <x:c r="J606" s="55" t="n">
        <x:v>729</x:v>
      </x:c>
      <x:c r="K606" s="55" t="n">
        <x:v>44171347842</x:v>
      </x:c>
      <x:c r="L606" s="55" t="n">
        <x:v>60591698</x:v>
      </x:c>
      <x:c r="M606" t="str">
        <x:v>20210326001138</x:v>
      </x:c>
      <x:c r="N606" t="n">
        <x:v>44281.624999988424</x:v>
      </x:c>
      <x:c r="O606" s="54" t="n">
        <x:v>44196</x:v>
      </x:c>
      <x:c r="P606" t="str">
        <x:v>True</x:v>
      </x:c>
      <x:c r="Q606" t="str">
        <x:v>feae0fd579199192f0805a0b1fb81bf61c479b6c9f75105a850686de5a88a707</x:v>
      </x:c>
      <x:c r="R606" t="str">
        <x:v>f0f176e1fc63763432332de6850bd0b510a939831e8f177568a84756edefdb44</x:v>
      </x:c>
      <x:c r="S606" t="n">
        <x:v>6</x:v>
      </x:c>
      <x:c r="T606" t="str">
        <x:v>2018-12-31|2019-12-31|2020-12-31</x:v>
      </x:c>
      <x:c r="U606" s="57" t="n">
        <x:v>81.49177929801374</x:v>
      </x:c>
      <x:c r="V606" s="57" t="n">
        <x:v>-0.8882142945157562</x:v>
      </x:c>
      <x:c r="W606"/>
      <x:c r="X606"/>
      <x:c r="Y606" s="38" t="n">
        <x:v>0.6409090909090909</x:v>
      </x:c>
      <x:c r="Z606" s="38" t="n">
        <x:v>2.31170596304378</x:v>
      </x:c>
      <x:c r="AA606" t="str">
        <x:v>NON_POSITIVE_ENTERPRISE_VALUE|NON_POSITIVE_TERMINAL_FCF|UNRELIABLE_TERMINAL_VALUE_SHARE</x:v>
      </x:c>
    </x:row>
    <x:row r="607">
      <x:c r="A607" s="54" t="n">
        <x:v>44286</x:v>
      </x:c>
      <x:c r="B607" t="n">
        <x:v>44286.624999988424</x:v>
      </x:c>
      <x:c r="C607" t="str">
        <x:v>185490</x:v>
      </x:c>
      <x:c r="D607" t="str">
        <x:v>아이진</x:v>
      </x:c>
      <x:c r="E607" t="str">
        <x:v>KOSDAQ</x:v>
      </x:c>
      <x:c r="F607" t="str">
        <x:v>SMALL</x:v>
      </x:c>
      <x:c r="G607" t="str">
        <x:v>DCF_SCREENING_EXCLUSION</x:v>
      </x:c>
      <x:c r="H607" t="str">
        <x:v>NON_POSITIVE_ENTERPRISE_VALUE|NON_POSITIVE_EQUITY_VALUE|NON_POSITIVE_TERMINAL_FCF</x:v>
      </x:c>
      <x:c r="I607" s="54" t="n">
        <x:v>44286</x:v>
      </x:c>
      <x:c r="J607" s="55" t="n">
        <x:v>17100</x:v>
      </x:c>
      <x:c r="K607" s="55" t="n">
        <x:v>199542447900</x:v>
      </x:c>
      <x:c r="L607" s="55" t="n">
        <x:v>11669149</x:v>
      </x:c>
      <x:c r="M607" t="str">
        <x:v>20210317001158</x:v>
      </x:c>
      <x:c r="N607" t="n">
        <x:v>44272.624999988424</x:v>
      </x:c>
      <x:c r="O607" s="54" t="n">
        <x:v>44196</x:v>
      </x:c>
      <x:c r="P607" t="str">
        <x:v>False</x:v>
      </x:c>
      <x:c r="Q607" t="str">
        <x:v>1f6ef41eb9f6e1f3fb26fd580de5813e99811bb39698216bf1014950e152c7f7</x:v>
      </x:c>
      <x:c r="R607" t="str">
        <x:v>10106f93cdeefd800a507bc77dd147276dbe9841fbd405eed51f87205413b470</x:v>
      </x:c>
      <x:c r="S607" t="n">
        <x:v>5</x:v>
      </x:c>
      <x:c r="T607" t="str">
        <x:v>2018-12-31|2019-12-31|2020-12-31</x:v>
      </x:c>
      <x:c r="U607" s="57" t="n">
        <x:v>-873.0483334334109</x:v>
      </x:c>
      <x:c r="V607" s="57" t="n">
        <x:v>-1.0510554580955211</x:v>
      </x:c>
      <x:c r="W607"/>
      <x:c r="X607"/>
      <x:c r="Y607" s="38" t="n">
        <x:v>0.6409090909090909</x:v>
      </x:c>
      <x:c r="Z607" s="38" t="n">
        <x:v>0.6422566574366064</x:v>
      </x:c>
      <x:c r="AA607" t="str">
        <x:v>NON_POSITIVE_ENTERPRISE_VALUE|NON_POSITIVE_EQUITY_VALUE|NON_POSITIVE_TERMINAL_FCF</x:v>
      </x:c>
    </x:row>
    <x:row r="608">
      <x:c r="A608" s="54" t="n">
        <x:v>44286</x:v>
      </x:c>
      <x:c r="B608" t="n">
        <x:v>44286.624999988424</x:v>
      </x:c>
      <x:c r="C608" t="str">
        <x:v>333620</x:v>
      </x:c>
      <x:c r="D608" t="str">
        <x:v>엔시스</x:v>
      </x:c>
      <x:c r="E608" t="str">
        <x:v>KOSDAQ</x:v>
      </x:c>
      <x:c r="F608" t="str">
        <x:v>SMALL</x:v>
      </x:c>
      <x:c r="G608" t="str">
        <x:v>NOT_LISTED_OR_NO_PRICE</x:v>
      </x:c>
      <x:c r="H608"/>
      <x:c r="I608" s="54"/>
      <x:c r="J608" s="55"/>
      <x:c r="K608" s="55"/>
      <x:c r="L608" s="55"/>
      <x:c r="M608"/>
      <x:c r="N608"/>
      <x:c r="O608" s="54"/>
      <x:c r="P608"/>
      <x:c r="Q608"/>
      <x:c r="R608"/>
      <x:c r="S608"/>
      <x:c r="T608"/>
      <x:c r="U608" s="57"/>
      <x:c r="V608" s="57"/>
      <x:c r="W608"/>
      <x:c r="X608"/>
      <x:c r="Y608" s="38"/>
      <x:c r="Z608" s="38"/>
      <x:c r="AA608"/>
    </x:row>
    <x:row r="609">
      <x:c r="A609" s="54" t="n">
        <x:v>44286</x:v>
      </x:c>
      <x:c r="B609" t="n">
        <x:v>44286.624999988424</x:v>
      </x:c>
      <x:c r="C609" t="str">
        <x:v>036710</x:v>
      </x:c>
      <x:c r="D609" t="str">
        <x:v>심텍홀딩스</x:v>
      </x:c>
      <x:c r="E609" t="str">
        <x:v>KOSDAQ</x:v>
      </x:c>
      <x:c r="F609" t="str">
        <x:v>SMALL</x:v>
      </x:c>
      <x:c r="G609" t="str">
        <x:v>EXCLUDED_ARCHETYPE</x:v>
      </x:c>
      <x:c r="H609" t="str">
        <x:v>FCFF_NOT_COMPARABLE_FOR_FINANCE_OR_HOLDING_HINT</x:v>
      </x:c>
      <x:c r="I609" s="54"/>
      <x:c r="J609" s="55"/>
      <x:c r="K609" s="55"/>
      <x:c r="L609" s="55"/>
      <x:c r="M609"/>
      <x:c r="N609"/>
      <x:c r="O609" s="54"/>
      <x:c r="P609"/>
      <x:c r="Q609"/>
      <x:c r="R609"/>
      <x:c r="S609"/>
      <x:c r="T609"/>
      <x:c r="U609" s="57"/>
      <x:c r="V609" s="57"/>
      <x:c r="W609"/>
      <x:c r="X609"/>
      <x:c r="Y609" s="38"/>
      <x:c r="Z609" s="38"/>
      <x:c r="AA609"/>
    </x:row>
    <x:row r="610">
      <x:c r="A610" s="54" t="n">
        <x:v>44286</x:v>
      </x:c>
      <x:c r="B610" t="n">
        <x:v>44286.624999988424</x:v>
      </x:c>
      <x:c r="C610" t="str">
        <x:v>049480</x:v>
      </x:c>
      <x:c r="D610" t="str">
        <x:v>오픈베이스</x:v>
      </x:c>
      <x:c r="E610" t="str">
        <x:v>KOSDAQ</x:v>
      </x:c>
      <x:c r="F610" t="str">
        <x:v>SMALL</x:v>
      </x:c>
      <x:c r="G610" t="str">
        <x:v>ELIGIBLE</x:v>
      </x:c>
      <x:c r="H610"/>
      <x:c r="I610" s="54" t="n">
        <x:v>44286</x:v>
      </x:c>
      <x:c r="J610" s="55" t="n">
        <x:v>2920</x:v>
      </x:c>
      <x:c r="K610" s="55" t="n">
        <x:v>91753358360</x:v>
      </x:c>
      <x:c r="L610" s="55" t="n">
        <x:v>31422383</x:v>
      </x:c>
      <x:c r="M610" t="str">
        <x:v>20210331001149</x:v>
      </x:c>
      <x:c r="N610" t="n">
        <x:v>44286.624999988424</x:v>
      </x:c>
      <x:c r="O610" s="54" t="n">
        <x:v>44196</x:v>
      </x:c>
      <x:c r="P610" t="str">
        <x:v>True</x:v>
      </x:c>
      <x:c r="Q610" t="str">
        <x:v>642837c1645ce3c3a21febfa241576f44c38bfa76dc50686d810c45735e19039</x:v>
      </x:c>
      <x:c r="R610" t="str">
        <x:v>f3b4dde16d7ed2994db5d44d2cf3850c1f1f822ad4d02bf68ab968341f6d0104</x:v>
      </x:c>
      <x:c r="S610" t="n">
        <x:v>6</x:v>
      </x:c>
      <x:c r="T610" t="str">
        <x:v>2018-12-31|2019-12-31|2020-12-31</x:v>
      </x:c>
      <x:c r="U610" s="57" t="n">
        <x:v>672.2798367060648</x:v>
      </x:c>
      <x:c r="V610" s="57" t="n">
        <x:v>-0.7697671792102517</x:v>
      </x:c>
      <x:c r="W610" t="n">
        <x:v>49</x:v>
      </x:c>
      <x:c r="X610" t="n">
        <x:v>5</x:v>
      </x:c>
      <x:c r="Y610" s="38" t="n">
        <x:v>0.6409090909090909</x:v>
      </x:c>
      <x:c r="Z610" s="38" t="n">
        <x:v>0.5204473624506991</x:v>
      </x:c>
      <x:c r="AA610"/>
    </x:row>
    <x:row r="611">
      <x:c r="A611" s="54" t="n">
        <x:v>44286</x:v>
      </x:c>
      <x:c r="B611" t="n">
        <x:v>44286.624999988424</x:v>
      </x:c>
      <x:c r="C611" t="str">
        <x:v>302430</x:v>
      </x:c>
      <x:c r="D611" t="str">
        <x:v>이노메트리</x:v>
      </x:c>
      <x:c r="E611" t="str">
        <x:v>KOSDAQ</x:v>
      </x:c>
      <x:c r="F611" t="str">
        <x:v>SMALL</x:v>
      </x:c>
      <x:c r="G611" t="str">
        <x:v>DCF_SCREENING_EXCLUSION</x:v>
      </x:c>
      <x:c r="H611" t="str">
        <x:v>UNRELIABLE_TERMINAL_VALUE_SHARE</x:v>
      </x:c>
      <x:c r="I611" s="54" t="n">
        <x:v>44286</x:v>
      </x:c>
      <x:c r="J611" s="55" t="n">
        <x:v>18750</x:v>
      </x:c>
      <x:c r="K611" s="55" t="n">
        <x:v>183272550000</x:v>
      </x:c>
      <x:c r="L611" s="55" t="n">
        <x:v>9774536</x:v>
      </x:c>
      <x:c r="M611" t="str">
        <x:v>20210318000512</x:v>
      </x:c>
      <x:c r="N611" t="n">
        <x:v>44273.624999988424</x:v>
      </x:c>
      <x:c r="O611" s="54" t="n">
        <x:v>44196</x:v>
      </x:c>
      <x:c r="P611" t="str">
        <x:v>False</x:v>
      </x:c>
      <x:c r="Q611" t="str">
        <x:v>0e2c0a41f276dcb0dffcbb7a7feba201dca98557caab8278087c38ae6914e4fa</x:v>
      </x:c>
      <x:c r="R611" t="str">
        <x:v>58a931fbbc9fcfc00ce69836b45ab49dee82d5069bc84e4fcbceb9c4a21c2d15</x:v>
      </x:c>
      <x:c r="S611" t="n">
        <x:v>6</x:v>
      </x:c>
      <x:c r="T611" t="str">
        <x:v>2018-12-31|2019-12-31|2020-12-31</x:v>
      </x:c>
      <x:c r="U611" s="57" t="n">
        <x:v>1866.4601012475405</x:v>
      </x:c>
      <x:c r="V611" s="57" t="n">
        <x:v>-0.9004554612667979</x:v>
      </x:c>
      <x:c r="W611"/>
      <x:c r="X611"/>
      <x:c r="Y611" s="38" t="n">
        <x:v>0.6409090909090909</x:v>
      </x:c>
      <x:c r="Z611" s="38" t="n">
        <x:v>2.5226489595750157</x:v>
      </x:c>
      <x:c r="AA611" t="str">
        <x:v>UNRELIABLE_TERMINAL_VALUE_SHARE</x:v>
      </x:c>
    </x:row>
    <x:row r="612">
      <x:c r="A612" s="54" t="n">
        <x:v>44286</x:v>
      </x:c>
      <x:c r="B612" t="n">
        <x:v>44286.624999988424</x:v>
      </x:c>
      <x:c r="C612" t="str">
        <x:v>288620</x:v>
      </x:c>
      <x:c r="D612" t="str">
        <x:v>에스퓨얼셀</x:v>
      </x:c>
      <x:c r="E612" t="str">
        <x:v>KOSDAQ</x:v>
      </x:c>
      <x:c r="F612" t="str">
        <x:v>SMALL</x:v>
      </x:c>
      <x:c r="G612" t="str">
        <x:v>DCF_SCREENING_EXCLUSION</x:v>
      </x:c>
      <x:c r="H612" t="str">
        <x:v>UNRELIABLE_TERMINAL_VALUE_SHARE</x:v>
      </x:c>
      <x:c r="I612" s="54" t="n">
        <x:v>44286</x:v>
      </x:c>
      <x:c r="J612" s="55" t="n">
        <x:v>33750</x:v>
      </x:c>
      <x:c r="K612" s="55" t="n">
        <x:v>232008165000</x:v>
      </x:c>
      <x:c r="L612" s="55" t="n">
        <x:v>6874316</x:v>
      </x:c>
      <x:c r="M612" t="str">
        <x:v>20210322000950</x:v>
      </x:c>
      <x:c r="N612" t="n">
        <x:v>44277.624999988424</x:v>
      </x:c>
      <x:c r="O612" s="54" t="n">
        <x:v>44196</x:v>
      </x:c>
      <x:c r="P612" t="str">
        <x:v>True</x:v>
      </x:c>
      <x:c r="Q612" t="str">
        <x:v>b6e4d91695a9f0735eff6749b3213297590bd82820da324ce044ff958ad9ea61</x:v>
      </x:c>
      <x:c r="R612" t="str">
        <x:v>a37de3dc4a80eb88b549c986771055707cdcc7e81bd7c3b009dd2f31f3b5c37a</x:v>
      </x:c>
      <x:c r="S612" t="n">
        <x:v>6</x:v>
      </x:c>
      <x:c r="T612" t="str">
        <x:v>2018-12-31|2019-12-31|2020-12-31</x:v>
      </x:c>
      <x:c r="U612" s="57" t="n">
        <x:v>3270.0839499807116</x:v>
      </x:c>
      <x:c r="V612" s="57" t="n">
        <x:v>-0.9031086237042752</x:v>
      </x:c>
      <x:c r="W612"/>
      <x:c r="X612"/>
      <x:c r="Y612" s="38" t="n">
        <x:v>0.6409090909090909</x:v>
      </x:c>
      <x:c r="Z612" s="38" t="n">
        <x:v>1.2356011361536037</x:v>
      </x:c>
      <x:c r="AA612" t="str">
        <x:v>UNRELIABLE_TERMINAL_VALUE_SHARE</x:v>
      </x:c>
    </x:row>
    <x:row r="613">
      <x:c r="A613" s="54" t="n">
        <x:v>44286</x:v>
      </x:c>
      <x:c r="B613" t="n">
        <x:v>44286.624999988424</x:v>
      </x:c>
      <x:c r="C613" t="str">
        <x:v>094840</x:v>
      </x:c>
      <x:c r="D613" t="str">
        <x:v>슈프리마에이치큐</x:v>
      </x:c>
      <x:c r="E613" t="str">
        <x:v>KOSDAQ</x:v>
      </x:c>
      <x:c r="F613" t="str">
        <x:v>SMALL</x:v>
      </x:c>
      <x:c r="G613" t="str">
        <x:v>ELIGIBLE</x:v>
      </x:c>
      <x:c r="H613"/>
      <x:c r="I613" s="54" t="n">
        <x:v>44286</x:v>
      </x:c>
      <x:c r="J613" s="55" t="n">
        <x:v>9030</x:v>
      </x:c>
      <x:c r="K613" s="55" t="n">
        <x:v>94560715200</x:v>
      </x:c>
      <x:c r="L613" s="55" t="n">
        <x:v>10471840</x:v>
      </x:c>
      <x:c r="M613" t="str">
        <x:v>20210315000815</x:v>
      </x:c>
      <x:c r="N613" t="n">
        <x:v>44270.624999988424</x:v>
      </x:c>
      <x:c r="O613" s="54" t="n">
        <x:v>44196</x:v>
      </x:c>
      <x:c r="P613" t="str">
        <x:v>False</x:v>
      </x:c>
      <x:c r="Q613" t="str">
        <x:v>edcb9acdb46347ad603be9d7e20150a84d21700a5df672987b045d3c629119be</x:v>
      </x:c>
      <x:c r="R613" t="str">
        <x:v>47f745c4b7f953ba3135475be04bae6977c7fb05c197963522eabde4ffd14566</x:v>
      </x:c>
      <x:c r="S613" t="n">
        <x:v>6</x:v>
      </x:c>
      <x:c r="T613" t="str">
        <x:v>2018-12-31|2019-12-31|2020-12-31</x:v>
      </x:c>
      <x:c r="U613" s="57" t="n">
        <x:v>3832.062991635382</x:v>
      </x:c>
      <x:c r="V613" s="57" t="n">
        <x:v>-0.575629790516569</x:v>
      </x:c>
      <x:c r="W613" t="n">
        <x:v>33</x:v>
      </x:c>
      <x:c r="X613" t="n">
        <x:v>3</x:v>
      </x:c>
      <x:c r="Y613" s="38" t="n">
        <x:v>0.6409090909090909</x:v>
      </x:c>
      <x:c r="Z613" s="38" t="n">
        <x:v>0.5990314888023098</x:v>
      </x:c>
      <x:c r="AA613"/>
    </x:row>
    <x:row r="614">
      <x:c r="A614" s="54" t="n">
        <x:v>44286</x:v>
      </x:c>
      <x:c r="B614" t="n">
        <x:v>44286.624999988424</x:v>
      </x:c>
      <x:c r="C614" t="str">
        <x:v>019990</x:v>
      </x:c>
      <x:c r="D614" t="str">
        <x:v>에너토크</x:v>
      </x:c>
      <x:c r="E614" t="str">
        <x:v>KOSDAQ</x:v>
      </x:c>
      <x:c r="F614" t="str">
        <x:v>SMALL</x:v>
      </x:c>
      <x:c r="G614" t="str">
        <x:v>DCF_SCREENING_EXCLUSION</x:v>
      </x:c>
      <x:c r="H614" t="str">
        <x:v>NON_POSITIVE_ENTERPRISE_VALUE|NON_POSITIVE_EQUITY_VALUE|NON_POSITIVE_TERMINAL_FCF</x:v>
      </x:c>
      <x:c r="I614" s="54" t="n">
        <x:v>44286</x:v>
      </x:c>
      <x:c r="J614" s="55" t="n">
        <x:v>8070</x:v>
      </x:c>
      <x:c r="K614" s="55" t="n">
        <x:v>78731630160</x:v>
      </x:c>
      <x:c r="L614" s="55" t="n">
        <x:v>9756088</x:v>
      </x:c>
      <x:c r="M614" t="str">
        <x:v>20210318000261</x:v>
      </x:c>
      <x:c r="N614" t="n">
        <x:v>44273.624999988424</x:v>
      </x:c>
      <x:c r="O614" s="54" t="n">
        <x:v>44196</x:v>
      </x:c>
      <x:c r="P614" t="str">
        <x:v>False</x:v>
      </x:c>
      <x:c r="Q614" t="str">
        <x:v>4957a629f231b71448122773660771e123a8afe95cf17712e8a5790b3de5e388</x:v>
      </x:c>
      <x:c r="R614" t="str">
        <x:v>83ba2cb7557a122716ec5a8f3de0e193cdc224d8740fbeb9bc856e79494d7737</x:v>
      </x:c>
      <x:c r="S614" t="n">
        <x:v>7</x:v>
      </x:c>
      <x:c r="T614" t="str">
        <x:v>2018-12-31|2019-12-31|2020-12-31</x:v>
      </x:c>
      <x:c r="U614" s="57" t="n">
        <x:v>-415.5867008576264</x:v>
      </x:c>
      <x:c r="V614" s="57" t="n">
        <x:v>-1.0514977324482808</x:v>
      </x:c>
      <x:c r="W614"/>
      <x:c r="X614"/>
      <x:c r="Y614" s="38" t="n">
        <x:v>0.6409090909090909</x:v>
      </x:c>
      <x:c r="Z614" s="38" t="n">
        <x:v>0.6465151672176482</x:v>
      </x:c>
      <x:c r="AA614" t="str">
        <x:v>NON_POSITIVE_ENTERPRISE_VALUE|NON_POSITIVE_EQUITY_VALUE|NON_POSITIVE_TERMINAL_FCF</x:v>
      </x:c>
    </x:row>
    <x:row r="615">
      <x:c r="A615" s="54" t="n">
        <x:v>44286</x:v>
      </x:c>
      <x:c r="B615" t="n">
        <x:v>44286.624999988424</x:v>
      </x:c>
      <x:c r="C615" t="str">
        <x:v>024740</x:v>
      </x:c>
      <x:c r="D615" t="str">
        <x:v>한일단조</x:v>
      </x:c>
      <x:c r="E615" t="str">
        <x:v>KOSDAQ</x:v>
      </x:c>
      <x:c r="F615" t="str">
        <x:v>SMALL</x:v>
      </x:c>
      <x:c r="G615" t="str">
        <x:v>DCF_SCREENING_EXCLUSION</x:v>
      </x:c>
      <x:c r="H615" t="str">
        <x:v>NON_POSITIVE_ENTERPRISE_VALUE|NON_POSITIVE_EQUITY_VALUE|NON_POSITIVE_TERMINAL_FCF</x:v>
      </x:c>
      <x:c r="I615" s="54" t="n">
        <x:v>44286</x:v>
      </x:c>
      <x:c r="J615" s="55" t="n">
        <x:v>2045</x:v>
      </x:c>
      <x:c r="K615" s="55" t="n">
        <x:v>61127765760</x:v>
      </x:c>
      <x:c r="L615" s="55" t="n">
        <x:v>29891328</x:v>
      </x:c>
      <x:c r="M615" t="str">
        <x:v>20210316000434</x:v>
      </x:c>
      <x:c r="N615" t="n">
        <x:v>44271.624999988424</x:v>
      </x:c>
      <x:c r="O615" s="54" t="n">
        <x:v>44196</x:v>
      </x:c>
      <x:c r="P615" t="str">
        <x:v>False</x:v>
      </x:c>
      <x:c r="Q615" t="str">
        <x:v>bcddd53c6582ac5aaffca85a248593cbfc6066bb4e4098e0d065dd9f43d5e655</x:v>
      </x:c>
      <x:c r="R615" t="str">
        <x:v>dbb560f48c3dd22007d5bb6c6b37c344d40acedb99d49577840c11f88daab7a1</x:v>
      </x:c>
      <x:c r="S615" t="n">
        <x:v>7</x:v>
      </x:c>
      <x:c r="T615" t="str">
        <x:v>2018-12-31|2019-12-31|2020-12-31</x:v>
      </x:c>
      <x:c r="U615" s="57" t="n">
        <x:v>-2473.11609930987</x:v>
      </x:c>
      <x:c r="V615" s="57" t="n">
        <x:v>-2.209347725823897</x:v>
      </x:c>
      <x:c r="W615"/>
      <x:c r="X615"/>
      <x:c r="Y615" s="38" t="n">
        <x:v>0.6409090909090909</x:v>
      </x:c>
      <x:c r="Z615" s="38" t="n">
        <x:v>0.6171816933706179</x:v>
      </x:c>
      <x:c r="AA615" t="str">
        <x:v>NON_POSITIVE_ENTERPRISE_VALUE|NON_POSITIVE_EQUITY_VALUE|NON_POSITIVE_TERMINAL_FCF</x:v>
      </x:c>
    </x:row>
    <x:row r="616">
      <x:c r="A616" s="54" t="n">
        <x:v>44286</x:v>
      </x:c>
      <x:c r="B616" t="n">
        <x:v>44286.624999988424</x:v>
      </x:c>
      <x:c r="C616" t="str">
        <x:v>340930</x:v>
      </x:c>
      <x:c r="D616" t="str">
        <x:v>유일에너테크</x:v>
      </x:c>
      <x:c r="E616" t="str">
        <x:v>KOSDAQ</x:v>
      </x:c>
      <x:c r="F616" t="str">
        <x:v>SMALL</x:v>
      </x:c>
      <x:c r="G616" t="str">
        <x:v>ELIGIBLE</x:v>
      </x:c>
      <x:c r="H616"/>
      <x:c r="I616" s="54" t="n">
        <x:v>44286</x:v>
      </x:c>
      <x:c r="J616" s="55" t="n">
        <x:v>19900</x:v>
      </x:c>
      <x:c r="K616" s="55" t="n">
        <x:v>210741875600</x:v>
      </x:c>
      <x:c r="L616" s="55" t="n">
        <x:v>10590044</x:v>
      </x:c>
      <x:c r="M616" t="str">
        <x:v>20210319000946</x:v>
      </x:c>
      <x:c r="N616" t="n">
        <x:v>44274.624999988424</x:v>
      </x:c>
      <x:c r="O616" s="54" t="n">
        <x:v>44196</x:v>
      </x:c>
      <x:c r="P616" t="str">
        <x:v>False</x:v>
      </x:c>
      <x:c r="Q616" t="str">
        <x:v>4edaceb7bd22fcf8da9909d7fdb96098f9415c438240d4e0f8e7bb0b5d5e8b03</x:v>
      </x:c>
      <x:c r="R616" t="str">
        <x:v>0cf7d43db2fe6134461710bbb2a500dc2994af1861d6647b511395f0e1b4e0c8</x:v>
      </x:c>
      <x:c r="S616" t="n">
        <x:v>7</x:v>
      </x:c>
      <x:c r="T616" t="str">
        <x:v>2020-12-31</x:v>
      </x:c>
      <x:c r="U616" s="57" t="n">
        <x:v>5276.844468884548</x:v>
      </x:c>
      <x:c r="V616" s="57" t="n">
        <x:v>-0.7348319362369573</x:v>
      </x:c>
      <x:c r="W616" t="n">
        <x:v>46</x:v>
      </x:c>
      <x:c r="X616" t="n">
        <x:v>4</x:v>
      </x:c>
      <x:c r="Y616" s="38" t="n">
        <x:v>0.6409090909090909</x:v>
      </x:c>
      <x:c r="Z616" s="38" t="n">
        <x:v>0.6264850986190418</x:v>
      </x:c>
      <x:c r="AA616"/>
    </x:row>
    <x:row r="617">
      <x:c r="A617" s="54" t="n">
        <x:v>44286</x:v>
      </x:c>
      <x:c r="B617" t="n">
        <x:v>44286.624999988424</x:v>
      </x:c>
      <x:c r="C617" t="str">
        <x:v>057030</x:v>
      </x:c>
      <x:c r="D617" t="str">
        <x:v>YBM넷</x:v>
      </x:c>
      <x:c r="E617" t="str">
        <x:v>KOSDAQ</x:v>
      </x:c>
      <x:c r="F617" t="str">
        <x:v>SMALL</x:v>
      </x:c>
      <x:c r="G617" t="str">
        <x:v>DCF_SCREENING_EXCLUSION</x:v>
      </x:c>
      <x:c r="H617" t="str">
        <x:v>NON_POSITIVE_ENTERPRISE_VALUE|NON_POSITIVE_EQUITY_VALUE|UNRELIABLE_TERMINAL_VALUE_SHARE</x:v>
      </x:c>
      <x:c r="I617" s="54" t="n">
        <x:v>44286</x:v>
      </x:c>
      <x:c r="J617" s="55" t="n">
        <x:v>7210</x:v>
      </x:c>
      <x:c r="K617" s="55" t="n">
        <x:v>117614545370</x:v>
      </x:c>
      <x:c r="L617" s="55" t="n">
        <x:v>16312697</x:v>
      </x:c>
      <x:c r="M617" t="str">
        <x:v>20210317001083</x:v>
      </x:c>
      <x:c r="N617" t="n">
        <x:v>44272.624999988424</x:v>
      </x:c>
      <x:c r="O617" s="54" t="n">
        <x:v>44196</x:v>
      </x:c>
      <x:c r="P617" t="str">
        <x:v>False</x:v>
      </x:c>
      <x:c r="Q617" t="str">
        <x:v>60475234d2620e0baa6d24996ee48c086941ccdd01a0698cccc5f9d626fd6bc6</x:v>
      </x:c>
      <x:c r="R617" t="str">
        <x:v>ebc2348fcc4b8ac130bf6ace569664f1a494da159f4a3374e924e8a62f011377</x:v>
      </x:c>
      <x:c r="S617" t="n">
        <x:v>6</x:v>
      </x:c>
      <x:c r="T617" t="str">
        <x:v>2018-12-31|2019-12-31|2020-12-31</x:v>
      </x:c>
      <x:c r="U617" s="57" t="n">
        <x:v>-12.62440454926056</x:v>
      </x:c>
      <x:c r="V617" s="57" t="n">
        <x:v>-1.0017509576351262</x:v>
      </x:c>
      <x:c r="W617"/>
      <x:c r="X617"/>
      <x:c r="Y617" s="38" t="n">
        <x:v>0.6409090909090909</x:v>
      </x:c>
      <x:c r="Z617" s="38" t="n">
        <x:v>-1.0894625849005493</x:v>
      </x:c>
      <x:c r="AA617" t="str">
        <x:v>NON_POSITIVE_ENTERPRISE_VALUE|NON_POSITIVE_EQUITY_VALUE|UNRELIABLE_TERMINAL_VALUE_SHARE</x:v>
      </x:c>
    </x:row>
    <x:row r="618">
      <x:c r="A618" s="54" t="n">
        <x:v>44286</x:v>
      </x:c>
      <x:c r="B618" t="n">
        <x:v>44286.624999988424</x:v>
      </x:c>
      <x:c r="C618" t="str">
        <x:v>053160</x:v>
      </x:c>
      <x:c r="D618" t="str">
        <x:v>프리엠스</x:v>
      </x:c>
      <x:c r="E618" t="str">
        <x:v>KOSDAQ</x:v>
      </x:c>
      <x:c r="F618" t="str">
        <x:v>SMALL</x:v>
      </x:c>
      <x:c r="G618" t="str">
        <x:v>DCF_SCREENING_EXCLUSION</x:v>
      </x:c>
      <x:c r="H618" t="str">
        <x:v>NON_POSITIVE_ENTERPRISE_VALUE|NON_POSITIVE_TERMINAL_FCF</x:v>
      </x:c>
      <x:c r="I618" s="54" t="n">
        <x:v>44286</x:v>
      </x:c>
      <x:c r="J618" s="55" t="n">
        <x:v>17650</x:v>
      </x:c>
      <x:c r="K618" s="55" t="n">
        <x:v>105900000000</x:v>
      </x:c>
      <x:c r="L618" s="55" t="n">
        <x:v>6000000</x:v>
      </x:c>
      <x:c r="M618" t="str">
        <x:v>20210318000333</x:v>
      </x:c>
      <x:c r="N618" t="n">
        <x:v>44273.624999988424</x:v>
      </x:c>
      <x:c r="O618" s="54" t="n">
        <x:v>44196</x:v>
      </x:c>
      <x:c r="P618" t="str">
        <x:v>False</x:v>
      </x:c>
      <x:c r="Q618" t="str">
        <x:v>b4a0ad8f9fbc20989c6ce23324e39d807a3fce1a4ccdc7f31f6eaab83bcb1a23</x:v>
      </x:c>
      <x:c r="R618" t="str">
        <x:v>41e1a00bc59d917a22c9ee50e347e46b117ec6fa8dbe672beaa2c41a25d6a9bb</x:v>
      </x:c>
      <x:c r="S618" t="n">
        <x:v>7</x:v>
      </x:c>
      <x:c r="T618" t="str">
        <x:v>2018-12-31|2019-12-31|2020-12-31</x:v>
      </x:c>
      <x:c r="U618" s="57" t="n">
        <x:v>316.0971325401637</x:v>
      </x:c>
      <x:c r="V618" s="57" t="n">
        <x:v>-0.9820908140203873</x:v>
      </x:c>
      <x:c r="W618"/>
      <x:c r="X618"/>
      <x:c r="Y618" s="38" t="n">
        <x:v>0.6409090909090909</x:v>
      </x:c>
      <x:c r="Z618" s="38" t="n">
        <x:v>0.779709708489777</x:v>
      </x:c>
      <x:c r="AA618" t="str">
        <x:v>NON_POSITIVE_ENTERPRISE_VALUE|NON_POSITIVE_TERMINAL_FCF</x:v>
      </x:c>
    </x:row>
    <x:row r="619">
      <x:c r="A619" s="54" t="n">
        <x:v>44286</x:v>
      </x:c>
      <x:c r="B619" t="n">
        <x:v>44286.624999988424</x:v>
      </x:c>
      <x:c r="C619" t="str">
        <x:v>038620</x:v>
      </x:c>
      <x:c r="D619" t="str">
        <x:v>위즈코프</x:v>
      </x:c>
      <x:c r="E619" t="str">
        <x:v>KOSDAQ</x:v>
      </x:c>
      <x:c r="F619" t="str">
        <x:v>SMALL</x:v>
      </x:c>
      <x:c r="G619" t="str">
        <x:v>ELIGIBLE</x:v>
      </x:c>
      <x:c r="H619"/>
      <x:c r="I619" s="54" t="n">
        <x:v>44286</x:v>
      </x:c>
      <x:c r="J619" s="55" t="n">
        <x:v>1505</x:v>
      </x:c>
      <x:c r="K619" s="55" t="n">
        <x:v>61084992675</x:v>
      </x:c>
      <x:c r="L619" s="55" t="n">
        <x:v>40588035</x:v>
      </x:c>
      <x:c r="M619" t="str">
        <x:v>20210317001103</x:v>
      </x:c>
      <x:c r="N619" t="n">
        <x:v>44272.624999988424</x:v>
      </x:c>
      <x:c r="O619" s="54" t="n">
        <x:v>44196</x:v>
      </x:c>
      <x:c r="P619" t="str">
        <x:v>False</x:v>
      </x:c>
      <x:c r="Q619" t="str">
        <x:v>309ebd31cbd4e7c81c95aa5ef1f64b10cd60c14ea177e58841997373c9018659</x:v>
      </x:c>
      <x:c r="R619" t="str">
        <x:v>3b1385a91693a6dc001937e4e3c2b8c2db757cdce3e923778696cf18d12651f3</x:v>
      </x:c>
      <x:c r="S619" t="n">
        <x:v>6</x:v>
      </x:c>
      <x:c r="T619" t="str">
        <x:v>2018-12-31|2019-12-31|2020-12-31</x:v>
      </x:c>
      <x:c r="U619" s="57" t="n">
        <x:v>264.88152495344184</x:v>
      </x:c>
      <x:c r="V619" s="57" t="n">
        <x:v>-0.8239989867418991</x:v>
      </x:c>
      <x:c r="W619" t="n">
        <x:v>51</x:v>
      </x:c>
      <x:c r="X619" t="n">
        <x:v>5</x:v>
      </x:c>
      <x:c r="Y619" s="38" t="n">
        <x:v>0.6409090909090909</x:v>
      </x:c>
      <x:c r="Z619" s="38" t="n">
        <x:v>0.5998432973034096</x:v>
      </x:c>
      <x:c r="AA619"/>
    </x:row>
    <x:row r="620">
      <x:c r="A620" s="54" t="n">
        <x:v>44286</x:v>
      </x:c>
      <x:c r="B620" t="n">
        <x:v>44286.624999988424</x:v>
      </x:c>
      <x:c r="C620" t="str">
        <x:v>313760</x:v>
      </x:c>
      <x:c r="D620" t="str">
        <x:v>캐리</x:v>
      </x:c>
      <x:c r="E620" t="str">
        <x:v>KOSDAQ</x:v>
      </x:c>
      <x:c r="F620" t="str">
        <x:v>SMALL</x:v>
      </x:c>
      <x:c r="G620" t="str">
        <x:v>DCF_SCREENING_EXCLUSION</x:v>
      </x:c>
      <x:c r="H620" t="str">
        <x:v>UNRELIABLE_TERMINAL_VALUE_SHARE</x:v>
      </x:c>
      <x:c r="I620" s="54" t="n">
        <x:v>44286</x:v>
      </x:c>
      <x:c r="J620" s="55" t="n">
        <x:v>14700</x:v>
      </x:c>
      <x:c r="K620" s="55" t="n">
        <x:v>71471400000</x:v>
      </x:c>
      <x:c r="L620" s="55" t="n">
        <x:v>4862000</x:v>
      </x:c>
      <x:c r="M620" t="str">
        <x:v>20210318000686</x:v>
      </x:c>
      <x:c r="N620" t="n">
        <x:v>44273.624999988424</x:v>
      </x:c>
      <x:c r="O620" s="54" t="n">
        <x:v>44196</x:v>
      </x:c>
      <x:c r="P620" t="str">
        <x:v>False</x:v>
      </x:c>
      <x:c r="Q620" t="str">
        <x:v>804576bd15d64ec35c6bf019d2e23e3c9e1edcfa683d9cad2b367f8994c13dfc</x:v>
      </x:c>
      <x:c r="R620" t="str">
        <x:v>d85d0ce3685c46f62b52d2126678ceafd641a1fc3d9f82829a119e0806cd51fc</x:v>
      </x:c>
      <x:c r="S620" t="n">
        <x:v>5</x:v>
      </x:c>
      <x:c r="T620" t="str">
        <x:v>2019-12-31|2020-12-31</x:v>
      </x:c>
      <x:c r="U620" s="57" t="n">
        <x:v>1207.7666181905286</x:v>
      </x:c>
      <x:c r="V620" s="57" t="n">
        <x:v>-0.9178390055652702</x:v>
      </x:c>
      <x:c r="W620"/>
      <x:c r="X620"/>
      <x:c r="Y620" s="38" t="n">
        <x:v>0.6409090909090909</x:v>
      </x:c>
      <x:c r="Z620" s="38" t="n">
        <x:v>2.6865882303611563</x:v>
      </x:c>
      <x:c r="AA620" t="str">
        <x:v>UNRELIABLE_TERMINAL_VALUE_SHARE</x:v>
      </x:c>
    </x:row>
    <x:row r="621">
      <x:c r="A621" s="54" t="n">
        <x:v>44286</x:v>
      </x:c>
      <x:c r="B621" t="n">
        <x:v>44286.624999988424</x:v>
      </x:c>
      <x:c r="C621" t="str">
        <x:v>372800</x:v>
      </x:c>
      <x:c r="D621" t="str">
        <x:v>아이티아이즈</x:v>
      </x:c>
      <x:c r="E621" t="str">
        <x:v>KOSDAQ</x:v>
      </x:c>
      <x:c r="F621" t="str">
        <x:v>SMALL</x:v>
      </x:c>
      <x:c r="G621" t="str">
        <x:v>NOT_LISTED_OR_NO_PRICE</x:v>
      </x:c>
      <x:c r="H621"/>
      <x:c r="I621" s="54"/>
      <x:c r="J621" s="55"/>
      <x:c r="K621" s="55"/>
      <x:c r="L621" s="55"/>
      <x:c r="M621"/>
      <x:c r="N621"/>
      <x:c r="O621" s="54"/>
      <x:c r="P621"/>
      <x:c r="Q621"/>
      <x:c r="R621"/>
      <x:c r="S621"/>
      <x:c r="T621"/>
      <x:c r="U621" s="57"/>
      <x:c r="V621" s="57"/>
      <x:c r="W621"/>
      <x:c r="X621"/>
      <x:c r="Y621" s="38"/>
      <x:c r="Z621" s="38"/>
      <x:c r="AA621"/>
    </x:row>
    <x:row r="622">
      <x:c r="A622" s="54" t="n">
        <x:v>44286</x:v>
      </x:c>
      <x:c r="B622" t="n">
        <x:v>44286.624999988424</x:v>
      </x:c>
      <x:c r="C622" t="str">
        <x:v>332290</x:v>
      </x:c>
      <x:c r="D622" t="str">
        <x:v>누보</x:v>
      </x:c>
      <x:c r="E622" t="str">
        <x:v>KOSDAQ</x:v>
      </x:c>
      <x:c r="F622" t="str">
        <x:v>SMALL</x:v>
      </x:c>
      <x:c r="G622" t="str">
        <x:v>NO_PIT_FINANCIALS</x:v>
      </x:c>
      <x:c r="H622"/>
      <x:c r="I622" s="54" t="n">
        <x:v>44286</x:v>
      </x:c>
      <x:c r="J622" s="55" t="n">
        <x:v>2100</x:v>
      </x:c>
      <x:c r="K622" s="55" t="n">
        <x:v>10930500000</x:v>
      </x:c>
      <x:c r="L622" s="55" t="n">
        <x:v>5205000</x:v>
      </x:c>
      <x:c r="M622"/>
      <x:c r="N622"/>
      <x:c r="O622" s="54"/>
      <x:c r="P622"/>
      <x:c r="Q622"/>
      <x:c r="R622"/>
      <x:c r="S622"/>
      <x:c r="T622"/>
      <x:c r="U622" s="57"/>
      <x:c r="V622" s="57"/>
      <x:c r="W622"/>
      <x:c r="X622"/>
      <x:c r="Y622" s="38"/>
      <x:c r="Z622" s="38"/>
      <x:c r="AA622"/>
    </x:row>
    <x:row r="623">
      <x:c r="A623" s="54" t="n">
        <x:v>44286</x:v>
      </x:c>
      <x:c r="B623" t="n">
        <x:v>44286.624999988424</x:v>
      </x:c>
      <x:c r="C623" t="str">
        <x:v>059100</x:v>
      </x:c>
      <x:c r="D623" t="str">
        <x:v>아이컴포넌트</x:v>
      </x:c>
      <x:c r="E623" t="str">
        <x:v>KOSDAQ</x:v>
      </x:c>
      <x:c r="F623" t="str">
        <x:v>SMALL</x:v>
      </x:c>
      <x:c r="G623" t="str">
        <x:v>ELIGIBLE</x:v>
      </x:c>
      <x:c r="H623"/>
      <x:c r="I623" s="54" t="n">
        <x:v>44286</x:v>
      </x:c>
      <x:c r="J623" s="55" t="n">
        <x:v>5980</x:v>
      </x:c>
      <x:c r="K623" s="55" t="n">
        <x:v>42283742800</x:v>
      </x:c>
      <x:c r="L623" s="55" t="n">
        <x:v>7070860</x:v>
      </x:c>
      <x:c r="M623" t="str">
        <x:v>20210311000765</x:v>
      </x:c>
      <x:c r="N623" t="n">
        <x:v>44266.624999988424</x:v>
      </x:c>
      <x:c r="O623" s="54" t="n">
        <x:v>44196</x:v>
      </x:c>
      <x:c r="P623" t="str">
        <x:v>False</x:v>
      </x:c>
      <x:c r="Q623" t="str">
        <x:v>e8cc72608f865813347d3ac3b67e881eac226f73bcd56829c110b23f06258cce</x:v>
      </x:c>
      <x:c r="R623" t="str">
        <x:v>48be34b909c118c536d5c159d6264871b4cac2eae463f91fc1446ad07beca7f1</x:v>
      </x:c>
      <x:c r="S623" t="n">
        <x:v>7</x:v>
      </x:c>
      <x:c r="T623" t="str">
        <x:v>2018-12-31|2019-12-31|2020-12-31</x:v>
      </x:c>
      <x:c r="U623" s="57" t="n">
        <x:v>1452.886955925407</x:v>
      </x:c>
      <x:c r="V623" s="57" t="n">
        <x:v>-0.757042315062641</x:v>
      </x:c>
      <x:c r="W623" t="n">
        <x:v>48</x:v>
      </x:c>
      <x:c r="X623" t="n">
        <x:v>4</x:v>
      </x:c>
      <x:c r="Y623" s="38" t="n">
        <x:v>0.6409090909090909</x:v>
      </x:c>
      <x:c r="Z623" s="38" t="n">
        <x:v>0.4521477467865818</x:v>
      </x:c>
      <x:c r="AA623"/>
    </x:row>
    <x:row r="624">
      <x:c r="A624" s="54" t="n">
        <x:v>44286</x:v>
      </x:c>
      <x:c r="B624" t="n">
        <x:v>44286.624999988424</x:v>
      </x:c>
      <x:c r="C624" t="str">
        <x:v>060900</x:v>
      </x:c>
      <x:c r="D624" t="str">
        <x:v>DGP</x:v>
      </x:c>
      <x:c r="E624" t="str">
        <x:v>KOSDAQ</x:v>
      </x:c>
      <x:c r="F624" t="str">
        <x:v>SMALL</x:v>
      </x:c>
      <x:c r="G624" t="str">
        <x:v>DCF_SCREENING_EXCLUSION</x:v>
      </x:c>
      <x:c r="H624" t="str">
        <x:v>NON_POSITIVE_ENTERPRISE_VALUE|NON_POSITIVE_EQUITY_VALUE|NON_POSITIVE_TERMINAL_FCF</x:v>
      </x:c>
      <x:c r="I624" s="54" t="n">
        <x:v>44286</x:v>
      </x:c>
      <x:c r="J624" s="55" t="n">
        <x:v>2560</x:v>
      </x:c>
      <x:c r="K624" s="55" t="n">
        <x:v>392414809600</x:v>
      </x:c>
      <x:c r="L624" s="55" t="n">
        <x:v>153287035</x:v>
      </x:c>
      <x:c r="M624" t="str">
        <x:v>20200331002242</x:v>
      </x:c>
      <x:c r="N624" t="n">
        <x:v>43921.624999988424</x:v>
      </x:c>
      <x:c r="O624" s="54" t="n">
        <x:v>43830</x:v>
      </x:c>
      <x:c r="P624" t="str">
        <x:v>True</x:v>
      </x:c>
      <x:c r="Q624" t="str">
        <x:v>ac50e7e79003451d6c3ef8f2db1976662fecb89d432a540a13b72785abeff2ae</x:v>
      </x:c>
      <x:c r="R624" t="str">
        <x:v>ebc1ff8d1acc2ff5dec2c6a71422731b5ff8f9eab544b1cf7d4333ee990e85a4</x:v>
      </x:c>
      <x:c r="S624" t="n">
        <x:v>5</x:v>
      </x:c>
      <x:c r="T624" t="str">
        <x:v>2018-12-31|2019-12-31</x:v>
      </x:c>
      <x:c r="U624" s="57" t="n">
        <x:v>-212.48190115743108</x:v>
      </x:c>
      <x:c r="V624" s="57" t="n">
        <x:v>-1.0830007426396215</x:v>
      </x:c>
      <x:c r="W624"/>
      <x:c r="X624"/>
      <x:c r="Y624" s="38" t="n">
        <x:v>0.6409090909090909</x:v>
      </x:c>
      <x:c r="Z624" s="38" t="n">
        <x:v>0.6282819266558984</x:v>
      </x:c>
      <x:c r="AA624" t="str">
        <x:v>NON_POSITIVE_ENTERPRISE_VALUE|NON_POSITIVE_EQUITY_VALUE|NON_POSITIVE_TERMINAL_FCF</x:v>
      </x:c>
    </x:row>
    <x:row r="625">
      <x:c r="A625" s="54" t="n">
        <x:v>44286</x:v>
      </x:c>
      <x:c r="B625" t="n">
        <x:v>44286.624999988424</x:v>
      </x:c>
      <x:c r="C625" t="str">
        <x:v>232830</x:v>
      </x:c>
      <x:c r="D625" t="str">
        <x:v>아이티센피엔에스</x:v>
      </x:c>
      <x:c r="E625" t="str">
        <x:v>KOSDAQ</x:v>
      </x:c>
      <x:c r="F625" t="str">
        <x:v>SMALL</x:v>
      </x:c>
      <x:c r="G625" t="str">
        <x:v>NO_PIT_FINANCIALS</x:v>
      </x:c>
      <x:c r="H625"/>
      <x:c r="I625" s="54" t="n">
        <x:v>44286</x:v>
      </x:c>
      <x:c r="J625" s="55" t="n">
        <x:v>3790</x:v>
      </x:c>
      <x:c r="K625" s="55" t="n">
        <x:v>36039231280</x:v>
      </x:c>
      <x:c r="L625" s="55" t="n">
        <x:v>9509032</x:v>
      </x:c>
      <x:c r="M625"/>
      <x:c r="N625"/>
      <x:c r="O625" s="54"/>
      <x:c r="P625"/>
      <x:c r="Q625"/>
      <x:c r="R625"/>
      <x:c r="S625"/>
      <x:c r="T625"/>
      <x:c r="U625" s="57"/>
      <x:c r="V625" s="57"/>
      <x:c r="W625"/>
      <x:c r="X625"/>
      <x:c r="Y625" s="38"/>
      <x:c r="Z625" s="38"/>
      <x:c r="AA625"/>
    </x:row>
    <x:row r="626">
      <x:c r="A626" s="54" t="n">
        <x:v>44286</x:v>
      </x:c>
      <x:c r="B626" t="n">
        <x:v>44286.624999988424</x:v>
      </x:c>
      <x:c r="C626" t="str">
        <x:v>070590</x:v>
      </x:c>
      <x:c r="D626" t="str">
        <x:v>한솔인티큐브</x:v>
      </x:c>
      <x:c r="E626" t="str">
        <x:v>KOSDAQ</x:v>
      </x:c>
      <x:c r="F626" t="str">
        <x:v>SMALL</x:v>
      </x:c>
      <x:c r="G626" t="str">
        <x:v>DCF_SCREENING_EXCLUSION</x:v>
      </x:c>
      <x:c r="H626" t="str">
        <x:v>NON_POSITIVE_ENTERPRISE_VALUE|NON_POSITIVE_TERMINAL_FCF</x:v>
      </x:c>
      <x:c r="I626" s="54" t="n">
        <x:v>44286</x:v>
      </x:c>
      <x:c r="J626" s="55" t="n">
        <x:v>3510</x:v>
      </x:c>
      <x:c r="K626" s="55" t="n">
        <x:v>48717118710</x:v>
      </x:c>
      <x:c r="L626" s="55" t="n">
        <x:v>13879521</x:v>
      </x:c>
      <x:c r="M626" t="str">
        <x:v>20210324000748</x:v>
      </x:c>
      <x:c r="N626" t="n">
        <x:v>44279.624999988424</x:v>
      </x:c>
      <x:c r="O626" s="54" t="n">
        <x:v>44196</x:v>
      </x:c>
      <x:c r="P626" t="str">
        <x:v>True</x:v>
      </x:c>
      <x:c r="Q626" t="str">
        <x:v>dfa3780e4437c8885beecb0e4a6500139dafb9959c6c3d2e500e3fb4c1a430cd</x:v>
      </x:c>
      <x:c r="R626" t="str">
        <x:v>eff4d268488a35cbdc032eea9891367baeb650ad8e2dfcdb02709b589d77b61c</x:v>
      </x:c>
      <x:c r="S626" t="n">
        <x:v>6</x:v>
      </x:c>
      <x:c r="T626" t="str">
        <x:v>2018-12-31|2019-12-31|2020-12-31</x:v>
      </x:c>
      <x:c r="U626" s="57" t="n">
        <x:v>325.13457471873176</x:v>
      </x:c>
      <x:c r="V626" s="57" t="n">
        <x:v>-0.9073690670317004</x:v>
      </x:c>
      <x:c r="W626"/>
      <x:c r="X626"/>
      <x:c r="Y626" s="38" t="n">
        <x:v>0.6409090909090909</x:v>
      </x:c>
      <x:c r="Z626" s="38" t="n">
        <x:v>0.38507863592467434</x:v>
      </x:c>
      <x:c r="AA626" t="str">
        <x:v>NON_POSITIVE_ENTERPRISE_VALUE|NON_POSITIVE_TERMINAL_FCF</x:v>
      </x:c>
    </x:row>
    <x:row r="627">
      <x:c r="A627" s="54" t="n">
        <x:v>44286</x:v>
      </x:c>
      <x:c r="B627" t="n">
        <x:v>44286.624999988424</x:v>
      </x:c>
      <x:c r="C627" t="str">
        <x:v>163560</x:v>
      </x:c>
      <x:c r="D627" t="str">
        <x:v>동일고무벨트</x:v>
      </x:c>
      <x:c r="E627" t="str">
        <x:v>KOSPI</x:v>
      </x:c>
      <x:c r="F627" t="str">
        <x:v>SMALL</x:v>
      </x:c>
      <x:c r="G627" t="str">
        <x:v>ELIGIBLE</x:v>
      </x:c>
      <x:c r="H627"/>
      <x:c r="I627" s="54" t="n">
        <x:v>44286</x:v>
      </x:c>
      <x:c r="J627" s="55" t="n">
        <x:v>9190</x:v>
      </x:c>
      <x:c r="K627" s="55" t="n">
        <x:v>125443500000</x:v>
      </x:c>
      <x:c r="L627" s="55" t="n">
        <x:v>13650000</x:v>
      </x:c>
      <x:c r="M627" t="str">
        <x:v>20210315000958</x:v>
      </x:c>
      <x:c r="N627" t="n">
        <x:v>44270.624999988424</x:v>
      </x:c>
      <x:c r="O627" s="54" t="n">
        <x:v>44196</x:v>
      </x:c>
      <x:c r="P627" t="str">
        <x:v>False</x:v>
      </x:c>
      <x:c r="Q627" t="str">
        <x:v>baef3f3b4fd2cd0561db58dee801c4b1083a7eab3be7089842215efc57393a0f</x:v>
      </x:c>
      <x:c r="R627" t="str">
        <x:v>58f62cbe7203fe035b5c136891b5d43d1a5b5498301e4f4ae449c65b96ffd31e</x:v>
      </x:c>
      <x:c r="S627" t="n">
        <x:v>5</x:v>
      </x:c>
      <x:c r="T627" t="str">
        <x:v>2018-12-31|2019-12-31|2020-12-31</x:v>
      </x:c>
      <x:c r="U627" s="57" t="n">
        <x:v>7267.392595780395</x:v>
      </x:c>
      <x:c r="V627" s="57" t="n">
        <x:v>-0.20920646400648585</x:v>
      </x:c>
      <x:c r="W627" t="n">
        <x:v>19</x:v>
      </x:c>
      <x:c r="X627" t="n">
        <x:v>2</x:v>
      </x:c>
      <x:c r="Y627" s="38" t="n">
        <x:v>0.6409090909090909</x:v>
      </x:c>
      <x:c r="Z627" s="38" t="n">
        <x:v>0.5969551920077337</x:v>
      </x:c>
      <x:c r="AA627"/>
    </x:row>
    <x:row r="628">
      <x:c r="A628" s="54" t="n">
        <x:v>44286</x:v>
      </x:c>
      <x:c r="B628" t="n">
        <x:v>44286.624999988424</x:v>
      </x:c>
      <x:c r="C628" t="str">
        <x:v>004830</x:v>
      </x:c>
      <x:c r="D628" t="str">
        <x:v>덕성</x:v>
      </x:c>
      <x:c r="E628" t="str">
        <x:v>KOSPI</x:v>
      </x:c>
      <x:c r="F628" t="str">
        <x:v>SMALL</x:v>
      </x:c>
      <x:c r="G628" t="str">
        <x:v>DCF_SCREENING_EXCLUSION</x:v>
      </x:c>
      <x:c r="H628" t="str">
        <x:v>NON_POSITIVE_EQUITY_VALUE</x:v>
      </x:c>
      <x:c r="I628" s="54" t="n">
        <x:v>44286</x:v>
      </x:c>
      <x:c r="J628" s="55" t="n">
        <x:v>25500</x:v>
      </x:c>
      <x:c r="K628" s="55" t="n">
        <x:v>399840000000</x:v>
      </x:c>
      <x:c r="L628" s="55" t="n">
        <x:v>15680000</x:v>
      </x:c>
      <x:c r="M628" t="str">
        <x:v>20210319000522</x:v>
      </x:c>
      <x:c r="N628" t="n">
        <x:v>44274.624999988424</x:v>
      </x:c>
      <x:c r="O628" s="54" t="n">
        <x:v>44196</x:v>
      </x:c>
      <x:c r="P628" t="str">
        <x:v>False</x:v>
      </x:c>
      <x:c r="Q628" t="str">
        <x:v>42ee1e84d81634c21d6976fba98c4b5bca4d9df00c8a43afcf479eca2a3931d5</x:v>
      </x:c>
      <x:c r="R628" t="str">
        <x:v>1e77d4b7fd914b609a8404cdc068c6f747e4dcae104cca6760ea2cea87b7c693</x:v>
      </x:c>
      <x:c r="S628" t="n">
        <x:v>7</x:v>
      </x:c>
      <x:c r="T628" t="str">
        <x:v>2018-12-31|2019-12-31|2020-12-31</x:v>
      </x:c>
      <x:c r="U628" s="57" t="n">
        <x:v>-515.0099349836735</x:v>
      </x:c>
      <x:c r="V628" s="57" t="n">
        <x:v>-1.0201964680385753</x:v>
      </x:c>
      <x:c r="W628"/>
      <x:c r="X628"/>
      <x:c r="Y628" s="38" t="n">
        <x:v>0.6409090909090909</x:v>
      </x:c>
      <x:c r="Z628" s="38" t="n">
        <x:v>0.5348293753544032</x:v>
      </x:c>
      <x:c r="AA628" t="str">
        <x:v>NON_POSITIVE_EQUITY_VALUE</x:v>
      </x:c>
    </x:row>
    <x:row r="629">
      <x:c r="A629" s="54" t="n">
        <x:v>44286</x:v>
      </x:c>
      <x:c r="B629" t="n">
        <x:v>44286.624999988424</x:v>
      </x:c>
      <x:c r="C629" t="str">
        <x:v>014440</x:v>
      </x:c>
      <x:c r="D629" t="str">
        <x:v>영보화학</x:v>
      </x:c>
      <x:c r="E629" t="str">
        <x:v>KOSPI</x:v>
      </x:c>
      <x:c r="F629" t="str">
        <x:v>SMALL</x:v>
      </x:c>
      <x:c r="G629" t="str">
        <x:v>ELIGIBLE</x:v>
      </x:c>
      <x:c r="H629"/>
      <x:c r="I629" s="54" t="n">
        <x:v>44286</x:v>
      </x:c>
      <x:c r="J629" s="55" t="n">
        <x:v>4180</x:v>
      </x:c>
      <x:c r="K629" s="55" t="n">
        <x:v>83600000000</x:v>
      </x:c>
      <x:c r="L629" s="55" t="n">
        <x:v>20000000</x:v>
      </x:c>
      <x:c r="M629" t="str">
        <x:v>20210316000221</x:v>
      </x:c>
      <x:c r="N629" t="n">
        <x:v>44271.624999988424</x:v>
      </x:c>
      <x:c r="O629" s="54" t="n">
        <x:v>44196</x:v>
      </x:c>
      <x:c r="P629" t="str">
        <x:v>False</x:v>
      </x:c>
      <x:c r="Q629" t="str">
        <x:v>f0de45c57636ab96dbf1b7817b17503dafe80a609e11e7a88c8cecfb9010a072</x:v>
      </x:c>
      <x:c r="R629" t="str">
        <x:v>6e00c4edc0a60b1f6905bc60922501009c3ca8c1d98c3fa4190ab12b5fa4b69e</x:v>
      </x:c>
      <x:c r="S629" t="n">
        <x:v>6</x:v>
      </x:c>
      <x:c r="T629" t="str">
        <x:v>2018-12-31|2019-12-31|2020-12-31</x:v>
      </x:c>
      <x:c r="U629" s="57" t="n">
        <x:v>1677.1958772264159</x:v>
      </x:c>
      <x:c r="V629" s="57" t="n">
        <x:v>-0.5987569671707139</x:v>
      </x:c>
      <x:c r="W629" t="n">
        <x:v>36</x:v>
      </x:c>
      <x:c r="X629" t="n">
        <x:v>3</x:v>
      </x:c>
      <x:c r="Y629" s="38" t="n">
        <x:v>0.6409090909090909</x:v>
      </x:c>
      <x:c r="Z629" s="38" t="n">
        <x:v>0.4237287308061816</x:v>
      </x:c>
      <x:c r="AA629"/>
    </x:row>
    <x:row r="630">
      <x:c r="A630" s="54" t="n">
        <x:v>44286</x:v>
      </x:c>
      <x:c r="B630" t="n">
        <x:v>44286.624999988424</x:v>
      </x:c>
      <x:c r="C630" t="str">
        <x:v>009180</x:v>
      </x:c>
      <x:c r="D630" t="str">
        <x:v>한솔로지스틱스</x:v>
      </x:c>
      <x:c r="E630" t="str">
        <x:v>KOSPI</x:v>
      </x:c>
      <x:c r="F630" t="str">
        <x:v>SMALL</x:v>
      </x:c>
      <x:c r="G630" t="str">
        <x:v>ELIGIBLE</x:v>
      </x:c>
      <x:c r="H630"/>
      <x:c r="I630" s="54" t="n">
        <x:v>44286</x:v>
      </x:c>
      <x:c r="J630" s="55" t="n">
        <x:v>3415</x:v>
      </x:c>
      <x:c r="K630" s="55" t="n">
        <x:v>93835406375</x:v>
      </x:c>
      <x:c r="L630" s="55" t="n">
        <x:v>27477425</x:v>
      </x:c>
      <x:c r="M630" t="str">
        <x:v>20210316000126</x:v>
      </x:c>
      <x:c r="N630" t="n">
        <x:v>44271.624999988424</x:v>
      </x:c>
      <x:c r="O630" s="54" t="n">
        <x:v>44196</x:v>
      </x:c>
      <x:c r="P630" t="str">
        <x:v>False</x:v>
      </x:c>
      <x:c r="Q630" t="str">
        <x:v>90358983e6569ad1d37fec52c0d95d31983184295b716229d09300a8c1f981f8</x:v>
      </x:c>
      <x:c r="R630" t="str">
        <x:v>0425530dda02ff62a3f50e81c446cd2767797c01c2fd7b16c3ff06b61662092b</x:v>
      </x:c>
      <x:c r="S630" t="n">
        <x:v>6</x:v>
      </x:c>
      <x:c r="T630" t="str">
        <x:v>2018-12-31|2019-12-31|2020-12-31</x:v>
      </x:c>
      <x:c r="U630" s="57" t="n">
        <x:v>1545.9505137720944</x:v>
      </x:c>
      <x:c r="V630" s="57" t="n">
        <x:v>-0.5473058524825493</x:v>
      </x:c>
      <x:c r="W630" t="n">
        <x:v>30</x:v>
      </x:c>
      <x:c r="X630" t="n">
        <x:v>3</x:v>
      </x:c>
      <x:c r="Y630" s="38" t="n">
        <x:v>0.6409090909090909</x:v>
      </x:c>
      <x:c r="Z630" s="38" t="n">
        <x:v>0.6173210181480715</x:v>
      </x:c>
      <x:c r="AA630"/>
    </x:row>
    <x:row r="631">
      <x:c r="A631" s="54" t="n">
        <x:v>44286</x:v>
      </x:c>
      <x:c r="B631" t="n">
        <x:v>44286.624999988424</x:v>
      </x:c>
      <x:c r="C631" t="str">
        <x:v>004910</x:v>
      </x:c>
      <x:c r="D631" t="str">
        <x:v>조광페인트</x:v>
      </x:c>
      <x:c r="E631" t="str">
        <x:v>KOSPI</x:v>
      </x:c>
      <x:c r="F631" t="str">
        <x:v>SMALL</x:v>
      </x:c>
      <x:c r="G631" t="str">
        <x:v>DCF_SCREENING_EXCLUSION</x:v>
      </x:c>
      <x:c r="H631" t="str">
        <x:v>NON_POSITIVE_ENTERPRISE_VALUE|NON_POSITIVE_EQUITY_VALUE|NON_POSITIVE_TERMINAL_FCF</x:v>
      </x:c>
      <x:c r="I631" s="54" t="n">
        <x:v>44286</x:v>
      </x:c>
      <x:c r="J631" s="55" t="n">
        <x:v>7050</x:v>
      </x:c>
      <x:c r="K631" s="55" t="n">
        <x:v>90240000000</x:v>
      </x:c>
      <x:c r="L631" s="55" t="n">
        <x:v>12800000</x:v>
      </x:c>
      <x:c r="M631" t="str">
        <x:v>20210317001024</x:v>
      </x:c>
      <x:c r="N631" t="n">
        <x:v>44272.624999988424</x:v>
      </x:c>
      <x:c r="O631" s="54" t="n">
        <x:v>44196</x:v>
      </x:c>
      <x:c r="P631" t="str">
        <x:v>False</x:v>
      </x:c>
      <x:c r="Q631" t="str">
        <x:v>e7c9b0d0fb45cf3a9232c966ea9f938b738ae80ae008e7192c3c7b102cef61b8</x:v>
      </x:c>
      <x:c r="R631" t="str">
        <x:v>9c092f9c00ea0938f6910955eae4844a7db9e2f525baf116eb0315c9a8eda64e</x:v>
      </x:c>
      <x:c r="S631" t="n">
        <x:v>6</x:v>
      </x:c>
      <x:c r="T631" t="str">
        <x:v>2018-12-31|2019-12-31|2020-12-31</x:v>
      </x:c>
      <x:c r="U631" s="57" t="n">
        <x:v>-8516.353403523093</x:v>
      </x:c>
      <x:c r="V631" s="57" t="n">
        <x:v>-2.2079933905706515</x:v>
      </x:c>
      <x:c r="W631"/>
      <x:c r="X631"/>
      <x:c r="Y631" s="38" t="n">
        <x:v>0.6409090909090909</x:v>
      </x:c>
      <x:c r="Z631" s="38" t="n">
        <x:v>0.5597063952745717</x:v>
      </x:c>
      <x:c r="AA631" t="str">
        <x:v>NON_POSITIVE_ENTERPRISE_VALUE|NON_POSITIVE_EQUITY_VALUE|NON_POSITIVE_TERMINAL_FCF</x:v>
      </x:c>
    </x:row>
    <x:row r="632">
      <x:c r="A632" s="54" t="n">
        <x:v>44286</x:v>
      </x:c>
      <x:c r="B632" t="n">
        <x:v>44286.624999988424</x:v>
      </x:c>
      <x:c r="C632" t="str">
        <x:v>004870</x:v>
      </x:c>
      <x:c r="D632" t="str">
        <x:v>티웨이홀딩스</x:v>
      </x:c>
      <x:c r="E632" t="str">
        <x:v>KOSPI</x:v>
      </x:c>
      <x:c r="F632" t="str">
        <x:v>SMALL</x:v>
      </x:c>
      <x:c r="G632" t="str">
        <x:v>EXCLUDED_ARCHETYPE</x:v>
      </x:c>
      <x:c r="H632" t="str">
        <x:v>FCFF_NOT_COMPARABLE_FOR_FINANCE_OR_HOLDING_HINT</x:v>
      </x:c>
      <x:c r="I632" s="54"/>
      <x:c r="J632" s="55"/>
      <x:c r="K632" s="55"/>
      <x:c r="L632" s="55"/>
      <x:c r="M632"/>
      <x:c r="N632"/>
      <x:c r="O632" s="54"/>
      <x:c r="P632"/>
      <x:c r="Q632"/>
      <x:c r="R632"/>
      <x:c r="S632"/>
      <x:c r="T632"/>
      <x:c r="U632" s="57"/>
      <x:c r="V632" s="57"/>
      <x:c r="W632"/>
      <x:c r="X632"/>
      <x:c r="Y632" s="38"/>
      <x:c r="Z632" s="38"/>
      <x:c r="AA632"/>
    </x:row>
    <x:row r="633">
      <x:c r="A633" s="54" t="n">
        <x:v>44286</x:v>
      </x:c>
      <x:c r="B633" t="n">
        <x:v>44286.624999988424</x:v>
      </x:c>
      <x:c r="C633" t="str">
        <x:v>010770</x:v>
      </x:c>
      <x:c r="D633" t="str">
        <x:v>평화홀딩스</x:v>
      </x:c>
      <x:c r="E633" t="str">
        <x:v>KOSPI</x:v>
      </x:c>
      <x:c r="F633" t="str">
        <x:v>SMALL</x:v>
      </x:c>
      <x:c r="G633" t="str">
        <x:v>EXCLUDED_ARCHETYPE</x:v>
      </x:c>
      <x:c r="H633" t="str">
        <x:v>FCFF_NOT_COMPARABLE_FOR_FINANCE_OR_HOLDING_HINT</x:v>
      </x:c>
      <x:c r="I633" s="54"/>
      <x:c r="J633" s="55"/>
      <x:c r="K633" s="55"/>
      <x:c r="L633" s="55"/>
      <x:c r="M633"/>
      <x:c r="N633"/>
      <x:c r="O633" s="54"/>
      <x:c r="P633"/>
      <x:c r="Q633"/>
      <x:c r="R633"/>
      <x:c r="S633"/>
      <x:c r="T633"/>
      <x:c r="U633" s="57"/>
      <x:c r="V633" s="57"/>
      <x:c r="W633"/>
      <x:c r="X633"/>
      <x:c r="Y633" s="38"/>
      <x:c r="Z633" s="38"/>
      <x:c r="AA633"/>
    </x:row>
    <x:row r="634">
      <x:c r="A634" s="54" t="n">
        <x:v>44286</x:v>
      </x:c>
      <x:c r="B634" t="n">
        <x:v>44286.624999988424</x:v>
      </x:c>
      <x:c r="C634" t="str">
        <x:v>001290</x:v>
      </x:c>
      <x:c r="D634" t="str">
        <x:v>상상인증권</x:v>
      </x:c>
      <x:c r="E634" t="str">
        <x:v>KOSPI</x:v>
      </x:c>
      <x:c r="F634" t="str">
        <x:v>SMALL</x:v>
      </x:c>
      <x:c r="G634" t="str">
        <x:v>EXCLUDED_ARCHETYPE</x:v>
      </x:c>
      <x:c r="H634" t="str">
        <x:v>FCFF_NOT_COMPARABLE_FOR_FINANCE_OR_HOLDING_HINT</x:v>
      </x:c>
      <x:c r="I634" s="54"/>
      <x:c r="J634" s="55"/>
      <x:c r="K634" s="55"/>
      <x:c r="L634" s="55"/>
      <x:c r="M634"/>
      <x:c r="N634"/>
      <x:c r="O634" s="54"/>
      <x:c r="P634"/>
      <x:c r="Q634"/>
      <x:c r="R634"/>
      <x:c r="S634"/>
      <x:c r="T634"/>
      <x:c r="U634" s="57"/>
      <x:c r="V634" s="57"/>
      <x:c r="W634"/>
      <x:c r="X634"/>
      <x:c r="Y634" s="38"/>
      <x:c r="Z634" s="38"/>
      <x:c r="AA634"/>
    </x:row>
    <x:row r="635">
      <x:c r="A635" s="54" t="n">
        <x:v>44286</x:v>
      </x:c>
      <x:c r="B635" t="n">
        <x:v>44286.624999988424</x:v>
      </x:c>
      <x:c r="C635" t="str">
        <x:v>047400</x:v>
      </x:c>
      <x:c r="D635" t="str">
        <x:v>유니온머티리얼</x:v>
      </x:c>
      <x:c r="E635" t="str">
        <x:v>KOSPI</x:v>
      </x:c>
      <x:c r="F635" t="str">
        <x:v>SMALL</x:v>
      </x:c>
      <x:c r="G635" t="str">
        <x:v>DCF_SCREENING_EXCLUSION</x:v>
      </x:c>
      <x:c r="H635" t="str">
        <x:v>NON_POSITIVE_ENTERPRISE_VALUE|NON_POSITIVE_EQUITY_VALUE|NON_POSITIVE_TERMINAL_FCF</x:v>
      </x:c>
      <x:c r="I635" s="54" t="n">
        <x:v>44286</x:v>
      </x:c>
      <x:c r="J635" s="55" t="n">
        <x:v>4080</x:v>
      </x:c>
      <x:c r="K635" s="55" t="n">
        <x:v>171360000000</x:v>
      </x:c>
      <x:c r="L635" s="55" t="n">
        <x:v>42000000</x:v>
      </x:c>
      <x:c r="M635" t="str">
        <x:v>20210324000592</x:v>
      </x:c>
      <x:c r="N635" t="n">
        <x:v>44279.624999988424</x:v>
      </x:c>
      <x:c r="O635" s="54" t="n">
        <x:v>44196</x:v>
      </x:c>
      <x:c r="P635" t="str">
        <x:v>True</x:v>
      </x:c>
      <x:c r="Q635" t="str">
        <x:v>2faed762bece4efe260acd74c17d74346c8ef6aa6f53afdefa1b978c7dc7d052</x:v>
      </x:c>
      <x:c r="R635" t="str">
        <x:v>31d12ab9f9e271f68ae744302cac793c6f69bc826b0d79a0a29618eb0857f543</x:v>
      </x:c>
      <x:c r="S635" t="n">
        <x:v>7</x:v>
      </x:c>
      <x:c r="T635" t="str">
        <x:v>2018-12-31|2019-12-31|2020-12-31</x:v>
      </x:c>
      <x:c r="U635" s="57" t="n">
        <x:v>-2229.2135837385426</x:v>
      </x:c>
      <x:c r="V635" s="57" t="n">
        <x:v>-1.5463758783672898</x:v>
      </x:c>
      <x:c r="W635"/>
      <x:c r="X635"/>
      <x:c r="Y635" s="38" t="n">
        <x:v>0.6409090909090909</x:v>
      </x:c>
      <x:c r="Z635" s="38" t="n">
        <x:v>0.6735834371960262</x:v>
      </x:c>
      <x:c r="AA635" t="str">
        <x:v>NON_POSITIVE_ENTERPRISE_VALUE|NON_POSITIVE_EQUITY_VALUE|NON_POSITIVE_TERMINAL_FCF</x:v>
      </x:c>
    </x:row>
    <x:row r="636">
      <x:c r="A636" s="54" t="n">
        <x:v>44286</x:v>
      </x:c>
      <x:c r="B636" t="n">
        <x:v>44286.624999988424</x:v>
      </x:c>
      <x:c r="C636" t="str">
        <x:v>011300</x:v>
      </x:c>
      <x:c r="D636" t="str">
        <x:v>성안머티리얼스</x:v>
      </x:c>
      <x:c r="E636" t="str">
        <x:v>KOSPI</x:v>
      </x:c>
      <x:c r="F636" t="str">
        <x:v>SMALL</x:v>
      </x:c>
      <x:c r="G636" t="str">
        <x:v>DCF_SCREENING_EXCLUSION</x:v>
      </x:c>
      <x:c r="H636" t="str">
        <x:v>NON_POSITIVE_ENTERPRISE_VALUE|NON_POSITIVE_EQUITY_VALUE|NON_POSITIVE_TERMINAL_FCF</x:v>
      </x:c>
      <x:c r="I636" s="54" t="n">
        <x:v>44286</x:v>
      </x:c>
      <x:c r="J636" s="55" t="n">
        <x:v>787</x:v>
      </x:c>
      <x:c r="K636" s="55" t="n">
        <x:v>44747135820</x:v>
      </x:c>
      <x:c r="L636" s="55" t="n">
        <x:v>56857860</x:v>
      </x:c>
      <x:c r="M636" t="str">
        <x:v>20210322001033</x:v>
      </x:c>
      <x:c r="N636" t="n">
        <x:v>44277.624999988424</x:v>
      </x:c>
      <x:c r="O636" s="54" t="n">
        <x:v>44196</x:v>
      </x:c>
      <x:c r="P636" t="str">
        <x:v>False</x:v>
      </x:c>
      <x:c r="Q636" t="str">
        <x:v>2106ea223b55759e99c628e42f0aa4dd1146510d88b1409612128df1eff9bb36</x:v>
      </x:c>
      <x:c r="R636" t="str">
        <x:v>1bd0848bc249c4a18db15bd306d437f4d88fa539be03604db1eecc8b9aa8505f</x:v>
      </x:c>
      <x:c r="S636" t="n">
        <x:v>7</x:v>
      </x:c>
      <x:c r="T636" t="str">
        <x:v>2018-12-31|2019-12-31|2020-12-31</x:v>
      </x:c>
      <x:c r="U636" s="57" t="n">
        <x:v>-553.6379200498221</x:v>
      </x:c>
      <x:c r="V636" s="57" t="n">
        <x:v>-1.7034789327189608</x:v>
      </x:c>
      <x:c r="W636"/>
      <x:c r="X636"/>
      <x:c r="Y636" s="38" t="n">
        <x:v>0.6409090909090909</x:v>
      </x:c>
      <x:c r="Z636" s="38" t="n">
        <x:v>0.5433432522394165</x:v>
      </x:c>
      <x:c r="AA636" t="str">
        <x:v>NON_POSITIVE_ENTERPRISE_VALUE|NON_POSITIVE_EQUITY_VALUE|NON_POSITIVE_TERMINAL_FCF</x:v>
      </x:c>
    </x:row>
    <x:row r="637">
      <x:c r="A637" s="54" t="n">
        <x:v>44286</x:v>
      </x:c>
      <x:c r="B637" t="n">
        <x:v>44286.624999988424</x:v>
      </x:c>
      <x:c r="C637" t="str">
        <x:v>018500</x:v>
      </x:c>
      <x:c r="D637" t="str">
        <x:v>동원금속</x:v>
      </x:c>
      <x:c r="E637" t="str">
        <x:v>KOSPI</x:v>
      </x:c>
      <x:c r="F637" t="str">
        <x:v>SMALL</x:v>
      </x:c>
      <x:c r="G637" t="str">
        <x:v>DCF_SCREENING_EXCLUSION</x:v>
      </x:c>
      <x:c r="H637" t="str">
        <x:v>NON_POSITIVE_ENTERPRISE_VALUE|NON_POSITIVE_EQUITY_VALUE|NON_POSITIVE_TERMINAL_FCF</x:v>
      </x:c>
      <x:c r="I637" s="54" t="n">
        <x:v>44286</x:v>
      </x:c>
      <x:c r="J637" s="55" t="n">
        <x:v>1190</x:v>
      </x:c>
      <x:c r="K637" s="55" t="n">
        <x:v>55638370270</x:v>
      </x:c>
      <x:c r="L637" s="55" t="n">
        <x:v>46754933</x:v>
      </x:c>
      <x:c r="M637" t="str">
        <x:v>20200629000448</x:v>
      </x:c>
      <x:c r="N637" t="n">
        <x:v>44011.624999988424</x:v>
      </x:c>
      <x:c r="O637" s="54" t="n">
        <x:v>43921</x:v>
      </x:c>
      <x:c r="P637" t="str">
        <x:v>False</x:v>
      </x:c>
      <x:c r="Q637" t="str">
        <x:v>4078bfbeb64f6068bfe485f31adede65f2ccd676ce8bb90fc589e636c66bcfb2</x:v>
      </x:c>
      <x:c r="R637" t="str">
        <x:v>4baefba43fedcc0bd0ac454910e79f98deedee1fb1981f58313b003f1f2f2bcb</x:v>
      </x:c>
      <x:c r="S637" t="n">
        <x:v>6</x:v>
      </x:c>
      <x:c r="T637" t="str">
        <x:v>2019-03-31|2020-03-31</x:v>
      </x:c>
      <x:c r="U637" s="57" t="n">
        <x:v>-5189.122300360644</x:v>
      </x:c>
      <x:c r="V637" s="57" t="n">
        <x:v>-5.360606975092978</x:v>
      </x:c>
      <x:c r="W637"/>
      <x:c r="X637"/>
      <x:c r="Y637" s="38" t="n">
        <x:v>0.6409090909090909</x:v>
      </x:c>
      <x:c r="Z637" s="38" t="n">
        <x:v>0.7733146802971264</x:v>
      </x:c>
      <x:c r="AA637" t="str">
        <x:v>NON_POSITIVE_ENTERPRISE_VALUE|NON_POSITIVE_EQUITY_VALUE|NON_POSITIVE_TERMINAL_FCF</x:v>
      </x:c>
    </x:row>
    <x:row r="638">
      <x:c r="A638" s="54" t="n">
        <x:v>44286</x:v>
      </x:c>
      <x:c r="B638" t="n">
        <x:v>44286.624999988424</x:v>
      </x:c>
      <x:c r="C638" t="str">
        <x:v>004770</x:v>
      </x:c>
      <x:c r="D638" t="str">
        <x:v>써니전자</x:v>
      </x:c>
      <x:c r="E638" t="str">
        <x:v>KOSPI</x:v>
      </x:c>
      <x:c r="F638" t="str">
        <x:v>SMALL</x:v>
      </x:c>
      <x:c r="G638" t="str">
        <x:v>ELIGIBLE</x:v>
      </x:c>
      <x:c r="H638"/>
      <x:c r="I638" s="54" t="n">
        <x:v>44286</x:v>
      </x:c>
      <x:c r="J638" s="55" t="n">
        <x:v>3450</x:v>
      </x:c>
      <x:c r="K638" s="55" t="n">
        <x:v>120215287950</x:v>
      </x:c>
      <x:c r="L638" s="55" t="n">
        <x:v>34845011</x:v>
      </x:c>
      <x:c r="M638" t="str">
        <x:v>20210318001127</x:v>
      </x:c>
      <x:c r="N638" t="n">
        <x:v>44273.624999988424</x:v>
      </x:c>
      <x:c r="O638" s="54" t="n">
        <x:v>44196</x:v>
      </x:c>
      <x:c r="P638" t="str">
        <x:v>False</x:v>
      </x:c>
      <x:c r="Q638" t="str">
        <x:v>8b46655e02d4d6df87342d4e9f3beed4234a02867bf3c0cc2acaf8a4b4b8ceff</x:v>
      </x:c>
      <x:c r="R638" t="str">
        <x:v>2d64983843eedd99a29c8a305de0e6225eef28cdaaf42e87f829e3e2ae667fae</x:v>
      </x:c>
      <x:c r="S638" t="n">
        <x:v>7</x:v>
      </x:c>
      <x:c r="T638" t="str">
        <x:v>2018-12-31|2019-12-31|2020-12-31</x:v>
      </x:c>
      <x:c r="U638" s="57" t="n">
        <x:v>377.3620034860074</x:v>
      </x:c>
      <x:c r="V638" s="57" t="n">
        <x:v>-0.8906197091344906</x:v>
      </x:c>
      <x:c r="W638" t="n">
        <x:v>56</x:v>
      </x:c>
      <x:c r="X638" t="n">
        <x:v>5</x:v>
      </x:c>
      <x:c r="Y638" s="38" t="n">
        <x:v>0.6409090909090909</x:v>
      </x:c>
      <x:c r="Z638" s="38" t="n">
        <x:v>0.6197720007781818</x:v>
      </x:c>
      <x:c r="AA638"/>
    </x:row>
    <x:row r="639">
      <x:c r="A639" s="54" t="n">
        <x:v>44286</x:v>
      </x:c>
      <x:c r="B639" t="n">
        <x:v>44286.624999988424</x:v>
      </x:c>
      <x:c r="C639" t="str">
        <x:v>000890</x:v>
      </x:c>
      <x:c r="D639" t="str">
        <x:v>보해양조</x:v>
      </x:c>
      <x:c r="E639" t="str">
        <x:v>KOSPI</x:v>
      </x:c>
      <x:c r="F639" t="str">
        <x:v>SMALL</x:v>
      </x:c>
      <x:c r="G639" t="str">
        <x:v>DCF_SCREENING_EXCLUSION</x:v>
      </x:c>
      <x:c r="H639" t="str">
        <x:v>NON_POSITIVE_ENTERPRISE_VALUE|NON_POSITIVE_EQUITY_VALUE|NON_POSITIVE_TERMINAL_FCF</x:v>
      </x:c>
      <x:c r="I639" s="54" t="n">
        <x:v>44286</x:v>
      </x:c>
      <x:c r="J639" s="55" t="n">
        <x:v>1130</x:v>
      </x:c>
      <x:c r="K639" s="55" t="n">
        <x:v>144017791490</x:v>
      </x:c>
      <x:c r="L639" s="55" t="n">
        <x:v>127449373</x:v>
      </x:c>
      <x:c r="M639" t="str">
        <x:v>20210319001392</x:v>
      </x:c>
      <x:c r="N639" t="n">
        <x:v>44274.624999988424</x:v>
      </x:c>
      <x:c r="O639" s="54" t="n">
        <x:v>44196</x:v>
      </x:c>
      <x:c r="P639" t="str">
        <x:v>False</x:v>
      </x:c>
      <x:c r="Q639" t="str">
        <x:v>3ebd0ea485dc0545ca2c22786df39759939993a7fe3ad4d4e499c45ece23d6af</x:v>
      </x:c>
      <x:c r="R639" t="str">
        <x:v>3d3a12bbb7c7aba20832505d64161e571ecfdd76d0d3491c6f35c84ea3ed6531</x:v>
      </x:c>
      <x:c r="S639" t="n">
        <x:v>6</x:v>
      </x:c>
      <x:c r="T639" t="str">
        <x:v>2018-12-31|2019-12-31|2020-12-31</x:v>
      </x:c>
      <x:c r="U639" s="57" t="n">
        <x:v>-686.1291739785833</x:v>
      </x:c>
      <x:c r="V639" s="57" t="n">
        <x:v>-1.6071939592730826</x:v>
      </x:c>
      <x:c r="W639"/>
      <x:c r="X639"/>
      <x:c r="Y639" s="38" t="n">
        <x:v>0.6409090909090909</x:v>
      </x:c>
      <x:c r="Z639" s="38" t="n">
        <x:v>0.8074010878060912</x:v>
      </x:c>
      <x:c r="AA639" t="str">
        <x:v>NON_POSITIVE_ENTERPRISE_VALUE|NON_POSITIVE_EQUITY_VALUE|NON_POSITIVE_TERMINAL_FCF</x:v>
      </x:c>
    </x:row>
    <x:row r="640">
      <x:c r="A640" s="54" t="n">
        <x:v>44286</x:v>
      </x:c>
      <x:c r="B640" t="n">
        <x:v>44286.624999988424</x:v>
      </x:c>
      <x:c r="C640" t="str">
        <x:v>021050</x:v>
      </x:c>
      <x:c r="D640" t="str">
        <x:v>서원</x:v>
      </x:c>
      <x:c r="E640" t="str">
        <x:v>KOSPI</x:v>
      </x:c>
      <x:c r="F640" t="str">
        <x:v>SMALL</x:v>
      </x:c>
      <x:c r="G640" t="str">
        <x:v>DCF_SCREENING_EXCLUSION</x:v>
      </x:c>
      <x:c r="H640" t="str">
        <x:v>NON_POSITIVE_EQUITY_VALUE</x:v>
      </x:c>
      <x:c r="I640" s="54" t="n">
        <x:v>44286</x:v>
      </x:c>
      <x:c r="J640" s="55" t="n">
        <x:v>2500</x:v>
      </x:c>
      <x:c r="K640" s="55" t="n">
        <x:v>118686475000</x:v>
      </x:c>
      <x:c r="L640" s="55" t="n">
        <x:v>47474590</x:v>
      </x:c>
      <x:c r="M640" t="str">
        <x:v>20210316000275</x:v>
      </x:c>
      <x:c r="N640" t="n">
        <x:v>44271.624999988424</x:v>
      </x:c>
      <x:c r="O640" s="54" t="n">
        <x:v>44196</x:v>
      </x:c>
      <x:c r="P640" t="str">
        <x:v>True</x:v>
      </x:c>
      <x:c r="Q640" t="str">
        <x:v>73efdb882c6dbec046e0a85be6bef5efcbde2e790f362d5f982aa2fa5d60c28d</x:v>
      </x:c>
      <x:c r="R640" t="str">
        <x:v>d801b90908bf67fc81182c96dfe87d2f4a696a641f898a93e9a55fc352c3b288</x:v>
      </x:c>
      <x:c r="S640" t="n">
        <x:v>6</x:v>
      </x:c>
      <x:c r="T640" t="str">
        <x:v>2018-12-31|2019-12-31|2020-12-31</x:v>
      </x:c>
      <x:c r="U640" s="57" t="n">
        <x:v>-702.0651112505049</x:v>
      </x:c>
      <x:c r="V640" s="57" t="n">
        <x:v>-1.280826044500202</x:v>
      </x:c>
      <x:c r="W640"/>
      <x:c r="X640"/>
      <x:c r="Y640" s="38" t="n">
        <x:v>0.6409090909090909</x:v>
      </x:c>
      <x:c r="Z640" s="38" t="n">
        <x:v>0.4852218699058834</x:v>
      </x:c>
      <x:c r="AA640" t="str">
        <x:v>NON_POSITIVE_EQUITY_VALUE</x:v>
      </x:c>
    </x:row>
    <x:row r="641">
      <x:c r="A641" s="54" t="n">
        <x:v>44286</x:v>
      </x:c>
      <x:c r="B641" t="n">
        <x:v>44286.624999988424</x:v>
      </x:c>
      <x:c r="C641" t="str">
        <x:v>134790</x:v>
      </x:c>
      <x:c r="D641" t="str">
        <x:v>시디즈</x:v>
      </x:c>
      <x:c r="E641" t="str">
        <x:v>KOSPI</x:v>
      </x:c>
      <x:c r="F641" t="str">
        <x:v>SMALL</x:v>
      </x:c>
      <x:c r="G641" t="str">
        <x:v>ELIGIBLE</x:v>
      </x:c>
      <x:c r="H641"/>
      <x:c r="I641" s="54" t="n">
        <x:v>44286</x:v>
      </x:c>
      <x:c r="J641" s="55" t="n">
        <x:v>62200</x:v>
      </x:c>
      <x:c r="K641" s="55" t="n">
        <x:v>124400000000</x:v>
      </x:c>
      <x:c r="L641" s="55" t="n">
        <x:v>2000000</x:v>
      </x:c>
      <x:c r="M641" t="str">
        <x:v>20210318001352</x:v>
      </x:c>
      <x:c r="N641" t="n">
        <x:v>44273.624999988424</x:v>
      </x:c>
      <x:c r="O641" s="54" t="n">
        <x:v>44196</x:v>
      </x:c>
      <x:c r="P641" t="str">
        <x:v>False</x:v>
      </x:c>
      <x:c r="Q641" t="str">
        <x:v>bbec5051fd7d2963b05c2d67dd553210910a0744b4b4b13709d57f8439cfb581</x:v>
      </x:c>
      <x:c r="R641" t="str">
        <x:v>333f706df33904358aee96356488abe24966bbf4f443d47f133e4e13da34c87f</x:v>
      </x:c>
      <x:c r="S641" t="n">
        <x:v>5</x:v>
      </x:c>
      <x:c r="T641" t="str">
        <x:v>2018-12-31|2019-12-31|2020-12-31</x:v>
      </x:c>
      <x:c r="U641" s="57" t="n">
        <x:v>65913.62002204965</x:v>
      </x:c>
      <x:c r="V641" s="57" t="n">
        <x:v>0.059704501962213</x:v>
      </x:c>
      <x:c r="W641" t="n">
        <x:v>14</x:v>
      </x:c>
      <x:c r="X641" t="n">
        <x:v>2</x:v>
      </x:c>
      <x:c r="Y641" s="38" t="n">
        <x:v>0.6409090909090909</x:v>
      </x:c>
      <x:c r="Z641" s="38" t="n">
        <x:v>0.5427113498275224</x:v>
      </x:c>
      <x:c r="AA641"/>
    </x:row>
    <x:row r="642">
      <x:c r="A642" s="54" t="n">
        <x:v>44286</x:v>
      </x:c>
      <x:c r="B642" t="n">
        <x:v>44286.624999988424</x:v>
      </x:c>
      <x:c r="C642" t="str">
        <x:v>004920</x:v>
      </x:c>
      <x:c r="D642" t="str">
        <x:v>씨아이테크</x:v>
      </x:c>
      <x:c r="E642" t="str">
        <x:v>KOSPI</x:v>
      </x:c>
      <x:c r="F642" t="str">
        <x:v>SMALL</x:v>
      </x:c>
      <x:c r="G642" t="str">
        <x:v>DCF_SCREENING_EXCLUSION</x:v>
      </x:c>
      <x:c r="H642" t="str">
        <x:v>NON_POSITIVE_ENTERPRISE_VALUE|NON_POSITIVE_EQUITY_VALUE|NON_POSITIVE_TERMINAL_FCF</x:v>
      </x:c>
      <x:c r="I642" s="54" t="n">
        <x:v>44286</x:v>
      </x:c>
      <x:c r="J642" s="55" t="n">
        <x:v>990</x:v>
      </x:c>
      <x:c r="K642" s="55" t="n">
        <x:v>24820064280</x:v>
      </x:c>
      <x:c r="L642" s="55" t="n">
        <x:v>25070772</x:v>
      </x:c>
      <x:c r="M642" t="str">
        <x:v>20210323001081</x:v>
      </x:c>
      <x:c r="N642" t="n">
        <x:v>44278.624999988424</x:v>
      </x:c>
      <x:c r="O642" s="54" t="n">
        <x:v>44196</x:v>
      </x:c>
      <x:c r="P642" t="str">
        <x:v>False</x:v>
      </x:c>
      <x:c r="Q642" t="str">
        <x:v>af86894a9da638cbbe26af6879fceba9b29f8432394a7dc0115cd3ecb3ebd2d1</x:v>
      </x:c>
      <x:c r="R642" t="str">
        <x:v>84b29ca77e9a53761a735841d595a9a7c4d83833ce8993e57d0682df3ea723d9</x:v>
      </x:c>
      <x:c r="S642" t="n">
        <x:v>6</x:v>
      </x:c>
      <x:c r="T642" t="str">
        <x:v>2018-12-31|2019-12-31|2020-12-31</x:v>
      </x:c>
      <x:c r="U642" s="57" t="n">
        <x:v>-1971.3968827508036</x:v>
      </x:c>
      <x:c r="V642" s="57" t="n">
        <x:v>-2.991309982576569</x:v>
      </x:c>
      <x:c r="W642"/>
      <x:c r="X642"/>
      <x:c r="Y642" s="38" t="n">
        <x:v>0.6409090909090909</x:v>
      </x:c>
      <x:c r="Z642" s="38" t="n">
        <x:v>0.6486341432306945</x:v>
      </x:c>
      <x:c r="AA642" t="str">
        <x:v>NON_POSITIVE_ENTERPRISE_VALUE|NON_POSITIVE_EQUITY_VALUE|NON_POSITIVE_TERMINAL_FCF</x:v>
      </x:c>
    </x:row>
    <x:row r="643">
      <x:c r="A643" s="54" t="n">
        <x:v>44286</x:v>
      </x:c>
      <x:c r="B643" t="n">
        <x:v>44286.624999988424</x:v>
      </x:c>
      <x:c r="C643" t="str">
        <x:v>058730</x:v>
      </x:c>
      <x:c r="D643" t="str">
        <x:v>다스코</x:v>
      </x:c>
      <x:c r="E643" t="str">
        <x:v>KOSPI</x:v>
      </x:c>
      <x:c r="F643" t="str">
        <x:v>SMALL</x:v>
      </x:c>
      <x:c r="G643" t="str">
        <x:v>DCF_SCREENING_EXCLUSION</x:v>
      </x:c>
      <x:c r="H643" t="str">
        <x:v>NON_POSITIVE_ENTERPRISE_VALUE|NON_POSITIVE_EQUITY_VALUE|NON_POSITIVE_TERMINAL_FCF</x:v>
      </x:c>
      <x:c r="I643" s="54" t="n">
        <x:v>44286</x:v>
      </x:c>
      <x:c r="J643" s="55" t="n">
        <x:v>5120</x:v>
      </x:c>
      <x:c r="K643" s="55" t="n">
        <x:v>78848000000</x:v>
      </x:c>
      <x:c r="L643" s="55" t="n">
        <x:v>15400000</x:v>
      </x:c>
      <x:c r="M643" t="str">
        <x:v>20210316001150</x:v>
      </x:c>
      <x:c r="N643" t="n">
        <x:v>44271.624999988424</x:v>
      </x:c>
      <x:c r="O643" s="54" t="n">
        <x:v>44196</x:v>
      </x:c>
      <x:c r="P643" t="str">
        <x:v>False</x:v>
      </x:c>
      <x:c r="Q643" t="str">
        <x:v>8dfc70c6b5993aec2efab81d35934041997bfd958270fd3a3d944e267a7efbba</x:v>
      </x:c>
      <x:c r="R643" t="str">
        <x:v>010b4042ec3eefbdf97231545d2680dde64fc7665586c51d7e217cd2b1fccaa4</x:v>
      </x:c>
      <x:c r="S643" t="n">
        <x:v>7</x:v>
      </x:c>
      <x:c r="T643" t="str">
        <x:v>2019-12-31|2020-12-31</x:v>
      </x:c>
      <x:c r="U643" s="57" t="n">
        <x:v>-15102.572513906836</x:v>
      </x:c>
      <x:c r="V643" s="57" t="n">
        <x:v>-3.949721194122429</x:v>
      </x:c>
      <x:c r="W643"/>
      <x:c r="X643"/>
      <x:c r="Y643" s="38" t="n">
        <x:v>0.6409090909090909</x:v>
      </x:c>
      <x:c r="Z643" s="38" t="n">
        <x:v>0.5914021055729185</x:v>
      </x:c>
      <x:c r="AA643" t="str">
        <x:v>NON_POSITIVE_ENTERPRISE_VALUE|NON_POSITIVE_EQUITY_VALUE|NON_POSITIVE_TERMINAL_FCF</x:v>
      </x:c>
    </x:row>
    <x:row r="644">
      <x:c r="A644" s="54" t="n">
        <x:v>44286</x:v>
      </x:c>
      <x:c r="B644" t="n">
        <x:v>44286.624999988424</x:v>
      </x:c>
      <x:c r="C644" t="str">
        <x:v>465770</x:v>
      </x:c>
      <x:c r="D644" t="str">
        <x:v>STX그린로지스</x:v>
      </x:c>
      <x:c r="E644" t="str">
        <x:v>KOSPI</x:v>
      </x:c>
      <x:c r="F644" t="str">
        <x:v>SMALL</x:v>
      </x:c>
      <x:c r="G644" t="str">
        <x:v>NOT_LISTED_OR_NO_PRICE</x:v>
      </x:c>
      <x:c r="H644"/>
      <x:c r="I644" s="54"/>
      <x:c r="J644" s="55"/>
      <x:c r="K644" s="55"/>
      <x:c r="L644" s="55"/>
      <x:c r="M644"/>
      <x:c r="N644"/>
      <x:c r="O644" s="54"/>
      <x:c r="P644"/>
      <x:c r="Q644"/>
      <x:c r="R644"/>
      <x:c r="S644"/>
      <x:c r="T644"/>
      <x:c r="U644" s="57"/>
      <x:c r="V644" s="57"/>
      <x:c r="W644"/>
      <x:c r="X644"/>
      <x:c r="Y644" s="38"/>
      <x:c r="Z644" s="38"/>
      <x:c r="AA644"/>
    </x:row>
    <x:row r="645">
      <x:c r="A645" s="54" t="n">
        <x:v>44286</x:v>
      </x:c>
      <x:c r="B645" t="n">
        <x:v>44286.624999988424</x:v>
      </x:c>
      <x:c r="C645" t="str">
        <x:v>000950</x:v>
      </x:c>
      <x:c r="D645" t="str">
        <x:v>전방</x:v>
      </x:c>
      <x:c r="E645" t="str">
        <x:v>KOSPI</x:v>
      </x:c>
      <x:c r="F645" t="str">
        <x:v>SMALL</x:v>
      </x:c>
      <x:c r="G645" t="str">
        <x:v>DCF_SCREENING_EXCLUSION</x:v>
      </x:c>
      <x:c r="H645" t="str">
        <x:v>NON_POSITIVE_ENTERPRISE_VALUE|NON_POSITIVE_EQUITY_VALUE|NON_POSITIVE_TERMINAL_FCF</x:v>
      </x:c>
      <x:c r="I645" s="54" t="n">
        <x:v>44286</x:v>
      </x:c>
      <x:c r="J645" s="55" t="n">
        <x:v>39050</x:v>
      </x:c>
      <x:c r="K645" s="55" t="n">
        <x:v>65604000000</x:v>
      </x:c>
      <x:c r="L645" s="55" t="n">
        <x:v>1680000</x:v>
      </x:c>
      <x:c r="M645" t="str">
        <x:v>20210318001043</x:v>
      </x:c>
      <x:c r="N645" t="n">
        <x:v>44273.624999988424</x:v>
      </x:c>
      <x:c r="O645" s="54" t="n">
        <x:v>44196</x:v>
      </x:c>
      <x:c r="P645" t="str">
        <x:v>True</x:v>
      </x:c>
      <x:c r="Q645" t="str">
        <x:v>b9fce772dc76b7ae2389c35c5f42b15687248a14ec4558001dc0b3fd7b82c14f</x:v>
      </x:c>
      <x:c r="R645" t="str">
        <x:v>b2af0a79a767b6ea71178f9d2c455f0dc00e1e9c048e495347b3014fccc714b3</x:v>
      </x:c>
      <x:c r="S645" t="n">
        <x:v>6</x:v>
      </x:c>
      <x:c r="T645" t="str">
        <x:v>2018-12-31|2019-12-31|2020-12-31</x:v>
      </x:c>
      <x:c r="U645" s="57" t="n">
        <x:v>-162503.159462934</x:v>
      </x:c>
      <x:c r="V645" s="57" t="n">
        <x:v>-5.161412534262075</x:v>
      </x:c>
      <x:c r="W645"/>
      <x:c r="X645"/>
      <x:c r="Y645" s="38" t="n">
        <x:v>0.6409090909090909</x:v>
      </x:c>
      <x:c r="Z645" s="38" t="n">
        <x:v>0.6472126296725118</x:v>
      </x:c>
      <x:c r="AA645" t="str">
        <x:v>NON_POSITIVE_ENTERPRISE_VALUE|NON_POSITIVE_EQUITY_VALUE|NON_POSITIVE_TERMINAL_FCF</x:v>
      </x:c>
    </x:row>
    <x:row r="646">
      <x:c r="A646" s="54" t="n">
        <x:v>44286</x:v>
      </x:c>
      <x:c r="B646" t="n">
        <x:v>44286.624999988424</x:v>
      </x:c>
      <x:c r="C646" t="str">
        <x:v>019180</x:v>
      </x:c>
      <x:c r="D646" t="str">
        <x:v>티에이치엔</x:v>
      </x:c>
      <x:c r="E646" t="str">
        <x:v>KOSPI</x:v>
      </x:c>
      <x:c r="F646" t="str">
        <x:v>SMALL</x:v>
      </x:c>
      <x:c r="G646" t="str">
        <x:v>DCF_SCREENING_EXCLUSION</x:v>
      </x:c>
      <x:c r="H646" t="str">
        <x:v>NON_POSITIVE_EQUITY_VALUE</x:v>
      </x:c>
      <x:c r="I646" s="54" t="n">
        <x:v>44286</x:v>
      </x:c>
      <x:c r="J646" s="55" t="n">
        <x:v>3170</x:v>
      </x:c>
      <x:c r="K646" s="55" t="n">
        <x:v>57060000000</x:v>
      </x:c>
      <x:c r="L646" s="55" t="n">
        <x:v>18000000</x:v>
      </x:c>
      <x:c r="M646" t="str">
        <x:v>20210322000959</x:v>
      </x:c>
      <x:c r="N646" t="n">
        <x:v>44277.624999988424</x:v>
      </x:c>
      <x:c r="O646" s="54" t="n">
        <x:v>44196</x:v>
      </x:c>
      <x:c r="P646" t="str">
        <x:v>False</x:v>
      </x:c>
      <x:c r="Q646" t="str">
        <x:v>dcc2eb809f089d8f0282266cd53a4e0a7dffd3144c6f92583d2a74e829b95a88</x:v>
      </x:c>
      <x:c r="R646" t="str">
        <x:v>45f16c0a252fa9b1dfc1521848f4f7956a7b81d8e6aca21436581ee34fc2bd09</x:v>
      </x:c>
      <x:c r="S646" t="n">
        <x:v>6</x:v>
      </x:c>
      <x:c r="T646" t="str">
        <x:v>2018-12-31|2019-12-31|2020-12-31</x:v>
      </x:c>
      <x:c r="U646" s="57" t="n">
        <x:v>-406.0032717832165</x:v>
      </x:c>
      <x:c r="V646" s="57" t="n">
        <x:v>-1.12807674188745</x:v>
      </x:c>
      <x:c r="W646"/>
      <x:c r="X646"/>
      <x:c r="Y646" s="38" t="n">
        <x:v>0.6409090909090909</x:v>
      </x:c>
      <x:c r="Z646" s="38" t="n">
        <x:v>0.6691391429386849</x:v>
      </x:c>
      <x:c r="AA646" t="str">
        <x:v>NON_POSITIVE_EQUITY_VALUE</x:v>
      </x:c>
    </x:row>
    <x:row r="647">
      <x:c r="A647" s="54" t="n">
        <x:v>44286</x:v>
      </x:c>
      <x:c r="B647" t="n">
        <x:v>44286.624999988424</x:v>
      </x:c>
      <x:c r="C647" t="str">
        <x:v>020760</x:v>
      </x:c>
      <x:c r="D647" t="str">
        <x:v>일진디스플</x:v>
      </x:c>
      <x:c r="E647" t="str">
        <x:v>KOSPI</x:v>
      </x:c>
      <x:c r="F647" t="str">
        <x:v>SMALL</x:v>
      </x:c>
      <x:c r="G647" t="str">
        <x:v>DCF_SCREENING_EXCLUSION</x:v>
      </x:c>
      <x:c r="H647" t="str">
        <x:v>NON_POSITIVE_ENTERPRISE_VALUE|NON_POSITIVE_EQUITY_VALUE|NON_POSITIVE_TERMINAL_FCF</x:v>
      </x:c>
      <x:c r="I647" s="54" t="n">
        <x:v>44286</x:v>
      </x:c>
      <x:c r="J647" s="55" t="n">
        <x:v>4490</x:v>
      </x:c>
      <x:c r="K647" s="55" t="n">
        <x:v>154762604140</x:v>
      </x:c>
      <x:c r="L647" s="55" t="n">
        <x:v>34468286</x:v>
      </x:c>
      <x:c r="M647" t="str">
        <x:v>20210322000864</x:v>
      </x:c>
      <x:c r="N647" t="n">
        <x:v>44277.624999988424</x:v>
      </x:c>
      <x:c r="O647" s="54" t="n">
        <x:v>44196</x:v>
      </x:c>
      <x:c r="P647" t="str">
        <x:v>False</x:v>
      </x:c>
      <x:c r="Q647" t="str">
        <x:v>e9f4664126663cbf637197aa770940321f9f688bdb470a5399e39067f4e252f2</x:v>
      </x:c>
      <x:c r="R647" t="str">
        <x:v>6950d488aab80f446aa4eb46a2b5e0821eb5f2f08677512a5cd21decf601d04c</x:v>
      </x:c>
      <x:c r="S647" t="n">
        <x:v>6</x:v>
      </x:c>
      <x:c r="T647" t="str">
        <x:v>2018-12-31|2019-12-31|2020-12-31</x:v>
      </x:c>
      <x:c r="U647" s="57" t="n">
        <x:v>-4177.04498744415</x:v>
      </x:c>
      <x:c r="V647" s="57" t="n">
        <x:v>-1.9302995517692985</x:v>
      </x:c>
      <x:c r="W647"/>
      <x:c r="X647"/>
      <x:c r="Y647" s="38" t="n">
        <x:v>0.6409090909090909</x:v>
      </x:c>
      <x:c r="Z647" s="38" t="n">
        <x:v>0.6150493354495464</x:v>
      </x:c>
      <x:c r="AA647" t="str">
        <x:v>NON_POSITIVE_ENTERPRISE_VALUE|NON_POSITIVE_EQUITY_VALUE|NON_POSITIVE_TERMINAL_FCF</x:v>
      </x:c>
    </x:row>
    <x:row r="648">
      <x:c r="A648" s="54" t="n">
        <x:v>44286</x:v>
      </x:c>
      <x:c r="B648" t="n">
        <x:v>44286.624999988424</x:v>
      </x:c>
      <x:c r="C648" t="str">
        <x:v>069640</x:v>
      </x:c>
      <x:c r="D648" t="str">
        <x:v>한세엠케이</x:v>
      </x:c>
      <x:c r="E648" t="str">
        <x:v>KOSPI</x:v>
      </x:c>
      <x:c r="F648" t="str">
        <x:v>SMALL</x:v>
      </x:c>
      <x:c r="G648" t="str">
        <x:v>DCF_SCREENING_EXCLUSION</x:v>
      </x:c>
      <x:c r="H648" t="str">
        <x:v>NON_POSITIVE_ENTERPRISE_VALUE|NON_POSITIVE_EQUITY_VALUE|NON_POSITIVE_TERMINAL_FCF</x:v>
      </x:c>
      <x:c r="I648" s="54" t="n">
        <x:v>44286</x:v>
      </x:c>
      <x:c r="J648" s="55" t="n">
        <x:v>3810</x:v>
      </x:c>
      <x:c r="K648" s="55" t="n">
        <x:v>49184516820</x:v>
      </x:c>
      <x:c r="L648" s="55" t="n">
        <x:v>12909322</x:v>
      </x:c>
      <x:c r="M648" t="str">
        <x:v>20210317000840</x:v>
      </x:c>
      <x:c r="N648" t="n">
        <x:v>44272.624999988424</x:v>
      </x:c>
      <x:c r="O648" s="54" t="n">
        <x:v>44196</x:v>
      </x:c>
      <x:c r="P648" t="str">
        <x:v>False</x:v>
      </x:c>
      <x:c r="Q648" t="str">
        <x:v>30070d2f86e7097f4ab06bbd9e803616ed683652123719f330f3ffd5fd22061f</x:v>
      </x:c>
      <x:c r="R648" t="str">
        <x:v>1a287fbe09384b59e5d44ee21b46541e4adcd34e611491cf8692e82320de6d79</x:v>
      </x:c>
      <x:c r="S648" t="n">
        <x:v>6</x:v>
      </x:c>
      <x:c r="T648" t="str">
        <x:v>2018-12-31|2019-12-31|2020-12-31</x:v>
      </x:c>
      <x:c r="U648" s="57" t="n">
        <x:v>-10888.3580812113</x:v>
      </x:c>
      <x:c r="V648" s="57" t="n">
        <x:v>-3.8578367667221256</x:v>
      </x:c>
      <x:c r="W648"/>
      <x:c r="X648"/>
      <x:c r="Y648" s="38" t="n">
        <x:v>0.6409090909090909</x:v>
      </x:c>
      <x:c r="Z648" s="38" t="n">
        <x:v>0.6903042520738043</x:v>
      </x:c>
      <x:c r="AA648" t="str">
        <x:v>NON_POSITIVE_ENTERPRISE_VALUE|NON_POSITIVE_EQUITY_VALUE|NON_POSITIVE_TERMINAL_FCF</x:v>
      </x:c>
    </x:row>
    <x:row r="649">
      <x:c r="A649" s="54" t="n">
        <x:v>44286</x:v>
      </x:c>
      <x:c r="B649" t="n">
        <x:v>44286.624999988424</x:v>
      </x:c>
      <x:c r="C649" t="str">
        <x:v>000040</x:v>
      </x:c>
      <x:c r="D649" t="str">
        <x:v>KR모터스</x:v>
      </x:c>
      <x:c r="E649" t="str">
        <x:v>KOSPI</x:v>
      </x:c>
      <x:c r="F649" t="str">
        <x:v>SMALL</x:v>
      </x:c>
      <x:c r="G649" t="str">
        <x:v>DCF_SCREENING_EXCLUSION</x:v>
      </x:c>
      <x:c r="H649" t="str">
        <x:v>NON_POSITIVE_ENTERPRISE_VALUE|NON_POSITIVE_EQUITY_VALUE|NON_POSITIVE_TERMINAL_FCF</x:v>
      </x:c>
      <x:c r="I649" s="54" t="n">
        <x:v>44286</x:v>
      </x:c>
      <x:c r="J649" s="55" t="n">
        <x:v>1315</x:v>
      </x:c>
      <x:c r="K649" s="55" t="n">
        <x:v>126420638920</x:v>
      </x:c>
      <x:c r="L649" s="55" t="n">
        <x:v>96137368</x:v>
      </x:c>
      <x:c r="M649" t="str">
        <x:v>20210322000894</x:v>
      </x:c>
      <x:c r="N649" t="n">
        <x:v>44277.624999988424</x:v>
      </x:c>
      <x:c r="O649" s="54" t="n">
        <x:v>44196</x:v>
      </x:c>
      <x:c r="P649" t="str">
        <x:v>False</x:v>
      </x:c>
      <x:c r="Q649" t="str">
        <x:v>32730308c1179d81214edd84bb6f3c6bd7008b5c3e9b979f9c1d09ea04f35077</x:v>
      </x:c>
      <x:c r="R649" t="str">
        <x:v>968b10afb418bce0ef16d9259e23e33f1bb845c955763eed1aac3733bcf42acf</x:v>
      </x:c>
      <x:c r="S649" t="n">
        <x:v>5</x:v>
      </x:c>
      <x:c r="T649" t="str">
        <x:v>2018-12-31|2019-12-31|2020-12-31</x:v>
      </x:c>
      <x:c r="U649" s="57" t="n">
        <x:v>-1947.480309538163</x:v>
      </x:c>
      <x:c r="V649" s="57" t="n">
        <x:v>-2.480973619420656</x:v>
      </x:c>
      <x:c r="W649"/>
      <x:c r="X649"/>
      <x:c r="Y649" s="38" t="n">
        <x:v>0.6409090909090909</x:v>
      </x:c>
      <x:c r="Z649" s="38" t="n">
        <x:v>0.7887537334802602</x:v>
      </x:c>
      <x:c r="AA649" t="str">
        <x:v>NON_POSITIVE_ENTERPRISE_VALUE|NON_POSITIVE_EQUITY_VALUE|NON_POSITIVE_TERMINAL_FCF</x:v>
      </x:c>
    </x:row>
    <x:row r="650">
      <x:c r="A650" s="54" t="n">
        <x:v>44286</x:v>
      </x:c>
      <x:c r="B650" t="n">
        <x:v>44286.624999988424</x:v>
      </x:c>
      <x:c r="C650" t="str">
        <x:v>003680</x:v>
      </x:c>
      <x:c r="D650" t="str">
        <x:v>한성기업</x:v>
      </x:c>
      <x:c r="E650" t="str">
        <x:v>KOSPI</x:v>
      </x:c>
      <x:c r="F650" t="str">
        <x:v>SMALL</x:v>
      </x:c>
      <x:c r="G650" t="str">
        <x:v>DCF_SCREENING_EXCLUSION</x:v>
      </x:c>
      <x:c r="H650" t="str">
        <x:v>NON_POSITIVE_EQUITY_VALUE</x:v>
      </x:c>
      <x:c r="I650" s="54" t="n">
        <x:v>44286</x:v>
      </x:c>
      <x:c r="J650" s="55" t="n">
        <x:v>7990</x:v>
      </x:c>
      <x:c r="K650" s="55" t="n">
        <x:v>49614024850</x:v>
      </x:c>
      <x:c r="L650" s="55" t="n">
        <x:v>6209515</x:v>
      </x:c>
      <x:c r="M650" t="str">
        <x:v>20210322000152</x:v>
      </x:c>
      <x:c r="N650" t="n">
        <x:v>44277.624999988424</x:v>
      </x:c>
      <x:c r="O650" s="54" t="n">
        <x:v>44196</x:v>
      </x:c>
      <x:c r="P650" t="str">
        <x:v>True</x:v>
      </x:c>
      <x:c r="Q650" t="str">
        <x:v>efeec4d3b38f9274eedc700cd2807e8ed15ade31c6742205682368ca66029143</x:v>
      </x:c>
      <x:c r="R650" t="str">
        <x:v>bad2421615f0e13c16eb4371712d3e4dd68882d593259d2a94207c9534a038fd</x:v>
      </x:c>
      <x:c r="S650" t="n">
        <x:v>7</x:v>
      </x:c>
      <x:c r="T650" t="str">
        <x:v>2018-12-31|2019-12-31|2020-12-31</x:v>
      </x:c>
      <x:c r="U650" s="57" t="n">
        <x:v>-11051.577569534671</x:v>
      </x:c>
      <x:c r="V650" s="57" t="n">
        <x:v>-2.3831761663998337</x:v>
      </x:c>
      <x:c r="W650"/>
      <x:c r="X650"/>
      <x:c r="Y650" s="38" t="n">
        <x:v>0.6409090909090909</x:v>
      </x:c>
      <x:c r="Z650" s="38" t="n">
        <x:v>0.19687524560489636</x:v>
      </x:c>
      <x:c r="AA650" t="str">
        <x:v>NON_POSITIVE_EQUITY_VALUE</x:v>
      </x:c>
    </x:row>
    <x:row r="651">
      <x:c r="A651" s="54" t="n">
        <x:v>44286</x:v>
      </x:c>
      <x:c r="B651" t="n">
        <x:v>44286.624999988424</x:v>
      </x:c>
      <x:c r="C651" t="str">
        <x:v>008600</x:v>
      </x:c>
      <x:c r="D651" t="str">
        <x:v>윌비스</x:v>
      </x:c>
      <x:c r="E651" t="str">
        <x:v>KOSPI</x:v>
      </x:c>
      <x:c r="F651" t="str">
        <x:v>SMALL</x:v>
      </x:c>
      <x:c r="G651" t="str">
        <x:v>DCF_SCREENING_EXCLUSION</x:v>
      </x:c>
      <x:c r="H651" t="str">
        <x:v>NON_POSITIVE_EQUITY_VALUE|NON_POSITIVE_TERMINAL_FCF|UNRELIABLE_TERMINAL_VALUE_SHARE</x:v>
      </x:c>
      <x:c r="I651" s="54" t="n">
        <x:v>44286</x:v>
      </x:c>
      <x:c r="J651" s="55" t="n">
        <x:v>1680</x:v>
      </x:c>
      <x:c r="K651" s="55" t="n">
        <x:v>110496812160</x:v>
      </x:c>
      <x:c r="L651" s="55" t="n">
        <x:v>65771912</x:v>
      </x:c>
      <x:c r="M651" t="str">
        <x:v>20210323000575</x:v>
      </x:c>
      <x:c r="N651" t="n">
        <x:v>44278.624999988424</x:v>
      </x:c>
      <x:c r="O651" s="54" t="n">
        <x:v>44196</x:v>
      </x:c>
      <x:c r="P651" t="str">
        <x:v>False</x:v>
      </x:c>
      <x:c r="Q651" t="str">
        <x:v>b719febfb263d74f5c1a95f9e34a3677e22a09d5a6b7a4fc66ff5c11becddb8f</x:v>
      </x:c>
      <x:c r="R651" t="str">
        <x:v>8965383f39a54d1e7c95ea3cb7e0d32a5909d20f877ae176394fcf3133590f04</x:v>
      </x:c>
      <x:c r="S651" t="n">
        <x:v>6</x:v>
      </x:c>
      <x:c r="T651" t="str">
        <x:v>2018-12-31|2019-12-31|2020-12-31</x:v>
      </x:c>
      <x:c r="U651" s="57" t="n">
        <x:v>-1915.9158885555178</x:v>
      </x:c>
      <x:c r="V651" s="57" t="n">
        <x:v>-2.140426124140189</x:v>
      </x:c>
      <x:c r="W651"/>
      <x:c r="X651"/>
      <x:c r="Y651" s="38" t="n">
        <x:v>0.6409090909090909</x:v>
      </x:c>
      <x:c r="Z651" s="38" t="n">
        <x:v>-2.2264923648105195</x:v>
      </x:c>
      <x:c r="AA651" t="str">
        <x:v>NON_POSITIVE_EQUITY_VALUE|NON_POSITIVE_TERMINAL_FCF|UNRELIABLE_TERMINAL_VALUE_SHARE</x:v>
      </x:c>
    </x:row>
    <x:row r="652">
      <x:c r="A652" s="54" t="n">
        <x:v>44286</x:v>
      </x:c>
      <x:c r="B652" t="n">
        <x:v>44286.624999988424</x:v>
      </x:c>
      <x:c r="C652" t="str">
        <x:v>018310</x:v>
      </x:c>
      <x:c r="D652" t="str">
        <x:v>삼목에스폼</x:v>
      </x:c>
      <x:c r="E652" t="str">
        <x:v>KOSDAQ</x:v>
      </x:c>
      <x:c r="F652" t="str">
        <x:v>MID</x:v>
      </x:c>
      <x:c r="G652" t="str">
        <x:v>DCF_SCREENING_EXCLUSION</x:v>
      </x:c>
      <x:c r="H652" t="str">
        <x:v>NON_POSITIVE_ENTERPRISE_VALUE|UNRELIABLE_TERMINAL_VALUE_SHARE</x:v>
      </x:c>
      <x:c r="I652" s="54" t="n">
        <x:v>44286</x:v>
      </x:c>
      <x:c r="J652" s="55" t="n">
        <x:v>13850</x:v>
      </x:c>
      <x:c r="K652" s="55" t="n">
        <x:v>203595000000</x:v>
      </x:c>
      <x:c r="L652" s="55" t="n">
        <x:v>14700000</x:v>
      </x:c>
      <x:c r="M652" t="str">
        <x:v>20210318000660</x:v>
      </x:c>
      <x:c r="N652" t="n">
        <x:v>44273.624999988424</x:v>
      </x:c>
      <x:c r="O652" s="54" t="n">
        <x:v>44196</x:v>
      </x:c>
      <x:c r="P652" t="str">
        <x:v>False</x:v>
      </x:c>
      <x:c r="Q652" t="str">
        <x:v>0968ddf45c46f5b5ece0fa3f55863f8d70775ef917e4fe3a6b1f4cd41ceb84fd</x:v>
      </x:c>
      <x:c r="R652" t="str">
        <x:v>cf8157956af728228c6ed8ddd84096cf915b8edfe6efd9d2602309f87029c94e</x:v>
      </x:c>
      <x:c r="S652" t="n">
        <x:v>5</x:v>
      </x:c>
      <x:c r="T652" t="str">
        <x:v>2018-12-31|2019-12-31|2020-12-31</x:v>
      </x:c>
      <x:c r="U652" s="57" t="n">
        <x:v>2791.2134406764662</x:v>
      </x:c>
      <x:c r="V652" s="57" t="n">
        <x:v>-0.7984683436334682</x:v>
      </x:c>
      <x:c r="W652"/>
      <x:c r="X652"/>
      <x:c r="Y652" s="38" t="n">
        <x:v>0.6409090909090909</x:v>
      </x:c>
      <x:c r="Z652" s="38" t="n">
        <x:v>-0.7585311035244523</x:v>
      </x:c>
      <x:c r="AA652" t="str">
        <x:v>NON_POSITIVE_ENTERPRISE_VALUE|UNRELIABLE_TERMINAL_VALUE_SHARE</x:v>
      </x:c>
    </x:row>
    <x:row r="653">
      <x:c r="A653" s="54" t="n">
        <x:v>44286</x:v>
      </x:c>
      <x:c r="B653" t="n">
        <x:v>44286.624999988424</x:v>
      </x:c>
      <x:c r="C653" t="str">
        <x:v>090360</x:v>
      </x:c>
      <x:c r="D653" t="str">
        <x:v>로보스타</x:v>
      </x:c>
      <x:c r="E653" t="str">
        <x:v>KOSDAQ</x:v>
      </x:c>
      <x:c r="F653" t="str">
        <x:v>MID</x:v>
      </x:c>
      <x:c r="G653" t="str">
        <x:v>DCF_SCREENING_EXCLUSION</x:v>
      </x:c>
      <x:c r="H653" t="str">
        <x:v>NON_POSITIVE_ENTERPRISE_VALUE|NON_POSITIVE_EQUITY_VALUE|NON_POSITIVE_TERMINAL_FCF</x:v>
      </x:c>
      <x:c r="I653" s="54" t="n">
        <x:v>44286</x:v>
      </x:c>
      <x:c r="J653" s="55" t="n">
        <x:v>23700</x:v>
      </x:c>
      <x:c r="K653" s="55" t="n">
        <x:v>231075000000</x:v>
      </x:c>
      <x:c r="L653" s="55" t="n">
        <x:v>9750000</x:v>
      </x:c>
      <x:c r="M653" t="str">
        <x:v>20210318001032</x:v>
      </x:c>
      <x:c r="N653" t="n">
        <x:v>44273.624999988424</x:v>
      </x:c>
      <x:c r="O653" s="54" t="n">
        <x:v>44196</x:v>
      </x:c>
      <x:c r="P653" t="str">
        <x:v>False</x:v>
      </x:c>
      <x:c r="Q653" t="str">
        <x:v>88cb4cf0a36d9a74f35d1e6787172797f475075497b17a9d6c93468881b8ad59</x:v>
      </x:c>
      <x:c r="R653" t="str">
        <x:v>393cd3fc96dccdfcdecb18a4d5c483279ff025dd456a302734e96c47758e5d19</x:v>
      </x:c>
      <x:c r="S653" t="n">
        <x:v>5</x:v>
      </x:c>
      <x:c r="T653" t="str">
        <x:v>2018-12-31|2019-12-31|2020-12-31</x:v>
      </x:c>
      <x:c r="U653" s="57" t="n">
        <x:v>-3238.2249346541503</x:v>
      </x:c>
      <x:c r="V653" s="57" t="n">
        <x:v>-1.1366339634875169</x:v>
      </x:c>
      <x:c r="W653"/>
      <x:c r="X653"/>
      <x:c r="Y653" s="38" t="n">
        <x:v>0.6409090909090909</x:v>
      </x:c>
      <x:c r="Z653" s="38" t="n">
        <x:v>0.5481038802902851</x:v>
      </x:c>
      <x:c r="AA653" t="str">
        <x:v>NON_POSITIVE_ENTERPRISE_VALUE|NON_POSITIVE_EQUITY_VALUE|NON_POSITIVE_TERMINAL_FCF</x:v>
      </x:c>
    </x:row>
    <x:row r="654">
      <x:c r="A654" s="54" t="n">
        <x:v>44286</x:v>
      </x:c>
      <x:c r="B654" t="n">
        <x:v>44286.624999988424</x:v>
      </x:c>
      <x:c r="C654" t="str">
        <x:v>144960</x:v>
      </x:c>
      <x:c r="D654" t="str">
        <x:v>뉴파워프라즈마</x:v>
      </x:c>
      <x:c r="E654" t="str">
        <x:v>KOSDAQ</x:v>
      </x:c>
      <x:c r="F654" t="str">
        <x:v>MID</x:v>
      </x:c>
      <x:c r="G654" t="str">
        <x:v>DCF_SCREENING_EXCLUSION</x:v>
      </x:c>
      <x:c r="H654" t="str">
        <x:v>UNRELIABLE_TERMINAL_VALUE_SHARE</x:v>
      </x:c>
      <x:c r="I654" s="54" t="n">
        <x:v>44286</x:v>
      </x:c>
      <x:c r="J654" s="55" t="n">
        <x:v>6290</x:v>
      </x:c>
      <x:c r="K654" s="55" t="n">
        <x:v>274826604960</x:v>
      </x:c>
      <x:c r="L654" s="55" t="n">
        <x:v>43692624</x:v>
      </x:c>
      <x:c r="M654" t="str">
        <x:v>20210322001043</x:v>
      </x:c>
      <x:c r="N654" t="n">
        <x:v>44277.624999988424</x:v>
      </x:c>
      <x:c r="O654" s="54" t="n">
        <x:v>44196</x:v>
      </x:c>
      <x:c r="P654" t="str">
        <x:v>False</x:v>
      </x:c>
      <x:c r="Q654" t="str">
        <x:v>0c49b0c44aed8480204596cb9ab5fc70581ef109a5fe5764ce7b44b0ecd57a12</x:v>
      </x:c>
      <x:c r="R654" t="str">
        <x:v>3aef6d34c519b65ed18c7618dd48bdc052607579f27fc1e824942164578c0f0e</x:v>
      </x:c>
      <x:c r="S654" t="n">
        <x:v>6</x:v>
      </x:c>
      <x:c r="T654" t="str">
        <x:v>2018-12-31|2019-12-31|2020-12-31</x:v>
      </x:c>
      <x:c r="U654" s="57" t="n">
        <x:v>324.0689461379253</x:v>
      </x:c>
      <x:c r="V654" s="57" t="n">
        <x:v>-0.9484787049065302</x:v>
      </x:c>
      <x:c r="W654"/>
      <x:c r="X654"/>
      <x:c r="Y654" s="38" t="n">
        <x:v>0.6409090909090909</x:v>
      </x:c>
      <x:c r="Z654" s="38" t="n">
        <x:v>0.9251796654018068</x:v>
      </x:c>
      <x:c r="AA654" t="str">
        <x:v>UNRELIABLE_TERMINAL_VALUE_SHARE</x:v>
      </x:c>
    </x:row>
    <x:row r="655">
      <x:c r="A655" s="54" t="n">
        <x:v>44286</x:v>
      </x:c>
      <x:c r="B655" t="n">
        <x:v>44286.624999988424</x:v>
      </x:c>
      <x:c r="C655" t="str">
        <x:v>065660</x:v>
      </x:c>
      <x:c r="D655" t="str">
        <x:v>안트로젠</x:v>
      </x:c>
      <x:c r="E655" t="str">
        <x:v>KOSDAQ</x:v>
      </x:c>
      <x:c r="F655" t="str">
        <x:v>MID</x:v>
      </x:c>
      <x:c r="G655" t="str">
        <x:v>DCF_SCREENING_EXCLUSION</x:v>
      </x:c>
      <x:c r="H655" t="str">
        <x:v>NON_POSITIVE_ENTERPRISE_VALUE|NON_POSITIVE_TERMINAL_FCF</x:v>
      </x:c>
      <x:c r="I655" s="54" t="n">
        <x:v>44286</x:v>
      </x:c>
      <x:c r="J655" s="55" t="n">
        <x:v>49050</x:v>
      </x:c>
      <x:c r="K655" s="55" t="n">
        <x:v>446037842700</x:v>
      </x:c>
      <x:c r="L655" s="55" t="n">
        <x:v>9093534</x:v>
      </x:c>
      <x:c r="M655" t="str">
        <x:v>20210315000002</x:v>
      </x:c>
      <x:c r="N655" t="n">
        <x:v>44270.624999988424</x:v>
      </x:c>
      <x:c r="O655" s="54" t="n">
        <x:v>44196</x:v>
      </x:c>
      <x:c r="P655" t="str">
        <x:v>False</x:v>
      </x:c>
      <x:c r="Q655" t="str">
        <x:v>f790bb641fc8923629d01be4b44372918f47e1457d43f9702e1d928f906e2df7</x:v>
      </x:c>
      <x:c r="R655" t="str">
        <x:v>447097aec83464bf7d9b5af77409f0f42d91639bbe94b998fc3c95584b3271f1</x:v>
      </x:c>
      <x:c r="S655" t="n">
        <x:v>7</x:v>
      </x:c>
      <x:c r="T655" t="str">
        <x:v>2018-12-31|2019-12-31|2020-12-31</x:v>
      </x:c>
      <x:c r="U655" s="57" t="n">
        <x:v>2204.5004320448384</x:v>
      </x:c>
      <x:c r="V655" s="57" t="n">
        <x:v>-0.9550560564312979</x:v>
      </x:c>
      <x:c r="W655"/>
      <x:c r="X655"/>
      <x:c r="Y655" s="38" t="n">
        <x:v>0.6409090909090909</x:v>
      </x:c>
      <x:c r="Z655" s="38" t="n">
        <x:v>0.6658765171775003</x:v>
      </x:c>
      <x:c r="AA655" t="str">
        <x:v>NON_POSITIVE_ENTERPRISE_VALUE|NON_POSITIVE_TERMINAL_FCF</x:v>
      </x:c>
    </x:row>
    <x:row r="656">
      <x:c r="A656" s="54" t="n">
        <x:v>44286</x:v>
      </x:c>
      <x:c r="B656" t="n">
        <x:v>44286.624999988424</x:v>
      </x:c>
      <x:c r="C656" t="str">
        <x:v>255220</x:v>
      </x:c>
      <x:c r="D656" t="str">
        <x:v>SG</x:v>
      </x:c>
      <x:c r="E656" t="str">
        <x:v>KOSDAQ</x:v>
      </x:c>
      <x:c r="F656" t="str">
        <x:v>MID</x:v>
      </x:c>
      <x:c r="G656" t="str">
        <x:v>DCF_SCREENING_EXCLUSION</x:v>
      </x:c>
      <x:c r="H656" t="str">
        <x:v>NON_POSITIVE_EQUITY_VALUE</x:v>
      </x:c>
      <x:c r="I656" s="54" t="n">
        <x:v>44286</x:v>
      </x:c>
      <x:c r="J656" s="55" t="n">
        <x:v>1900</x:v>
      </x:c>
      <x:c r="K656" s="55" t="n">
        <x:v>70552711400</x:v>
      </x:c>
      <x:c r="L656" s="55" t="n">
        <x:v>37133006</x:v>
      </x:c>
      <x:c r="M656" t="str">
        <x:v>20210324000133</x:v>
      </x:c>
      <x:c r="N656" t="n">
        <x:v>44279.624999988424</x:v>
      </x:c>
      <x:c r="O656" s="54" t="n">
        <x:v>44196</x:v>
      </x:c>
      <x:c r="P656" t="str">
        <x:v>False</x:v>
      </x:c>
      <x:c r="Q656" t="str">
        <x:v>0adef5a32b3a0bad9fad2d959acb393808bf778b0d2a2bfb31934aa6f5c7d6f0</x:v>
      </x:c>
      <x:c r="R656" t="str">
        <x:v>49184b327f54bf68f48deaae6b1eb6f1331aa67243bace168e6de38dee8216bb</x:v>
      </x:c>
      <x:c r="S656" t="n">
        <x:v>6</x:v>
      </x:c>
      <x:c r="T656" t="str">
        <x:v>2018-12-31|2019-12-31|2020-12-31</x:v>
      </x:c>
      <x:c r="U656" s="57" t="n">
        <x:v>-102.44549654786015</x:v>
      </x:c>
      <x:c r="V656" s="57" t="n">
        <x:v>-1.0539186823936106</x:v>
      </x:c>
      <x:c r="W656"/>
      <x:c r="X656"/>
      <x:c r="Y656" s="38" t="n">
        <x:v>0.6409090909090909</x:v>
      </x:c>
      <x:c r="Z656" s="38" t="n">
        <x:v>0.7805488705122708</x:v>
      </x:c>
      <x:c r="AA656" t="str">
        <x:v>NON_POSITIVE_EQUITY_VALUE</x:v>
      </x:c>
    </x:row>
    <x:row r="657">
      <x:c r="A657" s="54" t="n">
        <x:v>44286</x:v>
      </x:c>
      <x:c r="B657" t="n">
        <x:v>44286.624999988424</x:v>
      </x:c>
      <x:c r="C657" t="str">
        <x:v>356680</x:v>
      </x:c>
      <x:c r="D657" t="str">
        <x:v>엑스게이트</x:v>
      </x:c>
      <x:c r="E657" t="str">
        <x:v>KOSDAQ</x:v>
      </x:c>
      <x:c r="F657" t="str">
        <x:v>MID</x:v>
      </x:c>
      <x:c r="G657" t="str">
        <x:v>NOT_LISTED_OR_NO_PRICE</x:v>
      </x:c>
      <x:c r="H657"/>
      <x:c r="I657" s="54"/>
      <x:c r="J657" s="55"/>
      <x:c r="K657" s="55"/>
      <x:c r="L657" s="55"/>
      <x:c r="M657"/>
      <x:c r="N657"/>
      <x:c r="O657" s="54"/>
      <x:c r="P657"/>
      <x:c r="Q657"/>
      <x:c r="R657"/>
      <x:c r="S657"/>
      <x:c r="T657"/>
      <x:c r="U657" s="57"/>
      <x:c r="V657" s="57"/>
      <x:c r="W657"/>
      <x:c r="X657"/>
      <x:c r="Y657" s="38"/>
      <x:c r="Z657" s="38"/>
      <x:c r="AA657"/>
    </x:row>
    <x:row r="658">
      <x:c r="A658" s="54" t="n">
        <x:v>44286</x:v>
      </x:c>
      <x:c r="B658" t="n">
        <x:v>44286.624999988424</x:v>
      </x:c>
      <x:c r="C658" t="str">
        <x:v>038390</x:v>
      </x:c>
      <x:c r="D658" t="str">
        <x:v>레드캡투어</x:v>
      </x:c>
      <x:c r="E658" t="str">
        <x:v>KOSDAQ</x:v>
      </x:c>
      <x:c r="F658" t="str">
        <x:v>MID</x:v>
      </x:c>
      <x:c r="G658" t="str">
        <x:v>ELIGIBLE</x:v>
      </x:c>
      <x:c r="H658"/>
      <x:c r="I658" s="54" t="n">
        <x:v>44286</x:v>
      </x:c>
      <x:c r="J658" s="55" t="n">
        <x:v>21450</x:v>
      </x:c>
      <x:c r="K658" s="55" t="n">
        <x:v>184244346000</x:v>
      </x:c>
      <x:c r="L658" s="55" t="n">
        <x:v>8589480</x:v>
      </x:c>
      <x:c r="M658" t="str">
        <x:v>20210318001299</x:v>
      </x:c>
      <x:c r="N658" t="n">
        <x:v>44273.624999988424</x:v>
      </x:c>
      <x:c r="O658" s="54" t="n">
        <x:v>44196</x:v>
      </x:c>
      <x:c r="P658" t="str">
        <x:v>False</x:v>
      </x:c>
      <x:c r="Q658" t="str">
        <x:v>0bf69fd5dec939dd06f6f73c0024ab60f9eaf64a5a97f5e73cc09d30ce7a890c</x:v>
      </x:c>
      <x:c r="R658" t="str">
        <x:v>6080d7aab75c6070a2111ef6b1ac4f598f81c0a72dc5f88bc23b9d3a002435cd</x:v>
      </x:c>
      <x:c r="S658" t="n">
        <x:v>6</x:v>
      </x:c>
      <x:c r="T658" t="str">
        <x:v>2018-12-31|2019-12-31|2020-12-31</x:v>
      </x:c>
      <x:c r="U658" s="57" t="n">
        <x:v>6114.21914518699</x:v>
      </x:c>
      <x:c r="V658" s="57" t="n">
        <x:v>-0.7149548184062009</x:v>
      </x:c>
      <x:c r="W658" t="n">
        <x:v>45</x:v>
      </x:c>
      <x:c r="X658" t="n">
        <x:v>4</x:v>
      </x:c>
      <x:c r="Y658" s="38" t="n">
        <x:v>0.6409090909090909</x:v>
      </x:c>
      <x:c r="Z658" s="38" t="n">
        <x:v>0.6791804570932898</x:v>
      </x:c>
      <x:c r="AA658"/>
    </x:row>
    <x:row r="659">
      <x:c r="A659" s="54" t="n">
        <x:v>44286</x:v>
      </x:c>
      <x:c r="B659" t="n">
        <x:v>44286.624999988424</x:v>
      </x:c>
      <x:c r="C659" t="str">
        <x:v>083930</x:v>
      </x:c>
      <x:c r="D659" t="str">
        <x:v>아바코</x:v>
      </x:c>
      <x:c r="E659" t="str">
        <x:v>KOSDAQ</x:v>
      </x:c>
      <x:c r="F659" t="str">
        <x:v>MID</x:v>
      </x:c>
      <x:c r="G659" t="str">
        <x:v>ELIGIBLE</x:v>
      </x:c>
      <x:c r="H659"/>
      <x:c r="I659" s="54" t="n">
        <x:v>44286</x:v>
      </x:c>
      <x:c r="J659" s="55" t="n">
        <x:v>12700</x:v>
      </x:c>
      <x:c r="K659" s="55" t="n">
        <x:v>195742534600</x:v>
      </x:c>
      <x:c r="L659" s="55" t="n">
        <x:v>15412798</x:v>
      </x:c>
      <x:c r="M659" t="str">
        <x:v>20210318000989</x:v>
      </x:c>
      <x:c r="N659" t="n">
        <x:v>44273.624999988424</x:v>
      </x:c>
      <x:c r="O659" s="54" t="n">
        <x:v>44196</x:v>
      </x:c>
      <x:c r="P659" t="str">
        <x:v>False</x:v>
      </x:c>
      <x:c r="Q659" t="str">
        <x:v>60114731225ef8baae3792179fcf8d5016125a34b9cfd17e01cf872e573ee700</x:v>
      </x:c>
      <x:c r="R659" t="str">
        <x:v>a0f109d304fa19e95828c08a23b1aee8249cf1a937fd4863f9ce9941f9933507</x:v>
      </x:c>
      <x:c r="S659" t="n">
        <x:v>7</x:v>
      </x:c>
      <x:c r="T659" t="str">
        <x:v>2018-12-31|2019-12-31|2020-12-31</x:v>
      </x:c>
      <x:c r="U659" s="57" t="n">
        <x:v>13240.200501887175</x:v>
      </x:c>
      <x:c r="V659" s="57" t="n">
        <x:v>0.04253547258954131</x:v>
      </x:c>
      <x:c r="W659" t="n">
        <x:v>15</x:v>
      </x:c>
      <x:c r="X659" t="n">
        <x:v>2</x:v>
      </x:c>
      <x:c r="Y659" s="38" t="n">
        <x:v>0.6409090909090909</x:v>
      </x:c>
      <x:c r="Z659" s="38" t="n">
        <x:v>0.6094073877623714</x:v>
      </x:c>
      <x:c r="AA659"/>
    </x:row>
    <x:row r="660">
      <x:c r="A660" s="54" t="n">
        <x:v>44286</x:v>
      </x:c>
      <x:c r="B660" t="n">
        <x:v>44286.624999988424</x:v>
      </x:c>
      <x:c r="C660" t="str">
        <x:v>089600</x:v>
      </x:c>
      <x:c r="D660" t="str">
        <x:v>KT나스미디어</x:v>
      </x:c>
      <x:c r="E660" t="str">
        <x:v>KOSDAQ</x:v>
      </x:c>
      <x:c r="F660" t="str">
        <x:v>MID</x:v>
      </x:c>
      <x:c r="G660" t="str">
        <x:v>ELIGIBLE</x:v>
      </x:c>
      <x:c r="H660"/>
      <x:c r="I660" s="54" t="n">
        <x:v>44286</x:v>
      </x:c>
      <x:c r="J660" s="55" t="n">
        <x:v>41200</x:v>
      </x:c>
      <x:c r="K660" s="55" t="n">
        <x:v>360693269200</x:v>
      </x:c>
      <x:c r="L660" s="55" t="n">
        <x:v>8754691</x:v>
      </x:c>
      <x:c r="M660" t="str">
        <x:v>20210318000067</x:v>
      </x:c>
      <x:c r="N660" t="n">
        <x:v>44273.624999988424</x:v>
      </x:c>
      <x:c r="O660" s="54" t="n">
        <x:v>44196</x:v>
      </x:c>
      <x:c r="P660" t="str">
        <x:v>False</x:v>
      </x:c>
      <x:c r="Q660" t="str">
        <x:v>a1d9cdb9d1d9dc819cad4ac6c72f63c836e1aaee9bb46d49d938ba4926b89490</x:v>
      </x:c>
      <x:c r="R660" t="str">
        <x:v>d55d1de10b3562401f9b34a7663dbde29db72f781cfb628758459f0e16a60fee</x:v>
      </x:c>
      <x:c r="S660" t="n">
        <x:v>6</x:v>
      </x:c>
      <x:c r="T660" t="str">
        <x:v>2019-12-31|2020-12-31</x:v>
      </x:c>
      <x:c r="U660" s="57" t="n">
        <x:v>29815.391195742755</x:v>
      </x:c>
      <x:c r="V660" s="57" t="n">
        <x:v>-0.27632545641401085</x:v>
      </x:c>
      <x:c r="W660" t="n">
        <x:v>20</x:v>
      </x:c>
      <x:c r="X660" t="n">
        <x:v>2</x:v>
      </x:c>
      <x:c r="Y660" s="38" t="n">
        <x:v>0.6409090909090909</x:v>
      </x:c>
      <x:c r="Z660" s="38" t="n">
        <x:v>0.65385479783506</x:v>
      </x:c>
      <x:c r="AA660"/>
    </x:row>
    <x:row r="661">
      <x:c r="A661" s="54" t="n">
        <x:v>44286</x:v>
      </x:c>
      <x:c r="B661" t="n">
        <x:v>44286.624999988424</x:v>
      </x:c>
      <x:c r="C661" t="str">
        <x:v>091120</x:v>
      </x:c>
      <x:c r="D661" t="str">
        <x:v>이엠텍</x:v>
      </x:c>
      <x:c r="E661" t="str">
        <x:v>KOSDAQ</x:v>
      </x:c>
      <x:c r="F661" t="str">
        <x:v>MID</x:v>
      </x:c>
      <x:c r="G661" t="str">
        <x:v>DCF_SCREENING_EXCLUSION</x:v>
      </x:c>
      <x:c r="H661" t="str">
        <x:v>NON_POSITIVE_ENTERPRISE_VALUE|NON_POSITIVE_EQUITY_VALUE|NON_POSITIVE_TERMINAL_FCF</x:v>
      </x:c>
      <x:c r="I661" s="54" t="n">
        <x:v>44286</x:v>
      </x:c>
      <x:c r="J661" s="55" t="n">
        <x:v>17350</x:v>
      </x:c>
      <x:c r="K661" s="55" t="n">
        <x:v>278657239600</x:v>
      </x:c>
      <x:c r="L661" s="55" t="n">
        <x:v>16060936</x:v>
      </x:c>
      <x:c r="M661" t="str">
        <x:v>20210311000658</x:v>
      </x:c>
      <x:c r="N661" t="n">
        <x:v>44266.624999988424</x:v>
      </x:c>
      <x:c r="O661" s="54" t="n">
        <x:v>44196</x:v>
      </x:c>
      <x:c r="P661" t="str">
        <x:v>False</x:v>
      </x:c>
      <x:c r="Q661" t="str">
        <x:v>f69ed2abd476d2428711fd8f06bfe7c437a376e7a6f71c3438b39539c7d2f1a5</x:v>
      </x:c>
      <x:c r="R661" t="str">
        <x:v>f95f08942ff33b316ef5567d3919c0b3c241c98bfbf6f6c9873e5a0f80818c9f</x:v>
      </x:c>
      <x:c r="S661" t="n">
        <x:v>6</x:v>
      </x:c>
      <x:c r="T661" t="str">
        <x:v>2018-12-31|2019-12-31|2020-12-31</x:v>
      </x:c>
      <x:c r="U661" s="57" t="n">
        <x:v>-3090.8901586113066</x:v>
      </x:c>
      <x:c r="V661" s="57" t="n">
        <x:v>-1.178149288680767</x:v>
      </x:c>
      <x:c r="W661"/>
      <x:c r="X661"/>
      <x:c r="Y661" s="38" t="n">
        <x:v>0.6409090909090909</x:v>
      </x:c>
      <x:c r="Z661" s="38" t="n">
        <x:v>0.6813005067848964</x:v>
      </x:c>
      <x:c r="AA661" t="str">
        <x:v>NON_POSITIVE_ENTERPRISE_VALUE|NON_POSITIVE_EQUITY_VALUE|NON_POSITIVE_TERMINAL_FCF</x:v>
      </x:c>
    </x:row>
    <x:row r="662">
      <x:c r="A662" s="54" t="n">
        <x:v>44286</x:v>
      </x:c>
      <x:c r="B662" t="n">
        <x:v>44286.624999988424</x:v>
      </x:c>
      <x:c r="C662" t="str">
        <x:v>353810</x:v>
      </x:c>
      <x:c r="D662" t="str">
        <x:v>이지바이오</x:v>
      </x:c>
      <x:c r="E662" t="str">
        <x:v>KOSDAQ</x:v>
      </x:c>
      <x:c r="F662" t="str">
        <x:v>MID</x:v>
      </x:c>
      <x:c r="G662" t="str">
        <x:v>NO_PIT_FINANCIALS</x:v>
      </x:c>
      <x:c r="H662"/>
      <x:c r="I662" s="54" t="n">
        <x:v>44286</x:v>
      </x:c>
      <x:c r="J662" s="55" t="n">
        <x:v>7070</x:v>
      </x:c>
      <x:c r="K662" s="55" t="n">
        <x:v>241735460400</x:v>
      </x:c>
      <x:c r="L662" s="55" t="n">
        <x:v>34191720</x:v>
      </x:c>
      <x:c r="M662"/>
      <x:c r="N662"/>
      <x:c r="O662" s="54"/>
      <x:c r="P662"/>
      <x:c r="Q662"/>
      <x:c r="R662"/>
      <x:c r="S662"/>
      <x:c r="T662"/>
      <x:c r="U662" s="57"/>
      <x:c r="V662" s="57"/>
      <x:c r="W662"/>
      <x:c r="X662"/>
      <x:c r="Y662" s="38"/>
      <x:c r="Z662" s="38"/>
      <x:c r="AA662"/>
    </x:row>
    <x:row r="663">
      <x:c r="A663" s="54" t="n">
        <x:v>44286</x:v>
      </x:c>
      <x:c r="B663" t="n">
        <x:v>44286.624999988424</x:v>
      </x:c>
      <x:c r="C663" t="str">
        <x:v>203650</x:v>
      </x:c>
      <x:c r="D663" t="str">
        <x:v>드림시큐리티</x:v>
      </x:c>
      <x:c r="E663" t="str">
        <x:v>KOSDAQ</x:v>
      </x:c>
      <x:c r="F663" t="str">
        <x:v>MID</x:v>
      </x:c>
      <x:c r="G663" t="str">
        <x:v>ELIGIBLE</x:v>
      </x:c>
      <x:c r="H663"/>
      <x:c r="I663" s="54" t="n">
        <x:v>44286</x:v>
      </x:c>
      <x:c r="J663" s="55" t="n">
        <x:v>4300</x:v>
      </x:c>
      <x:c r="K663" s="55" t="n">
        <x:v>217604742200</x:v>
      </x:c>
      <x:c r="L663" s="55" t="n">
        <x:v>50605754</x:v>
      </x:c>
      <x:c r="M663" t="str">
        <x:v>20210319000618</x:v>
      </x:c>
      <x:c r="N663" t="n">
        <x:v>44274.624999988424</x:v>
      </x:c>
      <x:c r="O663" s="54" t="n">
        <x:v>44196</x:v>
      </x:c>
      <x:c r="P663" t="str">
        <x:v>False</x:v>
      </x:c>
      <x:c r="Q663" t="str">
        <x:v>5838df72d63cdf786042f815fde6255c8dbcd77782553756c9cdf9bd4987059d</x:v>
      </x:c>
      <x:c r="R663" t="str">
        <x:v>874a0191811b79512899b68cde668ed439a05e6c7703340b07c6d3c99580beba</x:v>
      </x:c>
      <x:c r="S663" t="n">
        <x:v>6</x:v>
      </x:c>
      <x:c r="T663" t="str">
        <x:v>2018-12-31|2019-12-31|2020-12-31</x:v>
      </x:c>
      <x:c r="U663" s="57" t="n">
        <x:v>1651.8549785795835</x:v>
      </x:c>
      <x:c r="V663" s="57" t="n">
        <x:v>-0.6158476794000969</x:v>
      </x:c>
      <x:c r="W663" t="n">
        <x:v>38</x:v>
      </x:c>
      <x:c r="X663" t="n">
        <x:v>4</x:v>
      </x:c>
      <x:c r="Y663" s="38" t="n">
        <x:v>0.6409090909090909</x:v>
      </x:c>
      <x:c r="Z663" s="38" t="n">
        <x:v>0.6847587029208964</x:v>
      </x:c>
      <x:c r="AA663"/>
    </x:row>
    <x:row r="664">
      <x:c r="A664" s="54" t="n">
        <x:v>44286</x:v>
      </x:c>
      <x:c r="B664" t="n">
        <x:v>44286.624999988424</x:v>
      </x:c>
      <x:c r="C664" t="str">
        <x:v>251120</x:v>
      </x:c>
      <x:c r="D664" t="str">
        <x:v>바이오에프디엔씨</x:v>
      </x:c>
      <x:c r="E664" t="str">
        <x:v>KOSDAQ</x:v>
      </x:c>
      <x:c r="F664" t="str">
        <x:v>MID</x:v>
      </x:c>
      <x:c r="G664" t="str">
        <x:v>NOT_LISTED_OR_NO_PRICE</x:v>
      </x:c>
      <x:c r="H664"/>
      <x:c r="I664" s="54"/>
      <x:c r="J664" s="55"/>
      <x:c r="K664" s="55"/>
      <x:c r="L664" s="55"/>
      <x:c r="M664"/>
      <x:c r="N664"/>
      <x:c r="O664" s="54"/>
      <x:c r="P664"/>
      <x:c r="Q664"/>
      <x:c r="R664"/>
      <x:c r="S664"/>
      <x:c r="T664"/>
      <x:c r="U664" s="57"/>
      <x:c r="V664" s="57"/>
      <x:c r="W664"/>
      <x:c r="X664"/>
      <x:c r="Y664" s="38"/>
      <x:c r="Z664" s="38"/>
      <x:c r="AA664"/>
    </x:row>
    <x:row r="665">
      <x:c r="A665" s="54" t="n">
        <x:v>44286</x:v>
      </x:c>
      <x:c r="B665" t="n">
        <x:v>44286.624999988424</x:v>
      </x:c>
      <x:c r="C665" t="str">
        <x:v>094820</x:v>
      </x:c>
      <x:c r="D665" t="str">
        <x:v>일진파워</x:v>
      </x:c>
      <x:c r="E665" t="str">
        <x:v>KOSDAQ</x:v>
      </x:c>
      <x:c r="F665" t="str">
        <x:v>MID</x:v>
      </x:c>
      <x:c r="G665" t="str">
        <x:v>ELIGIBLE</x:v>
      </x:c>
      <x:c r="H665"/>
      <x:c r="I665" s="54" t="n">
        <x:v>44286</x:v>
      </x:c>
      <x:c r="J665" s="55" t="n">
        <x:v>5810</x:v>
      </x:c>
      <x:c r="K665" s="55" t="n">
        <x:v>87607299290</x:v>
      </x:c>
      <x:c r="L665" s="55" t="n">
        <x:v>15078709</x:v>
      </x:c>
      <x:c r="M665" t="str">
        <x:v>20210318001274</x:v>
      </x:c>
      <x:c r="N665" t="n">
        <x:v>44273.624999988424</x:v>
      </x:c>
      <x:c r="O665" s="54" t="n">
        <x:v>44196</x:v>
      </x:c>
      <x:c r="P665" t="str">
        <x:v>False</x:v>
      </x:c>
      <x:c r="Q665" t="str">
        <x:v>876dfbe83ccde173bd7ce6620f972be12ab815292f2628b9efad7390810a78aa</x:v>
      </x:c>
      <x:c r="R665" t="str">
        <x:v>735ef39d51ec5f034ed98a1d8b748f5b100ea140a77ba94ff42c5c2693c842c9</x:v>
      </x:c>
      <x:c r="S665" t="n">
        <x:v>6</x:v>
      </x:c>
      <x:c r="T665" t="str">
        <x:v>2018-12-31|2019-12-31|2020-12-31</x:v>
      </x:c>
      <x:c r="U665" s="57" t="n">
        <x:v>10884.899548397261</x:v>
      </x:c>
      <x:c r="V665" s="57" t="n">
        <x:v>0.8734766864711294</x:v>
      </x:c>
      <x:c r="W665" t="n">
        <x:v>6</x:v>
      </x:c>
      <x:c r="X665" t="n">
        <x:v>1</x:v>
      </x:c>
      <x:c r="Y665" s="38" t="n">
        <x:v>0.6409090909090909</x:v>
      </x:c>
      <x:c r="Z665" s="38" t="n">
        <x:v>0.6755436623710693</x:v>
      </x:c>
      <x:c r="AA665"/>
    </x:row>
    <x:row r="666">
      <x:c r="A666" s="54" t="n">
        <x:v>44286</x:v>
      </x:c>
      <x:c r="B666" t="n">
        <x:v>44286.624999988424</x:v>
      </x:c>
      <x:c r="C666" t="str">
        <x:v>333430</x:v>
      </x:c>
      <x:c r="D666" t="str">
        <x:v>일승</x:v>
      </x:c>
      <x:c r="E666" t="str">
        <x:v>KOSDAQ</x:v>
      </x:c>
      <x:c r="F666" t="str">
        <x:v>MID</x:v>
      </x:c>
      <x:c r="G666" t="str">
        <x:v>NO_PIT_FINANCIALS</x:v>
      </x:c>
      <x:c r="H666"/>
      <x:c r="I666" s="54" t="n">
        <x:v>44286</x:v>
      </x:c>
      <x:c r="J666" s="55" t="n">
        <x:v>3235</x:v>
      </x:c>
      <x:c r="K666" s="55" t="n">
        <x:v>14201650000</x:v>
      </x:c>
      <x:c r="L666" s="55" t="n">
        <x:v>4390000</x:v>
      </x:c>
      <x:c r="M666"/>
      <x:c r="N666"/>
      <x:c r="O666" s="54"/>
      <x:c r="P666"/>
      <x:c r="Q666"/>
      <x:c r="R666"/>
      <x:c r="S666"/>
      <x:c r="T666"/>
      <x:c r="U666" s="57"/>
      <x:c r="V666" s="57"/>
      <x:c r="W666"/>
      <x:c r="X666"/>
      <x:c r="Y666" s="38"/>
      <x:c r="Z666" s="38"/>
      <x:c r="AA666"/>
    </x:row>
    <x:row r="667">
      <x:c r="A667" s="54" t="n">
        <x:v>44286</x:v>
      </x:c>
      <x:c r="B667" t="n">
        <x:v>44286.624999988424</x:v>
      </x:c>
      <x:c r="C667" t="str">
        <x:v>041440</x:v>
      </x:c>
      <x:c r="D667" t="str">
        <x:v>현대에버다임</x:v>
      </x:c>
      <x:c r="E667" t="str">
        <x:v>KOSDAQ</x:v>
      </x:c>
      <x:c r="F667" t="str">
        <x:v>MID</x:v>
      </x:c>
      <x:c r="G667" t="str">
        <x:v>ELIGIBLE</x:v>
      </x:c>
      <x:c r="H667"/>
      <x:c r="I667" s="54" t="n">
        <x:v>44286</x:v>
      </x:c>
      <x:c r="J667" s="55" t="n">
        <x:v>6200</x:v>
      </x:c>
      <x:c r="K667" s="55" t="n">
        <x:v>111078852800</x:v>
      </x:c>
      <x:c r="L667" s="55" t="n">
        <x:v>17915944</x:v>
      </x:c>
      <x:c r="M667" t="str">
        <x:v>20210316001261</x:v>
      </x:c>
      <x:c r="N667" t="n">
        <x:v>44272.624999988424</x:v>
      </x:c>
      <x:c r="O667" s="54" t="n">
        <x:v>44196</x:v>
      </x:c>
      <x:c r="P667" t="str">
        <x:v>False</x:v>
      </x:c>
      <x:c r="Q667" t="str">
        <x:v>6f08b3f9f69113807f297444c8ce16eabb23af4da8e344ef1f527c9fcbc98da9</x:v>
      </x:c>
      <x:c r="R667" t="str">
        <x:v>3ad7a8ff31596a0244abff37b8d648f521f5d20687c5ab7c00c5e69dfae506f6</x:v>
      </x:c>
      <x:c r="S667" t="n">
        <x:v>7</x:v>
      </x:c>
      <x:c r="T667" t="str">
        <x:v>2018-12-31|2019-12-31|2020-12-31</x:v>
      </x:c>
      <x:c r="U667" s="57" t="n">
        <x:v>2775.8404516907763</x:v>
      </x:c>
      <x:c r="V667" s="57" t="n">
        <x:v>-0.5522837981143909</x:v>
      </x:c>
      <x:c r="W667" t="n">
        <x:v>31</x:v>
      </x:c>
      <x:c r="X667" t="n">
        <x:v>3</x:v>
      </x:c>
      <x:c r="Y667" s="38" t="n">
        <x:v>0.6409090909090909</x:v>
      </x:c>
      <x:c r="Z667" s="38" t="n">
        <x:v>0.4858903805076907</x:v>
      </x:c>
      <x:c r="AA667"/>
    </x:row>
    <x:row r="668">
      <x:c r="A668" s="54" t="n">
        <x:v>44286</x:v>
      </x:c>
      <x:c r="B668" t="n">
        <x:v>44286.624999988424</x:v>
      </x:c>
      <x:c r="C668" t="str">
        <x:v>067990</x:v>
      </x:c>
      <x:c r="D668" t="str">
        <x:v>도이치모터스</x:v>
      </x:c>
      <x:c r="E668" t="str">
        <x:v>KOSDAQ</x:v>
      </x:c>
      <x:c r="F668" t="str">
        <x:v>MID</x:v>
      </x:c>
      <x:c r="G668" t="str">
        <x:v>DCF_SCREENING_EXCLUSION</x:v>
      </x:c>
      <x:c r="H668" t="str">
        <x:v>NON_POSITIVE_EQUITY_VALUE|UNRELIABLE_TERMINAL_VALUE_SHARE</x:v>
      </x:c>
      <x:c r="I668" s="54" t="n">
        <x:v>44286</x:v>
      </x:c>
      <x:c r="J668" s="55" t="n">
        <x:v>7070</x:v>
      </x:c>
      <x:c r="K668" s="55" t="n">
        <x:v>205485435260</x:v>
      </x:c>
      <x:c r="L668" s="55" t="n">
        <x:v>29064418</x:v>
      </x:c>
      <x:c r="M668" t="str">
        <x:v>20210319000917</x:v>
      </x:c>
      <x:c r="N668" t="n">
        <x:v>44274.624999988424</x:v>
      </x:c>
      <x:c r="O668" s="54" t="n">
        <x:v>44196</x:v>
      </x:c>
      <x:c r="P668" t="str">
        <x:v>False</x:v>
      </x:c>
      <x:c r="Q668" t="str">
        <x:v>10c9b73d81d91b44f4c1ba26758c80f8e8f8f165fcc8cbc218727c8d84fa0d64</x:v>
      </x:c>
      <x:c r="R668" t="str">
        <x:v>51cc63cef37e912d19933c774d0e8b5d25c22e3894b2d141035ea06ec1d84a1a</x:v>
      </x:c>
      <x:c r="S668" t="n">
        <x:v>6</x:v>
      </x:c>
      <x:c r="T668" t="str">
        <x:v>2016-12-31|2018-12-31|2019-12-31|2020-12-31</x:v>
      </x:c>
      <x:c r="U668" s="57" t="n">
        <x:v>-14362.719596861067</x:v>
      </x:c>
      <x:c r="V668" s="57" t="n">
        <x:v>-3.0315020646196698</x:v>
      </x:c>
      <x:c r="W668"/>
      <x:c r="X668"/>
      <x:c r="Y668" s="38" t="n">
        <x:v>0.6409090909090909</x:v>
      </x:c>
      <x:c r="Z668" s="38" t="n">
        <x:v>0.9672534740739068</x:v>
      </x:c>
      <x:c r="AA668" t="str">
        <x:v>NON_POSITIVE_EQUITY_VALUE|UNRELIABLE_TERMINAL_VALUE_SHARE</x:v>
      </x:c>
    </x:row>
    <x:row r="669">
      <x:c r="A669" s="54" t="n">
        <x:v>44286</x:v>
      </x:c>
      <x:c r="B669" t="n">
        <x:v>44286.624999988424</x:v>
      </x:c>
      <x:c r="C669" t="str">
        <x:v>037070</x:v>
      </x:c>
      <x:c r="D669" t="str">
        <x:v>파세코</x:v>
      </x:c>
      <x:c r="E669" t="str">
        <x:v>KOSDAQ</x:v>
      </x:c>
      <x:c r="F669" t="str">
        <x:v>MID</x:v>
      </x:c>
      <x:c r="G669" t="str">
        <x:v>ELIGIBLE</x:v>
      </x:c>
      <x:c r="H669"/>
      <x:c r="I669" s="54" t="n">
        <x:v>44286</x:v>
      </x:c>
      <x:c r="J669" s="55" t="n">
        <x:v>23750</x:v>
      </x:c>
      <x:c r="K669" s="55" t="n">
        <x:v>332500000000</x:v>
      </x:c>
      <x:c r="L669" s="55" t="n">
        <x:v>14000000</x:v>
      </x:c>
      <x:c r="M669" t="str">
        <x:v>20210323000525</x:v>
      </x:c>
      <x:c r="N669" t="n">
        <x:v>44278.624999988424</x:v>
      </x:c>
      <x:c r="O669" s="54" t="n">
        <x:v>44196</x:v>
      </x:c>
      <x:c r="P669" t="str">
        <x:v>False</x:v>
      </x:c>
      <x:c r="Q669" t="str">
        <x:v>288ade85d77bdcb6715ad38831629f03378fc7c949c950410ef529b27ca026ca</x:v>
      </x:c>
      <x:c r="R669" t="str">
        <x:v>d47890457c3ba235de3e72b5dd35b3903fac66df1f32064164ee92ff8abb4066</x:v>
      </x:c>
      <x:c r="S669" t="n">
        <x:v>7</x:v>
      </x:c>
      <x:c r="T669" t="str">
        <x:v>2018-12-31|2019-12-31|2020-12-31</x:v>
      </x:c>
      <x:c r="U669" s="57" t="n">
        <x:v>8702.574407152382</x:v>
      </x:c>
      <x:c r="V669" s="57" t="n">
        <x:v>-0.6335758144356892</x:v>
      </x:c>
      <x:c r="W669" t="n">
        <x:v>40</x:v>
      </x:c>
      <x:c r="X669" t="n">
        <x:v>4</x:v>
      </x:c>
      <x:c r="Y669" s="38" t="n">
        <x:v>0.6409090909090909</x:v>
      </x:c>
      <x:c r="Z669" s="38" t="n">
        <x:v>0.6657247163665023</x:v>
      </x:c>
      <x:c r="AA669"/>
    </x:row>
    <x:row r="670">
      <x:c r="A670" s="54" t="n">
        <x:v>44286</x:v>
      </x:c>
      <x:c r="B670" t="n">
        <x:v>44286.624999988424</x:v>
      </x:c>
      <x:c r="C670" t="str">
        <x:v>365330</x:v>
      </x:c>
      <x:c r="D670" t="str">
        <x:v>에스와이스틸텍</x:v>
      </x:c>
      <x:c r="E670" t="str">
        <x:v>KOSDAQ</x:v>
      </x:c>
      <x:c r="F670" t="str">
        <x:v>MID</x:v>
      </x:c>
      <x:c r="G670" t="str">
        <x:v>NOT_LISTED_OR_NO_PRICE</x:v>
      </x:c>
      <x:c r="H670"/>
      <x:c r="I670" s="54"/>
      <x:c r="J670" s="55"/>
      <x:c r="K670" s="55"/>
      <x:c r="L670" s="55"/>
      <x:c r="M670"/>
      <x:c r="N670"/>
      <x:c r="O670" s="54"/>
      <x:c r="P670"/>
      <x:c r="Q670"/>
      <x:c r="R670"/>
      <x:c r="S670"/>
      <x:c r="T670"/>
      <x:c r="U670" s="57"/>
      <x:c r="V670" s="57"/>
      <x:c r="W670"/>
      <x:c r="X670"/>
      <x:c r="Y670" s="38"/>
      <x:c r="Z670" s="38"/>
      <x:c r="AA670"/>
    </x:row>
    <x:row r="671">
      <x:c r="A671" s="54" t="n">
        <x:v>44286</x:v>
      </x:c>
      <x:c r="B671" t="n">
        <x:v>44286.624999988424</x:v>
      </x:c>
      <x:c r="C671" t="str">
        <x:v>086960</x:v>
      </x:c>
      <x:c r="D671" t="str">
        <x:v>MDS테크</x:v>
      </x:c>
      <x:c r="E671" t="str">
        <x:v>KOSDAQ</x:v>
      </x:c>
      <x:c r="F671" t="str">
        <x:v>MID</x:v>
      </x:c>
      <x:c r="G671" t="str">
        <x:v>ELIGIBLE</x:v>
      </x:c>
      <x:c r="H671"/>
      <x:c r="I671" s="54" t="n">
        <x:v>44286</x:v>
      </x:c>
      <x:c r="J671" s="55" t="n">
        <x:v>15550</x:v>
      </x:c>
      <x:c r="K671" s="55" t="n">
        <x:v>137284854400</x:v>
      </x:c>
      <x:c r="L671" s="55" t="n">
        <x:v>8828608</x:v>
      </x:c>
      <x:c r="M671" t="str">
        <x:v>20210316001071</x:v>
      </x:c>
      <x:c r="N671" t="n">
        <x:v>44271.624999988424</x:v>
      </x:c>
      <x:c r="O671" s="54" t="n">
        <x:v>44196</x:v>
      </x:c>
      <x:c r="P671" t="str">
        <x:v>False</x:v>
      </x:c>
      <x:c r="Q671" t="str">
        <x:v>449b4e59d025de1d7d5a9ecb405a5bc4112be82940e8bc7805131bac9040560e</x:v>
      </x:c>
      <x:c r="R671" t="str">
        <x:v>0f0ce7f0414bfa51af4275551ce10741690be6847f9395f847a202ff0ada0b86</x:v>
      </x:c>
      <x:c r="S671" t="n">
        <x:v>6</x:v>
      </x:c>
      <x:c r="T671" t="str">
        <x:v>2018-12-31|2019-12-31|2020-12-31</x:v>
      </x:c>
      <x:c r="U671" s="57" t="n">
        <x:v>6485.458820206501</x:v>
      </x:c>
      <x:c r="V671" s="57" t="n">
        <x:v>-0.5829286932343086</x:v>
      </x:c>
      <x:c r="W671" t="n">
        <x:v>34</x:v>
      </x:c>
      <x:c r="X671" t="n">
        <x:v>3</x:v>
      </x:c>
      <x:c r="Y671" s="38" t="n">
        <x:v>0.6409090909090909</x:v>
      </x:c>
      <x:c r="Z671" s="38" t="n">
        <x:v>0.583251547314125</x:v>
      </x:c>
      <x:c r="AA671"/>
    </x:row>
    <x:row r="672">
      <x:c r="A672" s="54" t="n">
        <x:v>44286</x:v>
      </x:c>
      <x:c r="B672" t="n">
        <x:v>44286.624999988424</x:v>
      </x:c>
      <x:c r="C672" t="str">
        <x:v>014970</x:v>
      </x:c>
      <x:c r="D672" t="str">
        <x:v>삼륭물산</x:v>
      </x:c>
      <x:c r="E672" t="str">
        <x:v>KOSDAQ</x:v>
      </x:c>
      <x:c r="F672" t="str">
        <x:v>MID</x:v>
      </x:c>
      <x:c r="G672" t="str">
        <x:v>DCF_SCREENING_EXCLUSION</x:v>
      </x:c>
      <x:c r="H672" t="str">
        <x:v>NON_POSITIVE_ENTERPRISE_VALUE|NON_POSITIVE_EQUITY_VALUE|NON_POSITIVE_TERMINAL_FCF|UNRELIABLE_TERMINAL_VALUE_SHARE</x:v>
      </x:c>
      <x:c r="I672" s="54" t="n">
        <x:v>44286</x:v>
      </x:c>
      <x:c r="J672" s="55" t="n">
        <x:v>8010</x:v>
      </x:c>
      <x:c r="K672" s="55" t="n">
        <x:v>121151250000</x:v>
      </x:c>
      <x:c r="L672" s="55" t="n">
        <x:v>15125000</x:v>
      </x:c>
      <x:c r="M672" t="str">
        <x:v>20210330000019</x:v>
      </x:c>
      <x:c r="N672" t="n">
        <x:v>44285.624999988424</x:v>
      </x:c>
      <x:c r="O672" s="54" t="n">
        <x:v>44196</x:v>
      </x:c>
      <x:c r="P672" t="str">
        <x:v>False</x:v>
      </x:c>
      <x:c r="Q672" t="str">
        <x:v>db7fb8289834e170187de7d60202bd28289217460c9f69f69b7fa2a5f7ba5a44</x:v>
      </x:c>
      <x:c r="R672" t="str">
        <x:v>e2cea05971f07b11304f196f6480539ccc7b9ec2c5304a966d8bc1e0b3850142</x:v>
      </x:c>
      <x:c r="S672" t="n">
        <x:v>6</x:v>
      </x:c>
      <x:c r="T672" t="str">
        <x:v>2018-12-31|2019-12-31|2020-12-31</x:v>
      </x:c>
      <x:c r="U672" s="57" t="n">
        <x:v>-514.9984660024672</x:v>
      </x:c>
      <x:c r="V672" s="57" t="n">
        <x:v>-1.0642944402000583</x:v>
      </x:c>
      <x:c r="W672"/>
      <x:c r="X672"/>
      <x:c r="Y672" s="38" t="n">
        <x:v>0.6409090909090909</x:v>
      </x:c>
      <x:c r="Z672" s="38" t="n">
        <x:v>1.4185819358560103</x:v>
      </x:c>
      <x:c r="AA672" t="str">
        <x:v>NON_POSITIVE_ENTERPRISE_VALUE|NON_POSITIVE_EQUITY_VALUE|NON_POSITIVE_TERMINAL_FCF|UNRELIABLE_TERMINAL_VALUE_SHARE</x:v>
      </x:c>
    </x:row>
    <x:row r="673">
      <x:c r="A673" s="54" t="n">
        <x:v>44286</x:v>
      </x:c>
      <x:c r="B673" t="n">
        <x:v>44286.624999988424</x:v>
      </x:c>
      <x:c r="C673" t="str">
        <x:v>088390</x:v>
      </x:c>
      <x:c r="D673" t="str">
        <x:v>이녹스</x:v>
      </x:c>
      <x:c r="E673" t="str">
        <x:v>KOSDAQ</x:v>
      </x:c>
      <x:c r="F673" t="str">
        <x:v>MID</x:v>
      </x:c>
      <x:c r="G673" t="str">
        <x:v>ELIGIBLE</x:v>
      </x:c>
      <x:c r="H673"/>
      <x:c r="I673" s="54" t="n">
        <x:v>44286</x:v>
      </x:c>
      <x:c r="J673" s="55" t="n">
        <x:v>12300</x:v>
      </x:c>
      <x:c r="K673" s="55" t="n">
        <x:v>115015381200</x:v>
      </x:c>
      <x:c r="L673" s="55" t="n">
        <x:v>9350844</x:v>
      </x:c>
      <x:c r="M673" t="str">
        <x:v>20210318001318</x:v>
      </x:c>
      <x:c r="N673" t="n">
        <x:v>44273.624999988424</x:v>
      </x:c>
      <x:c r="O673" s="54" t="n">
        <x:v>44196</x:v>
      </x:c>
      <x:c r="P673" t="str">
        <x:v>False</x:v>
      </x:c>
      <x:c r="Q673" t="str">
        <x:v>78742b2d914e26f09250a3fd201ef069394f8986dff3d51832183c4eaf52b18c</x:v>
      </x:c>
      <x:c r="R673" t="str">
        <x:v>719a4e5b763bbedbc38452bf1788cbfb6ff51d8070e44e3b99ffdb9082646b27</x:v>
      </x:c>
      <x:c r="S673" t="n">
        <x:v>6</x:v>
      </x:c>
      <x:c r="T673" t="str">
        <x:v>2018-12-31|2019-12-31|2020-12-31</x:v>
      </x:c>
      <x:c r="U673" s="57" t="n">
        <x:v>4438.298471090707</x:v>
      </x:c>
      <x:c r="V673" s="57" t="n">
        <x:v>-0.6391627259275848</x:v>
      </x:c>
      <x:c r="W673" t="n">
        <x:v>41</x:v>
      </x:c>
      <x:c r="X673" t="n">
        <x:v>4</x:v>
      </x:c>
      <x:c r="Y673" s="38" t="n">
        <x:v>0.6409090909090909</x:v>
      </x:c>
      <x:c r="Z673" s="38" t="n">
        <x:v>0.46128834611293384</x:v>
      </x:c>
      <x:c r="AA673"/>
    </x:row>
    <x:row r="674">
      <x:c r="A674" s="54" t="n">
        <x:v>44286</x:v>
      </x:c>
      <x:c r="B674" t="n">
        <x:v>44286.624999988424</x:v>
      </x:c>
      <x:c r="C674" t="str">
        <x:v>170920</x:v>
      </x:c>
      <x:c r="D674" t="str">
        <x:v>엘티씨</x:v>
      </x:c>
      <x:c r="E674" t="str">
        <x:v>KOSDAQ</x:v>
      </x:c>
      <x:c r="F674" t="str">
        <x:v>MID</x:v>
      </x:c>
      <x:c r="G674" t="str">
        <x:v>DCF_SCREENING_EXCLUSION</x:v>
      </x:c>
      <x:c r="H674" t="str">
        <x:v>NON_POSITIVE_EQUITY_VALUE</x:v>
      </x:c>
      <x:c r="I674" s="54" t="n">
        <x:v>44286</x:v>
      </x:c>
      <x:c r="J674" s="55" t="n">
        <x:v>13150</x:v>
      </x:c>
      <x:c r="K674" s="55" t="n">
        <x:v>105454623450</x:v>
      </x:c>
      <x:c r="L674" s="55" t="n">
        <x:v>8019363</x:v>
      </x:c>
      <x:c r="M674" t="str">
        <x:v>20210317000881</x:v>
      </x:c>
      <x:c r="N674" t="n">
        <x:v>44272.624999988424</x:v>
      </x:c>
      <x:c r="O674" s="54" t="n">
        <x:v>44196</x:v>
      </x:c>
      <x:c r="P674" t="str">
        <x:v>False</x:v>
      </x:c>
      <x:c r="Q674" t="str">
        <x:v>8b37977f7e8946e919791090e3b7cef2344bd6904a0c156d385d0e36090a3962</x:v>
      </x:c>
      <x:c r="R674" t="str">
        <x:v>77d324f908a67f3c7389a72ba15f1781057da40e5bda11e730b362ede96f2780</x:v>
      </x:c>
      <x:c r="S674" t="n">
        <x:v>6</x:v>
      </x:c>
      <x:c r="T674" t="str">
        <x:v>2018-12-31|2019-12-31|2020-12-31</x:v>
      </x:c>
      <x:c r="U674" s="57" t="n">
        <x:v>-1.660878872603791</x:v>
      </x:c>
      <x:c r="V674" s="57" t="n">
        <x:v>-1.0001263025758633</x:v>
      </x:c>
      <x:c r="W674"/>
      <x:c r="X674"/>
      <x:c r="Y674" s="38" t="n">
        <x:v>0.6409090909090909</x:v>
      </x:c>
      <x:c r="Z674" s="38" t="n">
        <x:v>0.6218942210664877</x:v>
      </x:c>
      <x:c r="AA674" t="str">
        <x:v>NON_POSITIVE_EQUITY_VALUE</x:v>
      </x:c>
    </x:row>
    <x:row r="675">
      <x:c r="A675" s="54" t="n">
        <x:v>44286</x:v>
      </x:c>
      <x:c r="B675" t="n">
        <x:v>44286.624999988424</x:v>
      </x:c>
      <x:c r="C675" t="str">
        <x:v>021080</x:v>
      </x:c>
      <x:c r="D675" t="str">
        <x:v>에이티넘인베스트</x:v>
      </x:c>
      <x:c r="E675" t="str">
        <x:v>KOSDAQ</x:v>
      </x:c>
      <x:c r="F675" t="str">
        <x:v>MID</x:v>
      </x:c>
      <x:c r="G675" t="str">
        <x:v>ELIGIBLE</x:v>
      </x:c>
      <x:c r="H675"/>
      <x:c r="I675" s="54" t="n">
        <x:v>44286</x:v>
      </x:c>
      <x:c r="J675" s="55" t="n">
        <x:v>3705</x:v>
      </x:c>
      <x:c r="K675" s="55" t="n">
        <x:v>177840000000</x:v>
      </x:c>
      <x:c r="L675" s="55" t="n">
        <x:v>48000000</x:v>
      </x:c>
      <x:c r="M675" t="str">
        <x:v>20210316000584</x:v>
      </x:c>
      <x:c r="N675" t="n">
        <x:v>44271.624999988424</x:v>
      </x:c>
      <x:c r="O675" s="54" t="n">
        <x:v>44196</x:v>
      </x:c>
      <x:c r="P675" t="str">
        <x:v>False</x:v>
      </x:c>
      <x:c r="Q675" t="str">
        <x:v>55a37992fbde8e6d83b4745264fc16998a98544419186a4f9de0b42f1caceef0</x:v>
      </x:c>
      <x:c r="R675" t="str">
        <x:v>7745f524b3c0f5ad009800896f13fd804e8e005edcaddeaa544c11625b0472c8</x:v>
      </x:c>
      <x:c r="S675" t="n">
        <x:v>5</x:v>
      </x:c>
      <x:c r="T675" t="str">
        <x:v>2018-12-31|2019-12-31|2020-12-31</x:v>
      </x:c>
      <x:c r="U675" s="57" t="n">
        <x:v>3347.712238143814</x:v>
      </x:c>
      <x:c r="V675" s="57" t="n">
        <x:v>-0.09643394382083291</x:v>
      </x:c>
      <x:c r="W675" t="n">
        <x:v>16</x:v>
      </x:c>
      <x:c r="X675" t="n">
        <x:v>2</x:v>
      </x:c>
      <x:c r="Y675" s="38" t="n">
        <x:v>0.6409090909090909</x:v>
      </x:c>
      <x:c r="Z675" s="38" t="n">
        <x:v>0.6847587029208964</x:v>
      </x:c>
      <x:c r="AA675"/>
    </x:row>
    <x:row r="676">
      <x:c r="A676" s="54" t="n">
        <x:v>44286</x:v>
      </x:c>
      <x:c r="B676" t="n">
        <x:v>44286.624999988424</x:v>
      </x:c>
      <x:c r="C676" t="str">
        <x:v>302550</x:v>
      </x:c>
      <x:c r="D676" t="str">
        <x:v>리메드</x:v>
      </x:c>
      <x:c r="E676" t="str">
        <x:v>KOSDAQ</x:v>
      </x:c>
      <x:c r="F676" t="str">
        <x:v>MID</x:v>
      </x:c>
      <x:c r="G676" t="str">
        <x:v>ELIGIBLE</x:v>
      </x:c>
      <x:c r="H676"/>
      <x:c r="I676" s="54" t="n">
        <x:v>44286</x:v>
      </x:c>
      <x:c r="J676" s="55" t="n">
        <x:v>23950</x:v>
      </x:c>
      <x:c r="K676" s="55" t="n">
        <x:v>145829538200</x:v>
      </x:c>
      <x:c r="L676" s="55" t="n">
        <x:v>6088916</x:v>
      </x:c>
      <x:c r="M676" t="str">
        <x:v>20210322000679</x:v>
      </x:c>
      <x:c r="N676" t="n">
        <x:v>44277.624999988424</x:v>
      </x:c>
      <x:c r="O676" s="54" t="n">
        <x:v>44196</x:v>
      </x:c>
      <x:c r="P676" t="str">
        <x:v>False</x:v>
      </x:c>
      <x:c r="Q676" t="str">
        <x:v>1e639ed22abca5e497e8d1fb6e0e98e947dcf9cd388522a1c37f3ec1dc13d829</x:v>
      </x:c>
      <x:c r="R676" t="str">
        <x:v>2383eb7b5dddea424096886da74c8322f4f6a110c52b643834c9d484ea7d8e6c</x:v>
      </x:c>
      <x:c r="S676" t="n">
        <x:v>6</x:v>
      </x:c>
      <x:c r="T676" t="str">
        <x:v>2019-12-31|2020-12-31</x:v>
      </x:c>
      <x:c r="U676" s="57" t="n">
        <x:v>2668.7082749372744</x:v>
      </x:c>
      <x:c r="V676" s="57" t="n">
        <x:v>-0.8885716795433288</x:v>
      </x:c>
      <x:c r="W676" t="n">
        <x:v>55</x:v>
      </x:c>
      <x:c r="X676" t="n">
        <x:v>5</x:v>
      </x:c>
      <x:c r="Y676" s="38" t="n">
        <x:v>0.6409090909090909</x:v>
      </x:c>
      <x:c r="Z676" s="38" t="n">
        <x:v>0.7012694220738431</x:v>
      </x:c>
      <x:c r="AA676"/>
    </x:row>
    <x:row r="677">
      <x:c r="A677" s="54" t="n">
        <x:v>44286</x:v>
      </x:c>
      <x:c r="B677" t="n">
        <x:v>44286.624999988424</x:v>
      </x:c>
      <x:c r="C677" t="str">
        <x:v>011760</x:v>
      </x:c>
      <x:c r="D677" t="str">
        <x:v>현대코퍼레이션</x:v>
      </x:c>
      <x:c r="E677" t="str">
        <x:v>KOSPI</x:v>
      </x:c>
      <x:c r="F677" t="str">
        <x:v>MID</x:v>
      </x:c>
      <x:c r="G677" t="str">
        <x:v>ELIGIBLE</x:v>
      </x:c>
      <x:c r="H677"/>
      <x:c r="I677" s="54" t="n">
        <x:v>44286</x:v>
      </x:c>
      <x:c r="J677" s="55" t="n">
        <x:v>19550</x:v>
      </x:c>
      <x:c r="K677" s="55" t="n">
        <x:v>258626285300</x:v>
      </x:c>
      <x:c r="L677" s="55" t="n">
        <x:v>13228966</x:v>
      </x:c>
      <x:c r="M677" t="str">
        <x:v>20210316000887</x:v>
      </x:c>
      <x:c r="N677" t="n">
        <x:v>44271.624999988424</x:v>
      </x:c>
      <x:c r="O677" s="54" t="n">
        <x:v>44196</x:v>
      </x:c>
      <x:c r="P677" t="str">
        <x:v>False</x:v>
      </x:c>
      <x:c r="Q677" t="str">
        <x:v>278ee78f0a27176a2018ffaad516b599eaf70ba9580db1bc71f8fb92c05598e4</x:v>
      </x:c>
      <x:c r="R677" t="str">
        <x:v>a57c1d91ac06dca8334078344d08773f484c9199efaec07d1393489503253d10</x:v>
      </x:c>
      <x:c r="S677" t="n">
        <x:v>6</x:v>
      </x:c>
      <x:c r="T677" t="str">
        <x:v>2018-12-31|2019-12-31|2020-12-31</x:v>
      </x:c>
      <x:c r="U677" s="57" t="n">
        <x:v>13014.620111364917</x:v>
      </x:c>
      <x:c r="V677" s="57" t="n">
        <x:v>-0.33429053138798387</x:v>
      </x:c>
      <x:c r="W677" t="n">
        <x:v>22</x:v>
      </x:c>
      <x:c r="X677" t="n">
        <x:v>2</x:v>
      </x:c>
      <x:c r="Y677" s="38" t="n">
        <x:v>0.6409090909090909</x:v>
      </x:c>
      <x:c r="Z677" s="38" t="n">
        <x:v>0.6392017842916052</x:v>
      </x:c>
      <x:c r="AA677"/>
    </x:row>
    <x:row r="678">
      <x:c r="A678" s="54" t="n">
        <x:v>44286</x:v>
      </x:c>
      <x:c r="B678" t="n">
        <x:v>44286.624999988424</x:v>
      </x:c>
      <x:c r="C678" t="str">
        <x:v>010690</x:v>
      </x:c>
      <x:c r="D678" t="str">
        <x:v>화신</x:v>
      </x:c>
      <x:c r="E678" t="str">
        <x:v>KOSPI</x:v>
      </x:c>
      <x:c r="F678" t="str">
        <x:v>MID</x:v>
      </x:c>
      <x:c r="G678" t="str">
        <x:v>DCF_SCREENING_EXCLUSION</x:v>
      </x:c>
      <x:c r="H678" t="str">
        <x:v>NON_POSITIVE_ENTERPRISE_VALUE|NON_POSITIVE_EQUITY_VALUE|NON_POSITIVE_TERMINAL_FCF</x:v>
      </x:c>
      <x:c r="I678" s="54" t="n">
        <x:v>44286</x:v>
      </x:c>
      <x:c r="J678" s="55" t="n">
        <x:v>4900</x:v>
      </x:c>
      <x:c r="K678" s="55" t="n">
        <x:v>171110009000</x:v>
      </x:c>
      <x:c r="L678" s="55" t="n">
        <x:v>34920410</x:v>
      </x:c>
      <x:c r="M678" t="str">
        <x:v>20210322000570</x:v>
      </x:c>
      <x:c r="N678" t="n">
        <x:v>44277.624999988424</x:v>
      </x:c>
      <x:c r="O678" s="54" t="n">
        <x:v>44196</x:v>
      </x:c>
      <x:c r="P678" t="str">
        <x:v>False</x:v>
      </x:c>
      <x:c r="Q678" t="str">
        <x:v>2c40177bebdb79af787fdbbbe7b2fb1961c7e34aff8c723bffa7969be0d2c81a</x:v>
      </x:c>
      <x:c r="R678" t="str">
        <x:v>648b337d596595f7fa419e14405bf4a6cc9b965de9c5fe7ae81f9018c5994503</x:v>
      </x:c>
      <x:c r="S678" t="n">
        <x:v>6</x:v>
      </x:c>
      <x:c r="T678" t="str">
        <x:v>2018-12-31|2019-12-31|2020-12-31</x:v>
      </x:c>
      <x:c r="U678" s="57" t="n">
        <x:v>-16153.5769382895</x:v>
      </x:c>
      <x:c r="V678" s="57" t="n">
        <x:v>-4.296648354752959</x:v>
      </x:c>
      <x:c r="W678"/>
      <x:c r="X678"/>
      <x:c r="Y678" s="38" t="n">
        <x:v>0.6409090909090909</x:v>
      </x:c>
      <x:c r="Z678" s="38" t="n">
        <x:v>0.676334784928983</x:v>
      </x:c>
      <x:c r="AA678" t="str">
        <x:v>NON_POSITIVE_ENTERPRISE_VALUE|NON_POSITIVE_EQUITY_VALUE|NON_POSITIVE_TERMINAL_FCF</x:v>
      </x:c>
    </x:row>
    <x:row r="679">
      <x:c r="A679" s="54" t="n">
        <x:v>44286</x:v>
      </x:c>
      <x:c r="B679" t="n">
        <x:v>44286.624999988424</x:v>
      </x:c>
      <x:c r="C679" t="str">
        <x:v>029460</x:v>
      </x:c>
      <x:c r="D679" t="str">
        <x:v>케이씨</x:v>
      </x:c>
      <x:c r="E679" t="str">
        <x:v>KOSPI</x:v>
      </x:c>
      <x:c r="F679" t="str">
        <x:v>MID</x:v>
      </x:c>
      <x:c r="G679" t="str">
        <x:v>ELIGIBLE</x:v>
      </x:c>
      <x:c r="H679"/>
      <x:c r="I679" s="54" t="n">
        <x:v>44286</x:v>
      </x:c>
      <x:c r="J679" s="55" t="n">
        <x:v>27250</x:v>
      </x:c>
      <x:c r="K679" s="55" t="n">
        <x:v>369347699000</x:v>
      </x:c>
      <x:c r="L679" s="55" t="n">
        <x:v>13554044</x:v>
      </x:c>
      <x:c r="M679" t="str">
        <x:v>20210316000993</x:v>
      </x:c>
      <x:c r="N679" t="n">
        <x:v>44271.624999988424</x:v>
      </x:c>
      <x:c r="O679" s="54" t="n">
        <x:v>44196</x:v>
      </x:c>
      <x:c r="P679" t="str">
        <x:v>False</x:v>
      </x:c>
      <x:c r="Q679" t="str">
        <x:v>b4098d53fa6c9821544b19624f9e3b95c7efb07ed65dd730ca2d013f17f0f149</x:v>
      </x:c>
      <x:c r="R679" t="str">
        <x:v>bdbc2e70dba69343ad2b40ebf43c406cfee3642881bca2327498ab7f2557dc61</x:v>
      </x:c>
      <x:c r="S679" t="n">
        <x:v>7</x:v>
      </x:c>
      <x:c r="T679" t="str">
        <x:v>2018-12-31|2019-12-31|2020-12-31</x:v>
      </x:c>
      <x:c r="U679" s="57" t="n">
        <x:v>48747.66235572782</x:v>
      </x:c>
      <x:c r="V679" s="57" t="n">
        <x:v>0.7889050405771677</x:v>
      </x:c>
      <x:c r="W679" t="n">
        <x:v>7</x:v>
      </x:c>
      <x:c r="X679" t="n">
        <x:v>1</x:v>
      </x:c>
      <x:c r="Y679" s="38" t="n">
        <x:v>0.6409090909090909</x:v>
      </x:c>
      <x:c r="Z679" s="38" t="n">
        <x:v>0.6736961444810375</x:v>
      </x:c>
      <x:c r="AA679"/>
    </x:row>
    <x:row r="680">
      <x:c r="A680" s="54" t="n">
        <x:v>44286</x:v>
      </x:c>
      <x:c r="B680" t="n">
        <x:v>44286.624999988424</x:v>
      </x:c>
      <x:c r="C680" t="str">
        <x:v>122900</x:v>
      </x:c>
      <x:c r="D680" t="str">
        <x:v>아이마켓코리아</x:v>
      </x:c>
      <x:c r="E680" t="str">
        <x:v>KOSPI</x:v>
      </x:c>
      <x:c r="F680" t="str">
        <x:v>MID</x:v>
      </x:c>
      <x:c r="G680" t="str">
        <x:v>ELIGIBLE</x:v>
      </x:c>
      <x:c r="H680"/>
      <x:c r="I680" s="54" t="n">
        <x:v>44286</x:v>
      </x:c>
      <x:c r="J680" s="55" t="n">
        <x:v>9070</x:v>
      </x:c>
      <x:c r="K680" s="55" t="n">
        <x:v>303199578800</x:v>
      </x:c>
      <x:c r="L680" s="55" t="n">
        <x:v>33428840</x:v>
      </x:c>
      <x:c r="M680" t="str">
        <x:v>20210322000664</x:v>
      </x:c>
      <x:c r="N680" t="n">
        <x:v>44277.624999988424</x:v>
      </x:c>
      <x:c r="O680" s="54" t="n">
        <x:v>44196</x:v>
      </x:c>
      <x:c r="P680" t="str">
        <x:v>False</x:v>
      </x:c>
      <x:c r="Q680" t="str">
        <x:v>b92939c81e354aaff71090566e3693253c1752bd6d081c88b85c8203cdcf44f4</x:v>
      </x:c>
      <x:c r="R680" t="str">
        <x:v>2f99c90467b5d1ba95e082e3d4cbf7a890d1b59929860f56e1b76261c8b1a50c</x:v>
      </x:c>
      <x:c r="S680" t="n">
        <x:v>7</x:v>
      </x:c>
      <x:c r="T680" t="str">
        <x:v>2018-12-31|2019-12-31|2020-12-31</x:v>
      </x:c>
      <x:c r="U680" s="57" t="n">
        <x:v>7534.48271490816</x:v>
      </x:c>
      <x:c r="V680" s="57" t="n">
        <x:v>-0.16929628281056663</x:v>
      </x:c>
      <x:c r="W680" t="n">
        <x:v>17</x:v>
      </x:c>
      <x:c r="X680" t="n">
        <x:v>2</x:v>
      </x:c>
      <x:c r="Y680" s="38" t="n">
        <x:v>0.6409090909090909</x:v>
      </x:c>
      <x:c r="Z680" s="38" t="n">
        <x:v>0.6656486310336687</x:v>
      </x:c>
      <x:c r="AA680"/>
    </x:row>
    <x:row r="681">
      <x:c r="A681" s="54" t="n">
        <x:v>44286</x:v>
      </x:c>
      <x:c r="B681" t="n">
        <x:v>44286.624999988424</x:v>
      </x:c>
      <x:c r="C681" t="str">
        <x:v>001820</x:v>
      </x:c>
      <x:c r="D681" t="str">
        <x:v>삼화콘덴서</x:v>
      </x:c>
      <x:c r="E681" t="str">
        <x:v>KOSPI</x:v>
      </x:c>
      <x:c r="F681" t="str">
        <x:v>MID</x:v>
      </x:c>
      <x:c r="G681" t="str">
        <x:v>ELIGIBLE</x:v>
      </x:c>
      <x:c r="H681"/>
      <x:c r="I681" s="54" t="n">
        <x:v>44286</x:v>
      </x:c>
      <x:c r="J681" s="55" t="n">
        <x:v>68300</x:v>
      </x:c>
      <x:c r="K681" s="55" t="n">
        <x:v>709978500000</x:v>
      </x:c>
      <x:c r="L681" s="55" t="n">
        <x:v>10395000</x:v>
      </x:c>
      <x:c r="M681" t="str">
        <x:v>20210318000813</x:v>
      </x:c>
      <x:c r="N681" t="n">
        <x:v>44273.624999988424</x:v>
      </x:c>
      <x:c r="O681" s="54" t="n">
        <x:v>44196</x:v>
      </x:c>
      <x:c r="P681" t="str">
        <x:v>False</x:v>
      </x:c>
      <x:c r="Q681" t="str">
        <x:v>62af25af3ee9d675da0f9a28a9d429b856f6716ee8ccde02bf6bb2659a309d7d</x:v>
      </x:c>
      <x:c r="R681" t="str">
        <x:v>377ca5e06ffa671a6e44038c8c5ed1f0add6921eecb130f7781f3365ed119d4a</x:v>
      </x:c>
      <x:c r="S681" t="n">
        <x:v>6</x:v>
      </x:c>
      <x:c r="T681" t="str">
        <x:v>2018-12-31|2019-12-31|2020-12-31</x:v>
      </x:c>
      <x:c r="U681" s="57" t="n">
        <x:v>19903.907995886217</x:v>
      </x:c>
      <x:c r="V681" s="57" t="n">
        <x:v>-0.7085811420807289</x:v>
      </x:c>
      <x:c r="W681" t="n">
        <x:v>43</x:v>
      </x:c>
      <x:c r="X681" t="n">
        <x:v>4</x:v>
      </x:c>
      <x:c r="Y681" s="38" t="n">
        <x:v>0.6409090909090909</x:v>
      </x:c>
      <x:c r="Z681" s="38" t="n">
        <x:v>0.7024781145767918</x:v>
      </x:c>
      <x:c r="AA681"/>
    </x:row>
    <x:row r="682">
      <x:c r="A682" s="54" t="n">
        <x:v>44286</x:v>
      </x:c>
      <x:c r="B682" t="n">
        <x:v>44286.624999988424</x:v>
      </x:c>
      <x:c r="C682" t="str">
        <x:v>001790</x:v>
      </x:c>
      <x:c r="D682" t="str">
        <x:v>대한제당</x:v>
      </x:c>
      <x:c r="E682" t="str">
        <x:v>KOSPI</x:v>
      </x:c>
      <x:c r="F682" t="str">
        <x:v>MID</x:v>
      </x:c>
      <x:c r="G682" t="str">
        <x:v>ELIGIBLE</x:v>
      </x:c>
      <x:c r="H682"/>
      <x:c r="I682" s="54" t="n">
        <x:v>44286</x:v>
      </x:c>
      <x:c r="J682" s="55" t="n">
        <x:v>30650</x:v>
      </x:c>
      <x:c r="K682" s="55" t="n">
        <x:v>274920017700</x:v>
      </x:c>
      <x:c r="L682" s="55" t="n">
        <x:v>8969658</x:v>
      </x:c>
      <x:c r="M682" t="str">
        <x:v>20210318000826</x:v>
      </x:c>
      <x:c r="N682" t="n">
        <x:v>44273.624999988424</x:v>
      </x:c>
      <x:c r="O682" s="54" t="n">
        <x:v>44196</x:v>
      </x:c>
      <x:c r="P682" t="str">
        <x:v>False</x:v>
      </x:c>
      <x:c r="Q682" t="str">
        <x:v>20678c1abb584c66477ec3746146c1dc7cfcb992f66ed162fb6fb3458ef5575f</x:v>
      </x:c>
      <x:c r="R682" t="str">
        <x:v>f89fb6223fefa055579e496adead86849c0414742a8997334ab3a90a57eb2031</x:v>
      </x:c>
      <x:c r="S682" t="n">
        <x:v>6</x:v>
      </x:c>
      <x:c r="T682" t="str">
        <x:v>2018-12-31|2019-12-31|2020-12-31</x:v>
      </x:c>
      <x:c r="U682" s="57" t="n">
        <x:v>11603.339311700864</x:v>
      </x:c>
      <x:c r="V682" s="57" t="n">
        <x:v>-0.6214244922772965</x:v>
      </x:c>
      <x:c r="W682" t="n">
        <x:v>39</x:v>
      </x:c>
      <x:c r="X682" t="n">
        <x:v>4</x:v>
      </x:c>
      <x:c r="Y682" s="38" t="n">
        <x:v>0.6409090909090909</x:v>
      </x:c>
      <x:c r="Z682" s="38" t="n">
        <x:v>0.5698434338896153</x:v>
      </x:c>
      <x:c r="AA682"/>
    </x:row>
    <x:row r="683">
      <x:c r="A683" s="54" t="n">
        <x:v>44286</x:v>
      </x:c>
      <x:c r="B683" t="n">
        <x:v>44286.624999988424</x:v>
      </x:c>
      <x:c r="C683" t="str">
        <x:v>001340</x:v>
      </x:c>
      <x:c r="D683" t="str">
        <x:v>PKC</x:v>
      </x:c>
      <x:c r="E683" t="str">
        <x:v>KOSPI</x:v>
      </x:c>
      <x:c r="F683" t="str">
        <x:v>MID</x:v>
      </x:c>
      <x:c r="G683" t="str">
        <x:v>ELIGIBLE</x:v>
      </x:c>
      <x:c r="H683"/>
      <x:c r="I683" s="54" t="n">
        <x:v>44286</x:v>
      </x:c>
      <x:c r="J683" s="55" t="n">
        <x:v>4555</x:v>
      </x:c>
      <x:c r="K683" s="55" t="n">
        <x:v>204603343885</x:v>
      </x:c>
      <x:c r="L683" s="55" t="n">
        <x:v>44918407</x:v>
      </x:c>
      <x:c r="M683" t="str">
        <x:v>20210317000563</x:v>
      </x:c>
      <x:c r="N683" t="n">
        <x:v>44272.624999988424</x:v>
      </x:c>
      <x:c r="O683" s="54" t="n">
        <x:v>44196</x:v>
      </x:c>
      <x:c r="P683" t="str">
        <x:v>False</x:v>
      </x:c>
      <x:c r="Q683" t="str">
        <x:v>81adfca52825bdd115d27da3b41cb6c3439abb61b538de345fb74e37891da0b1</x:v>
      </x:c>
      <x:c r="R683" t="str">
        <x:v>2e28e834dc1fb990f4d5415cd14d168e467ed9142c468c9f6da7138ee5fe5af3</x:v>
      </x:c>
      <x:c r="S683" t="n">
        <x:v>6</x:v>
      </x:c>
      <x:c r="T683" t="str">
        <x:v>2016-12-31|2017-12-31|2018-12-31|2019-12-31|2020-12-31</x:v>
      </x:c>
      <x:c r="U683" s="57" t="n">
        <x:v>65.60697834095828</x:v>
      </x:c>
      <x:c r="V683" s="57" t="n">
        <x:v>-0.9855967116704811</x:v>
      </x:c>
      <x:c r="W683" t="n">
        <x:v>59</x:v>
      </x:c>
      <x:c r="X683" t="n">
        <x:v>5</x:v>
      </x:c>
      <x:c r="Y683" s="38" t="n">
        <x:v>0.6409090909090909</x:v>
      </x:c>
      <x:c r="Z683" s="38" t="n">
        <x:v>0.6734078515422923</x:v>
      </x:c>
      <x:c r="AA683"/>
    </x:row>
    <x:row r="684">
      <x:c r="A684" s="54" t="n">
        <x:v>44286</x:v>
      </x:c>
      <x:c r="B684" t="n">
        <x:v>44286.624999988424</x:v>
      </x:c>
      <x:c r="C684" t="str">
        <x:v>096760</x:v>
      </x:c>
      <x:c r="D684" t="str">
        <x:v>JW홀딩스</x:v>
      </x:c>
      <x:c r="E684" t="str">
        <x:v>KOSPI</x:v>
      </x:c>
      <x:c r="F684" t="str">
        <x:v>MID</x:v>
      </x:c>
      <x:c r="G684" t="str">
        <x:v>EXCLUDED_ARCHETYPE</x:v>
      </x:c>
      <x:c r="H684" t="str">
        <x:v>FCFF_NOT_COMPARABLE_FOR_FINANCE_OR_HOLDING_HINT</x:v>
      </x:c>
      <x:c r="I684" s="54"/>
      <x:c r="J684" s="55"/>
      <x:c r="K684" s="55"/>
      <x:c r="L684" s="55"/>
      <x:c r="M684"/>
      <x:c r="N684"/>
      <x:c r="O684" s="54"/>
      <x:c r="P684"/>
      <x:c r="Q684"/>
      <x:c r="R684"/>
      <x:c r="S684"/>
      <x:c r="T684"/>
      <x:c r="U684" s="57"/>
      <x:c r="V684" s="57"/>
      <x:c r="W684"/>
      <x:c r="X684"/>
      <x:c r="Y684" s="38"/>
      <x:c r="Z684" s="38"/>
      <x:c r="AA684"/>
    </x:row>
    <x:row r="685">
      <x:c r="A685" s="54" t="n">
        <x:v>44286</x:v>
      </x:c>
      <x:c r="B685" t="n">
        <x:v>44286.624999988424</x:v>
      </x:c>
      <x:c r="C685" t="str">
        <x:v>005010</x:v>
      </x:c>
      <x:c r="D685" t="str">
        <x:v>휴스틸</x:v>
      </x:c>
      <x:c r="E685" t="str">
        <x:v>KOSPI</x:v>
      </x:c>
      <x:c r="F685" t="str">
        <x:v>MID</x:v>
      </x:c>
      <x:c r="G685" t="str">
        <x:v>ELIGIBLE</x:v>
      </x:c>
      <x:c r="H685"/>
      <x:c r="I685" s="54" t="n">
        <x:v>44286</x:v>
      </x:c>
      <x:c r="J685" s="55" t="n">
        <x:v>10950</x:v>
      </x:c>
      <x:c r="K685" s="55" t="n">
        <x:v>83457264600</x:v>
      </x:c>
      <x:c r="L685" s="55" t="n">
        <x:v>7621668</x:v>
      </x:c>
      <x:c r="M685" t="str">
        <x:v>20210323001094</x:v>
      </x:c>
      <x:c r="N685" t="n">
        <x:v>44278.624999988424</x:v>
      </x:c>
      <x:c r="O685" s="54" t="n">
        <x:v>44196</x:v>
      </x:c>
      <x:c r="P685" t="str">
        <x:v>False</x:v>
      </x:c>
      <x:c r="Q685" t="str">
        <x:v>358c99bbd3908de4511666e01e6de1624292a0d2e52d26017dbc07b20987a606</x:v>
      </x:c>
      <x:c r="R685" t="str">
        <x:v>b22c5cf1055628239a9b026a80fc3913c3040d0df837fed18104e6bc98dc4d00</x:v>
      </x:c>
      <x:c r="S685" t="n">
        <x:v>7</x:v>
      </x:c>
      <x:c r="T685" t="str">
        <x:v>2018-12-31|2019-12-31|2020-12-31</x:v>
      </x:c>
      <x:c r="U685" s="57" t="n">
        <x:v>7826.419821455907</x:v>
      </x:c>
      <x:c r="V685" s="57" t="n">
        <x:v>-0.28525846379398107</x:v>
      </x:c>
      <x:c r="W685" t="n">
        <x:v>21</x:v>
      </x:c>
      <x:c r="X685" t="n">
        <x:v>2</x:v>
      </x:c>
      <x:c r="Y685" s="38" t="n">
        <x:v>0.6409090909090909</x:v>
      </x:c>
      <x:c r="Z685" s="38" t="n">
        <x:v>0.471667152477003</x:v>
      </x:c>
      <x:c r="AA685"/>
    </x:row>
    <x:row r="686">
      <x:c r="A686" s="54" t="n">
        <x:v>44286</x:v>
      </x:c>
      <x:c r="B686" t="n">
        <x:v>44286.624999988424</x:v>
      </x:c>
      <x:c r="C686" t="str">
        <x:v>001630</x:v>
      </x:c>
      <x:c r="D686" t="str">
        <x:v>종근당홀딩스</x:v>
      </x:c>
      <x:c r="E686" t="str">
        <x:v>KOSPI</x:v>
      </x:c>
      <x:c r="F686" t="str">
        <x:v>MID</x:v>
      </x:c>
      <x:c r="G686" t="str">
        <x:v>EXCLUDED_ARCHETYPE</x:v>
      </x:c>
      <x:c r="H686" t="str">
        <x:v>FCFF_NOT_COMPARABLE_FOR_FINANCE_OR_HOLDING_HINT</x:v>
      </x:c>
      <x:c r="I686" s="54"/>
      <x:c r="J686" s="55"/>
      <x:c r="K686" s="55"/>
      <x:c r="L686" s="55"/>
      <x:c r="M686"/>
      <x:c r="N686"/>
      <x:c r="O686" s="54"/>
      <x:c r="P686"/>
      <x:c r="Q686"/>
      <x:c r="R686"/>
      <x:c r="S686"/>
      <x:c r="T686"/>
      <x:c r="U686" s="57"/>
      <x:c r="V686" s="57"/>
      <x:c r="W686"/>
      <x:c r="X686"/>
      <x:c r="Y686" s="38"/>
      <x:c r="Z686" s="38"/>
      <x:c r="AA686"/>
    </x:row>
    <x:row r="687">
      <x:c r="A687" s="54" t="n">
        <x:v>44286</x:v>
      </x:c>
      <x:c r="B687" t="n">
        <x:v>44286.624999988424</x:v>
      </x:c>
      <x:c r="C687" t="str">
        <x:v>005680</x:v>
      </x:c>
      <x:c r="D687" t="str">
        <x:v>삼영전자</x:v>
      </x:c>
      <x:c r="E687" t="str">
        <x:v>KOSPI</x:v>
      </x:c>
      <x:c r="F687" t="str">
        <x:v>MID</x:v>
      </x:c>
      <x:c r="G687" t="str">
        <x:v>ELIGIBLE</x:v>
      </x:c>
      <x:c r="H687"/>
      <x:c r="I687" s="54" t="n">
        <x:v>44286</x:v>
      </x:c>
      <x:c r="J687" s="55" t="n">
        <x:v>11000</x:v>
      </x:c>
      <x:c r="K687" s="55" t="n">
        <x:v>220000000000</x:v>
      </x:c>
      <x:c r="L687" s="55" t="n">
        <x:v>20000000</x:v>
      </x:c>
      <x:c r="M687" t="str">
        <x:v>20210311000178</x:v>
      </x:c>
      <x:c r="N687" t="n">
        <x:v>44266.624999988424</x:v>
      </x:c>
      <x:c r="O687" s="54" t="n">
        <x:v>44196</x:v>
      </x:c>
      <x:c r="P687" t="str">
        <x:v>False</x:v>
      </x:c>
      <x:c r="Q687" t="str">
        <x:v>dde14fa80372da4de99c1b031ada4ede564fe680bd7b1decb0a4ae7d0ff72d41</x:v>
      </x:c>
      <x:c r="R687" t="str">
        <x:v>39c89dac47e1d12411df59d521e88eca256c5297f13e434da2910061f9732c40</x:v>
      </x:c>
      <x:c r="S687" t="n">
        <x:v>6</x:v>
      </x:c>
      <x:c r="T687" t="str">
        <x:v>2018-12-31|2019-12-31|2020-12-31</x:v>
      </x:c>
      <x:c r="U687" s="57" t="n">
        <x:v>3668.246287265243</x:v>
      </x:c>
      <x:c r="V687" s="57" t="n">
        <x:v>-0.6665230647940689</x:v>
      </x:c>
      <x:c r="W687" t="n">
        <x:v>42</x:v>
      </x:c>
      <x:c r="X687" t="n">
        <x:v>4</x:v>
      </x:c>
      <x:c r="Y687" s="38" t="n">
        <x:v>0.6409090909090909</x:v>
      </x:c>
      <x:c r="Z687" s="38" t="n">
        <x:v>0.4816152124920987</x:v>
      </x:c>
      <x:c r="AA687"/>
    </x:row>
    <x:row r="688">
      <x:c r="A688" s="54" t="n">
        <x:v>44286</x:v>
      </x:c>
      <x:c r="B688" t="n">
        <x:v>44286.624999988424</x:v>
      </x:c>
      <x:c r="C688" t="str">
        <x:v>028100</x:v>
      </x:c>
      <x:c r="D688" t="str">
        <x:v>동아지질</x:v>
      </x:c>
      <x:c r="E688" t="str">
        <x:v>KOSPI</x:v>
      </x:c>
      <x:c r="F688" t="str">
        <x:v>MID</x:v>
      </x:c>
      <x:c r="G688" t="str">
        <x:v>ELIGIBLE</x:v>
      </x:c>
      <x:c r="H688"/>
      <x:c r="I688" s="54" t="n">
        <x:v>44286</x:v>
      </x:c>
      <x:c r="J688" s="55" t="n">
        <x:v>18450</x:v>
      </x:c>
      <x:c r="K688" s="55" t="n">
        <x:v>212175000000</x:v>
      </x:c>
      <x:c r="L688" s="55" t="n">
        <x:v>11500000</x:v>
      </x:c>
      <x:c r="M688" t="str">
        <x:v>20210317000479</x:v>
      </x:c>
      <x:c r="N688" t="n">
        <x:v>44272.624999988424</x:v>
      </x:c>
      <x:c r="O688" s="54" t="n">
        <x:v>44196</x:v>
      </x:c>
      <x:c r="P688" t="str">
        <x:v>False</x:v>
      </x:c>
      <x:c r="Q688" t="str">
        <x:v>bc2d1caa964a2ab24387413d73b3d76e86ffc1bf831ba20155c556d6c0d445b4</x:v>
      </x:c>
      <x:c r="R688" t="str">
        <x:v>ed58f112ca210e521489ef5cb877a8950f25699d8d3c5b406b93f360e560ce8f</x:v>
      </x:c>
      <x:c r="S688" t="n">
        <x:v>7</x:v>
      </x:c>
      <x:c r="T688" t="str">
        <x:v>2018-12-31|2019-12-31|2020-12-31</x:v>
      </x:c>
      <x:c r="U688" s="57" t="n">
        <x:v>26722.030644503473</x:v>
      </x:c>
      <x:c r="V688" s="57" t="n">
        <x:v>0.4483485444175323</x:v>
      </x:c>
      <x:c r="W688" t="n">
        <x:v>9</x:v>
      </x:c>
      <x:c r="X688" t="n">
        <x:v>1</x:v>
      </x:c>
      <x:c r="Y688" s="38" t="n">
        <x:v>0.6409090909090909</x:v>
      </x:c>
      <x:c r="Z688" s="38" t="n">
        <x:v>0.7103235894476889</x:v>
      </x:c>
      <x:c r="AA688"/>
    </x:row>
    <x:row r="689">
      <x:c r="A689" s="54" t="n">
        <x:v>44286</x:v>
      </x:c>
      <x:c r="B689" t="n">
        <x:v>44286.624999988424</x:v>
      </x:c>
      <x:c r="C689" t="str">
        <x:v>001750</x:v>
      </x:c>
      <x:c r="D689" t="str">
        <x:v>한양증권</x:v>
      </x:c>
      <x:c r="E689" t="str">
        <x:v>KOSPI</x:v>
      </x:c>
      <x:c r="F689" t="str">
        <x:v>MID</x:v>
      </x:c>
      <x:c r="G689" t="str">
        <x:v>EXCLUDED_ARCHETYPE</x:v>
      </x:c>
      <x:c r="H689" t="str">
        <x:v>FCFF_NOT_COMPARABLE_FOR_FINANCE_OR_HOLDING_HINT</x:v>
      </x:c>
      <x:c r="I689" s="54"/>
      <x:c r="J689" s="55"/>
      <x:c r="K689" s="55"/>
      <x:c r="L689" s="55"/>
      <x:c r="M689"/>
      <x:c r="N689"/>
      <x:c r="O689" s="54"/>
      <x:c r="P689"/>
      <x:c r="Q689"/>
      <x:c r="R689"/>
      <x:c r="S689"/>
      <x:c r="T689"/>
      <x:c r="U689" s="57"/>
      <x:c r="V689" s="57"/>
      <x:c r="W689"/>
      <x:c r="X689"/>
      <x:c r="Y689" s="38"/>
      <x:c r="Z689" s="38"/>
      <x:c r="AA689"/>
    </x:row>
    <x:row r="690">
      <x:c r="A690" s="54" t="n">
        <x:v>44286</x:v>
      </x:c>
      <x:c r="B690" t="n">
        <x:v>44286.624999988424</x:v>
      </x:c>
      <x:c r="C690" t="str">
        <x:v>102460</x:v>
      </x:c>
      <x:c r="D690" t="str">
        <x:v>이연제약</x:v>
      </x:c>
      <x:c r="E690" t="str">
        <x:v>KOSPI</x:v>
      </x:c>
      <x:c r="F690" t="str">
        <x:v>MID</x:v>
      </x:c>
      <x:c r="G690" t="str">
        <x:v>ELIGIBLE</x:v>
      </x:c>
      <x:c r="H690"/>
      <x:c r="I690" s="54" t="n">
        <x:v>44286</x:v>
      </x:c>
      <x:c r="J690" s="55" t="n">
        <x:v>17000</x:v>
      </x:c>
      <x:c r="K690" s="55" t="n">
        <x:v>304449515000</x:v>
      </x:c>
      <x:c r="L690" s="55" t="n">
        <x:v>17908795</x:v>
      </x:c>
      <x:c r="M690" t="str">
        <x:v>20210318000279</x:v>
      </x:c>
      <x:c r="N690" t="n">
        <x:v>44273.624999988424</x:v>
      </x:c>
      <x:c r="O690" s="54" t="n">
        <x:v>44196</x:v>
      </x:c>
      <x:c r="P690" t="str">
        <x:v>False</x:v>
      </x:c>
      <x:c r="Q690" t="str">
        <x:v>bafa27ff7a8f0c2cc105ff079f8634cb91e99101fddf8fe16ed747692f943381</x:v>
      </x:c>
      <x:c r="R690" t="str">
        <x:v>7ab3717ffefb5b466b6c6284aa66ff1f75d6201cbed0dd7623fb983f6e7e880b</x:v>
      </x:c>
      <x:c r="S690" t="n">
        <x:v>4</x:v>
      </x:c>
      <x:c r="T690" t="str">
        <x:v>2018-12-31|2019-12-31|2020-12-31</x:v>
      </x:c>
      <x:c r="U690" s="57" t="n">
        <x:v>1686.7467557861478</x:v>
      </x:c>
      <x:c r="V690" s="57" t="n">
        <x:v>-0.9007796026008148</x:v>
      </x:c>
      <x:c r="W690" t="n">
        <x:v>57</x:v>
      </x:c>
      <x:c r="X690" t="n">
        <x:v>5</x:v>
      </x:c>
      <x:c r="Y690" s="38" t="n">
        <x:v>0.6409090909090909</x:v>
      </x:c>
      <x:c r="Z690" s="38" t="n">
        <x:v>0.6881824883488759</x:v>
      </x:c>
      <x:c r="AA690"/>
    </x:row>
    <x:row r="691">
      <x:c r="A691" s="54" t="n">
        <x:v>44286</x:v>
      </x:c>
      <x:c r="B691" t="n">
        <x:v>44286.624999988424</x:v>
      </x:c>
      <x:c r="C691" t="str">
        <x:v>053690</x:v>
      </x:c>
      <x:c r="D691" t="str">
        <x:v>한미글로벌</x:v>
      </x:c>
      <x:c r="E691" t="str">
        <x:v>KOSPI</x:v>
      </x:c>
      <x:c r="F691" t="str">
        <x:v>MID</x:v>
      </x:c>
      <x:c r="G691" t="str">
        <x:v>ELIGIBLE</x:v>
      </x:c>
      <x:c r="H691"/>
      <x:c r="I691" s="54" t="n">
        <x:v>44286</x:v>
      </x:c>
      <x:c r="J691" s="55" t="n">
        <x:v>10700</x:v>
      </x:c>
      <x:c r="K691" s="55" t="n">
        <x:v>117245785000</x:v>
      </x:c>
      <x:c r="L691" s="55" t="n">
        <x:v>10957550</x:v>
      </x:c>
      <x:c r="M691" t="str">
        <x:v>20210326001219</x:v>
      </x:c>
      <x:c r="N691" t="n">
        <x:v>44281.624999988424</x:v>
      </x:c>
      <x:c r="O691" s="54" t="n">
        <x:v>44196</x:v>
      </x:c>
      <x:c r="P691" t="str">
        <x:v>True</x:v>
      </x:c>
      <x:c r="Q691" t="str">
        <x:v>e941839f60714374267fa53fec0758cc41c633a07fb2a702fbbee19bbfd8deb7</x:v>
      </x:c>
      <x:c r="R691" t="str">
        <x:v>934955606a112d859a0ce14e27a56a79ebcff494f5ee54caaecf4cb0b75c9b26</x:v>
      </x:c>
      <x:c r="S691" t="n">
        <x:v>6</x:v>
      </x:c>
      <x:c r="T691" t="str">
        <x:v>2018-12-31|2019-12-31|2020-12-31</x:v>
      </x:c>
      <x:c r="U691" s="57" t="n">
        <x:v>14615.232013631028</x:v>
      </x:c>
      <x:c r="V691" s="57" t="n">
        <x:v>0.3659095339842082</x:v>
      </x:c>
      <x:c r="W691" t="n">
        <x:v>10</x:v>
      </x:c>
      <x:c r="X691" t="n">
        <x:v>1</x:v>
      </x:c>
      <x:c r="Y691" s="38" t="n">
        <x:v>0.6409090909090909</x:v>
      </x:c>
      <x:c r="Z691" s="38" t="n">
        <x:v>0.6899242333766348</x:v>
      </x:c>
      <x:c r="AA691"/>
    </x:row>
    <x:row r="692">
      <x:c r="A692" s="54" t="n">
        <x:v>44286</x:v>
      </x:c>
      <x:c r="B692" t="n">
        <x:v>44286.624999988424</x:v>
      </x:c>
      <x:c r="C692" t="str">
        <x:v>213500</x:v>
      </x:c>
      <x:c r="D692" t="str">
        <x:v>한솔제지</x:v>
      </x:c>
      <x:c r="E692" t="str">
        <x:v>KOSPI</x:v>
      </x:c>
      <x:c r="F692" t="str">
        <x:v>MID</x:v>
      </x:c>
      <x:c r="G692" t="str">
        <x:v>ELIGIBLE</x:v>
      </x:c>
      <x:c r="H692"/>
      <x:c r="I692" s="54" t="n">
        <x:v>44286</x:v>
      </x:c>
      <x:c r="J692" s="55" t="n">
        <x:v>14350</x:v>
      </x:c>
      <x:c r="K692" s="55" t="n">
        <x:v>341538265600</x:v>
      </x:c>
      <x:c r="L692" s="55" t="n">
        <x:v>23800576</x:v>
      </x:c>
      <x:c r="M692" t="str">
        <x:v>20210317001248</x:v>
      </x:c>
      <x:c r="N692" t="n">
        <x:v>44272.624999988424</x:v>
      </x:c>
      <x:c r="O692" s="54" t="n">
        <x:v>44196</x:v>
      </x:c>
      <x:c r="P692" t="str">
        <x:v>True</x:v>
      </x:c>
      <x:c r="Q692" t="str">
        <x:v>8efbce3ee9b4e5be342d13640deb5660db4e1206c3c7f9d96ce1c37099bb3a70</x:v>
      </x:c>
      <x:c r="R692" t="str">
        <x:v>bdec2c9e28fec8b0cb98d00a31cab09a0c1959da47b6f2ecece8901870a4f4f8</x:v>
      </x:c>
      <x:c r="S692" t="n">
        <x:v>6</x:v>
      </x:c>
      <x:c r="T692" t="str">
        <x:v>2018-12-31|2019-12-31|2020-12-31</x:v>
      </x:c>
      <x:c r="U692" s="57" t="n">
        <x:v>8382.140797073778</x:v>
      </x:c>
      <x:c r="V692" s="57" t="n">
        <x:v>-0.41587869009938827</x:v>
      </x:c>
      <x:c r="W692" t="n">
        <x:v>26</x:v>
      </x:c>
      <x:c r="X692" t="n">
        <x:v>3</x:v>
      </x:c>
      <x:c r="Y692" s="38" t="n">
        <x:v>0.6409090909090909</x:v>
      </x:c>
      <x:c r="Z692" s="38" t="n">
        <x:v>0.6149835882195432</x:v>
      </x:c>
      <x:c r="AA692"/>
    </x:row>
    <x:row r="693">
      <x:c r="A693" s="54" t="n">
        <x:v>44286</x:v>
      </x:c>
      <x:c r="B693" t="n">
        <x:v>44286.624999988424</x:v>
      </x:c>
      <x:c r="C693" t="str">
        <x:v>005430</x:v>
      </x:c>
      <x:c r="D693" t="str">
        <x:v>한국공항</x:v>
      </x:c>
      <x:c r="E693" t="str">
        <x:v>KOSPI</x:v>
      </x:c>
      <x:c r="F693" t="str">
        <x:v>MID</x:v>
      </x:c>
      <x:c r="G693" t="str">
        <x:v>DCF_SCREENING_EXCLUSION</x:v>
      </x:c>
      <x:c r="H693" t="str">
        <x:v>UNRELIABLE_TERMINAL_VALUE_SHARE</x:v>
      </x:c>
      <x:c r="I693" s="54" t="n">
        <x:v>44286</x:v>
      </x:c>
      <x:c r="J693" s="55" t="n">
        <x:v>40900</x:v>
      </x:c>
      <x:c r="K693" s="55" t="n">
        <x:v>129503919500</x:v>
      </x:c>
      <x:c r="L693" s="55" t="n">
        <x:v>3166355</x:v>
      </x:c>
      <x:c r="M693" t="str">
        <x:v>20210318001204</x:v>
      </x:c>
      <x:c r="N693" t="n">
        <x:v>44273.624999988424</x:v>
      </x:c>
      <x:c r="O693" s="54" t="n">
        <x:v>44196</x:v>
      </x:c>
      <x:c r="P693" t="str">
        <x:v>False</x:v>
      </x:c>
      <x:c r="Q693" t="str">
        <x:v>0d39e979f1c33d350281bec900a7d13ad08ca5a63340b7c00b73f9412208d65e</x:v>
      </x:c>
      <x:c r="R693" t="str">
        <x:v>eb32c26607eae35c127601fc1bfa293ae7e44bc65bad03d2d6206715c05bacd4</x:v>
      </x:c>
      <x:c r="S693" t="n">
        <x:v>7</x:v>
      </x:c>
      <x:c r="T693" t="str">
        <x:v>2018-12-31|2019-12-31|2020-12-31</x:v>
      </x:c>
      <x:c r="U693" s="57" t="n">
        <x:v>44990.34699553746</x:v>
      </x:c>
      <x:c r="V693" s="57" t="n">
        <x:v>0.10000848399847087</x:v>
      </x:c>
      <x:c r="W693"/>
      <x:c r="X693"/>
      <x:c r="Y693" s="38" t="n">
        <x:v>0.6409090909090909</x:v>
      </x:c>
      <x:c r="Z693" s="38" t="n">
        <x:v>1.3916929697875668</x:v>
      </x:c>
      <x:c r="AA693" t="str">
        <x:v>UNRELIABLE_TERMINAL_VALUE_SHARE</x:v>
      </x:c>
    </x:row>
    <x:row r="694">
      <x:c r="A694" s="54" t="n">
        <x:v>44286</x:v>
      </x:c>
      <x:c r="B694" t="n">
        <x:v>44286.624999988424</x:v>
      </x:c>
      <x:c r="C694" t="str">
        <x:v>003460</x:v>
      </x:c>
      <x:c r="D694" t="str">
        <x:v>유화증권</x:v>
      </x:c>
      <x:c r="E694" t="str">
        <x:v>KOSPI</x:v>
      </x:c>
      <x:c r="F694" t="str">
        <x:v>MID</x:v>
      </x:c>
      <x:c r="G694" t="str">
        <x:v>EXCLUDED_ARCHETYPE</x:v>
      </x:c>
      <x:c r="H694" t="str">
        <x:v>FCFF_NOT_COMPARABLE_FOR_FINANCE_OR_HOLDING_HINT</x:v>
      </x:c>
      <x:c r="I694" s="54"/>
      <x:c r="J694" s="55"/>
      <x:c r="K694" s="55"/>
      <x:c r="L694" s="55"/>
      <x:c r="M694"/>
      <x:c r="N694"/>
      <x:c r="O694" s="54"/>
      <x:c r="P694"/>
      <x:c r="Q694"/>
      <x:c r="R694"/>
      <x:c r="S694"/>
      <x:c r="T694"/>
      <x:c r="U694" s="57"/>
      <x:c r="V694" s="57"/>
      <x:c r="W694"/>
      <x:c r="X694"/>
      <x:c r="Y694" s="38"/>
      <x:c r="Z694" s="38"/>
      <x:c r="AA694"/>
    </x:row>
    <x:row r="695">
      <x:c r="A695" s="54" t="n">
        <x:v>44286</x:v>
      </x:c>
      <x:c r="B695" t="n">
        <x:v>44286.624999988424</x:v>
      </x:c>
      <x:c r="C695" t="str">
        <x:v>004140</x:v>
      </x:c>
      <x:c r="D695" t="str">
        <x:v>동방</x:v>
      </x:c>
      <x:c r="E695" t="str">
        <x:v>KOSPI</x:v>
      </x:c>
      <x:c r="F695" t="str">
        <x:v>MID</x:v>
      </x:c>
      <x:c r="G695" t="str">
        <x:v>ELIGIBLE</x:v>
      </x:c>
      <x:c r="H695"/>
      <x:c r="I695" s="54" t="n">
        <x:v>44286</x:v>
      </x:c>
      <x:c r="J695" s="55" t="n">
        <x:v>6720</x:v>
      </x:c>
      <x:c r="K695" s="55" t="n">
        <x:v>268610267520</x:v>
      </x:c>
      <x:c r="L695" s="55" t="n">
        <x:v>39971766</x:v>
      </x:c>
      <x:c r="M695" t="str">
        <x:v>20210318001411</x:v>
      </x:c>
      <x:c r="N695" t="n">
        <x:v>44273.624999988424</x:v>
      </x:c>
      <x:c r="O695" s="54" t="n">
        <x:v>44196</x:v>
      </x:c>
      <x:c r="P695" t="str">
        <x:v>True</x:v>
      </x:c>
      <x:c r="Q695" t="str">
        <x:v>cd914a5019f6e8560601ad20b2cd3d5aa53872889b48071bc71e88ce799a30ef</x:v>
      </x:c>
      <x:c r="R695" t="str">
        <x:v>86c9b67053a243604488e4e135d64ed754baba5bc9f5c2c88b641944276ce88d</x:v>
      </x:c>
      <x:c r="S695" t="n">
        <x:v>7</x:v>
      </x:c>
      <x:c r="T695" t="str">
        <x:v>2018-12-31|2019-12-31|2020-12-31</x:v>
      </x:c>
      <x:c r="U695" s="57" t="n">
        <x:v>1747.670303427982</x:v>
      </x:c>
      <x:c r="V695" s="57" t="n">
        <x:v>-0.739930014370836</x:v>
      </x:c>
      <x:c r="W695" t="n">
        <x:v>47</x:v>
      </x:c>
      <x:c r="X695" t="n">
        <x:v>4</x:v>
      </x:c>
      <x:c r="Y695" s="38" t="n">
        <x:v>0.6409090909090909</x:v>
      </x:c>
      <x:c r="Z695" s="38" t="n">
        <x:v>0.6560054137396165</x:v>
      </x:c>
      <x:c r="AA695"/>
    </x:row>
    <x:row r="696">
      <x:c r="A696" s="54" t="n">
        <x:v>44286</x:v>
      </x:c>
      <x:c r="B696" t="n">
        <x:v>44286.624999988424</x:v>
      </x:c>
      <x:c r="C696" t="str">
        <x:v>317400</x:v>
      </x:c>
      <x:c r="D696" t="str">
        <x:v>자이에스앤디</x:v>
      </x:c>
      <x:c r="E696" t="str">
        <x:v>KOSPI</x:v>
      </x:c>
      <x:c r="F696" t="str">
        <x:v>MID</x:v>
      </x:c>
      <x:c r="G696" t="str">
        <x:v>ELIGIBLE</x:v>
      </x:c>
      <x:c r="H696"/>
      <x:c r="I696" s="54" t="n">
        <x:v>44286</x:v>
      </x:c>
      <x:c r="J696" s="55" t="n">
        <x:v>10950</x:v>
      </x:c>
      <x:c r="K696" s="55" t="n">
        <x:v>293268594000</x:v>
      </x:c>
      <x:c r="L696" s="55" t="n">
        <x:v>26782520</x:v>
      </x:c>
      <x:c r="M696" t="str">
        <x:v>20210318000575</x:v>
      </x:c>
      <x:c r="N696" t="n">
        <x:v>44273.624999988424</x:v>
      </x:c>
      <x:c r="O696" s="54" t="n">
        <x:v>44196</x:v>
      </x:c>
      <x:c r="P696" t="str">
        <x:v>False</x:v>
      </x:c>
      <x:c r="Q696" t="str">
        <x:v>972d3a642af3619808d682902738953c9555278604c118a76ff87e207ed26808</x:v>
      </x:c>
      <x:c r="R696" t="str">
        <x:v>ef1ddccd1b3a53bd2d8cdfd2488576185c9b52dcf56116da62a2f5aa543acf63</x:v>
      </x:c>
      <x:c r="S696" t="n">
        <x:v>6</x:v>
      </x:c>
      <x:c r="T696" t="str">
        <x:v>2019-12-31|2020-12-31</x:v>
      </x:c>
      <x:c r="U696" s="57" t="n">
        <x:v>6334.223716599057</x:v>
      </x:c>
      <x:c r="V696" s="57" t="n">
        <x:v>-0.42153208067588516</x:v>
      </x:c>
      <x:c r="W696" t="n">
        <x:v>27</x:v>
      </x:c>
      <x:c r="X696" t="n">
        <x:v>3</x:v>
      </x:c>
      <x:c r="Y696" s="38" t="n">
        <x:v>0.6409090909090909</x:v>
      </x:c>
      <x:c r="Z696" s="38" t="n">
        <x:v>0.7139082035114958</x:v>
      </x:c>
      <x:c r="AA696"/>
    </x:row>
    <x:row r="697">
      <x:c r="A697" s="54" t="n">
        <x:v>44286</x:v>
      </x:c>
      <x:c r="B697" t="n">
        <x:v>44286.624999988424</x:v>
      </x:c>
      <x:c r="C697" t="str">
        <x:v>077500</x:v>
      </x:c>
      <x:c r="D697" t="str">
        <x:v>유니퀘스트</x:v>
      </x:c>
      <x:c r="E697" t="str">
        <x:v>KOSPI</x:v>
      </x:c>
      <x:c r="F697" t="str">
        <x:v>MID</x:v>
      </x:c>
      <x:c r="G697" t="str">
        <x:v>ELIGIBLE</x:v>
      </x:c>
      <x:c r="H697"/>
      <x:c r="I697" s="54" t="n">
        <x:v>44286</x:v>
      </x:c>
      <x:c r="J697" s="55" t="n">
        <x:v>11450</x:v>
      </x:c>
      <x:c r="K697" s="55" t="n">
        <x:v>312891001250</x:v>
      </x:c>
      <x:c r="L697" s="55" t="n">
        <x:v>27326725</x:v>
      </x:c>
      <x:c r="M697" t="str">
        <x:v>20210318000454</x:v>
      </x:c>
      <x:c r="N697" t="n">
        <x:v>44273.624999988424</x:v>
      </x:c>
      <x:c r="O697" s="54" t="n">
        <x:v>44196</x:v>
      </x:c>
      <x:c r="P697" t="str">
        <x:v>False</x:v>
      </x:c>
      <x:c r="Q697" t="str">
        <x:v>a7dcf0cd97b67f36277f7912422e20d08b38408b0ee61022a89fa576309001d3</x:v>
      </x:c>
      <x:c r="R697" t="str">
        <x:v>e39ed4292dbdb8f45e1d48663c9e445f3a550dc01f4177cc1ba51136e7e4cdda</x:v>
      </x:c>
      <x:c r="S697" t="n">
        <x:v>6</x:v>
      </x:c>
      <x:c r="T697" t="str">
        <x:v>2011-12-31|2012-12-31|2013-12-31|2014-12-31|2015-12-31|2016-12-31|2017-12-31|2018-12-31|2019-12-31|2020-12-31</x:v>
      </x:c>
      <x:c r="U697" s="57" t="n">
        <x:v>3267.51618988424</x:v>
      </x:c>
      <x:c r="V697" s="57" t="n">
        <x:v>-0.7146274069970097</x:v>
      </x:c>
      <x:c r="W697" t="n">
        <x:v>44</x:v>
      </x:c>
      <x:c r="X697" t="n">
        <x:v>4</x:v>
      </x:c>
      <x:c r="Y697" s="38" t="n">
        <x:v>0.6409090909090909</x:v>
      </x:c>
      <x:c r="Z697" s="38" t="n">
        <x:v>0.7102171216326743</x:v>
      </x:c>
      <x:c r="AA697"/>
    </x:row>
    <x:row r="698">
      <x:c r="A698" s="54" t="n">
        <x:v>44286</x:v>
      </x:c>
      <x:c r="B698" t="n">
        <x:v>44286.624999988424</x:v>
      </x:c>
      <x:c r="C698" t="str">
        <x:v>012800</x:v>
      </x:c>
      <x:c r="D698" t="str">
        <x:v>대창</x:v>
      </x:c>
      <x:c r="E698" t="str">
        <x:v>KOSPI</x:v>
      </x:c>
      <x:c r="F698" t="str">
        <x:v>MID</x:v>
      </x:c>
      <x:c r="G698" t="str">
        <x:v>DCF_SCREENING_EXCLUSION</x:v>
      </x:c>
      <x:c r="H698" t="str">
        <x:v>NON_POSITIVE_EQUITY_VALUE</x:v>
      </x:c>
      <x:c r="I698" s="54" t="n">
        <x:v>44286</x:v>
      </x:c>
      <x:c r="J698" s="55" t="n">
        <x:v>1820</x:v>
      </x:c>
      <x:c r="K698" s="55" t="n">
        <x:v>165875708180</x:v>
      </x:c>
      <x:c r="L698" s="55" t="n">
        <x:v>91140499</x:v>
      </x:c>
      <x:c r="M698" t="str">
        <x:v>20210316000786</x:v>
      </x:c>
      <x:c r="N698" t="n">
        <x:v>44271.624999988424</x:v>
      </x:c>
      <x:c r="O698" s="54" t="n">
        <x:v>44196</x:v>
      </x:c>
      <x:c r="P698" t="str">
        <x:v>False</x:v>
      </x:c>
      <x:c r="Q698" t="str">
        <x:v>288fe04d382aeada273aa123db82dda005a9ba84d4be0bdc1555e67746224fb5</x:v>
      </x:c>
      <x:c r="R698" t="str">
        <x:v>48e7b410feb392de5e03ac9d89c1be7d66a37c0cc44dbbeedb6030482a136dc1</x:v>
      </x:c>
      <x:c r="S698" t="n">
        <x:v>6</x:v>
      </x:c>
      <x:c r="T698" t="str">
        <x:v>2018-12-31|2019-12-31|2020-12-31</x:v>
      </x:c>
      <x:c r="U698" s="57" t="n">
        <x:v>-1273.7759667062403</x:v>
      </x:c>
      <x:c r="V698" s="57" t="n">
        <x:v>-1.6998769047836486</x:v>
      </x:c>
      <x:c r="W698"/>
      <x:c r="X698"/>
      <x:c r="Y698" s="38" t="n">
        <x:v>0.6409090909090909</x:v>
      </x:c>
      <x:c r="Z698" s="38" t="n">
        <x:v>0.5720876278257565</x:v>
      </x:c>
      <x:c r="AA698" t="str">
        <x:v>NON_POSITIVE_EQUITY_VALUE</x:v>
      </x:c>
    </x:row>
    <x:row r="699">
      <x:c r="A699" s="54" t="n">
        <x:v>44286</x:v>
      </x:c>
      <x:c r="B699" t="n">
        <x:v>44286.624999988424</x:v>
      </x:c>
      <x:c r="C699" t="str">
        <x:v>063160</x:v>
      </x:c>
      <x:c r="D699" t="str">
        <x:v>종근당바이오</x:v>
      </x:c>
      <x:c r="E699" t="str">
        <x:v>KOSPI</x:v>
      </x:c>
      <x:c r="F699" t="str">
        <x:v>MID</x:v>
      </x:c>
      <x:c r="G699" t="str">
        <x:v>DCF_SCREENING_EXCLUSION</x:v>
      </x:c>
      <x:c r="H699" t="str">
        <x:v>NON_POSITIVE_ENTERPRISE_VALUE|NON_POSITIVE_EQUITY_VALUE|NON_POSITIVE_TERMINAL_FCF</x:v>
      </x:c>
      <x:c r="I699" s="54" t="n">
        <x:v>44286</x:v>
      </x:c>
      <x:c r="J699" s="55" t="n">
        <x:v>56700</x:v>
      </x:c>
      <x:c r="K699" s="55" t="n">
        <x:v>311054045400</x:v>
      </x:c>
      <x:c r="L699" s="55" t="n">
        <x:v>5485962</x:v>
      </x:c>
      <x:c r="M699" t="str">
        <x:v>20210318000155</x:v>
      </x:c>
      <x:c r="N699" t="n">
        <x:v>44273.624999988424</x:v>
      </x:c>
      <x:c r="O699" s="54" t="n">
        <x:v>44196</x:v>
      </x:c>
      <x:c r="P699" t="str">
        <x:v>False</x:v>
      </x:c>
      <x:c r="Q699" t="str">
        <x:v>12a42858c216018c3f0f1b14b5ee17c39d18a1bb52df0e2c279fa5d11fb87884</x:v>
      </x:c>
      <x:c r="R699" t="str">
        <x:v>59ae91f70b0051a643ac98ab54ac94176214907bf89d0c8d5859d9c634888ba7</x:v>
      </x:c>
      <x:c r="S699" t="n">
        <x:v>6</x:v>
      </x:c>
      <x:c r="T699" t="str">
        <x:v>2018-12-31|2019-12-31|2020-12-31</x:v>
      </x:c>
      <x:c r="U699" s="57" t="n">
        <x:v>-4693.968948135113</x:v>
      </x:c>
      <x:c r="V699" s="57" t="n">
        <x:v>-1.0827860484679914</x:v>
      </x:c>
      <x:c r="W699"/>
      <x:c r="X699"/>
      <x:c r="Y699" s="38" t="n">
        <x:v>0.6409090909090909</x:v>
      </x:c>
      <x:c r="Z699" s="38" t="n">
        <x:v>0.8031267951001957</x:v>
      </x:c>
      <x:c r="AA699" t="str">
        <x:v>NON_POSITIVE_ENTERPRISE_VALUE|NON_POSITIVE_EQUITY_VALUE|NON_POSITIVE_TERMINAL_FCF</x:v>
      </x:c>
    </x:row>
    <x:row r="700">
      <x:c r="A700" s="54" t="n">
        <x:v>44286</x:v>
      </x:c>
      <x:c r="B700" t="n">
        <x:v>44286.624999988424</x:v>
      </x:c>
      <x:c r="C700" t="str">
        <x:v>013570</x:v>
      </x:c>
      <x:c r="D700" t="str">
        <x:v>디와이</x:v>
      </x:c>
      <x:c r="E700" t="str">
        <x:v>KOSPI</x:v>
      </x:c>
      <x:c r="F700" t="str">
        <x:v>MID</x:v>
      </x:c>
      <x:c r="G700" t="str">
        <x:v>ELIGIBLE</x:v>
      </x:c>
      <x:c r="H700"/>
      <x:c r="I700" s="54" t="n">
        <x:v>44286</x:v>
      </x:c>
      <x:c r="J700" s="55" t="n">
        <x:v>5710</x:v>
      </x:c>
      <x:c r="K700" s="55" t="n">
        <x:v>150285104430</x:v>
      </x:c>
      <x:c r="L700" s="55" t="n">
        <x:v>26319633</x:v>
      </x:c>
      <x:c r="M700" t="str">
        <x:v>20210317000774</x:v>
      </x:c>
      <x:c r="N700" t="n">
        <x:v>44272.624999988424</x:v>
      </x:c>
      <x:c r="O700" s="54" t="n">
        <x:v>44196</x:v>
      </x:c>
      <x:c r="P700" t="str">
        <x:v>False</x:v>
      </x:c>
      <x:c r="Q700" t="str">
        <x:v>026eb57a723d5ffc9d1d0ceb5b5954dd368c42a7508240f6f6c97c0766b2139e</x:v>
      </x:c>
      <x:c r="R700" t="str">
        <x:v>10f2bed39b38be0c665affc123279ad0909fa5b0f00dddf578a1c9893c86b681</x:v>
      </x:c>
      <x:c r="S700" t="n">
        <x:v>6</x:v>
      </x:c>
      <x:c r="T700" t="str">
        <x:v>2018-12-31|2019-12-31|2020-12-31</x:v>
      </x:c>
      <x:c r="U700" s="57" t="n">
        <x:v>6956.82440349549</x:v>
      </x:c>
      <x:c r="V700" s="57" t="n">
        <x:v>0.21835803914106655</x:v>
      </x:c>
      <x:c r="W700" t="n">
        <x:v>12</x:v>
      </x:c>
      <x:c r="X700" t="n">
        <x:v>1</x:v>
      </x:c>
      <x:c r="Y700" s="38" t="n">
        <x:v>0.6409090909090909</x:v>
      </x:c>
      <x:c r="Z700" s="38" t="n">
        <x:v>0.5573266821696645</x:v>
      </x:c>
      <x:c r="AA700"/>
    </x:row>
    <x:row r="701">
      <x:c r="A701" s="54" t="n">
        <x:v>44286</x:v>
      </x:c>
      <x:c r="B701" t="n">
        <x:v>44286.624999988424</x:v>
      </x:c>
      <x:c r="C701" t="str">
        <x:v>227840</x:v>
      </x:c>
      <x:c r="D701" t="str">
        <x:v>현대코퍼레이션홀딩스</x:v>
      </x:c>
      <x:c r="E701" t="str">
        <x:v>KOSPI</x:v>
      </x:c>
      <x:c r="F701" t="str">
        <x:v>MID</x:v>
      </x:c>
      <x:c r="G701" t="str">
        <x:v>EXCLUDED_ARCHETYPE</x:v>
      </x:c>
      <x:c r="H701" t="str">
        <x:v>FCFF_NOT_COMPARABLE_FOR_FINANCE_OR_HOLDING_HINT</x:v>
      </x:c>
      <x:c r="I701" s="54"/>
      <x:c r="J701" s="55"/>
      <x:c r="K701" s="55"/>
      <x:c r="L701" s="55"/>
      <x:c r="M701"/>
      <x:c r="N701"/>
      <x:c r="O701" s="54"/>
      <x:c r="P701"/>
      <x:c r="Q701"/>
      <x:c r="R701"/>
      <x:c r="S701"/>
      <x:c r="T701"/>
      <x:c r="U701" s="57"/>
      <x:c r="V701" s="57"/>
      <x:c r="W701"/>
      <x:c r="X701"/>
      <x:c r="Y701" s="38"/>
      <x:c r="Z701" s="38"/>
      <x:c r="AA701"/>
    </x:row>
    <x:row r="702">
      <x:c r="A702" s="54" t="n">
        <x:v>44286</x:v>
      </x:c>
      <x:c r="B702" t="n">
        <x:v>44286.624999988424</x:v>
      </x:c>
      <x:c r="C702" t="str">
        <x:v>247540</x:v>
      </x:c>
      <x:c r="D702" t="str">
        <x:v>에코프로비엠</x:v>
      </x:c>
      <x:c r="E702" t="str">
        <x:v>KOSDAQ</x:v>
      </x:c>
      <x:c r="F702" t="str">
        <x:v>LARGE</x:v>
      </x:c>
      <x:c r="G702" t="str">
        <x:v>DCF_SCREENING_EXCLUSION</x:v>
      </x:c>
      <x:c r="H702" t="str">
        <x:v>NON_POSITIVE_ENTERPRISE_VALUE|NON_POSITIVE_EQUITY_VALUE|UNRELIABLE_TERMINAL_VALUE_SHARE</x:v>
      </x:c>
      <x:c r="I702" s="54" t="n">
        <x:v>44286</x:v>
      </x:c>
      <x:c r="J702" s="55" t="n">
        <x:v>163000</x:v>
      </x:c>
      <x:c r="K702" s="55" t="n">
        <x:v>3428732058000</x:v>
      </x:c>
      <x:c r="L702" s="55" t="n">
        <x:v>21035166</x:v>
      </x:c>
      <x:c r="M702" t="str">
        <x:v>20210319000143</x:v>
      </x:c>
      <x:c r="N702" t="n">
        <x:v>44274.624999988424</x:v>
      </x:c>
      <x:c r="O702" s="54" t="n">
        <x:v>44196</x:v>
      </x:c>
      <x:c r="P702" t="str">
        <x:v>False</x:v>
      </x:c>
      <x:c r="Q702" t="str">
        <x:v>fa53eb6416e576ead7e0b664625c9075f7fdeb4c7640710afe2a3435950c614d</x:v>
      </x:c>
      <x:c r="R702" t="str">
        <x:v>196ebcb6be7e465873e32e42c727482fdce4f4a7c6f6cad821f0c0e774909bec</x:v>
      </x:c>
      <x:c r="S702" t="n">
        <x:v>5</x:v>
      </x:c>
      <x:c r="T702" t="str">
        <x:v>2018-12-31|2019-12-31|2020-12-31</x:v>
      </x:c>
      <x:c r="U702" s="57" t="n">
        <x:v>-671.944085835218</x:v>
      </x:c>
      <x:c r="V702" s="57" t="n">
        <x:v>-1.0041223563548174</x:v>
      </x:c>
      <x:c r="W702"/>
      <x:c r="X702"/>
      <x:c r="Y702" s="38" t="n">
        <x:v>0.6409090909090909</x:v>
      </x:c>
      <x:c r="Z702" s="38" t="n">
        <x:v>-30.366184346138358</x:v>
      </x:c>
      <x:c r="AA702" t="str">
        <x:v>NON_POSITIVE_ENTERPRISE_VALUE|NON_POSITIVE_EQUITY_VALUE|UNRELIABLE_TERMINAL_VALUE_SHARE</x:v>
      </x:c>
    </x:row>
    <x:row r="703">
      <x:c r="A703" s="54" t="n">
        <x:v>44286</x:v>
      </x:c>
      <x:c r="B703" t="n">
        <x:v>44286.624999988424</x:v>
      </x:c>
      <x:c r="C703" t="str">
        <x:v>086520</x:v>
      </x:c>
      <x:c r="D703" t="str">
        <x:v>에코프로</x:v>
      </x:c>
      <x:c r="E703" t="str">
        <x:v>KOSDAQ</x:v>
      </x:c>
      <x:c r="F703" t="str">
        <x:v>LARGE</x:v>
      </x:c>
      <x:c r="G703" t="str">
        <x:v>DCF_SCREENING_EXCLUSION</x:v>
      </x:c>
      <x:c r="H703" t="str">
        <x:v>UNRELIABLE_TERMINAL_VALUE_SHARE</x:v>
      </x:c>
      <x:c r="I703" s="54" t="n">
        <x:v>44286</x:v>
      </x:c>
      <x:c r="J703" s="55" t="n">
        <x:v>57200</x:v>
      </x:c>
      <x:c r="K703" s="55" t="n">
        <x:v>1263558925200</x:v>
      </x:c>
      <x:c r="L703" s="55" t="n">
        <x:v>22090191</x:v>
      </x:c>
      <x:c r="M703" t="str">
        <x:v>20210318001384</x:v>
      </x:c>
      <x:c r="N703" t="n">
        <x:v>44273.624999988424</x:v>
      </x:c>
      <x:c r="O703" s="54" t="n">
        <x:v>44196</x:v>
      </x:c>
      <x:c r="P703" t="str">
        <x:v>False</x:v>
      </x:c>
      <x:c r="Q703" t="str">
        <x:v>a687a00cece70ad7db7c3ecbfb971411e84ec258ecf00b6f04ab05f4dc52774f</x:v>
      </x:c>
      <x:c r="R703" t="str">
        <x:v>563fb827c7e598361ec3848851227e273b0ff0d7a4b37e27051a7594f0ca10c3</x:v>
      </x:c>
      <x:c r="S703" t="n">
        <x:v>5</x:v>
      </x:c>
      <x:c r="T703" t="str">
        <x:v>2018-12-31|2019-12-31|2020-12-31</x:v>
      </x:c>
      <x:c r="U703" s="57" t="n">
        <x:v>16579.483868415573</x:v>
      </x:c>
      <x:c r="V703" s="57" t="n">
        <x:v>-0.7101488834193082</x:v>
      </x:c>
      <x:c r="W703"/>
      <x:c r="X703"/>
      <x:c r="Y703" s="38" t="n">
        <x:v>0.6409090909090909</x:v>
      </x:c>
      <x:c r="Z703" s="38" t="n">
        <x:v>0.8989847001381003</x:v>
      </x:c>
      <x:c r="AA703" t="str">
        <x:v>UNRELIABLE_TERMINAL_VALUE_SHARE</x:v>
      </x:c>
    </x:row>
    <x:row r="704">
      <x:c r="A704" s="54" t="n">
        <x:v>44286</x:v>
      </x:c>
      <x:c r="B704" t="n">
        <x:v>44286.624999988424</x:v>
      </x:c>
      <x:c r="C704" t="str">
        <x:v>214450</x:v>
      </x:c>
      <x:c r="D704" t="str">
        <x:v>파마리서치</x:v>
      </x:c>
      <x:c r="E704" t="str">
        <x:v>KOSDAQ</x:v>
      </x:c>
      <x:c r="F704" t="str">
        <x:v>LARGE</x:v>
      </x:c>
      <x:c r="G704" t="str">
        <x:v>ELIGIBLE</x:v>
      </x:c>
      <x:c r="H704"/>
      <x:c r="I704" s="54" t="n">
        <x:v>44286</x:v>
      </x:c>
      <x:c r="J704" s="55" t="n">
        <x:v>66300</x:v>
      </x:c>
      <x:c r="K704" s="55" t="n">
        <x:v>649015473600</x:v>
      </x:c>
      <x:c r="L704" s="55" t="n">
        <x:v>9789072</x:v>
      </x:c>
      <x:c r="M704" t="str">
        <x:v>20210318001093</x:v>
      </x:c>
      <x:c r="N704" t="n">
        <x:v>44273.624999988424</x:v>
      </x:c>
      <x:c r="O704" s="54" t="n">
        <x:v>44196</x:v>
      </x:c>
      <x:c r="P704" t="str">
        <x:v>False</x:v>
      </x:c>
      <x:c r="Q704" t="str">
        <x:v>3e332a9f4ec106a2211472bb71f03ad861892600b83b1d1b5b01ad83841bfd65</x:v>
      </x:c>
      <x:c r="R704" t="str">
        <x:v>ce82779cbd26ca8913e36b32b438b11f0c3dbde3a74d5fdc850344ef948d3d94</x:v>
      </x:c>
      <x:c r="S704" t="n">
        <x:v>6</x:v>
      </x:c>
      <x:c r="T704" t="str">
        <x:v>2018-12-31|2019-12-31|2020-12-31</x:v>
      </x:c>
      <x:c r="U704" s="57" t="n">
        <x:v>27074.131528820355</x:v>
      </x:c>
      <x:c r="V704" s="57" t="n">
        <x:v>-0.5916420583888332</x:v>
      </x:c>
      <x:c r="W704" t="n">
        <x:v>35</x:v>
      </x:c>
      <x:c r="X704" t="n">
        <x:v>3</x:v>
      </x:c>
      <x:c r="Y704" s="38" t="n">
        <x:v>0.6409090909090909</x:v>
      </x:c>
      <x:c r="Z704" s="38" t="n">
        <x:v>0.6815994734709864</x:v>
      </x:c>
      <x:c r="AA704"/>
    </x:row>
    <x:row r="705">
      <x:c r="A705" s="54" t="n">
        <x:v>44286</x:v>
      </x:c>
      <x:c r="B705" t="n">
        <x:v>44286.624999988424</x:v>
      </x:c>
      <x:c r="C705" t="str">
        <x:v>277810</x:v>
      </x:c>
      <x:c r="D705" t="str">
        <x:v>레인보우로보틱스</x:v>
      </x:c>
      <x:c r="E705" t="str">
        <x:v>KOSDAQ</x:v>
      </x:c>
      <x:c r="F705" t="str">
        <x:v>LARGE</x:v>
      </x:c>
      <x:c r="G705" t="str">
        <x:v>DCF_SCREENING_EXCLUSION</x:v>
      </x:c>
      <x:c r="H705" t="str">
        <x:v>NON_POSITIVE_ENTERPRISE_VALUE|NON_POSITIVE_EQUITY_VALUE|NON_POSITIVE_TERMINAL_FCF</x:v>
      </x:c>
      <x:c r="I705" s="54" t="n">
        <x:v>44286</x:v>
      </x:c>
      <x:c r="J705" s="55" t="n">
        <x:v>22900</x:v>
      </x:c>
      <x:c r="K705" s="55" t="n">
        <x:v>363427900600</x:v>
      </x:c>
      <x:c r="L705" s="55" t="n">
        <x:v>15870214</x:v>
      </x:c>
      <x:c r="M705" t="str">
        <x:v>20210326000473</x:v>
      </x:c>
      <x:c r="N705" t="n">
        <x:v>44281.624999988424</x:v>
      </x:c>
      <x:c r="O705" s="54" t="n">
        <x:v>44196</x:v>
      </x:c>
      <x:c r="P705" t="str">
        <x:v>True</x:v>
      </x:c>
      <x:c r="Q705" t="str">
        <x:v>1cefc98158793dced593c13540402a17680820aaad9669a400059133d4b9c99f</x:v>
      </x:c>
      <x:c r="R705" t="str">
        <x:v>3344b6630e2de68302b0ddb903b65855ab9c63660c55dbcc0dc5fc1643eb8208</x:v>
      </x:c>
      <x:c r="S705" t="n">
        <x:v>6</x:v>
      </x:c>
      <x:c r="T705" t="str">
        <x:v>2020-12-31</x:v>
      </x:c>
      <x:c r="U705" s="57" t="n">
        <x:v>-678.3077199800498</x:v>
      </x:c>
      <x:c r="V705" s="57" t="n">
        <x:v>-1.0296204244532774</x:v>
      </x:c>
      <x:c r="W705"/>
      <x:c r="X705"/>
      <x:c r="Y705" s="38" t="n">
        <x:v>0.6409090909090909</x:v>
      </x:c>
      <x:c r="Z705" s="38" t="n">
        <x:v>0.7013426708992583</x:v>
      </x:c>
      <x:c r="AA705" t="str">
        <x:v>NON_POSITIVE_ENTERPRISE_VALUE|NON_POSITIVE_EQUITY_VALUE|NON_POSITIVE_TERMINAL_FCF</x:v>
      </x:c>
    </x:row>
    <x:row r="706">
      <x:c r="A706" s="54" t="n">
        <x:v>44286</x:v>
      </x:c>
      <x:c r="B706" t="n">
        <x:v>44286.624999988424</x:v>
      </x:c>
      <x:c r="C706" t="str">
        <x:v>310210</x:v>
      </x:c>
      <x:c r="D706" t="str">
        <x:v>보로노이</x:v>
      </x:c>
      <x:c r="E706" t="str">
        <x:v>KOSDAQ</x:v>
      </x:c>
      <x:c r="F706" t="str">
        <x:v>LARGE</x:v>
      </x:c>
      <x:c r="G706" t="str">
        <x:v>NOT_LISTED_OR_NO_PRICE</x:v>
      </x:c>
      <x:c r="H706"/>
      <x:c r="I706" s="54"/>
      <x:c r="J706" s="55"/>
      <x:c r="K706" s="55"/>
      <x:c r="L706" s="55"/>
      <x:c r="M706"/>
      <x:c r="N706"/>
      <x:c r="O706" s="54"/>
      <x:c r="P706"/>
      <x:c r="Q706"/>
      <x:c r="R706"/>
      <x:c r="S706"/>
      <x:c r="T706"/>
      <x:c r="U706" s="57"/>
      <x:c r="V706" s="57"/>
      <x:c r="W706"/>
      <x:c r="X706"/>
      <x:c r="Y706" s="38"/>
      <x:c r="Z706" s="38"/>
      <x:c r="AA706"/>
    </x:row>
    <x:row r="707">
      <x:c r="A707" s="54" t="n">
        <x:v>44286</x:v>
      </x:c>
      <x:c r="B707" t="n">
        <x:v>44286.624999988424</x:v>
      </x:c>
      <x:c r="C707" t="str">
        <x:v>195940</x:v>
      </x:c>
      <x:c r="D707" t="str">
        <x:v>HK이노엔</x:v>
      </x:c>
      <x:c r="E707" t="str">
        <x:v>KOSDAQ</x:v>
      </x:c>
      <x:c r="F707" t="str">
        <x:v>LARGE</x:v>
      </x:c>
      <x:c r="G707" t="str">
        <x:v>NOT_LISTED_OR_NO_PRICE</x:v>
      </x:c>
      <x:c r="H707"/>
      <x:c r="I707" s="54"/>
      <x:c r="J707" s="55"/>
      <x:c r="K707" s="55"/>
      <x:c r="L707" s="55"/>
      <x:c r="M707"/>
      <x:c r="N707"/>
      <x:c r="O707" s="54"/>
      <x:c r="P707"/>
      <x:c r="Q707"/>
      <x:c r="R707"/>
      <x:c r="S707"/>
      <x:c r="T707"/>
      <x:c r="U707" s="57"/>
      <x:c r="V707" s="57"/>
      <x:c r="W707"/>
      <x:c r="X707"/>
      <x:c r="Y707" s="38"/>
      <x:c r="Z707" s="38"/>
      <x:c r="AA707"/>
    </x:row>
    <x:row r="708">
      <x:c r="A708" s="54" t="n">
        <x:v>44286</x:v>
      </x:c>
      <x:c r="B708" t="n">
        <x:v>44286.624999988424</x:v>
      </x:c>
      <x:c r="C708" t="str">
        <x:v>039200</x:v>
      </x:c>
      <x:c r="D708" t="str">
        <x:v>오스코텍</x:v>
      </x:c>
      <x:c r="E708" t="str">
        <x:v>KOSDAQ</x:v>
      </x:c>
      <x:c r="F708" t="str">
        <x:v>LARGE</x:v>
      </x:c>
      <x:c r="G708" t="str">
        <x:v>DCF_SCREENING_EXCLUSION</x:v>
      </x:c>
      <x:c r="H708" t="str">
        <x:v>UNRELIABLE_TERMINAL_VALUE_SHARE</x:v>
      </x:c>
      <x:c r="I708" s="54" t="n">
        <x:v>44286</x:v>
      </x:c>
      <x:c r="J708" s="55" t="n">
        <x:v>39950</x:v>
      </x:c>
      <x:c r="K708" s="55" t="n">
        <x:v>1195098617050</x:v>
      </x:c>
      <x:c r="L708" s="55" t="n">
        <x:v>29914859</x:v>
      </x:c>
      <x:c r="M708" t="str">
        <x:v>20210309000649</x:v>
      </x:c>
      <x:c r="N708" t="n">
        <x:v>44264.624999988424</x:v>
      </x:c>
      <x:c r="O708" s="54" t="n">
        <x:v>44196</x:v>
      </x:c>
      <x:c r="P708" t="str">
        <x:v>False</x:v>
      </x:c>
      <x:c r="Q708" t="str">
        <x:v>5f66f9c8531173b988926df5b3dfe8e77c701088924b995e30a2c1e31825db20</x:v>
      </x:c>
      <x:c r="R708" t="str">
        <x:v>cefaae42be57979bac03cc222629dc9f8db194b47a7b8e7358d033df0f605aa8</x:v>
      </x:c>
      <x:c r="S708" t="n">
        <x:v>6</x:v>
      </x:c>
      <x:c r="T708" t="str">
        <x:v>2018-12-31|2019-12-31|2020-12-31</x:v>
      </x:c>
      <x:c r="U708" s="57" t="n">
        <x:v>260.50000601978536</x:v>
      </x:c>
      <x:c r="V708" s="57" t="n">
        <x:v>-0.9934793490358002</x:v>
      </x:c>
      <x:c r="W708"/>
      <x:c r="X708"/>
      <x:c r="Y708" s="38" t="n">
        <x:v>0.6409090909090909</x:v>
      </x:c>
      <x:c r="Z708" s="38" t="n">
        <x:v>2.281358639367685</x:v>
      </x:c>
      <x:c r="AA708" t="str">
        <x:v>UNRELIABLE_TERMINAL_VALUE_SHARE</x:v>
      </x:c>
    </x:row>
    <x:row r="709">
      <x:c r="A709" s="54" t="n">
        <x:v>44286</x:v>
      </x:c>
      <x:c r="B709" t="n">
        <x:v>44286.624999988424</x:v>
      </x:c>
      <x:c r="C709" t="str">
        <x:v>084370</x:v>
      </x:c>
      <x:c r="D709" t="str">
        <x:v>유진테크</x:v>
      </x:c>
      <x:c r="E709" t="str">
        <x:v>KOSDAQ</x:v>
      </x:c>
      <x:c r="F709" t="str">
        <x:v>LARGE</x:v>
      </x:c>
      <x:c r="G709" t="str">
        <x:v>ELIGIBLE</x:v>
      </x:c>
      <x:c r="H709"/>
      <x:c r="I709" s="54" t="n">
        <x:v>44286</x:v>
      </x:c>
      <x:c r="J709" s="55" t="n">
        <x:v>44550</x:v>
      </x:c>
      <x:c r="K709" s="55" t="n">
        <x:v>1020909671100</x:v>
      </x:c>
      <x:c r="L709" s="55" t="n">
        <x:v>22916042</x:v>
      </x:c>
      <x:c r="M709" t="str">
        <x:v>20210318000928</x:v>
      </x:c>
      <x:c r="N709" t="n">
        <x:v>44273.624999988424</x:v>
      </x:c>
      <x:c r="O709" s="54" t="n">
        <x:v>44196</x:v>
      </x:c>
      <x:c r="P709" t="str">
        <x:v>False</x:v>
      </x:c>
      <x:c r="Q709" t="str">
        <x:v>bf7e14182e15ec1b0a65f6a99dee0c252f90e2f4d19cfb12a4647e851ec5e5b7</x:v>
      </x:c>
      <x:c r="R709" t="str">
        <x:v>8affe8a1dfb2a22feec01ae715557408d24e8c692b51407d0f4760c7027eeeac</x:v>
      </x:c>
      <x:c r="S709" t="n">
        <x:v>5</x:v>
      </x:c>
      <x:c r="T709" t="str">
        <x:v>2018-12-31|2019-12-31|2020-12-31</x:v>
      </x:c>
      <x:c r="U709" s="57" t="n">
        <x:v>6690.003749659355</x:v>
      </x:c>
      <x:c r="V709" s="57" t="n">
        <x:v>-0.849831565664212</x:v>
      </x:c>
      <x:c r="W709" t="n">
        <x:v>52</x:v>
      </x:c>
      <x:c r="X709" t="n">
        <x:v>5</x:v>
      </x:c>
      <x:c r="Y709" s="38" t="n">
        <x:v>0.6409090909090909</x:v>
      </x:c>
      <x:c r="Z709" s="38" t="n">
        <x:v>0.6720938958423033</x:v>
      </x:c>
      <x:c r="AA709"/>
    </x:row>
    <x:row r="710">
      <x:c r="A710" s="54" t="n">
        <x:v>44286</x:v>
      </x:c>
      <x:c r="B710" t="n">
        <x:v>44286.624999988424</x:v>
      </x:c>
      <x:c r="C710" t="str">
        <x:v>160190</x:v>
      </x:c>
      <x:c r="D710" t="str">
        <x:v>하이젠알앤엠</x:v>
      </x:c>
      <x:c r="E710" t="str">
        <x:v>KOSDAQ</x:v>
      </x:c>
      <x:c r="F710" t="str">
        <x:v>LARGE</x:v>
      </x:c>
      <x:c r="G710" t="str">
        <x:v>NOT_LISTED_OR_NO_PRICE</x:v>
      </x:c>
      <x:c r="H710"/>
      <x:c r="I710" s="54"/>
      <x:c r="J710" s="55"/>
      <x:c r="K710" s="55"/>
      <x:c r="L710" s="55"/>
      <x:c r="M710"/>
      <x:c r="N710"/>
      <x:c r="O710" s="54"/>
      <x:c r="P710"/>
      <x:c r="Q710"/>
      <x:c r="R710"/>
      <x:c r="S710"/>
      <x:c r="T710"/>
      <x:c r="U710" s="57"/>
      <x:c r="V710" s="57"/>
      <x:c r="W710"/>
      <x:c r="X710"/>
      <x:c r="Y710" s="38"/>
      <x:c r="Z710" s="38"/>
      <x:c r="AA710"/>
    </x:row>
    <x:row r="711">
      <x:c r="A711" s="54" t="n">
        <x:v>44286</x:v>
      </x:c>
      <x:c r="B711" t="n">
        <x:v>44286.624999988424</x:v>
      </x:c>
      <x:c r="C711" t="str">
        <x:v>281740</x:v>
      </x:c>
      <x:c r="D711" t="str">
        <x:v>레이크머티리얼즈</x:v>
      </x:c>
      <x:c r="E711" t="str">
        <x:v>KOSDAQ</x:v>
      </x:c>
      <x:c r="F711" t="str">
        <x:v>LARGE</x:v>
      </x:c>
      <x:c r="G711" t="str">
        <x:v>DCF_SCREENING_EXCLUSION</x:v>
      </x:c>
      <x:c r="H711" t="str">
        <x:v>NON_POSITIVE_EQUITY_VALUE</x:v>
      </x:c>
      <x:c r="I711" s="54" t="n">
        <x:v>44286</x:v>
      </x:c>
      <x:c r="J711" s="55" t="n">
        <x:v>3600</x:v>
      </x:c>
      <x:c r="K711" s="55" t="n">
        <x:v>236629972800</x:v>
      </x:c>
      <x:c r="L711" s="55" t="n">
        <x:v>65730548</x:v>
      </x:c>
      <x:c r="M711" t="str">
        <x:v>20210319000669</x:v>
      </x:c>
      <x:c r="N711" t="n">
        <x:v>44274.624999988424</x:v>
      </x:c>
      <x:c r="O711" s="54" t="n">
        <x:v>44196</x:v>
      </x:c>
      <x:c r="P711" t="str">
        <x:v>False</x:v>
      </x:c>
      <x:c r="Q711" t="str">
        <x:v>0692d98dca920cc2bece4f710df372fb43593aa9b44e369a877f98c7608d0125</x:v>
      </x:c>
      <x:c r="R711" t="str">
        <x:v>00fc48414330dcf13d290e98fb5aa238310d60bce3bd407cf7257beeb570c2c1</x:v>
      </x:c>
      <x:c r="S711" t="n">
        <x:v>6</x:v>
      </x:c>
      <x:c r="T711" t="str">
        <x:v>2020-12-31</x:v>
      </x:c>
      <x:c r="U711" s="57" t="n">
        <x:v>-71.33934337373849</x:v>
      </x:c>
      <x:c r="V711" s="57" t="n">
        <x:v>-1.0198164842704829</x:v>
      </x:c>
      <x:c r="W711"/>
      <x:c r="X711"/>
      <x:c r="Y711" s="38" t="n">
        <x:v>0.6409090909090909</x:v>
      </x:c>
      <x:c r="Z711" s="38" t="n">
        <x:v>0.7013426708992583</x:v>
      </x:c>
      <x:c r="AA711" t="str">
        <x:v>NON_POSITIVE_EQUITY_VALUE</x:v>
      </x:c>
    </x:row>
    <x:row r="712">
      <x:c r="A712" s="54" t="n">
        <x:v>44286</x:v>
      </x:c>
      <x:c r="B712" t="n">
        <x:v>44286.624999988424</x:v>
      </x:c>
      <x:c r="C712" t="str">
        <x:v>078130</x:v>
      </x:c>
      <x:c r="D712" t="str">
        <x:v>국일제지</x:v>
      </x:c>
      <x:c r="E712" t="str">
        <x:v>KOSDAQ</x:v>
      </x:c>
      <x:c r="F712" t="str">
        <x:v>LARGE</x:v>
      </x:c>
      <x:c r="G712" t="str">
        <x:v>DCF_SCREENING_EXCLUSION</x:v>
      </x:c>
      <x:c r="H712" t="str">
        <x:v>NON_POSITIVE_ENTERPRISE_VALUE|NON_POSITIVE_EQUITY_VALUE|NON_POSITIVE_TERMINAL_FCF</x:v>
      </x:c>
      <x:c r="I712" s="54" t="n">
        <x:v>44286</x:v>
      </x:c>
      <x:c r="J712" s="55" t="n">
        <x:v>5800</x:v>
      </x:c>
      <x:c r="K712" s="55" t="n">
        <x:v>732820627200</x:v>
      </x:c>
      <x:c r="L712" s="55" t="n">
        <x:v>126348384</x:v>
      </x:c>
      <x:c r="M712" t="str">
        <x:v>20210317001032</x:v>
      </x:c>
      <x:c r="N712" t="n">
        <x:v>44272.624999988424</x:v>
      </x:c>
      <x:c r="O712" s="54" t="n">
        <x:v>44196</x:v>
      </x:c>
      <x:c r="P712" t="str">
        <x:v>False</x:v>
      </x:c>
      <x:c r="Q712" t="str">
        <x:v>a2d8f4275a7a909be23671d83b0f047b49d3101f99ceb97a2291f838d3741795</x:v>
      </x:c>
      <x:c r="R712" t="str">
        <x:v>f04e49e0ee03a66e4e1f761c9bd1bb178b9bf15fb019dc6ad53f92c2e92e51cd</x:v>
      </x:c>
      <x:c r="S712" t="n">
        <x:v>6</x:v>
      </x:c>
      <x:c r="T712" t="str">
        <x:v>2018-12-31|2019-12-31|2020-12-31</x:v>
      </x:c>
      <x:c r="U712" s="57" t="n">
        <x:v>-1002.7346830666356</x:v>
      </x:c>
      <x:c r="V712" s="57" t="n">
        <x:v>-1.1728852901839026</x:v>
      </x:c>
      <x:c r="W712"/>
      <x:c r="X712"/>
      <x:c r="Y712" s="38" t="n">
        <x:v>0.6409090909090909</x:v>
      </x:c>
      <x:c r="Z712" s="38" t="n">
        <x:v>0.6494465255095048</x:v>
      </x:c>
      <x:c r="AA712" t="str">
        <x:v>NON_POSITIVE_ENTERPRISE_VALUE|NON_POSITIVE_EQUITY_VALUE|NON_POSITIVE_TERMINAL_FCF</x:v>
      </x:c>
    </x:row>
    <x:row r="713">
      <x:c r="A713" s="54" t="n">
        <x:v>44286</x:v>
      </x:c>
      <x:c r="B713" t="n">
        <x:v>44286.624999988424</x:v>
      </x:c>
      <x:c r="C713" t="str">
        <x:v>131970</x:v>
      </x:c>
      <x:c r="D713" t="str">
        <x:v>두산테스나</x:v>
      </x:c>
      <x:c r="E713" t="str">
        <x:v>KOSDAQ</x:v>
      </x:c>
      <x:c r="F713" t="str">
        <x:v>LARGE</x:v>
      </x:c>
      <x:c r="G713" t="str">
        <x:v>ELIGIBLE</x:v>
      </x:c>
      <x:c r="H713"/>
      <x:c r="I713" s="54" t="n">
        <x:v>44286</x:v>
      </x:c>
      <x:c r="J713" s="55" t="n">
        <x:v>47250</x:v>
      </x:c>
      <x:c r="K713" s="55" t="n">
        <x:v>697390013250</x:v>
      </x:c>
      <x:c r="L713" s="55" t="n">
        <x:v>14759577</x:v>
      </x:c>
      <x:c r="M713" t="str">
        <x:v>20210329001063</x:v>
      </x:c>
      <x:c r="N713" t="n">
        <x:v>44284.624999988424</x:v>
      </x:c>
      <x:c r="O713" s="54" t="n">
        <x:v>44196</x:v>
      </x:c>
      <x:c r="P713" t="str">
        <x:v>True</x:v>
      </x:c>
      <x:c r="Q713" t="str">
        <x:v>627504c0f88f0825cb5116b1f41fd855abbc033bb36395d07a398ef17d3cbeed</x:v>
      </x:c>
      <x:c r="R713" t="str">
        <x:v>a020cb054ab83781929de4d43623901509475f73dbda75098de3f9c3c7522df1</x:v>
      </x:c>
      <x:c r="S713" t="n">
        <x:v>5</x:v>
      </x:c>
      <x:c r="T713" t="str">
        <x:v>2018-12-31|2019-12-31|2020-12-31</x:v>
      </x:c>
      <x:c r="U713" s="57" t="n">
        <x:v>20115.014823098634</x:v>
      </x:c>
      <x:c r="V713" s="57" t="n">
        <x:v>-0.5742854005693411</x:v>
      </x:c>
      <x:c r="W713" t="n">
        <x:v>32</x:v>
      </x:c>
      <x:c r="X713" t="n">
        <x:v>3</x:v>
      </x:c>
      <x:c r="Y713" s="38" t="n">
        <x:v>0.6409090909090909</x:v>
      </x:c>
      <x:c r="Z713" s="38" t="n">
        <x:v>0.7256069356528623</x:v>
      </x:c>
      <x:c r="AA713"/>
    </x:row>
    <x:row r="714">
      <x:c r="A714" s="54" t="n">
        <x:v>44286</x:v>
      </x:c>
      <x:c r="B714" t="n">
        <x:v>44286.624999988424</x:v>
      </x:c>
      <x:c r="C714" t="str">
        <x:v>025320</x:v>
      </x:c>
      <x:c r="D714" t="str">
        <x:v>시노펙스</x:v>
      </x:c>
      <x:c r="E714" t="str">
        <x:v>KOSDAQ</x:v>
      </x:c>
      <x:c r="F714" t="str">
        <x:v>LARGE</x:v>
      </x:c>
      <x:c r="G714" t="str">
        <x:v>DCF_SCREENING_EXCLUSION</x:v>
      </x:c>
      <x:c r="H714" t="str">
        <x:v>NON_POSITIVE_ENTERPRISE_VALUE|NON_POSITIVE_EQUITY_VALUE|NON_POSITIVE_TERMINAL_FCF</x:v>
      </x:c>
      <x:c r="I714" s="54" t="n">
        <x:v>44286</x:v>
      </x:c>
      <x:c r="J714" s="55" t="n">
        <x:v>3680</x:v>
      </x:c>
      <x:c r="K714" s="55" t="n">
        <x:v>269534085440</x:v>
      </x:c>
      <x:c r="L714" s="55" t="n">
        <x:v>73242958</x:v>
      </x:c>
      <x:c r="M714" t="str">
        <x:v>20210323000457</x:v>
      </x:c>
      <x:c r="N714" t="n">
        <x:v>44278.624999988424</x:v>
      </x:c>
      <x:c r="O714" s="54" t="n">
        <x:v>44196</x:v>
      </x:c>
      <x:c r="P714" t="str">
        <x:v>False</x:v>
      </x:c>
      <x:c r="Q714" t="str">
        <x:v>4ed010fb22700cc727461b09e40117faa4e69e3e52cc5fdb902efc9104877c42</x:v>
      </x:c>
      <x:c r="R714" t="str">
        <x:v>b924ca165efae21f513feeb3a8be79f68b017f396ca98dc610dac49a44598330</x:v>
      </x:c>
      <x:c r="S714" t="n">
        <x:v>6</x:v>
      </x:c>
      <x:c r="T714" t="str">
        <x:v>2018-12-31|2019-12-31|2020-12-31</x:v>
      </x:c>
      <x:c r="U714" s="57" t="n">
        <x:v>-1589.5402274427975</x:v>
      </x:c>
      <x:c r="V714" s="57" t="n">
        <x:v>-1.4319402791964124</x:v>
      </x:c>
      <x:c r="W714"/>
      <x:c r="X714"/>
      <x:c r="Y714" s="38" t="n">
        <x:v>0.6409090909090909</x:v>
      </x:c>
      <x:c r="Z714" s="38" t="n">
        <x:v>0.5650623118634555</x:v>
      </x:c>
      <x:c r="AA714" t="str">
        <x:v>NON_POSITIVE_ENTERPRISE_VALUE|NON_POSITIVE_EQUITY_VALUE|NON_POSITIVE_TERMINAL_FCF</x:v>
      </x:c>
    </x:row>
    <x:row r="715">
      <x:c r="A715" s="54" t="n">
        <x:v>44286</x:v>
      </x:c>
      <x:c r="B715" t="n">
        <x:v>44286.624999988424</x:v>
      </x:c>
      <x:c r="C715" t="str">
        <x:v>347700</x:v>
      </x:c>
      <x:c r="D715" t="str">
        <x:v>스피어</x:v>
      </x:c>
      <x:c r="E715" t="str">
        <x:v>KOSDAQ</x:v>
      </x:c>
      <x:c r="F715" t="str">
        <x:v>LARGE</x:v>
      </x:c>
      <x:c r="G715" t="str">
        <x:v>NO_PIT_FINANCIALS</x:v>
      </x:c>
      <x:c r="H715"/>
      <x:c r="I715" s="54" t="n">
        <x:v>44286</x:v>
      </x:c>
      <x:c r="J715" s="55" t="n">
        <x:v>14050</x:v>
      </x:c>
      <x:c r="K715" s="55" t="n">
        <x:v>137365683850</x:v>
      </x:c>
      <x:c r="L715" s="55" t="n">
        <x:v>9776917</x:v>
      </x:c>
      <x:c r="M715"/>
      <x:c r="N715"/>
      <x:c r="O715" s="54"/>
      <x:c r="P715"/>
      <x:c r="Q715"/>
      <x:c r="R715"/>
      <x:c r="S715"/>
      <x:c r="T715"/>
      <x:c r="U715" s="57"/>
      <x:c r="V715" s="57"/>
      <x:c r="W715"/>
      <x:c r="X715"/>
      <x:c r="Y715" s="38"/>
      <x:c r="Z715" s="38"/>
      <x:c r="AA715"/>
    </x:row>
    <x:row r="716">
      <x:c r="A716" s="54" t="n">
        <x:v>44286</x:v>
      </x:c>
      <x:c r="B716" t="n">
        <x:v>44286.624999988424</x:v>
      </x:c>
      <x:c r="C716" t="str">
        <x:v>119850</x:v>
      </x:c>
      <x:c r="D716" t="str">
        <x:v>지엔씨에너지</x:v>
      </x:c>
      <x:c r="E716" t="str">
        <x:v>KOSDAQ</x:v>
      </x:c>
      <x:c r="F716" t="str">
        <x:v>LARGE</x:v>
      </x:c>
      <x:c r="G716" t="str">
        <x:v>ELIGIBLE</x:v>
      </x:c>
      <x:c r="H716"/>
      <x:c r="I716" s="54" t="n">
        <x:v>44286</x:v>
      </x:c>
      <x:c r="J716" s="55" t="n">
        <x:v>5760</x:v>
      </x:c>
      <x:c r="K716" s="55" t="n">
        <x:v>93863969280</x:v>
      </x:c>
      <x:c r="L716" s="55" t="n">
        <x:v>16295828</x:v>
      </x:c>
      <x:c r="M716" t="str">
        <x:v>20210318000663</x:v>
      </x:c>
      <x:c r="N716" t="n">
        <x:v>44273.624999988424</x:v>
      </x:c>
      <x:c r="O716" s="54" t="n">
        <x:v>44196</x:v>
      </x:c>
      <x:c r="P716" t="str">
        <x:v>False</x:v>
      </x:c>
      <x:c r="Q716" t="str">
        <x:v>653cb6ddd884358c126b2b72eab500c005242c43829e2e092de6d2c9e30c286a</x:v>
      </x:c>
      <x:c r="R716" t="str">
        <x:v>b3725620b61f6398fb580fc894decfc40ce95155ca3c21938f10d0118493dd5c</x:v>
      </x:c>
      <x:c r="S716" t="n">
        <x:v>6</x:v>
      </x:c>
      <x:c r="T716" t="str">
        <x:v>2018-12-31|2019-12-31|2020-12-31</x:v>
      </x:c>
      <x:c r="U716" s="57" t="n">
        <x:v>7021.383433380234</x:v>
      </x:c>
      <x:c r="V716" s="57" t="n">
        <x:v>0.21899017940629067</x:v>
      </x:c>
      <x:c r="W716" t="n">
        <x:v>11</x:v>
      </x:c>
      <x:c r="X716" t="n">
        <x:v>1</x:v>
      </x:c>
      <x:c r="Y716" s="38" t="n">
        <x:v>0.6409090909090909</x:v>
      </x:c>
      <x:c r="Z716" s="38" t="n">
        <x:v>0.7372895800495701</x:v>
      </x:c>
      <x:c r="AA716"/>
    </x:row>
    <x:row r="717">
      <x:c r="A717" s="54" t="n">
        <x:v>44286</x:v>
      </x:c>
      <x:c r="B717" t="n">
        <x:v>44286.624999988424</x:v>
      </x:c>
      <x:c r="C717" t="str">
        <x:v>084110</x:v>
      </x:c>
      <x:c r="D717" t="str">
        <x:v>휴온스글로벌</x:v>
      </x:c>
      <x:c r="E717" t="str">
        <x:v>KOSDAQ</x:v>
      </x:c>
      <x:c r="F717" t="str">
        <x:v>LARGE</x:v>
      </x:c>
      <x:c r="G717" t="str">
        <x:v>ELIGIBLE</x:v>
      </x:c>
      <x:c r="H717"/>
      <x:c r="I717" s="54" t="n">
        <x:v>44286</x:v>
      </x:c>
      <x:c r="J717" s="55" t="n">
        <x:v>30800</x:v>
      </x:c>
      <x:c r="K717" s="55" t="n">
        <x:v>353095111600</x:v>
      </x:c>
      <x:c r="L717" s="55" t="n">
        <x:v>11464127</x:v>
      </x:c>
      <x:c r="M717" t="str">
        <x:v>20210311001143</x:v>
      </x:c>
      <x:c r="N717" t="n">
        <x:v>44266.624999988424</x:v>
      </x:c>
      <x:c r="O717" s="54" t="n">
        <x:v>44196</x:v>
      </x:c>
      <x:c r="P717" t="str">
        <x:v>False</x:v>
      </x:c>
      <x:c r="Q717" t="str">
        <x:v>fa81c84f17329d7b4da199ca087127a31bb8895032b44094df209b2bcca991ae</x:v>
      </x:c>
      <x:c r="R717" t="str">
        <x:v>51b01d395ba6e242ca6bc50955b5df968a7361f69faf87ac5902a92b48e44089</x:v>
      </x:c>
      <x:c r="S717" t="n">
        <x:v>6</x:v>
      </x:c>
      <x:c r="T717" t="str">
        <x:v>2018-12-31|2019-12-31|2020-12-31</x:v>
      </x:c>
      <x:c r="U717" s="57" t="n">
        <x:v>65815.04686302706</x:v>
      </x:c>
      <x:c r="V717" s="57" t="n">
        <x:v>1.136852170877502</x:v>
      </x:c>
      <x:c r="W717" t="n">
        <x:v>5</x:v>
      </x:c>
      <x:c r="X717" t="n">
        <x:v>1</x:v>
      </x:c>
      <x:c r="Y717" s="38" t="n">
        <x:v>0.6409090909090909</x:v>
      </x:c>
      <x:c r="Z717" s="38" t="n">
        <x:v>0.7345335402673521</x:v>
      </x:c>
      <x:c r="AA717"/>
    </x:row>
    <x:row r="718">
      <x:c r="A718" s="54" t="n">
        <x:v>44286</x:v>
      </x:c>
      <x:c r="B718" t="n">
        <x:v>44286.624999988424</x:v>
      </x:c>
      <x:c r="C718" t="str">
        <x:v>206650</x:v>
      </x:c>
      <x:c r="D718" t="str">
        <x:v>유바이오로직스</x:v>
      </x:c>
      <x:c r="E718" t="str">
        <x:v>KOSDAQ</x:v>
      </x:c>
      <x:c r="F718" t="str">
        <x:v>LARGE</x:v>
      </x:c>
      <x:c r="G718" t="str">
        <x:v>DCF_SCREENING_EXCLUSION</x:v>
      </x:c>
      <x:c r="H718" t="str">
        <x:v>UNRELIABLE_TERMINAL_VALUE_SHARE</x:v>
      </x:c>
      <x:c r="I718" s="54" t="n">
        <x:v>44286</x:v>
      </x:c>
      <x:c r="J718" s="55" t="n">
        <x:v>20450</x:v>
      </x:c>
      <x:c r="K718" s="55" t="n">
        <x:v>715330611400</x:v>
      </x:c>
      <x:c r="L718" s="55" t="n">
        <x:v>34979492</x:v>
      </x:c>
      <x:c r="M718" t="str">
        <x:v>20210317001096</x:v>
      </x:c>
      <x:c r="N718" t="n">
        <x:v>44272.624999988424</x:v>
      </x:c>
      <x:c r="O718" s="54" t="n">
        <x:v>44196</x:v>
      </x:c>
      <x:c r="P718" t="str">
        <x:v>False</x:v>
      </x:c>
      <x:c r="Q718" t="str">
        <x:v>67b3da490105928a0af24d912b1dd87ba6f38c1d22d8ab356c9aefc74674b9b5</x:v>
      </x:c>
      <x:c r="R718" t="str">
        <x:v>3b4c832e080182007083269283501cc2e6f4b9805fcd7ea64f3e4fed31a31b5e</x:v>
      </x:c>
      <x:c r="S718" t="n">
        <x:v>5</x:v>
      </x:c>
      <x:c r="T718" t="str">
        <x:v>2018-12-31|2019-12-31|2020-12-31</x:v>
      </x:c>
      <x:c r="U718" s="57" t="n">
        <x:v>2646.9552910596917</x:v>
      </x:c>
      <x:c r="V718" s="57" t="n">
        <x:v>-0.8705645334445139</x:v>
      </x:c>
      <x:c r="W718"/>
      <x:c r="X718"/>
      <x:c r="Y718" s="38" t="n">
        <x:v>0.6409090909090909</x:v>
      </x:c>
      <x:c r="Z718" s="38" t="n">
        <x:v>1.0855136145824282</x:v>
      </x:c>
      <x:c r="AA718" t="str">
        <x:v>UNRELIABLE_TERMINAL_VALUE_SHARE</x:v>
      </x:c>
    </x:row>
    <x:row r="719">
      <x:c r="A719" s="54" t="n">
        <x:v>44286</x:v>
      </x:c>
      <x:c r="B719" t="n">
        <x:v>44286.624999988424</x:v>
      </x:c>
      <x:c r="C719" t="str">
        <x:v>365340</x:v>
      </x:c>
      <x:c r="D719" t="str">
        <x:v>성일하이텍</x:v>
      </x:c>
      <x:c r="E719" t="str">
        <x:v>KOSDAQ</x:v>
      </x:c>
      <x:c r="F719" t="str">
        <x:v>LARGE</x:v>
      </x:c>
      <x:c r="G719" t="str">
        <x:v>NOT_LISTED_OR_NO_PRICE</x:v>
      </x:c>
      <x:c r="H719"/>
      <x:c r="I719" s="54"/>
      <x:c r="J719" s="55"/>
      <x:c r="K719" s="55"/>
      <x:c r="L719" s="55"/>
      <x:c r="M719"/>
      <x:c r="N719"/>
      <x:c r="O719" s="54"/>
      <x:c r="P719"/>
      <x:c r="Q719"/>
      <x:c r="R719"/>
      <x:c r="S719"/>
      <x:c r="T719"/>
      <x:c r="U719" s="57"/>
      <x:c r="V719" s="57"/>
      <x:c r="W719"/>
      <x:c r="X719"/>
      <x:c r="Y719" s="38"/>
      <x:c r="Z719" s="38"/>
      <x:c r="AA719"/>
    </x:row>
    <x:row r="720">
      <x:c r="A720" s="54" t="n">
        <x:v>44286</x:v>
      </x:c>
      <x:c r="B720" t="n">
        <x:v>44286.624999988424</x:v>
      </x:c>
      <x:c r="C720" t="str">
        <x:v>030530</x:v>
      </x:c>
      <x:c r="D720" t="str">
        <x:v>원익홀딩스</x:v>
      </x:c>
      <x:c r="E720" t="str">
        <x:v>KOSDAQ</x:v>
      </x:c>
      <x:c r="F720" t="str">
        <x:v>LARGE</x:v>
      </x:c>
      <x:c r="G720" t="str">
        <x:v>EXCLUDED_ARCHETYPE</x:v>
      </x:c>
      <x:c r="H720" t="str">
        <x:v>FCFF_NOT_COMPARABLE_FOR_FINANCE_OR_HOLDING_HINT</x:v>
      </x:c>
      <x:c r="I720" s="54"/>
      <x:c r="J720" s="55"/>
      <x:c r="K720" s="55"/>
      <x:c r="L720" s="55"/>
      <x:c r="M720"/>
      <x:c r="N720"/>
      <x:c r="O720" s="54"/>
      <x:c r="P720"/>
      <x:c r="Q720"/>
      <x:c r="R720"/>
      <x:c r="S720"/>
      <x:c r="T720"/>
      <x:c r="U720" s="57"/>
      <x:c r="V720" s="57"/>
      <x:c r="W720"/>
      <x:c r="X720"/>
      <x:c r="Y720" s="38"/>
      <x:c r="Z720" s="38"/>
      <x:c r="AA720"/>
    </x:row>
    <x:row r="721">
      <x:c r="A721" s="54" t="n">
        <x:v>44286</x:v>
      </x:c>
      <x:c r="B721" t="n">
        <x:v>44286.624999988424</x:v>
      </x:c>
      <x:c r="C721" t="str">
        <x:v>220100</x:v>
      </x:c>
      <x:c r="D721" t="str">
        <x:v>퓨쳐켐</x:v>
      </x:c>
      <x:c r="E721" t="str">
        <x:v>KOSDAQ</x:v>
      </x:c>
      <x:c r="F721" t="str">
        <x:v>LARGE</x:v>
      </x:c>
      <x:c r="G721" t="str">
        <x:v>DCF_SCREENING_EXCLUSION</x:v>
      </x:c>
      <x:c r="H721" t="str">
        <x:v>NON_POSITIVE_ENTERPRISE_VALUE|NON_POSITIVE_EQUITY_VALUE|NON_POSITIVE_TERMINAL_FCF</x:v>
      </x:c>
      <x:c r="I721" s="54" t="n">
        <x:v>44286</x:v>
      </x:c>
      <x:c r="J721" s="55" t="n">
        <x:v>17500</x:v>
      </x:c>
      <x:c r="K721" s="55" t="n">
        <x:v>238804492500</x:v>
      </x:c>
      <x:c r="L721" s="55" t="n">
        <x:v>13645971</x:v>
      </x:c>
      <x:c r="M721" t="str">
        <x:v>20210319001331</x:v>
      </x:c>
      <x:c r="N721" t="n">
        <x:v>44274.624999988424</x:v>
      </x:c>
      <x:c r="O721" s="54" t="n">
        <x:v>44196</x:v>
      </x:c>
      <x:c r="P721" t="str">
        <x:v>False</x:v>
      </x:c>
      <x:c r="Q721" t="str">
        <x:v>679742e6a8f63ba5bb704ffdcb9180201f6c1b8db86cd658a6d51720e1aa8962</x:v>
      </x:c>
      <x:c r="R721" t="str">
        <x:v>c2ffb700210b4a074e4d21623b77217ac322ce886dd30a9068db40f3d2ad307e</x:v>
      </x:c>
      <x:c r="S721" t="n">
        <x:v>5</x:v>
      </x:c>
      <x:c r="T721" t="str">
        <x:v>2018-12-31|2019-12-31|2020-12-31</x:v>
      </x:c>
      <x:c r="U721" s="57" t="n">
        <x:v>-2161.672272645734</x:v>
      </x:c>
      <x:c r="V721" s="57" t="n">
        <x:v>-1.1235241298654706</x:v>
      </x:c>
      <x:c r="W721"/>
      <x:c r="X721"/>
      <x:c r="Y721" s="38" t="n">
        <x:v>0.6409090909090909</x:v>
      </x:c>
      <x:c r="Z721" s="38" t="n">
        <x:v>0.7048576618166811</x:v>
      </x:c>
      <x:c r="AA721" t="str">
        <x:v>NON_POSITIVE_ENTERPRISE_VALUE|NON_POSITIVE_EQUITY_VALUE|NON_POSITIVE_TERMINAL_FCF</x:v>
      </x:c>
    </x:row>
    <x:row r="722">
      <x:c r="A722" s="54" t="n">
        <x:v>44286</x:v>
      </x:c>
      <x:c r="B722" t="n">
        <x:v>44286.624999988424</x:v>
      </x:c>
      <x:c r="C722" t="str">
        <x:v>416180</x:v>
      </x:c>
      <x:c r="D722" t="str">
        <x:v>신성에스티</x:v>
      </x:c>
      <x:c r="E722" t="str">
        <x:v>KOSDAQ</x:v>
      </x:c>
      <x:c r="F722" t="str">
        <x:v>LARGE</x:v>
      </x:c>
      <x:c r="G722" t="str">
        <x:v>NOT_LISTED_OR_NO_PRICE</x:v>
      </x:c>
      <x:c r="H722"/>
      <x:c r="I722" s="54"/>
      <x:c r="J722" s="55"/>
      <x:c r="K722" s="55"/>
      <x:c r="L722" s="55"/>
      <x:c r="M722"/>
      <x:c r="N722"/>
      <x:c r="O722" s="54"/>
      <x:c r="P722"/>
      <x:c r="Q722"/>
      <x:c r="R722"/>
      <x:c r="S722"/>
      <x:c r="T722"/>
      <x:c r="U722" s="57"/>
      <x:c r="V722" s="57"/>
      <x:c r="W722"/>
      <x:c r="X722"/>
      <x:c r="Y722" s="38"/>
      <x:c r="Z722" s="38"/>
      <x:c r="AA722"/>
    </x:row>
    <x:row r="723">
      <x:c r="A723" s="54" t="n">
        <x:v>44286</x:v>
      </x:c>
      <x:c r="B723" t="n">
        <x:v>44286.624999988424</x:v>
      </x:c>
      <x:c r="C723" t="str">
        <x:v>082800</x:v>
      </x:c>
      <x:c r="D723" t="str">
        <x:v>비보존제약</x:v>
      </x:c>
      <x:c r="E723" t="str">
        <x:v>KOSDAQ</x:v>
      </x:c>
      <x:c r="F723" t="str">
        <x:v>LARGE</x:v>
      </x:c>
      <x:c r="G723" t="str">
        <x:v>DCF_SCREENING_EXCLUSION</x:v>
      </x:c>
      <x:c r="H723" t="str">
        <x:v>NON_POSITIVE_ENTERPRISE_VALUE|NON_POSITIVE_EQUITY_VALUE|NON_POSITIVE_TERMINAL_FCF</x:v>
      </x:c>
      <x:c r="I723" s="54" t="n">
        <x:v>44286</x:v>
      </x:c>
      <x:c r="J723" s="55" t="n">
        <x:v>1525</x:v>
      </x:c>
      <x:c r="K723" s="55" t="n">
        <x:v>243624047850</x:v>
      </x:c>
      <x:c r="L723" s="55" t="n">
        <x:v>159753474</x:v>
      </x:c>
      <x:c r="M723" t="str">
        <x:v>20210323001078</x:v>
      </x:c>
      <x:c r="N723" t="n">
        <x:v>44278.624999988424</x:v>
      </x:c>
      <x:c r="O723" s="54" t="n">
        <x:v>44196</x:v>
      </x:c>
      <x:c r="P723" t="str">
        <x:v>False</x:v>
      </x:c>
      <x:c r="Q723" t="str">
        <x:v>3b01bee336db8ffce31a0f1ea2f2a5c281a51b24bbb77cb4e7a1d4dbc273ef76</x:v>
      </x:c>
      <x:c r="R723" t="str">
        <x:v>e987258f2be741fdffc583ab11e478c7828ce4eba0c4248bc6fff53b2238bc2f</x:v>
      </x:c>
      <x:c r="S723" t="n">
        <x:v>5</x:v>
      </x:c>
      <x:c r="T723" t="str">
        <x:v>2018-12-31|2019-12-31|2020-12-31</x:v>
      </x:c>
      <x:c r="U723" s="57" t="n">
        <x:v>-732.5052265430095</x:v>
      </x:c>
      <x:c r="V723" s="57" t="n">
        <x:v>-1.4803312960937767</x:v>
      </x:c>
      <x:c r="W723"/>
      <x:c r="X723"/>
      <x:c r="Y723" s="38" t="n">
        <x:v>0.6409090909090909</x:v>
      </x:c>
      <x:c r="Z723" s="38" t="n">
        <x:v>0.7047682246707426</x:v>
      </x:c>
      <x:c r="AA723" t="str">
        <x:v>NON_POSITIVE_ENTERPRISE_VALUE|NON_POSITIVE_EQUITY_VALUE|NON_POSITIVE_TERMINAL_FCF</x:v>
      </x:c>
    </x:row>
    <x:row r="724">
      <x:c r="A724" s="54" t="n">
        <x:v>44286</x:v>
      </x:c>
      <x:c r="B724" t="n">
        <x:v>44286.624999988424</x:v>
      </x:c>
      <x:c r="C724" t="str">
        <x:v>204620</x:v>
      </x:c>
      <x:c r="D724" t="str">
        <x:v>글로벌텍스프리</x:v>
      </x:c>
      <x:c r="E724" t="str">
        <x:v>KOSDAQ</x:v>
      </x:c>
      <x:c r="F724" t="str">
        <x:v>LARGE</x:v>
      </x:c>
      <x:c r="G724" t="str">
        <x:v>DCF_SCREENING_EXCLUSION</x:v>
      </x:c>
      <x:c r="H724" t="str">
        <x:v>UNRELIABLE_TERMINAL_VALUE_SHARE</x:v>
      </x:c>
      <x:c r="I724" s="54" t="n">
        <x:v>44286</x:v>
      </x:c>
      <x:c r="J724" s="55" t="n">
        <x:v>3240</x:v>
      </x:c>
      <x:c r="K724" s="55" t="n">
        <x:v>157906878840</x:v>
      </x:c>
      <x:c r="L724" s="55" t="n">
        <x:v>48736691</x:v>
      </x:c>
      <x:c r="M724" t="str">
        <x:v>20210322001155</x:v>
      </x:c>
      <x:c r="N724" t="n">
        <x:v>44277.624999988424</x:v>
      </x:c>
      <x:c r="O724" s="54" t="n">
        <x:v>44196</x:v>
      </x:c>
      <x:c r="P724" t="str">
        <x:v>False</x:v>
      </x:c>
      <x:c r="Q724" t="str">
        <x:v>63e285f34a7299143d8cfef21dff4eab139ba2d6da9068d43044e662192b9141</x:v>
      </x:c>
      <x:c r="R724" t="str">
        <x:v>942d3112c880d8248b9474645454b62643e68b942d77b7486e4633785d250695</x:v>
      </x:c>
      <x:c r="S724" t="n">
        <x:v>7</x:v>
      </x:c>
      <x:c r="T724" t="str">
        <x:v>2018-12-31|2019-12-31|2020-12-31</x:v>
      </x:c>
      <x:c r="U724" s="57" t="n">
        <x:v>899.8525927064413</x:v>
      </x:c>
      <x:c r="V724" s="57" t="n">
        <x:v>-0.7222677183004811</x:v>
      </x:c>
      <x:c r="W724"/>
      <x:c r="X724"/>
      <x:c r="Y724" s="38" t="n">
        <x:v>0.6409090909090909</x:v>
      </x:c>
      <x:c r="Z724" s="38" t="n">
        <x:v>0.9852227558467876</x:v>
      </x:c>
      <x:c r="AA724" t="str">
        <x:v>UNRELIABLE_TERMINAL_VALUE_SHARE</x:v>
      </x:c>
    </x:row>
    <x:row r="725">
      <x:c r="A725" s="54" t="n">
        <x:v>44286</x:v>
      </x:c>
      <x:c r="B725" t="n">
        <x:v>44286.624999988424</x:v>
      </x:c>
      <x:c r="C725" t="str">
        <x:v>445090</x:v>
      </x:c>
      <x:c r="D725" t="str">
        <x:v>에이직랜드</x:v>
      </x:c>
      <x:c r="E725" t="str">
        <x:v>KOSDAQ</x:v>
      </x:c>
      <x:c r="F725" t="str">
        <x:v>LARGE</x:v>
      </x:c>
      <x:c r="G725" t="str">
        <x:v>NOT_LISTED_OR_NO_PRICE</x:v>
      </x:c>
      <x:c r="H725"/>
      <x:c r="I725" s="54"/>
      <x:c r="J725" s="55"/>
      <x:c r="K725" s="55"/>
      <x:c r="L725" s="55"/>
      <x:c r="M725"/>
      <x:c r="N725"/>
      <x:c r="O725" s="54"/>
      <x:c r="P725"/>
      <x:c r="Q725"/>
      <x:c r="R725"/>
      <x:c r="S725"/>
      <x:c r="T725"/>
      <x:c r="U725" s="57"/>
      <x:c r="V725" s="57"/>
      <x:c r="W725"/>
      <x:c r="X725"/>
      <x:c r="Y725" s="38"/>
      <x:c r="Z725" s="38"/>
      <x:c r="AA725"/>
    </x:row>
    <x:row r="726">
      <x:c r="A726" s="54" t="n">
        <x:v>44286</x:v>
      </x:c>
      <x:c r="B726" t="n">
        <x:v>44286.624999988424</x:v>
      </x:c>
      <x:c r="C726" t="str">
        <x:v>115450</x:v>
      </x:c>
      <x:c r="D726" t="str">
        <x:v>HLB테라퓨틱스</x:v>
      </x:c>
      <x:c r="E726" t="str">
        <x:v>KOSDAQ</x:v>
      </x:c>
      <x:c r="F726" t="str">
        <x:v>LARGE</x:v>
      </x:c>
      <x:c r="G726" t="str">
        <x:v>DCF_SCREENING_EXCLUSION</x:v>
      </x:c>
      <x:c r="H726" t="str">
        <x:v>NON_POSITIVE_ENTERPRISE_VALUE|NON_POSITIVE_EQUITY_VALUE|NON_POSITIVE_TERMINAL_FCF</x:v>
      </x:c>
      <x:c r="I726" s="54" t="n">
        <x:v>44286</x:v>
      </x:c>
      <x:c r="J726" s="55" t="n">
        <x:v>11750</x:v>
      </x:c>
      <x:c r="K726" s="55" t="n">
        <x:v>318284223250</x:v>
      </x:c>
      <x:c r="L726" s="55" t="n">
        <x:v>27088019</x:v>
      </x:c>
      <x:c r="M726" t="str">
        <x:v>20210322000267</x:v>
      </x:c>
      <x:c r="N726" t="n">
        <x:v>44277.624999988424</x:v>
      </x:c>
      <x:c r="O726" s="54" t="n">
        <x:v>44196</x:v>
      </x:c>
      <x:c r="P726" t="str">
        <x:v>True</x:v>
      </x:c>
      <x:c r="Q726" t="str">
        <x:v>9353d71566402711a7e944bd746b58f70992d4280153e7918d6d972ec9847f15</x:v>
      </x:c>
      <x:c r="R726" t="str">
        <x:v>440c3108003fc6dd85b6abafd86205d83884fe967e098286fac2cc393031076c</x:v>
      </x:c>
      <x:c r="S726" t="n">
        <x:v>6</x:v>
      </x:c>
      <x:c r="T726" t="str">
        <x:v>2018-12-31|2019-12-31|2020-12-31</x:v>
      </x:c>
      <x:c r="U726" s="57" t="n">
        <x:v>-3360.487745607768</x:v>
      </x:c>
      <x:c r="V726" s="57" t="n">
        <x:v>-1.2859989570730015</x:v>
      </x:c>
      <x:c r="W726"/>
      <x:c r="X726"/>
      <x:c r="Y726" s="38" t="n">
        <x:v>0.6409090909090909</x:v>
      </x:c>
      <x:c r="Z726" s="38" t="n">
        <x:v>0.6727961565714479</x:v>
      </x:c>
      <x:c r="AA726" t="str">
        <x:v>NON_POSITIVE_ENTERPRISE_VALUE|NON_POSITIVE_EQUITY_VALUE|NON_POSITIVE_TERMINAL_FCF</x:v>
      </x:c>
    </x:row>
    <x:row r="727">
      <x:c r="A727" s="54" t="n">
        <x:v>44286</x:v>
      </x:c>
      <x:c r="B727" t="n">
        <x:v>44286.624999988424</x:v>
      </x:c>
      <x:c r="C727" t="str">
        <x:v>035420</x:v>
      </x:c>
      <x:c r="D727" t="str">
        <x:v>NAVER</x:v>
      </x:c>
      <x:c r="E727" t="str">
        <x:v>KOSPI</x:v>
      </x:c>
      <x:c r="F727" t="str">
        <x:v>LARGE</x:v>
      </x:c>
      <x:c r="G727" t="str">
        <x:v>ELIGIBLE</x:v>
      </x:c>
      <x:c r="H727"/>
      <x:c r="I727" s="54" t="n">
        <x:v>44286</x:v>
      </x:c>
      <x:c r="J727" s="55" t="n">
        <x:v>377000</x:v>
      </x:c>
      <x:c r="K727" s="55" t="n">
        <x:v>61927299915000</x:v>
      </x:c>
      <x:c r="L727" s="55" t="n">
        <x:v>164263395</x:v>
      </x:c>
      <x:c r="M727" t="str">
        <x:v>20210316001214</x:v>
      </x:c>
      <x:c r="N727" t="n">
        <x:v>44271.624999988424</x:v>
      </x:c>
      <x:c r="O727" s="54" t="n">
        <x:v>44196</x:v>
      </x:c>
      <x:c r="P727" t="str">
        <x:v>False</x:v>
      </x:c>
      <x:c r="Q727" t="str">
        <x:v>68dc118fc30765c984117bc63ce97f43158503473a4b2cf6dc55888cc7a4f8c2</x:v>
      </x:c>
      <x:c r="R727" t="str">
        <x:v>d6e2b5708b1e7fbdbe00ab991bbb242db3d72e567c47557b0ad1c27529b9273f</x:v>
      </x:c>
      <x:c r="S727" t="n">
        <x:v>6</x:v>
      </x:c>
      <x:c r="T727" t="str">
        <x:v>2018-12-31|2019-12-31|2020-12-31</x:v>
      </x:c>
      <x:c r="U727" s="57" t="n">
        <x:v>48037.82319413707</x:v>
      </x:c>
      <x:c r="V727" s="57" t="n">
        <x:v>-0.8725787183179388</x:v>
      </x:c>
      <x:c r="W727" t="n">
        <x:v>54</x:v>
      </x:c>
      <x:c r="X727" t="n">
        <x:v>5</x:v>
      </x:c>
      <x:c r="Y727" s="38" t="n">
        <x:v>0.6409090909090909</x:v>
      </x:c>
      <x:c r="Z727" s="38" t="n">
        <x:v>0.6459381047084306</x:v>
      </x:c>
      <x:c r="AA727"/>
    </x:row>
    <x:row r="728">
      <x:c r="A728" s="54" t="n">
        <x:v>44286</x:v>
      </x:c>
      <x:c r="B728" t="n">
        <x:v>44286.624999988424</x:v>
      </x:c>
      <x:c r="C728" t="str">
        <x:v>030200</x:v>
      </x:c>
      <x:c r="D728" t="str">
        <x:v>KT</x:v>
      </x:c>
      <x:c r="E728" t="str">
        <x:v>KOSPI</x:v>
      </x:c>
      <x:c r="F728" t="str">
        <x:v>LARGE</x:v>
      </x:c>
      <x:c r="G728" t="str">
        <x:v>ELIGIBLE</x:v>
      </x:c>
      <x:c r="H728"/>
      <x:c r="I728" s="54" t="n">
        <x:v>44286</x:v>
      </x:c>
      <x:c r="J728" s="55" t="n">
        <x:v>28250</x:v>
      </x:c>
      <x:c r="K728" s="55" t="n">
        <x:v>7376408576000</x:v>
      </x:c>
      <x:c r="L728" s="55" t="n">
        <x:v>261111808</x:v>
      </x:c>
      <x:c r="M728" t="str">
        <x:v>20210319001235</x:v>
      </x:c>
      <x:c r="N728" t="n">
        <x:v>44274.624999988424</x:v>
      </x:c>
      <x:c r="O728" s="54" t="n">
        <x:v>44196</x:v>
      </x:c>
      <x:c r="P728" t="str">
        <x:v>False</x:v>
      </x:c>
      <x:c r="Q728" t="str">
        <x:v>d64d7a158d387dd550e1fae4d790e729d0c9d1d8b0cac7452fc112e47649dda4</x:v>
      </x:c>
      <x:c r="R728" t="str">
        <x:v>9f4c1f28bbd6500760e6bd9819530619dfe207c0cc1188e35fcf4794fd02938a</x:v>
      </x:c>
      <x:c r="S728" t="n">
        <x:v>6</x:v>
      </x:c>
      <x:c r="T728" t="str">
        <x:v>2018-12-31|2019-12-31|2020-12-31</x:v>
      </x:c>
      <x:c r="U728" s="57" t="n">
        <x:v>42508.529940105356</x:v>
      </x:c>
      <x:c r="V728" s="57" t="n">
        <x:v>0.5047267235435523</x:v>
      </x:c>
      <x:c r="W728" t="n">
        <x:v>8</x:v>
      </x:c>
      <x:c r="X728" t="n">
        <x:v>1</x:v>
      </x:c>
      <x:c r="Y728" s="38" t="n">
        <x:v>0.6409090909090909</x:v>
      </x:c>
      <x:c r="Z728" s="38" t="n">
        <x:v>0.7002042252982207</x:v>
      </x:c>
      <x:c r="AA728"/>
    </x:row>
    <x:row r="729">
      <x:c r="A729" s="54" t="n">
        <x:v>44286</x:v>
      </x:c>
      <x:c r="B729" t="n">
        <x:v>44286.624999988424</x:v>
      </x:c>
      <x:c r="C729" t="str">
        <x:v>018260</x:v>
      </x:c>
      <x:c r="D729" t="str">
        <x:v>삼성에스디에스</x:v>
      </x:c>
      <x:c r="E729" t="str">
        <x:v>KOSPI</x:v>
      </x:c>
      <x:c r="F729" t="str">
        <x:v>LARGE</x:v>
      </x:c>
      <x:c r="G729" t="str">
        <x:v>ELIGIBLE</x:v>
      </x:c>
      <x:c r="H729"/>
      <x:c r="I729" s="54" t="n">
        <x:v>44286</x:v>
      </x:c>
      <x:c r="J729" s="55" t="n">
        <x:v>193500</x:v>
      </x:c>
      <x:c r="K729" s="55" t="n">
        <x:v>14972604300000</x:v>
      </x:c>
      <x:c r="L729" s="55" t="n">
        <x:v>77377800</x:v>
      </x:c>
      <x:c r="M729" t="str">
        <x:v>20210309000603</x:v>
      </x:c>
      <x:c r="N729" t="n">
        <x:v>44264.624999988424</x:v>
      </x:c>
      <x:c r="O729" s="54" t="n">
        <x:v>44196</x:v>
      </x:c>
      <x:c r="P729" t="str">
        <x:v>False</x:v>
      </x:c>
      <x:c r="Q729" t="str">
        <x:v>edc177af043fcf418403e0860c191e7eb2aff41f6c969aac1a56c8246da7a635</x:v>
      </x:c>
      <x:c r="R729" t="str">
        <x:v>97fc48826aebc55efc6036c432fae7c4d1f02450779c2cb47bad737bffdbe6f1</x:v>
      </x:c>
      <x:c r="S729" t="n">
        <x:v>6</x:v>
      </x:c>
      <x:c r="T729" t="str">
        <x:v>2018-12-31|2019-12-31|2020-12-31</x:v>
      </x:c>
      <x:c r="U729" s="57" t="n">
        <x:v>128730.48947024481</x:v>
      </x:c>
      <x:c r="V729" s="57" t="n">
        <x:v>-0.33472615260855393</x:v>
      </x:c>
      <x:c r="W729" t="n">
        <x:v>23</x:v>
      </x:c>
      <x:c r="X729" t="n">
        <x:v>2</x:v>
      </x:c>
      <x:c r="Y729" s="38" t="n">
        <x:v>0.6409090909090909</x:v>
      </x:c>
      <x:c r="Z729" s="38" t="n">
        <x:v>0.7166900971799662</x:v>
      </x:c>
      <x:c r="AA729"/>
    </x:row>
    <x:row r="730">
      <x:c r="A730" s="54" t="n">
        <x:v>44286</x:v>
      </x:c>
      <x:c r="B730" t="n">
        <x:v>44286.624999988424</x:v>
      </x:c>
      <x:c r="C730" t="str">
        <x:v>090430</x:v>
      </x:c>
      <x:c r="D730" t="str">
        <x:v>아모레퍼시픽</x:v>
      </x:c>
      <x:c r="E730" t="str">
        <x:v>KOSPI</x:v>
      </x:c>
      <x:c r="F730" t="str">
        <x:v>LARGE</x:v>
      </x:c>
      <x:c r="G730" t="str">
        <x:v>ELIGIBLE</x:v>
      </x:c>
      <x:c r="H730"/>
      <x:c r="I730" s="54" t="n">
        <x:v>44286</x:v>
      </x:c>
      <x:c r="J730" s="55" t="n">
        <x:v>258500</x:v>
      </x:c>
      <x:c r="K730" s="55" t="n">
        <x:v>15111519665000</x:v>
      </x:c>
      <x:c r="L730" s="55" t="n">
        <x:v>58458490</x:v>
      </x:c>
      <x:c r="M730" t="str">
        <x:v>20210311000870</x:v>
      </x:c>
      <x:c r="N730" t="n">
        <x:v>44266.624999988424</x:v>
      </x:c>
      <x:c r="O730" s="54" t="n">
        <x:v>44196</x:v>
      </x:c>
      <x:c r="P730" t="str">
        <x:v>False</x:v>
      </x:c>
      <x:c r="Q730" t="str">
        <x:v>682836cd3aff088dd1bd023babd164c42c02b19fe8ab2fcca2b2f27afc639e1e</x:v>
      </x:c>
      <x:c r="R730" t="str">
        <x:v>b63f75062ff6f7e7d2344776d997d81b161b773562eab38e5237692e4163d4d0</x:v>
      </x:c>
      <x:c r="S730" t="n">
        <x:v>6</x:v>
      </x:c>
      <x:c r="T730" t="str">
        <x:v>2018-12-31|2019-12-31|2020-12-31</x:v>
      </x:c>
      <x:c r="U730" s="57" t="n">
        <x:v>37104.65707583782</x:v>
      </x:c>
      <x:c r="V730" s="57" t="n">
        <x:v>-0.8564616747549795</x:v>
      </x:c>
      <x:c r="W730" t="n">
        <x:v>53</x:v>
      </x:c>
      <x:c r="X730" t="n">
        <x:v>5</x:v>
      </x:c>
      <x:c r="Y730" s="38" t="n">
        <x:v>0.6409090909090909</x:v>
      </x:c>
      <x:c r="Z730" s="38" t="n">
        <x:v>0.7858385578371689</x:v>
      </x:c>
      <x:c r="AA730"/>
    </x:row>
    <x:row r="731">
      <x:c r="A731" s="54" t="n">
        <x:v>44286</x:v>
      </x:c>
      <x:c r="B731" t="n">
        <x:v>44286.624999988424</x:v>
      </x:c>
      <x:c r="C731" t="str">
        <x:v>278470</x:v>
      </x:c>
      <x:c r="D731" t="str">
        <x:v>에이피알</x:v>
      </x:c>
      <x:c r="E731" t="str">
        <x:v>KOSPI</x:v>
      </x:c>
      <x:c r="F731" t="str">
        <x:v>LARGE</x:v>
      </x:c>
      <x:c r="G731" t="str">
        <x:v>NOT_LISTED_OR_NO_PRICE</x:v>
      </x:c>
      <x:c r="H731"/>
      <x:c r="I731" s="54"/>
      <x:c r="J731" s="55"/>
      <x:c r="K731" s="55"/>
      <x:c r="L731" s="55"/>
      <x:c r="M731"/>
      <x:c r="N731"/>
      <x:c r="O731" s="54"/>
      <x:c r="P731"/>
      <x:c r="Q731"/>
      <x:c r="R731"/>
      <x:c r="S731"/>
      <x:c r="T731"/>
      <x:c r="U731" s="57"/>
      <x:c r="V731" s="57"/>
      <x:c r="W731"/>
      <x:c r="X731"/>
      <x:c r="Y731" s="38"/>
      <x:c r="Z731" s="38"/>
      <x:c r="AA731"/>
    </x:row>
    <x:row r="732">
      <x:c r="A732" s="54" t="n">
        <x:v>44286</x:v>
      </x:c>
      <x:c r="B732" t="n">
        <x:v>44286.624999988424</x:v>
      </x:c>
      <x:c r="C732" t="str">
        <x:v>006260</x:v>
      </x:c>
      <x:c r="D732" t="str">
        <x:v>LS</x:v>
      </x:c>
      <x:c r="E732" t="str">
        <x:v>KOSPI</x:v>
      </x:c>
      <x:c r="F732" t="str">
        <x:v>LARGE</x:v>
      </x:c>
      <x:c r="G732" t="str">
        <x:v>ELIGIBLE</x:v>
      </x:c>
      <x:c r="H732"/>
      <x:c r="I732" s="54" t="n">
        <x:v>44286</x:v>
      </x:c>
      <x:c r="J732" s="55" t="n">
        <x:v>68500</x:v>
      </x:c>
      <x:c r="K732" s="55" t="n">
        <x:v>2205700000000</x:v>
      </x:c>
      <x:c r="L732" s="55" t="n">
        <x:v>32200000</x:v>
      </x:c>
      <x:c r="M732" t="str">
        <x:v>20210319001409</x:v>
      </x:c>
      <x:c r="N732" t="n">
        <x:v>44274.624999988424</x:v>
      </x:c>
      <x:c r="O732" s="54" t="n">
        <x:v>44196</x:v>
      </x:c>
      <x:c r="P732" t="str">
        <x:v>False</x:v>
      </x:c>
      <x:c r="Q732" t="str">
        <x:v>2e2a1ff8e69e274717df50a9b120ce914d117cc1cbaf4f6204652e6f635e8570</x:v>
      </x:c>
      <x:c r="R732" t="str">
        <x:v>e0a259537c141194efc4995d00107920aa3ebd04668d89fb3c754b0921e74c52</x:v>
      </x:c>
      <x:c r="S732" t="n">
        <x:v>6</x:v>
      </x:c>
      <x:c r="T732" t="str">
        <x:v>2018-12-31|2019-12-31|2020-12-31</x:v>
      </x:c>
      <x:c r="U732" s="57" t="n">
        <x:v>74965.19884083132</x:v>
      </x:c>
      <x:c r="V732" s="57" t="n">
        <x:v>0.09438246482965436</x:v>
      </x:c>
      <x:c r="W732" t="n">
        <x:v>13</x:v>
      </x:c>
      <x:c r="X732" t="n">
        <x:v>2</x:v>
      </x:c>
      <x:c r="Y732" s="38" t="n">
        <x:v>0.6409090909090909</x:v>
      </x:c>
      <x:c r="Z732" s="38" t="n">
        <x:v>0.7002935981601249</x:v>
      </x:c>
      <x:c r="AA732"/>
    </x:row>
    <x:row r="733">
      <x:c r="A733" s="54" t="n">
        <x:v>44286</x:v>
      </x:c>
      <x:c r="B733" t="n">
        <x:v>44286.624999988424</x:v>
      </x:c>
      <x:c r="C733" t="str">
        <x:v>454910</x:v>
      </x:c>
      <x:c r="D733" t="str">
        <x:v>두산로보틱스</x:v>
      </x:c>
      <x:c r="E733" t="str">
        <x:v>KOSPI</x:v>
      </x:c>
      <x:c r="F733" t="str">
        <x:v>LARGE</x:v>
      </x:c>
      <x:c r="G733" t="str">
        <x:v>NOT_LISTED_OR_NO_PRICE</x:v>
      </x:c>
      <x:c r="H733"/>
      <x:c r="I733" s="54"/>
      <x:c r="J733" s="55"/>
      <x:c r="K733" s="55"/>
      <x:c r="L733" s="55"/>
      <x:c r="M733"/>
      <x:c r="N733"/>
      <x:c r="O733" s="54"/>
      <x:c r="P733"/>
      <x:c r="Q733"/>
      <x:c r="R733"/>
      <x:c r="S733"/>
      <x:c r="T733"/>
      <x:c r="U733" s="57"/>
      <x:c r="V733" s="57"/>
      <x:c r="W733"/>
      <x:c r="X733"/>
      <x:c r="Y733" s="38"/>
      <x:c r="Z733" s="38"/>
      <x:c r="AA733"/>
    </x:row>
    <x:row r="734">
      <x:c r="A734" s="54" t="n">
        <x:v>44286</x:v>
      </x:c>
      <x:c r="B734" t="n">
        <x:v>44286.624999988424</x:v>
      </x:c>
      <x:c r="C734" t="str">
        <x:v>012750</x:v>
      </x:c>
      <x:c r="D734" t="str">
        <x:v>에스원</x:v>
      </x:c>
      <x:c r="E734" t="str">
        <x:v>KOSPI</x:v>
      </x:c>
      <x:c r="F734" t="str">
        <x:v>LARGE</x:v>
      </x:c>
      <x:c r="G734" t="str">
        <x:v>ELIGIBLE</x:v>
      </x:c>
      <x:c r="H734"/>
      <x:c r="I734" s="54" t="n">
        <x:v>44286</x:v>
      </x:c>
      <x:c r="J734" s="55" t="n">
        <x:v>81700</x:v>
      </x:c>
      <x:c r="K734" s="55" t="n">
        <x:v>3104532842600</x:v>
      </x:c>
      <x:c r="L734" s="55" t="n">
        <x:v>37999178</x:v>
      </x:c>
      <x:c r="M734" t="str">
        <x:v>20210310001205</x:v>
      </x:c>
      <x:c r="N734" t="n">
        <x:v>44265.624999988424</x:v>
      </x:c>
      <x:c r="O734" s="54" t="n">
        <x:v>44196</x:v>
      </x:c>
      <x:c r="P734" t="str">
        <x:v>False</x:v>
      </x:c>
      <x:c r="Q734" t="str">
        <x:v>0a3ed71297759119003ee98a7805f72c1dc9fad49ec63ae5c48d4e2e56539dd5</x:v>
      </x:c>
      <x:c r="R734" t="str">
        <x:v>b83c02c73209df95f78347c6ddf20eb81282366efc1db64f582c0f07c4cd9dc4</x:v>
      </x:c>
      <x:c r="S734" t="n">
        <x:v>6</x:v>
      </x:c>
      <x:c r="T734" t="str">
        <x:v>2018-12-31|2019-12-31|2020-12-31</x:v>
      </x:c>
      <x:c r="U734" s="57" t="n">
        <x:v>48123.6319242491</x:v>
      </x:c>
      <x:c r="V734" s="57" t="n">
        <x:v>-0.4109714574755312</x:v>
      </x:c>
      <x:c r="W734" t="n">
        <x:v>25</x:v>
      </x:c>
      <x:c r="X734" t="n">
        <x:v>3</x:v>
      </x:c>
      <x:c r="Y734" s="38" t="n">
        <x:v>0.6409090909090909</x:v>
      </x:c>
      <x:c r="Z734" s="38" t="n">
        <x:v>0.7046545925462127</x:v>
      </x:c>
      <x:c r="AA734"/>
    </x:row>
    <x:row r="735">
      <x:c r="A735" s="54" t="n">
        <x:v>44286</x:v>
      </x:c>
      <x:c r="B735" t="n">
        <x:v>44286.624999988424</x:v>
      </x:c>
      <x:c r="C735" t="str">
        <x:v>081660</x:v>
      </x:c>
      <x:c r="D735" t="str">
        <x:v>미스토홀딩스</x:v>
      </x:c>
      <x:c r="E735" t="str">
        <x:v>KOSPI</x:v>
      </x:c>
      <x:c r="F735" t="str">
        <x:v>LARGE</x:v>
      </x:c>
      <x:c r="G735" t="str">
        <x:v>EXCLUDED_ARCHETYPE</x:v>
      </x:c>
      <x:c r="H735" t="str">
        <x:v>FCFF_NOT_COMPARABLE_FOR_FINANCE_OR_HOLDING_HINT</x:v>
      </x:c>
      <x:c r="I735" s="54"/>
      <x:c r="J735" s="55"/>
      <x:c r="K735" s="55"/>
      <x:c r="L735" s="55"/>
      <x:c r="M735"/>
      <x:c r="N735"/>
      <x:c r="O735" s="54"/>
      <x:c r="P735"/>
      <x:c r="Q735"/>
      <x:c r="R735"/>
      <x:c r="S735"/>
      <x:c r="T735"/>
      <x:c r="U735" s="57"/>
      <x:c r="V735" s="57"/>
      <x:c r="W735"/>
      <x:c r="X735"/>
      <x:c r="Y735" s="38"/>
      <x:c r="Z735" s="38"/>
      <x:c r="AA735"/>
    </x:row>
    <x:row r="736">
      <x:c r="A736" s="54" t="n">
        <x:v>44286</x:v>
      </x:c>
      <x:c r="B736" t="n">
        <x:v>44286.624999988424</x:v>
      </x:c>
      <x:c r="C736" t="str">
        <x:v>282330</x:v>
      </x:c>
      <x:c r="D736" t="str">
        <x:v>BGF리테일</x:v>
      </x:c>
      <x:c r="E736" t="str">
        <x:v>KOSPI</x:v>
      </x:c>
      <x:c r="F736" t="str">
        <x:v>LARGE</x:v>
      </x:c>
      <x:c r="G736" t="str">
        <x:v>ELIGIBLE</x:v>
      </x:c>
      <x:c r="H736"/>
      <x:c r="I736" s="54" t="n">
        <x:v>44286</x:v>
      </x:c>
      <x:c r="J736" s="55" t="n">
        <x:v>158000</x:v>
      </x:c>
      <x:c r="K736" s="55" t="n">
        <x:v>2730857148000</x:v>
      </x:c>
      <x:c r="L736" s="55" t="n">
        <x:v>17283906</x:v>
      </x:c>
      <x:c r="M736" t="str">
        <x:v>20210317000292</x:v>
      </x:c>
      <x:c r="N736" t="n">
        <x:v>44272.624999988424</x:v>
      </x:c>
      <x:c r="O736" s="54" t="n">
        <x:v>44196</x:v>
      </x:c>
      <x:c r="P736" t="str">
        <x:v>False</x:v>
      </x:c>
      <x:c r="Q736" t="str">
        <x:v>aa79bf7fd6660eb0490fcac8a96eb933e26e179d55cd9289bea9b829c313f623</x:v>
      </x:c>
      <x:c r="R736" t="str">
        <x:v>e4d7c557bd7c15d8950d7cee60d1a08ea0333b53a5078601468e7d947ef98035</x:v>
      </x:c>
      <x:c r="S736" t="n">
        <x:v>6</x:v>
      </x:c>
      <x:c r="T736" t="str">
        <x:v>2018-12-31|2019-12-31|2020-12-31</x:v>
      </x:c>
      <x:c r="U736" s="57" t="n">
        <x:v>78594.0466403678</x:v>
      </x:c>
      <x:c r="V736" s="57" t="n">
        <x:v>-0.5025693250609633</x:v>
      </x:c>
      <x:c r="W736" t="n">
        <x:v>29</x:v>
      </x:c>
      <x:c r="X736" t="n">
        <x:v>3</x:v>
      </x:c>
      <x:c r="Y736" s="38" t="n">
        <x:v>0.6409090909090909</x:v>
      </x:c>
      <x:c r="Z736" s="38" t="n">
        <x:v>0.7388678392258508</x:v>
      </x:c>
      <x:c r="AA736"/>
    </x:row>
    <x:row r="737">
      <x:c r="A737" s="54" t="n">
        <x:v>44286</x:v>
      </x:c>
      <x:c r="B737" t="n">
        <x:v>44286.624999988424</x:v>
      </x:c>
      <x:c r="C737" t="str">
        <x:v>023590</x:v>
      </x:c>
      <x:c r="D737" t="str">
        <x:v>다우기술</x:v>
      </x:c>
      <x:c r="E737" t="str">
        <x:v>KOSPI</x:v>
      </x:c>
      <x:c r="F737" t="str">
        <x:v>LARGE</x:v>
      </x:c>
      <x:c r="G737" t="str">
        <x:v>ELIGIBLE</x:v>
      </x:c>
      <x:c r="H737"/>
      <x:c r="I737" s="54" t="n">
        <x:v>44286</x:v>
      </x:c>
      <x:c r="J737" s="55" t="n">
        <x:v>27050</x:v>
      </x:c>
      <x:c r="K737" s="55" t="n">
        <x:v>1213641989850</x:v>
      </x:c>
      <x:c r="L737" s="55" t="n">
        <x:v>44866617</x:v>
      </x:c>
      <x:c r="M737" t="str">
        <x:v>20210324000853</x:v>
      </x:c>
      <x:c r="N737" t="n">
        <x:v>44279.624999988424</x:v>
      </x:c>
      <x:c r="O737" s="54" t="n">
        <x:v>44196</x:v>
      </x:c>
      <x:c r="P737" t="str">
        <x:v>True</x:v>
      </x:c>
      <x:c r="Q737" t="str">
        <x:v>c97c8cbfdcd3c8b3ac309f5a350b50c95d89530c369d35494facdf626e81b500</x:v>
      </x:c>
      <x:c r="R737" t="str">
        <x:v>63fff4375277417fe0cda7a62c4cff709cc679465a152a16f9654ac939f99d83</x:v>
      </x:c>
      <x:c r="S737" t="n">
        <x:v>7</x:v>
      </x:c>
      <x:c r="T737" t="str">
        <x:v>2015-12-31|2016-12-31|2017-12-31|2018-12-31|2019-12-31|2020-12-31</x:v>
      </x:c>
      <x:c r="U737" s="57" t="n">
        <x:v>71811.18974158533</x:v>
      </x:c>
      <x:c r="V737" s="57" t="n">
        <x:v>1.654757476583561</x:v>
      </x:c>
      <x:c r="W737" t="n">
        <x:v>3</x:v>
      </x:c>
      <x:c r="X737" t="n">
        <x:v>1</x:v>
      </x:c>
      <x:c r="Y737" s="38" t="n">
        <x:v>0.6409090909090909</x:v>
      </x:c>
      <x:c r="Z737" s="38" t="n">
        <x:v>0.7162800487147283</x:v>
      </x:c>
      <x:c r="AA737"/>
    </x:row>
    <x:row r="738">
      <x:c r="A738" s="54" t="n">
        <x:v>44286</x:v>
      </x:c>
      <x:c r="B738" t="n">
        <x:v>44286.624999988424</x:v>
      </x:c>
      <x:c r="C738" t="str">
        <x:v>300720</x:v>
      </x:c>
      <x:c r="D738" t="str">
        <x:v>한일시멘트</x:v>
      </x:c>
      <x:c r="E738" t="str">
        <x:v>KOSPI</x:v>
      </x:c>
      <x:c r="F738" t="str">
        <x:v>LARGE</x:v>
      </x:c>
      <x:c r="G738" t="str">
        <x:v>ELIGIBLE</x:v>
      </x:c>
      <x:c r="H738"/>
      <x:c r="I738" s="54" t="n">
        <x:v>44286</x:v>
      </x:c>
      <x:c r="J738" s="55" t="n">
        <x:v>168000</x:v>
      </x:c>
      <x:c r="K738" s="55" t="n">
        <x:v>1163593872000</x:v>
      </x:c>
      <x:c r="L738" s="55" t="n">
        <x:v>6926154</x:v>
      </x:c>
      <x:c r="M738" t="str">
        <x:v>20210317000869</x:v>
      </x:c>
      <x:c r="N738" t="n">
        <x:v>44272.624999988424</x:v>
      </x:c>
      <x:c r="O738" s="54" t="n">
        <x:v>44196</x:v>
      </x:c>
      <x:c r="P738" t="str">
        <x:v>False</x:v>
      </x:c>
      <x:c r="Q738" t="str">
        <x:v>57bb71e240b0add3acf1f7cbd662939dbed523efc96efbb684d025eac7893032</x:v>
      </x:c>
      <x:c r="R738" t="str">
        <x:v>1190ba69398cb0aad725ff58fdb0bd969963273ae8263c0541894883a98e5116</x:v>
      </x:c>
      <x:c r="S738" t="n">
        <x:v>6</x:v>
      </x:c>
      <x:c r="T738" t="str">
        <x:v>2019-12-31|2020-12-31</x:v>
      </x:c>
      <x:c r="U738" s="57" t="n">
        <x:v>96207.10775946586</x:v>
      </x:c>
      <x:c r="V738" s="57" t="n">
        <x:v>-0.42733864428889373</x:v>
      </x:c>
      <x:c r="W738" t="n">
        <x:v>28</x:v>
      </x:c>
      <x:c r="X738" t="n">
        <x:v>3</x:v>
      </x:c>
      <x:c r="Y738" s="38" t="n">
        <x:v>0.6409090909090909</x:v>
      </x:c>
      <x:c r="Z738" s="38" t="n">
        <x:v>0.6567026117095043</x:v>
      </x:c>
      <x:c r="AA738"/>
    </x:row>
    <x:row r="739">
      <x:c r="A739" s="54" t="n">
        <x:v>44286</x:v>
      </x:c>
      <x:c r="B739" t="n">
        <x:v>44286.624999988424</x:v>
      </x:c>
      <x:c r="C739" t="str">
        <x:v>007070</x:v>
      </x:c>
      <x:c r="D739" t="str">
        <x:v>GS리테일</x:v>
      </x:c>
      <x:c r="E739" t="str">
        <x:v>KOSPI</x:v>
      </x:c>
      <x:c r="F739" t="str">
        <x:v>LARGE</x:v>
      </x:c>
      <x:c r="G739" t="str">
        <x:v>DCF_SCREENING_EXCLUSION</x:v>
      </x:c>
      <x:c r="H739" t="str">
        <x:v>NON_POSITIVE_EQUITY_VALUE</x:v>
      </x:c>
      <x:c r="I739" s="54" t="n">
        <x:v>44286</x:v>
      </x:c>
      <x:c r="J739" s="55" t="n">
        <x:v>38150</x:v>
      </x:c>
      <x:c r="K739" s="55" t="n">
        <x:v>2937550000000</x:v>
      </x:c>
      <x:c r="L739" s="55" t="n">
        <x:v>77000000</x:v>
      </x:c>
      <x:c r="M739" t="str">
        <x:v>20210317000726</x:v>
      </x:c>
      <x:c r="N739" t="n">
        <x:v>44272.624999988424</x:v>
      </x:c>
      <x:c r="O739" s="54" t="n">
        <x:v>44196</x:v>
      </x:c>
      <x:c r="P739" t="str">
        <x:v>False</x:v>
      </x:c>
      <x:c r="Q739" t="str">
        <x:v>09480827c1f272b69ff6a4edf29804b1b62c2c0c3f523ff91ae9137b09f41aa2</x:v>
      </x:c>
      <x:c r="R739" t="str">
        <x:v>2561d91d0ae2a2591d7ab55a1d9b9b66dbef01aeaac7c78bb5c930ef1438a902</x:v>
      </x:c>
      <x:c r="S739" t="n">
        <x:v>6</x:v>
      </x:c>
      <x:c r="T739" t="str">
        <x:v>2018-12-31|2019-12-31|2020-12-31</x:v>
      </x:c>
      <x:c r="U739" s="57" t="n">
        <x:v>-3952.375981271904</x:v>
      </x:c>
      <x:c r="V739" s="57" t="n">
        <x:v>-1.1036009431526057</x:v>
      </x:c>
      <x:c r="W739"/>
      <x:c r="X739"/>
      <x:c r="Y739" s="38" t="n">
        <x:v>0.6409090909090909</x:v>
      </x:c>
      <x:c r="Z739" s="38" t="n">
        <x:v>0.6831830947112829</x:v>
      </x:c>
      <x:c r="AA739" t="str">
        <x:v>NON_POSITIVE_EQUITY_VALUE</x:v>
      </x:c>
    </x:row>
    <x:row r="740">
      <x:c r="A740" s="54" t="n">
        <x:v>44286</x:v>
      </x:c>
      <x:c r="B740" t="n">
        <x:v>44286.624999988424</x:v>
      </x:c>
      <x:c r="C740" t="str">
        <x:v>280360</x:v>
      </x:c>
      <x:c r="D740" t="str">
        <x:v>롯데웰푸드</x:v>
      </x:c>
      <x:c r="E740" t="str">
        <x:v>KOSPI</x:v>
      </x:c>
      <x:c r="F740" t="str">
        <x:v>LARGE</x:v>
      </x:c>
      <x:c r="G740" t="str">
        <x:v>ELIGIBLE</x:v>
      </x:c>
      <x:c r="H740"/>
      <x:c r="I740" s="54" t="n">
        <x:v>44286</x:v>
      </x:c>
      <x:c r="J740" s="55" t="n">
        <x:v>133000</x:v>
      </x:c>
      <x:c r="K740" s="55" t="n">
        <x:v>853423361000</x:v>
      </x:c>
      <x:c r="L740" s="55" t="n">
        <x:v>6416717</x:v>
      </x:c>
      <x:c r="M740" t="str">
        <x:v>20210315000804</x:v>
      </x:c>
      <x:c r="N740" t="n">
        <x:v>44270.624999988424</x:v>
      </x:c>
      <x:c r="O740" s="54" t="n">
        <x:v>44196</x:v>
      </x:c>
      <x:c r="P740" t="str">
        <x:v>False</x:v>
      </x:c>
      <x:c r="Q740" t="str">
        <x:v>1ee0e549d7e0293ad58d7371d4b065fe8c672123b3d380ec66da7518417d260f</x:v>
      </x:c>
      <x:c r="R740" t="str">
        <x:v>a3cb010a2f2971464a6cfa2b678b566fcbb8415c1fbfb3477c5019b6bb101b3c</x:v>
      </x:c>
      <x:c r="S740" t="n">
        <x:v>5</x:v>
      </x:c>
      <x:c r="T740" t="str">
        <x:v>2018-12-31|2019-12-31|2020-12-31</x:v>
      </x:c>
      <x:c r="U740" s="57" t="n">
        <x:v>346646.34124681045</x:v>
      </x:c>
      <x:c r="V740" s="57" t="n">
        <x:v>1.6063634680211312</x:v>
      </x:c>
      <x:c r="W740" t="n">
        <x:v>4</x:v>
      </x:c>
      <x:c r="X740" t="n">
        <x:v>1</x:v>
      </x:c>
      <x:c r="Y740" s="38" t="n">
        <x:v>0.6409090909090909</x:v>
      </x:c>
      <x:c r="Z740" s="38" t="n">
        <x:v>0.7225534519191731</x:v>
      </x:c>
      <x:c r="AA740"/>
    </x:row>
    <x:row r="741">
      <x:c r="A741" s="54" t="n">
        <x:v>44286</x:v>
      </x:c>
      <x:c r="B741" t="n">
        <x:v>44286.624999988424</x:v>
      </x:c>
      <x:c r="C741" t="str">
        <x:v>039130</x:v>
      </x:c>
      <x:c r="D741" t="str">
        <x:v>하나투어</x:v>
      </x:c>
      <x:c r="E741" t="str">
        <x:v>KOSPI</x:v>
      </x:c>
      <x:c r="F741" t="str">
        <x:v>LARGE</x:v>
      </x:c>
      <x:c r="G741" t="str">
        <x:v>DCF_SCREENING_EXCLUSION</x:v>
      </x:c>
      <x:c r="H741" t="str">
        <x:v>NON_POSITIVE_ENTERPRISE_VALUE|NON_POSITIVE_EQUITY_VALUE|NON_POSITIVE_TERMINAL_FCF</x:v>
      </x:c>
      <x:c r="I741" s="54" t="n">
        <x:v>44286</x:v>
      </x:c>
      <x:c r="J741" s="55" t="n">
        <x:v>67800</x:v>
      </x:c>
      <x:c r="K741" s="55" t="n">
        <x:v>945076743000</x:v>
      </x:c>
      <x:c r="L741" s="55" t="n">
        <x:v>13939185</x:v>
      </x:c>
      <x:c r="M741" t="str">
        <x:v>20210329000797</x:v>
      </x:c>
      <x:c r="N741" t="n">
        <x:v>44284.624999988424</x:v>
      </x:c>
      <x:c r="O741" s="54" t="n">
        <x:v>44196</x:v>
      </x:c>
      <x:c r="P741" t="str">
        <x:v>True</x:v>
      </x:c>
      <x:c r="Q741" t="str">
        <x:v>07a45aef6deb1a4c2c8168baa038feaf8c9e87827aa26ae89a51dd3b842899cb</x:v>
      </x:c>
      <x:c r="R741" t="str">
        <x:v>8312128c6d8f7949feb4faefa11da36fe68a6b3bf928eab3d571b9fca280ebf5</x:v>
      </x:c>
      <x:c r="S741" t="n">
        <x:v>5</x:v>
      </x:c>
      <x:c r="T741" t="str">
        <x:v>2018-12-31|2019-12-31|2020-12-31</x:v>
      </x:c>
      <x:c r="U741" s="57" t="n">
        <x:v>-30469.206001994222</x:v>
      </x:c>
      <x:c r="V741" s="57" t="n">
        <x:v>-1.449398318613484</x:v>
      </x:c>
      <x:c r="W741"/>
      <x:c r="X741"/>
      <x:c r="Y741" s="38" t="n">
        <x:v>0.6409090909090909</x:v>
      </x:c>
      <x:c r="Z741" s="38" t="n">
        <x:v>0.6865240790654953</x:v>
      </x:c>
      <x:c r="AA741" t="str">
        <x:v>NON_POSITIVE_ENTERPRISE_VALUE|NON_POSITIVE_EQUITY_VALUE|NON_POSITIVE_TERMINAL_FCF</x:v>
      </x:c>
    </x:row>
    <x:row r="742">
      <x:c r="A742" s="54" t="n">
        <x:v>44286</x:v>
      </x:c>
      <x:c r="B742" t="n">
        <x:v>44286.624999988424</x:v>
      </x:c>
      <x:c r="C742" t="str">
        <x:v>005690</x:v>
      </x:c>
      <x:c r="D742" t="str">
        <x:v>파미셀</x:v>
      </x:c>
      <x:c r="E742" t="str">
        <x:v>KOSPI</x:v>
      </x:c>
      <x:c r="F742" t="str">
        <x:v>LARGE</x:v>
      </x:c>
      <x:c r="G742" t="str">
        <x:v>ELIGIBLE</x:v>
      </x:c>
      <x:c r="H742"/>
      <x:c r="I742" s="54" t="n">
        <x:v>44286</x:v>
      </x:c>
      <x:c r="J742" s="55" t="n">
        <x:v>15050</x:v>
      </x:c>
      <x:c r="K742" s="55" t="n">
        <x:v>902382197500</x:v>
      </x:c>
      <x:c r="L742" s="55" t="n">
        <x:v>59958950</x:v>
      </x:c>
      <x:c r="M742" t="str">
        <x:v>20210316000706</x:v>
      </x:c>
      <x:c r="N742" t="n">
        <x:v>44271.624999988424</x:v>
      </x:c>
      <x:c r="O742" s="54" t="n">
        <x:v>44196</x:v>
      </x:c>
      <x:c r="P742" t="str">
        <x:v>False</x:v>
      </x:c>
      <x:c r="Q742" t="str">
        <x:v>fa54012739fd618aa7535c4d17434bee1d46849d1ee4a643e5e2fc41ce75fdec</x:v>
      </x:c>
      <x:c r="R742" t="str">
        <x:v>0e4d6e58bba3a2b71f8530a601fc6bbbeb1f7e571a298d85e723e46ed5670148</x:v>
      </x:c>
      <x:c r="S742" t="n">
        <x:v>6</x:v>
      </x:c>
      <x:c r="T742" t="str">
        <x:v>2018-12-31|2019-12-31|2020-12-31</x:v>
      </x:c>
      <x:c r="U742" s="57" t="n">
        <x:v>667.61282697586</x:v>
      </x:c>
      <x:c r="V742" s="57" t="n">
        <x:v>-0.9556403437225343</x:v>
      </x:c>
      <x:c r="W742" t="n">
        <x:v>58</x:v>
      </x:c>
      <x:c r="X742" t="n">
        <x:v>5</x:v>
      </x:c>
      <x:c r="Y742" s="38" t="n">
        <x:v>0.6409090909090909</x:v>
      </x:c>
      <x:c r="Z742" s="38" t="n">
        <x:v>0.5228483789302356</x:v>
      </x:c>
      <x:c r="AA742"/>
    </x:row>
    <x:row r="743">
      <x:c r="A743" s="54" t="n">
        <x:v>44286</x:v>
      </x:c>
      <x:c r="B743" t="n">
        <x:v>44286.624999988424</x:v>
      </x:c>
      <x:c r="C743" t="str">
        <x:v>002030</x:v>
      </x:c>
      <x:c r="D743" t="str">
        <x:v>아세아</x:v>
      </x:c>
      <x:c r="E743" t="str">
        <x:v>KOSPI</x:v>
      </x:c>
      <x:c r="F743" t="str">
        <x:v>LARGE</x:v>
      </x:c>
      <x:c r="G743" t="str">
        <x:v>ELIGIBLE</x:v>
      </x:c>
      <x:c r="H743"/>
      <x:c r="I743" s="54" t="n">
        <x:v>44286</x:v>
      </x:c>
      <x:c r="J743" s="55" t="n">
        <x:v>121000</x:v>
      </x:c>
      <x:c r="K743" s="55" t="n">
        <x:v>265113904000</x:v>
      </x:c>
      <x:c r="L743" s="55" t="n">
        <x:v>2191024</x:v>
      </x:c>
      <x:c r="M743" t="str">
        <x:v>20210311001237</x:v>
      </x:c>
      <x:c r="N743" t="n">
        <x:v>44267.624999988424</x:v>
      </x:c>
      <x:c r="O743" s="54" t="n">
        <x:v>44196</x:v>
      </x:c>
      <x:c r="P743" t="str">
        <x:v>False</x:v>
      </x:c>
      <x:c r="Q743" t="str">
        <x:v>8b8cdfda137062b626c7f4debdbb542672b3179f003172447d4e662b9db19a67</x:v>
      </x:c>
      <x:c r="R743" t="str">
        <x:v>ca20a5f9a559431cbb27b5a06ae60b06d965c13af31237646316781b9eb987f4</x:v>
      </x:c>
      <x:c r="S743" t="n">
        <x:v>6</x:v>
      </x:c>
      <x:c r="T743" t="str">
        <x:v>2018-12-31|2019-12-31|2020-12-31</x:v>
      </x:c>
      <x:c r="U743" s="57" t="n">
        <x:v>478666.81222584867</x:v>
      </x:c>
      <x:c r="V743" s="57" t="n">
        <x:v>2.9559240679822203</x:v>
      </x:c>
      <x:c r="W743" t="n">
        <x:v>1</x:v>
      </x:c>
      <x:c r="X743" t="n">
        <x:v>1</x:v>
      </x:c>
      <x:c r="Y743" s="38" t="n">
        <x:v>0.6409090909090909</x:v>
      </x:c>
      <x:c r="Z743" s="38" t="n">
        <x:v>0.6909807733775754</x:v>
      </x:c>
      <x:c r="AA743"/>
    </x:row>
    <x:row r="744">
      <x:c r="A744" s="54" t="n">
        <x:v>44286</x:v>
      </x:c>
      <x:c r="B744" t="n">
        <x:v>44286.624999988424</x:v>
      </x:c>
      <x:c r="C744" t="str">
        <x:v>009410</x:v>
      </x:c>
      <x:c r="D744" t="str">
        <x:v>태영건설</x:v>
      </x:c>
      <x:c r="E744" t="str">
        <x:v>KOSPI</x:v>
      </x:c>
      <x:c r="F744" t="str">
        <x:v>LARGE</x:v>
      </x:c>
      <x:c r="G744" t="str">
        <x:v>ELIGIBLE</x:v>
      </x:c>
      <x:c r="H744"/>
      <x:c r="I744" s="54" t="n">
        <x:v>44286</x:v>
      </x:c>
      <x:c r="J744" s="55" t="n">
        <x:v>12000</x:v>
      </x:c>
      <x:c r="K744" s="55" t="n">
        <x:v>466789176000</x:v>
      </x:c>
      <x:c r="L744" s="55" t="n">
        <x:v>38899098</x:v>
      </x:c>
      <x:c r="M744" t="str">
        <x:v>20210311001176</x:v>
      </x:c>
      <x:c r="N744" t="n">
        <x:v>44266.624999988424</x:v>
      </x:c>
      <x:c r="O744" s="54" t="n">
        <x:v>44196</x:v>
      </x:c>
      <x:c r="P744" t="str">
        <x:v>False</x:v>
      </x:c>
      <x:c r="Q744" t="str">
        <x:v>78a85e2ef01142181919ef0732d24074a8415f99303f666cadc31a9be51f4661</x:v>
      </x:c>
      <x:c r="R744" t="str">
        <x:v>86a71103d3998acf93c4458c6c2298d81ce1620be123364166119339e5e05a93</x:v>
      </x:c>
      <x:c r="S744" t="n">
        <x:v>6</x:v>
      </x:c>
      <x:c r="T744" t="str">
        <x:v>2018-12-31|2019-12-31|2020-12-31</x:v>
      </x:c>
      <x:c r="U744" s="57" t="n">
        <x:v>35385.81482636989</x:v>
      </x:c>
      <x:c r="V744" s="57" t="n">
        <x:v>1.948817902197491</x:v>
      </x:c>
      <x:c r="W744" t="n">
        <x:v>2</x:v>
      </x:c>
      <x:c r="X744" t="n">
        <x:v>1</x:v>
      </x:c>
      <x:c r="Y744" s="38" t="n">
        <x:v>0.6409090909090909</x:v>
      </x:c>
      <x:c r="Z744" s="38" t="n">
        <x:v>0.6178666138919248</x:v>
      </x:c>
      <x:c r="AA744"/>
    </x:row>
    <x:row r="745">
      <x:c r="A745" s="54" t="n">
        <x:v>44286</x:v>
      </x:c>
      <x:c r="B745" t="n">
        <x:v>44286.624999988424</x:v>
      </x:c>
      <x:c r="C745" t="str">
        <x:v>010780</x:v>
      </x:c>
      <x:c r="D745" t="str">
        <x:v>아이에스동서</x:v>
      </x:c>
      <x:c r="E745" t="str">
        <x:v>KOSPI</x:v>
      </x:c>
      <x:c r="F745" t="str">
        <x:v>LARGE</x:v>
      </x:c>
      <x:c r="G745" t="str">
        <x:v>ELIGIBLE</x:v>
      </x:c>
      <x:c r="H745"/>
      <x:c r="I745" s="54" t="n">
        <x:v>44286</x:v>
      </x:c>
      <x:c r="J745" s="55" t="n">
        <x:v>56700</x:v>
      </x:c>
      <x:c r="K745" s="55" t="n">
        <x:v>1751610760200</x:v>
      </x:c>
      <x:c r="L745" s="55" t="n">
        <x:v>30892606</x:v>
      </x:c>
      <x:c r="M745" t="str">
        <x:v>20210318001311</x:v>
      </x:c>
      <x:c r="N745" t="n">
        <x:v>44273.624999988424</x:v>
      </x:c>
      <x:c r="O745" s="54" t="n">
        <x:v>44196</x:v>
      </x:c>
      <x:c r="P745" t="str">
        <x:v>False</x:v>
      </x:c>
      <x:c r="Q745" t="str">
        <x:v>094578780776951126cd16965b2594fc48196cf618e7aaa99e81f00c137d37cf</x:v>
      </x:c>
      <x:c r="R745" t="str">
        <x:v>5664421574bf325e30481deeefea05624dcea9a782106a653e2191cc9b0e7f8f</x:v>
      </x:c>
      <x:c r="S745" t="n">
        <x:v>6</x:v>
      </x:c>
      <x:c r="T745" t="str">
        <x:v>2018-12-31|2019-12-31|2020-12-31</x:v>
      </x:c>
      <x:c r="U745" s="57" t="n">
        <x:v>45884.41456404137</x:v>
      </x:c>
      <x:c r="V745" s="57" t="n">
        <x:v>-0.190751065889923</x:v>
      </x:c>
      <x:c r="W745" t="n">
        <x:v>18</x:v>
      </x:c>
      <x:c r="X745" t="n">
        <x:v>2</x:v>
      </x:c>
      <x:c r="Y745" s="38" t="n">
        <x:v>0.6409090909090909</x:v>
      </x:c>
      <x:c r="Z745" s="38" t="n">
        <x:v>0.6457198375624914</x:v>
      </x:c>
      <x:c r="AA745"/>
    </x:row>
    <x:row r="746">
      <x:c r="A746" s="54" t="n">
        <x:v>44286</x:v>
      </x:c>
      <x:c r="B746" t="n">
        <x:v>44286.624999988424</x:v>
      </x:c>
      <x:c r="C746" t="str">
        <x:v>453340</x:v>
      </x:c>
      <x:c r="D746" t="str">
        <x:v>현대그린푸드</x:v>
      </x:c>
      <x:c r="E746" t="str">
        <x:v>KOSPI</x:v>
      </x:c>
      <x:c r="F746" t="str">
        <x:v>LARGE</x:v>
      </x:c>
      <x:c r="G746" t="str">
        <x:v>NOT_LISTED_OR_NO_PRICE</x:v>
      </x:c>
      <x:c r="H746"/>
      <x:c r="I746" s="54"/>
      <x:c r="J746" s="55"/>
      <x:c r="K746" s="55"/>
      <x:c r="L746" s="55"/>
      <x:c r="M746"/>
      <x:c r="N746"/>
      <x:c r="O746" s="54"/>
      <x:c r="P746"/>
      <x:c r="Q746"/>
      <x:c r="R746"/>
      <x:c r="S746"/>
      <x:c r="T746"/>
      <x:c r="U746" s="57"/>
      <x:c r="V746" s="57"/>
      <x:c r="W746"/>
      <x:c r="X746"/>
      <x:c r="Y746" s="38"/>
      <x:c r="Z746" s="38"/>
      <x:c r="AA746"/>
    </x:row>
    <x:row r="747">
      <x:c r="A747" s="54" t="n">
        <x:v>44286</x:v>
      </x:c>
      <x:c r="B747" t="n">
        <x:v>44286.624999988424</x:v>
      </x:c>
      <x:c r="C747" t="str">
        <x:v>006220</x:v>
      </x:c>
      <x:c r="D747" t="str">
        <x:v>제주은행</x:v>
      </x:c>
      <x:c r="E747" t="str">
        <x:v>KOSPI</x:v>
      </x:c>
      <x:c r="F747" t="str">
        <x:v>LARGE</x:v>
      </x:c>
      <x:c r="G747" t="str">
        <x:v>EXCLUDED_ARCHETYPE</x:v>
      </x:c>
      <x:c r="H747" t="str">
        <x:v>FCFF_NOT_COMPARABLE_FOR_FINANCE_OR_HOLDING_HINT</x:v>
      </x:c>
      <x:c r="I747" s="54"/>
      <x:c r="J747" s="55"/>
      <x:c r="K747" s="55"/>
      <x:c r="L747" s="55"/>
      <x:c r="M747"/>
      <x:c r="N747"/>
      <x:c r="O747" s="54"/>
      <x:c r="P747"/>
      <x:c r="Q747"/>
      <x:c r="R747"/>
      <x:c r="S747"/>
      <x:c r="T747"/>
      <x:c r="U747" s="57"/>
      <x:c r="V747" s="57"/>
      <x:c r="W747"/>
      <x:c r="X747"/>
      <x:c r="Y747" s="38"/>
      <x:c r="Z747" s="38"/>
      <x:c r="AA747"/>
    </x:row>
    <x:row r="748">
      <x:c r="A748" s="54" t="n">
        <x:v>44286</x:v>
      </x:c>
      <x:c r="B748" t="n">
        <x:v>44286.624999988424</x:v>
      </x:c>
      <x:c r="C748" t="str">
        <x:v>094800</x:v>
      </x:c>
      <x:c r="D748" t="str">
        <x:v>맵스리얼티1</x:v>
      </x:c>
      <x:c r="E748" t="str">
        <x:v>KOSPI</x:v>
      </x:c>
      <x:c r="F748" t="str">
        <x:v>LARGE</x:v>
      </x:c>
      <x:c r="G748" t="str">
        <x:v>NO_PIT_FINANCIALS</x:v>
      </x:c>
      <x:c r="H748"/>
      <x:c r="I748" s="54" t="n">
        <x:v>44286</x:v>
      </x:c>
      <x:c r="J748" s="55" t="n">
        <x:v>4460</x:v>
      </x:c>
      <x:c r="K748" s="55" t="n">
        <x:v>414041116260</x:v>
      </x:c>
      <x:c r="L748" s="55" t="n">
        <x:v>92834331</x:v>
      </x:c>
      <x:c r="M748"/>
      <x:c r="N748"/>
      <x:c r="O748" s="54"/>
      <x:c r="P748"/>
      <x:c r="Q748"/>
      <x:c r="R748"/>
      <x:c r="S748"/>
      <x:c r="T748"/>
      <x:c r="U748" s="57"/>
      <x:c r="V748" s="57"/>
      <x:c r="W748"/>
      <x:c r="X748"/>
      <x:c r="Y748" s="38"/>
      <x:c r="Z748" s="38"/>
      <x:c r="AA748"/>
    </x:row>
    <x:row r="749">
      <x:c r="A749" s="54" t="n">
        <x:v>44286</x:v>
      </x:c>
      <x:c r="B749" t="n">
        <x:v>44286.624999988424</x:v>
      </x:c>
      <x:c r="C749" t="str">
        <x:v>003160</x:v>
      </x:c>
      <x:c r="D749" t="str">
        <x:v>디아이</x:v>
      </x:c>
      <x:c r="E749" t="str">
        <x:v>KOSPI</x:v>
      </x:c>
      <x:c r="F749" t="str">
        <x:v>LARGE</x:v>
      </x:c>
      <x:c r="G749" t="str">
        <x:v>DCF_SCREENING_EXCLUSION</x:v>
      </x:c>
      <x:c r="H749" t="str">
        <x:v>NON_POSITIVE_ENTERPRISE_VALUE|NON_POSITIVE_EQUITY_VALUE|NON_POSITIVE_TERMINAL_FCF</x:v>
      </x:c>
      <x:c r="I749" s="54" t="n">
        <x:v>44286</x:v>
      </x:c>
      <x:c r="J749" s="55" t="n">
        <x:v>6970</x:v>
      </x:c>
      <x:c r="K749" s="55" t="n">
        <x:v>219532591450</x:v>
      </x:c>
      <x:c r="L749" s="55" t="n">
        <x:v>31496785</x:v>
      </x:c>
      <x:c r="M749" t="str">
        <x:v>20210318000533</x:v>
      </x:c>
      <x:c r="N749" t="n">
        <x:v>44273.624999988424</x:v>
      </x:c>
      <x:c r="O749" s="54" t="n">
        <x:v>44196</x:v>
      </x:c>
      <x:c r="P749" t="str">
        <x:v>False</x:v>
      </x:c>
      <x:c r="Q749" t="str">
        <x:v>03ab6e86f639e746b392cee66e420f6d6b9598de47129a3c9e526fb06a632676</x:v>
      </x:c>
      <x:c r="R749" t="str">
        <x:v>5c34c9691d36a58038498c0fded1a54ded7428e84486acaaed05eb0d9fb9d071</x:v>
      </x:c>
      <x:c r="S749" t="n">
        <x:v>6</x:v>
      </x:c>
      <x:c r="T749" t="str">
        <x:v>2018-12-31|2019-12-31|2020-12-31</x:v>
      </x:c>
      <x:c r="U749" s="57" t="n">
        <x:v>-85.67734326279664</x:v>
      </x:c>
      <x:c r="V749" s="57" t="n">
        <x:v>-1.0122923017593684</x:v>
      </x:c>
      <x:c r="W749"/>
      <x:c r="X749"/>
      <x:c r="Y749" s="38" t="n">
        <x:v>0.6409090909090909</x:v>
      </x:c>
      <x:c r="Z749" s="38" t="n">
        <x:v>0.7008659573285638</x:v>
      </x:c>
      <x:c r="AA749" t="str">
        <x:v>NON_POSITIVE_ENTERPRISE_VALUE|NON_POSITIVE_EQUITY_VALUE|NON_POSITIVE_TERMINAL_FCF</x:v>
      </x:c>
    </x:row>
    <x:row r="750">
      <x:c r="A750" s="54" t="n">
        <x:v>44286</x:v>
      </x:c>
      <x:c r="B750" t="n">
        <x:v>44286.624999988424</x:v>
      </x:c>
      <x:c r="C750" t="str">
        <x:v>001940</x:v>
      </x:c>
      <x:c r="D750" t="str">
        <x:v>KISCO홀딩스</x:v>
      </x:c>
      <x:c r="E750" t="str">
        <x:v>KOSPI</x:v>
      </x:c>
      <x:c r="F750" t="str">
        <x:v>LARGE</x:v>
      </x:c>
      <x:c r="G750" t="str">
        <x:v>EXCLUDED_ARCHETYPE</x:v>
      </x:c>
      <x:c r="H750" t="str">
        <x:v>FCFF_NOT_COMPARABLE_FOR_FINANCE_OR_HOLDING_HINT</x:v>
      </x:c>
      <x:c r="I750" s="54"/>
      <x:c r="J750" s="55"/>
      <x:c r="K750" s="55"/>
      <x:c r="L750" s="55"/>
      <x:c r="M750"/>
      <x:c r="N750"/>
      <x:c r="O750" s="54"/>
      <x:c r="P750"/>
      <x:c r="Q750"/>
      <x:c r="R750"/>
      <x:c r="S750"/>
      <x:c r="T750"/>
      <x:c r="U750" s="57"/>
      <x:c r="V750" s="57"/>
      <x:c r="W750"/>
      <x:c r="X750"/>
      <x:c r="Y750" s="38"/>
      <x:c r="Z750" s="38"/>
      <x:c r="AA750"/>
    </x:row>
    <x:row r="751">
      <x:c r="A751" s="54" t="n">
        <x:v>44286</x:v>
      </x:c>
      <x:c r="B751" t="n">
        <x:v>44286.624999988424</x:v>
      </x:c>
      <x:c r="C751" t="str">
        <x:v>009290</x:v>
      </x:c>
      <x:c r="D751" t="str">
        <x:v>광동제약</x:v>
      </x:c>
      <x:c r="E751" t="str">
        <x:v>KOSPI</x:v>
      </x:c>
      <x:c r="F751" t="str">
        <x:v>LARGE</x:v>
      </x:c>
      <x:c r="G751" t="str">
        <x:v>ELIGIBLE</x:v>
      </x:c>
      <x:c r="H751"/>
      <x:c r="I751" s="54" t="n">
        <x:v>44286</x:v>
      </x:c>
      <x:c r="J751" s="55" t="n">
        <x:v>8570</x:v>
      </x:c>
      <x:c r="K751" s="55" t="n">
        <x:v>449246693070</x:v>
      </x:c>
      <x:c r="L751" s="55" t="n">
        <x:v>52420851</x:v>
      </x:c>
      <x:c r="M751" t="str">
        <x:v>20210318000950</x:v>
      </x:c>
      <x:c r="N751" t="n">
        <x:v>44273.624999988424</x:v>
      </x:c>
      <x:c r="O751" s="54" t="n">
        <x:v>44196</x:v>
      </x:c>
      <x:c r="P751" t="str">
        <x:v>False</x:v>
      </x:c>
      <x:c r="Q751" t="str">
        <x:v>cace9d90c8ce66dd14594d64eb7f4798c54d2ca11607e82d993e038c381ef11b</x:v>
      </x:c>
      <x:c r="R751" t="str">
        <x:v>2ce0e34d078376d3c6eaa5ef0a8a71cebb07bfeded097e1e47b320047264cccb</x:v>
      </x:c>
      <x:c r="S751" t="n">
        <x:v>6</x:v>
      </x:c>
      <x:c r="T751" t="str">
        <x:v>2018-12-31|2019-12-31|2020-12-31</x:v>
      </x:c>
      <x:c r="U751" s="57" t="n">
        <x:v>5478.922463171795</x:v>
      </x:c>
      <x:c r="V751" s="57" t="n">
        <x:v>-0.3606858269344463</x:v>
      </x:c>
      <x:c r="W751" t="n">
        <x:v>24</x:v>
      </x:c>
      <x:c r="X751" t="n">
        <x:v>2</x:v>
      </x:c>
      <x:c r="Y751" s="38" t="n">
        <x:v>0.6409090909090909</x:v>
      </x:c>
      <x:c r="Z751" s="38" t="n">
        <x:v>0.6930680230726235</x:v>
      </x:c>
      <x:c r="AA751"/>
    </x:row>
    <x:row r="752">
      <x:c r="A752" s="54" t="n">
        <x:v>44377</x:v>
      </x:c>
      <x:c r="B752" t="n">
        <x:v>44377.624999988424</x:v>
      </x:c>
      <x:c r="C752" t="str">
        <x:v>168330</x:v>
      </x:c>
      <x:c r="D752" t="str">
        <x:v>내츄럴엔도텍</x:v>
      </x:c>
      <x:c r="E752" t="str">
        <x:v>KOSDAQ</x:v>
      </x:c>
      <x:c r="F752" t="str">
        <x:v>SMALL</x:v>
      </x:c>
      <x:c r="G752" t="str">
        <x:v>DCF_SCREENING_EXCLUSION</x:v>
      </x:c>
      <x:c r="H752" t="str">
        <x:v>NON_POSITIVE_ENTERPRISE_VALUE|NON_POSITIVE_EQUITY_VALUE|NON_POSITIVE_TERMINAL_FCF</x:v>
      </x:c>
      <x:c r="I752" s="54" t="n">
        <x:v>44377</x:v>
      </x:c>
      <x:c r="J752" s="55" t="n">
        <x:v>2525</x:v>
      </x:c>
      <x:c r="K752" s="55" t="n">
        <x:v>69623158200</x:v>
      </x:c>
      <x:c r="L752" s="55" t="n">
        <x:v>27573528</x:v>
      </x:c>
      <x:c r="M752" t="str">
        <x:v>20210303000280</x:v>
      </x:c>
      <x:c r="N752" t="n">
        <x:v>44258.624999988424</x:v>
      </x:c>
      <x:c r="O752" s="54" t="n">
        <x:v>44196</x:v>
      </x:c>
      <x:c r="P752" t="str">
        <x:v>False</x:v>
      </x:c>
      <x:c r="Q752" t="str">
        <x:v>12f6d395c0e4b1b8f425dcaa44cdc4180e5de60af484fd89e630977f15ab3f94</x:v>
      </x:c>
      <x:c r="R752" t="str">
        <x:v>ebe0fbf72d88fe7fc52cacc68d69c2d42eb3b0e9bd705b3702023f6c356cfeb3</x:v>
      </x:c>
      <x:c r="S752" t="n">
        <x:v>6</x:v>
      </x:c>
      <x:c r="T752" t="str">
        <x:v>2018-12-31|2019-12-31|2020-12-31</x:v>
      </x:c>
      <x:c r="U752" s="57" t="n">
        <x:v>-2080.232697941654</x:v>
      </x:c>
      <x:c r="V752" s="57" t="n">
        <x:v>-1.8238545338382788</x:v>
      </x:c>
      <x:c r="W752"/>
      <x:c r="X752"/>
      <x:c r="Y752" s="38" t="n">
        <x:v>0.6409090909090909</x:v>
      </x:c>
      <x:c r="Z752" s="38" t="n">
        <x:v>0.7104871108598526</x:v>
      </x:c>
      <x:c r="AA752" t="str">
        <x:v>NON_POSITIVE_ENTERPRISE_VALUE|NON_POSITIVE_EQUITY_VALUE|NON_POSITIVE_TERMINAL_FCF</x:v>
      </x:c>
    </x:row>
    <x:row r="753">
      <x:c r="A753" s="54" t="n">
        <x:v>44377</x:v>
      </x:c>
      <x:c r="B753" t="n">
        <x:v>44377.624999988424</x:v>
      </x:c>
      <x:c r="C753" t="str">
        <x:v>120240</x:v>
      </x:c>
      <x:c r="D753" t="str">
        <x:v>대정화금</x:v>
      </x:c>
      <x:c r="E753" t="str">
        <x:v>KOSDAQ</x:v>
      </x:c>
      <x:c r="F753" t="str">
        <x:v>SMALL</x:v>
      </x:c>
      <x:c r="G753" t="str">
        <x:v>ELIGIBLE</x:v>
      </x:c>
      <x:c r="H753"/>
      <x:c r="I753" s="54" t="n">
        <x:v>44377</x:v>
      </x:c>
      <x:c r="J753" s="55" t="n">
        <x:v>27450</x:v>
      </x:c>
      <x:c r="K753" s="55" t="n">
        <x:v>197376232950</x:v>
      </x:c>
      <x:c r="L753" s="55" t="n">
        <x:v>7190391</x:v>
      </x:c>
      <x:c r="M753" t="str">
        <x:v>20210317000302</x:v>
      </x:c>
      <x:c r="N753" t="n">
        <x:v>44272.624999988424</x:v>
      </x:c>
      <x:c r="O753" s="54" t="n">
        <x:v>44196</x:v>
      </x:c>
      <x:c r="P753" t="str">
        <x:v>False</x:v>
      </x:c>
      <x:c r="Q753" t="str">
        <x:v>79ea1097aa607227b98a7a32e6dd80c1d5fbd37a9488ebb72f6587a882384460</x:v>
      </x:c>
      <x:c r="R753" t="str">
        <x:v>e8a0c6d1ef5fd661a02144f028419a8ba978bcafe2ce5c299aefae98596c795e</x:v>
      </x:c>
      <x:c r="S753" t="n">
        <x:v>7</x:v>
      </x:c>
      <x:c r="T753" t="str">
        <x:v>2018-12-31|2019-12-31|2020-12-31</x:v>
      </x:c>
      <x:c r="U753" s="57" t="n">
        <x:v>5007.145691336183</x:v>
      </x:c>
      <x:c r="V753" s="57" t="n">
        <x:v>-0.8175903208984997</x:v>
      </x:c>
      <x:c r="W753" t="n">
        <x:v>49</x:v>
      </x:c>
      <x:c r="X753" t="n">
        <x:v>5</x:v>
      </x:c>
      <x:c r="Y753" s="38" t="n">
        <x:v>0.6409090909090909</x:v>
      </x:c>
      <x:c r="Z753" s="38" t="n">
        <x:v>0.6314380977867342</x:v>
      </x:c>
      <x:c r="AA753"/>
    </x:row>
    <x:row r="754">
      <x:c r="A754" s="54" t="n">
        <x:v>44377</x:v>
      </x:c>
      <x:c r="B754" t="n">
        <x:v>44377.624999988424</x:v>
      </x:c>
      <x:c r="C754" t="str">
        <x:v>348350</x:v>
      </x:c>
      <x:c r="D754" t="str">
        <x:v>위드텍</x:v>
      </x:c>
      <x:c r="E754" t="str">
        <x:v>KOSDAQ</x:v>
      </x:c>
      <x:c r="F754" t="str">
        <x:v>SMALL</x:v>
      </x:c>
      <x:c r="G754" t="str">
        <x:v>ELIGIBLE</x:v>
      </x:c>
      <x:c r="H754"/>
      <x:c r="I754" s="54" t="n">
        <x:v>44377</x:v>
      </x:c>
      <x:c r="J754" s="55" t="n">
        <x:v>22200</x:v>
      </x:c>
      <x:c r="K754" s="55" t="n">
        <x:v>226075920000</x:v>
      </x:c>
      <x:c r="L754" s="55" t="n">
        <x:v>10183600</x:v>
      </x:c>
      <x:c r="M754" t="str">
        <x:v>20210318000566</x:v>
      </x:c>
      <x:c r="N754" t="n">
        <x:v>44273.624999988424</x:v>
      </x:c>
      <x:c r="O754" s="54" t="n">
        <x:v>44196</x:v>
      </x:c>
      <x:c r="P754" t="str">
        <x:v>False</x:v>
      </x:c>
      <x:c r="Q754" t="str">
        <x:v>ef77d72fcd4a365e95b6be9846d366d11a2f9ee03c72d882691e5300ec03a056</x:v>
      </x:c>
      <x:c r="R754" t="str">
        <x:v>35f1438d299f1113fe8669add4e885c78e17d05552fb887ce7f2635e77cbd3f0</x:v>
      </x:c>
      <x:c r="S754" t="n">
        <x:v>5</x:v>
      </x:c>
      <x:c r="T754" t="str">
        <x:v>2020-12-31</x:v>
      </x:c>
      <x:c r="U754" s="57" t="n">
        <x:v>8969.877214211123</x:v>
      </x:c>
      <x:c r="V754" s="57" t="n">
        <x:v>-0.5959514768373367</x:v>
      </x:c>
      <x:c r="W754" t="n">
        <x:v>32</x:v>
      </x:c>
      <x:c r="X754" t="n">
        <x:v>3</x:v>
      </x:c>
      <x:c r="Y754" s="38" t="n">
        <x:v>0.6409090909090909</x:v>
      </x:c>
      <x:c r="Z754" s="38" t="n">
        <x:v>0.6264850986190418</x:v>
      </x:c>
      <x:c r="AA754"/>
    </x:row>
    <x:row r="755">
      <x:c r="A755" s="54" t="n">
        <x:v>44377</x:v>
      </x:c>
      <x:c r="B755" t="n">
        <x:v>44377.624999988424</x:v>
      </x:c>
      <x:c r="C755" t="str">
        <x:v>226330</x:v>
      </x:c>
      <x:c r="D755" t="str">
        <x:v>신테카바이오</x:v>
      </x:c>
      <x:c r="E755" t="str">
        <x:v>KOSDAQ</x:v>
      </x:c>
      <x:c r="F755" t="str">
        <x:v>SMALL</x:v>
      </x:c>
      <x:c r="G755" t="str">
        <x:v>DCF_SCREENING_EXCLUSION</x:v>
      </x:c>
      <x:c r="H755" t="str">
        <x:v>NON_POSITIVE_ENTERPRISE_VALUE|NON_POSITIVE_TERMINAL_FCF</x:v>
      </x:c>
      <x:c r="I755" s="54" t="n">
        <x:v>44377</x:v>
      </x:c>
      <x:c r="J755" s="55" t="n">
        <x:v>16450</x:v>
      </x:c>
      <x:c r="K755" s="55" t="n">
        <x:v>222075263200</x:v>
      </x:c>
      <x:c r="L755" s="55" t="n">
        <x:v>13500016</x:v>
      </x:c>
      <x:c r="M755" t="str">
        <x:v>20210604000121</x:v>
      </x:c>
      <x:c r="N755" t="n">
        <x:v>44351.624999988424</x:v>
      </x:c>
      <x:c r="O755" s="54" t="n">
        <x:v>44196</x:v>
      </x:c>
      <x:c r="P755" t="str">
        <x:v>True</x:v>
      </x:c>
      <x:c r="Q755" t="str">
        <x:v>ba5a50c006f28d63d2d7f28107b10d3cc9c463db310a36808a71244b7f816013</x:v>
      </x:c>
      <x:c r="R755" t="str">
        <x:v>e77c3870ccbb8a15d0e10c5e640bd49b5d34c510b162af51894caf35100caa59</x:v>
      </x:c>
      <x:c r="S755" t="n">
        <x:v>5</x:v>
      </x:c>
      <x:c r="T755" t="str">
        <x:v>2019-12-31|2020-12-31</x:v>
      </x:c>
      <x:c r="U755" s="57" t="n">
        <x:v>76.31978169558231</x:v>
      </x:c>
      <x:c r="V755" s="57" t="n">
        <x:v>-0.9953604995929737</x:v>
      </x:c>
      <x:c r="W755"/>
      <x:c r="X755"/>
      <x:c r="Y755" s="38" t="n">
        <x:v>0.6409090909090909</x:v>
      </x:c>
      <x:c r="Z755" s="38" t="n">
        <x:v>0.6422566574366064</x:v>
      </x:c>
      <x:c r="AA755" t="str">
        <x:v>NON_POSITIVE_ENTERPRISE_VALUE|NON_POSITIVE_TERMINAL_FCF</x:v>
      </x:c>
    </x:row>
    <x:row r="756">
      <x:c r="A756" s="54" t="n">
        <x:v>44377</x:v>
      </x:c>
      <x:c r="B756" t="n">
        <x:v>44377.624999988424</x:v>
      </x:c>
      <x:c r="C756" t="str">
        <x:v>215090</x:v>
      </x:c>
      <x:c r="D756" t="str">
        <x:v>솔디펜스</x:v>
      </x:c>
      <x:c r="E756" t="str">
        <x:v>KOSDAQ</x:v>
      </x:c>
      <x:c r="F756" t="str">
        <x:v>SMALL</x:v>
      </x:c>
      <x:c r="G756" t="str">
        <x:v>DCF_SCREENING_EXCLUSION</x:v>
      </x:c>
      <x:c r="H756" t="str">
        <x:v>NON_POSITIVE_ENTERPRISE_VALUE|NON_POSITIVE_TERMINAL_FCF|UNRELIABLE_TERMINAL_VALUE_SHARE</x:v>
      </x:c>
      <x:c r="I756" s="54" t="n">
        <x:v>44377</x:v>
      </x:c>
      <x:c r="J756" s="55" t="n">
        <x:v>1325</x:v>
      </x:c>
      <x:c r="K756" s="55" t="n">
        <x:v>90203785925</x:v>
      </x:c>
      <x:c r="L756" s="55" t="n">
        <x:v>68078329</x:v>
      </x:c>
      <x:c r="M756" t="str">
        <x:v>20210326001138</x:v>
      </x:c>
      <x:c r="N756" t="n">
        <x:v>44281.624999988424</x:v>
      </x:c>
      <x:c r="O756" s="54" t="n">
        <x:v>44196</x:v>
      </x:c>
      <x:c r="P756" t="str">
        <x:v>True</x:v>
      </x:c>
      <x:c r="Q756" t="str">
        <x:v>feae0fd579199192f0805a0b1fb81bf61c479b6c9f75105a850686de5a88a707</x:v>
      </x:c>
      <x:c r="R756" t="str">
        <x:v>f0f176e1fc63763432332de6850bd0b510a939831e8f177568a84756edefdb44</x:v>
      </x:c>
      <x:c r="S756" t="n">
        <x:v>6</x:v>
      </x:c>
      <x:c r="T756" t="str">
        <x:v>2018-12-31|2019-12-31|2020-12-31</x:v>
      </x:c>
      <x:c r="U756" s="57" t="n">
        <x:v>72.53005990655117</x:v>
      </x:c>
      <x:c r="V756" s="57" t="n">
        <x:v>-0.9452603321459991</x:v>
      </x:c>
      <x:c r="W756"/>
      <x:c r="X756"/>
      <x:c r="Y756" s="38" t="n">
        <x:v>0.6409090909090909</x:v>
      </x:c>
      <x:c r="Z756" s="38" t="n">
        <x:v>2.31170596304378</x:v>
      </x:c>
      <x:c r="AA756" t="str">
        <x:v>NON_POSITIVE_ENTERPRISE_VALUE|NON_POSITIVE_TERMINAL_FCF|UNRELIABLE_TERMINAL_VALUE_SHARE</x:v>
      </x:c>
    </x:row>
    <x:row r="757">
      <x:c r="A757" s="54" t="n">
        <x:v>44377</x:v>
      </x:c>
      <x:c r="B757" t="n">
        <x:v>44377.624999988424</x:v>
      </x:c>
      <x:c r="C757" t="str">
        <x:v>185490</x:v>
      </x:c>
      <x:c r="D757" t="str">
        <x:v>아이진</x:v>
      </x:c>
      <x:c r="E757" t="str">
        <x:v>KOSDAQ</x:v>
      </x:c>
      <x:c r="F757" t="str">
        <x:v>SMALL</x:v>
      </x:c>
      <x:c r="G757" t="str">
        <x:v>DCF_SCREENING_EXCLUSION</x:v>
      </x:c>
      <x:c r="H757" t="str">
        <x:v>NON_POSITIVE_ENTERPRISE_VALUE|NON_POSITIVE_EQUITY_VALUE|NON_POSITIVE_TERMINAL_FCF</x:v>
      </x:c>
      <x:c r="I757" s="54" t="n">
        <x:v>44377</x:v>
      </x:c>
      <x:c r="J757" s="55" t="n">
        <x:v>39700</x:v>
      </x:c>
      <x:c r="K757" s="55" t="n">
        <x:v>487362519800</x:v>
      </x:c>
      <x:c r="L757" s="55" t="n">
        <x:v>12276134</x:v>
      </x:c>
      <x:c r="M757" t="str">
        <x:v>20210317001158</x:v>
      </x:c>
      <x:c r="N757" t="n">
        <x:v>44272.624999988424</x:v>
      </x:c>
      <x:c r="O757" s="54" t="n">
        <x:v>44196</x:v>
      </x:c>
      <x:c r="P757" t="str">
        <x:v>False</x:v>
      </x:c>
      <x:c r="Q757" t="str">
        <x:v>1f6ef41eb9f6e1f3fb26fd580de5813e99811bb39698216bf1014950e152c7f7</x:v>
      </x:c>
      <x:c r="R757" t="str">
        <x:v>10106f93cdeefd800a507bc77dd147276dbe9841fbd405eed51f87205413b470</x:v>
      </x:c>
      <x:c r="S757" t="n">
        <x:v>5</x:v>
      </x:c>
      <x:c r="T757" t="str">
        <x:v>2018-12-31|2019-12-31|2020-12-31</x:v>
      </x:c>
      <x:c r="U757" s="57" t="n">
        <x:v>-829.8810592191445</x:v>
      </x:c>
      <x:c r="V757" s="57" t="n">
        <x:v>-1.0209038050181145</x:v>
      </x:c>
      <x:c r="W757"/>
      <x:c r="X757"/>
      <x:c r="Y757" s="38" t="n">
        <x:v>0.6409090909090909</x:v>
      </x:c>
      <x:c r="Z757" s="38" t="n">
        <x:v>0.6422566574366064</x:v>
      </x:c>
      <x:c r="AA757" t="str">
        <x:v>NON_POSITIVE_ENTERPRISE_VALUE|NON_POSITIVE_EQUITY_VALUE|NON_POSITIVE_TERMINAL_FCF</x:v>
      </x:c>
    </x:row>
    <x:row r="758">
      <x:c r="A758" s="54" t="n">
        <x:v>44377</x:v>
      </x:c>
      <x:c r="B758" t="n">
        <x:v>44377.624999988424</x:v>
      </x:c>
      <x:c r="C758" t="str">
        <x:v>333620</x:v>
      </x:c>
      <x:c r="D758" t="str">
        <x:v>엔시스</x:v>
      </x:c>
      <x:c r="E758" t="str">
        <x:v>KOSDAQ</x:v>
      </x:c>
      <x:c r="F758" t="str">
        <x:v>SMALL</x:v>
      </x:c>
      <x:c r="G758" t="str">
        <x:v>ELIGIBLE</x:v>
      </x:c>
      <x:c r="H758"/>
      <x:c r="I758" s="54" t="n">
        <x:v>44377</x:v>
      </x:c>
      <x:c r="J758" s="55" t="n">
        <x:v>19800</x:v>
      </x:c>
      <x:c r="K758" s="55" t="n">
        <x:v>209015611200</x:v>
      </x:c>
      <x:c r="L758" s="55" t="n">
        <x:v>10556344</x:v>
      </x:c>
      <x:c r="M758" t="str">
        <x:v>20210330001049</x:v>
      </x:c>
      <x:c r="N758" t="n">
        <x:v>44285.624999988424</x:v>
      </x:c>
      <x:c r="O758" s="54" t="n">
        <x:v>44196</x:v>
      </x:c>
      <x:c r="P758" t="str">
        <x:v>False</x:v>
      </x:c>
      <x:c r="Q758" t="str">
        <x:v>61f82ce73befc02902eea21758ca0e4b06f34fe04d325c2a6942b7bf6ae1f86f</x:v>
      </x:c>
      <x:c r="R758" t="str">
        <x:v>d3d4373a7a43baa8f32a0875fa4f755fa4c492c5f350135252bcb7d2f7e42e76</x:v>
      </x:c>
      <x:c r="S758" t="n">
        <x:v>6</x:v>
      </x:c>
      <x:c r="T758" t="str">
        <x:v>2020-12-31</x:v>
      </x:c>
      <x:c r="U758" s="57" t="n">
        <x:v>4955.7705005639455</x:v>
      </x:c>
      <x:c r="V758" s="57" t="n">
        <x:v>-0.7497085605775785</x:v>
      </x:c>
      <x:c r="W758" t="n">
        <x:v>46</x:v>
      </x:c>
      <x:c r="X758" t="n">
        <x:v>4</x:v>
      </x:c>
      <x:c r="Y758" s="38" t="n">
        <x:v>0.6409090909090909</x:v>
      </x:c>
      <x:c r="Z758" s="38" t="n">
        <x:v>0.6264850986190418</x:v>
      </x:c>
      <x:c r="AA758"/>
    </x:row>
    <x:row r="759">
      <x:c r="A759" s="54" t="n">
        <x:v>44377</x:v>
      </x:c>
      <x:c r="B759" t="n">
        <x:v>44377.624999988424</x:v>
      </x:c>
      <x:c r="C759" t="str">
        <x:v>036710</x:v>
      </x:c>
      <x:c r="D759" t="str">
        <x:v>심텍홀딩스</x:v>
      </x:c>
      <x:c r="E759" t="str">
        <x:v>KOSDAQ</x:v>
      </x:c>
      <x:c r="F759" t="str">
        <x:v>SMALL</x:v>
      </x:c>
      <x:c r="G759" t="str">
        <x:v>EXCLUDED_ARCHETYPE</x:v>
      </x:c>
      <x:c r="H759" t="str">
        <x:v>FCFF_NOT_COMPARABLE_FOR_FINANCE_OR_HOLDING_HINT</x:v>
      </x:c>
      <x:c r="I759" s="54"/>
      <x:c r="J759" s="55"/>
      <x:c r="K759" s="55"/>
      <x:c r="L759" s="55"/>
      <x:c r="M759"/>
      <x:c r="N759"/>
      <x:c r="O759" s="54"/>
      <x:c r="P759"/>
      <x:c r="Q759"/>
      <x:c r="R759"/>
      <x:c r="S759"/>
      <x:c r="T759"/>
      <x:c r="U759" s="57"/>
      <x:c r="V759" s="57"/>
      <x:c r="W759"/>
      <x:c r="X759"/>
      <x:c r="Y759" s="38"/>
      <x:c r="Z759" s="38"/>
      <x:c r="AA759"/>
    </x:row>
    <x:row r="760">
      <x:c r="A760" s="54" t="n">
        <x:v>44377</x:v>
      </x:c>
      <x:c r="B760" t="n">
        <x:v>44377.624999988424</x:v>
      </x:c>
      <x:c r="C760" t="str">
        <x:v>049480</x:v>
      </x:c>
      <x:c r="D760" t="str">
        <x:v>오픈베이스</x:v>
      </x:c>
      <x:c r="E760" t="str">
        <x:v>KOSDAQ</x:v>
      </x:c>
      <x:c r="F760" t="str">
        <x:v>SMALL</x:v>
      </x:c>
      <x:c r="G760" t="str">
        <x:v>ELIGIBLE</x:v>
      </x:c>
      <x:c r="H760"/>
      <x:c r="I760" s="54" t="n">
        <x:v>44377</x:v>
      </x:c>
      <x:c r="J760" s="55" t="n">
        <x:v>5520</x:v>
      </x:c>
      <x:c r="K760" s="55" t="n">
        <x:v>173451554160</x:v>
      </x:c>
      <x:c r="L760" s="55" t="n">
        <x:v>31422383</x:v>
      </x:c>
      <x:c r="M760" t="str">
        <x:v>20210331001149</x:v>
      </x:c>
      <x:c r="N760" t="n">
        <x:v>44286.624999988424</x:v>
      </x:c>
      <x:c r="O760" s="54" t="n">
        <x:v>44196</x:v>
      </x:c>
      <x:c r="P760" t="str">
        <x:v>True</x:v>
      </x:c>
      <x:c r="Q760" t="str">
        <x:v>642837c1645ce3c3a21febfa241576f44c38bfa76dc50686d810c45735e19039</x:v>
      </x:c>
      <x:c r="R760" t="str">
        <x:v>f3b4dde16d7ed2994db5d44d2cf3850c1f1f822ad4d02bf68ab968341f6d0104</x:v>
      </x:c>
      <x:c r="S760" t="n">
        <x:v>6</x:v>
      </x:c>
      <x:c r="T760" t="str">
        <x:v>2018-12-31|2019-12-31|2020-12-31</x:v>
      </x:c>
      <x:c r="U760" s="57" t="n">
        <x:v>672.2798367060648</x:v>
      </x:c>
      <x:c r="V760" s="57" t="n">
        <x:v>-0.8782101745097709</x:v>
      </x:c>
      <x:c r="W760" t="n">
        <x:v>53</x:v>
      </x:c>
      <x:c r="X760" t="n">
        <x:v>5</x:v>
      </x:c>
      <x:c r="Y760" s="38" t="n">
        <x:v>0.6409090909090909</x:v>
      </x:c>
      <x:c r="Z760" s="38" t="n">
        <x:v>0.5204473624506991</x:v>
      </x:c>
      <x:c r="AA760"/>
    </x:row>
    <x:row r="761">
      <x:c r="A761" s="54" t="n">
        <x:v>44377</x:v>
      </x:c>
      <x:c r="B761" t="n">
        <x:v>44377.624999988424</x:v>
      </x:c>
      <x:c r="C761" t="str">
        <x:v>302430</x:v>
      </x:c>
      <x:c r="D761" t="str">
        <x:v>이노메트리</x:v>
      </x:c>
      <x:c r="E761" t="str">
        <x:v>KOSDAQ</x:v>
      </x:c>
      <x:c r="F761" t="str">
        <x:v>SMALL</x:v>
      </x:c>
      <x:c r="G761" t="str">
        <x:v>DCF_SCREENING_EXCLUSION</x:v>
      </x:c>
      <x:c r="H761" t="str">
        <x:v>UNRELIABLE_TERMINAL_VALUE_SHARE</x:v>
      </x:c>
      <x:c r="I761" s="54" t="n">
        <x:v>44377</x:v>
      </x:c>
      <x:c r="J761" s="55" t="n">
        <x:v>17300</x:v>
      </x:c>
      <x:c r="K761" s="55" t="n">
        <x:v>169099472800</x:v>
      </x:c>
      <x:c r="L761" s="55" t="n">
        <x:v>9774536</x:v>
      </x:c>
      <x:c r="M761" t="str">
        <x:v>20210318000512</x:v>
      </x:c>
      <x:c r="N761" t="n">
        <x:v>44273.624999988424</x:v>
      </x:c>
      <x:c r="O761" s="54" t="n">
        <x:v>44196</x:v>
      </x:c>
      <x:c r="P761" t="str">
        <x:v>False</x:v>
      </x:c>
      <x:c r="Q761" t="str">
        <x:v>0e2c0a41f276dcb0dffcbb7a7feba201dca98557caab8278087c38ae6914e4fa</x:v>
      </x:c>
      <x:c r="R761" t="str">
        <x:v>58a931fbbc9fcfc00ce69836b45ab49dee82d5069bc84e4fcbceb9c4a21c2d15</x:v>
      </x:c>
      <x:c r="S761" t="n">
        <x:v>6</x:v>
      </x:c>
      <x:c r="T761" t="str">
        <x:v>2018-12-31|2019-12-31|2020-12-31</x:v>
      </x:c>
      <x:c r="U761" s="57" t="n">
        <x:v>1866.4601012475405</x:v>
      </x:c>
      <x:c r="V761" s="57" t="n">
        <x:v>-0.8921121328758647</x:v>
      </x:c>
      <x:c r="W761"/>
      <x:c r="X761"/>
      <x:c r="Y761" s="38" t="n">
        <x:v>0.6409090909090909</x:v>
      </x:c>
      <x:c r="Z761" s="38" t="n">
        <x:v>2.5226489595750157</x:v>
      </x:c>
      <x:c r="AA761" t="str">
        <x:v>UNRELIABLE_TERMINAL_VALUE_SHARE</x:v>
      </x:c>
    </x:row>
    <x:row r="762">
      <x:c r="A762" s="54" t="n">
        <x:v>44377</x:v>
      </x:c>
      <x:c r="B762" t="n">
        <x:v>44377.624999988424</x:v>
      </x:c>
      <x:c r="C762" t="str">
        <x:v>288620</x:v>
      </x:c>
      <x:c r="D762" t="str">
        <x:v>에스퓨얼셀</x:v>
      </x:c>
      <x:c r="E762" t="str">
        <x:v>KOSDAQ</x:v>
      </x:c>
      <x:c r="F762" t="str">
        <x:v>SMALL</x:v>
      </x:c>
      <x:c r="G762" t="str">
        <x:v>DCF_SCREENING_EXCLUSION</x:v>
      </x:c>
      <x:c r="H762" t="str">
        <x:v>UNRELIABLE_TERMINAL_VALUE_SHARE</x:v>
      </x:c>
      <x:c r="I762" s="54" t="n">
        <x:v>44377</x:v>
      </x:c>
      <x:c r="J762" s="55" t="n">
        <x:v>33450</x:v>
      </x:c>
      <x:c r="K762" s="55" t="n">
        <x:v>229945870200</x:v>
      </x:c>
      <x:c r="L762" s="55" t="n">
        <x:v>6874316</x:v>
      </x:c>
      <x:c r="M762" t="str">
        <x:v>20210322000950</x:v>
      </x:c>
      <x:c r="N762" t="n">
        <x:v>44277.624999988424</x:v>
      </x:c>
      <x:c r="O762" s="54" t="n">
        <x:v>44196</x:v>
      </x:c>
      <x:c r="P762" t="str">
        <x:v>True</x:v>
      </x:c>
      <x:c r="Q762" t="str">
        <x:v>b6e4d91695a9f0735eff6749b3213297590bd82820da324ce044ff958ad9ea61</x:v>
      </x:c>
      <x:c r="R762" t="str">
        <x:v>a37de3dc4a80eb88b549c986771055707cdcc7e81bd7c3b009dd2f31f3b5c37a</x:v>
      </x:c>
      <x:c r="S762" t="n">
        <x:v>6</x:v>
      </x:c>
      <x:c r="T762" t="str">
        <x:v>2018-12-31|2019-12-31|2020-12-31</x:v>
      </x:c>
      <x:c r="U762" s="57" t="n">
        <x:v>3270.0839499807116</x:v>
      </x:c>
      <x:c r="V762" s="57" t="n">
        <x:v>-0.9022396427509504</x:v>
      </x:c>
      <x:c r="W762"/>
      <x:c r="X762"/>
      <x:c r="Y762" s="38" t="n">
        <x:v>0.6409090909090909</x:v>
      </x:c>
      <x:c r="Z762" s="38" t="n">
        <x:v>1.2356011361536037</x:v>
      </x:c>
      <x:c r="AA762" t="str">
        <x:v>UNRELIABLE_TERMINAL_VALUE_SHARE</x:v>
      </x:c>
    </x:row>
    <x:row r="763">
      <x:c r="A763" s="54" t="n">
        <x:v>44377</x:v>
      </x:c>
      <x:c r="B763" t="n">
        <x:v>44377.624999988424</x:v>
      </x:c>
      <x:c r="C763" t="str">
        <x:v>094840</x:v>
      </x:c>
      <x:c r="D763" t="str">
        <x:v>슈프리마에이치큐</x:v>
      </x:c>
      <x:c r="E763" t="str">
        <x:v>KOSDAQ</x:v>
      </x:c>
      <x:c r="F763" t="str">
        <x:v>SMALL</x:v>
      </x:c>
      <x:c r="G763" t="str">
        <x:v>ELIGIBLE</x:v>
      </x:c>
      <x:c r="H763"/>
      <x:c r="I763" s="54" t="n">
        <x:v>44377</x:v>
      </x:c>
      <x:c r="J763" s="55" t="n">
        <x:v>10800</x:v>
      </x:c>
      <x:c r="K763" s="55" t="n">
        <x:v>113095872000</x:v>
      </x:c>
      <x:c r="L763" s="55" t="n">
        <x:v>10471840</x:v>
      </x:c>
      <x:c r="M763" t="str">
        <x:v>20210315000815</x:v>
      </x:c>
      <x:c r="N763" t="n">
        <x:v>44270.624999988424</x:v>
      </x:c>
      <x:c r="O763" s="54" t="n">
        <x:v>44196</x:v>
      </x:c>
      <x:c r="P763" t="str">
        <x:v>False</x:v>
      </x:c>
      <x:c r="Q763" t="str">
        <x:v>edcb9acdb46347ad603be9d7e20150a84d21700a5df672987b045d3c629119be</x:v>
      </x:c>
      <x:c r="R763" t="str">
        <x:v>47f745c4b7f953ba3135475be04bae6977c7fb05c197963522eabde4ffd14566</x:v>
      </x:c>
      <x:c r="S763" t="n">
        <x:v>6</x:v>
      </x:c>
      <x:c r="T763" t="str">
        <x:v>2018-12-31|2019-12-31|2020-12-31</x:v>
      </x:c>
      <x:c r="U763" s="57" t="n">
        <x:v>3832.062991635382</x:v>
      </x:c>
      <x:c r="V763" s="57" t="n">
        <x:v>-0.6451793526263535</x:v>
      </x:c>
      <x:c r="W763" t="n">
        <x:v>35</x:v>
      </x:c>
      <x:c r="X763" t="n">
        <x:v>3</x:v>
      </x:c>
      <x:c r="Y763" s="38" t="n">
        <x:v>0.6409090909090909</x:v>
      </x:c>
      <x:c r="Z763" s="38" t="n">
        <x:v>0.5990314888023098</x:v>
      </x:c>
      <x:c r="AA763"/>
    </x:row>
    <x:row r="764">
      <x:c r="A764" s="54" t="n">
        <x:v>44377</x:v>
      </x:c>
      <x:c r="B764" t="n">
        <x:v>44377.624999988424</x:v>
      </x:c>
      <x:c r="C764" t="str">
        <x:v>019990</x:v>
      </x:c>
      <x:c r="D764" t="str">
        <x:v>에너토크</x:v>
      </x:c>
      <x:c r="E764" t="str">
        <x:v>KOSDAQ</x:v>
      </x:c>
      <x:c r="F764" t="str">
        <x:v>SMALL</x:v>
      </x:c>
      <x:c r="G764" t="str">
        <x:v>DCF_SCREENING_EXCLUSION</x:v>
      </x:c>
      <x:c r="H764" t="str">
        <x:v>NON_POSITIVE_ENTERPRISE_VALUE|NON_POSITIVE_EQUITY_VALUE|NON_POSITIVE_TERMINAL_FCF</x:v>
      </x:c>
      <x:c r="I764" s="54" t="n">
        <x:v>44377</x:v>
      </x:c>
      <x:c r="J764" s="55" t="n">
        <x:v>14600</x:v>
      </x:c>
      <x:c r="K764" s="55" t="n">
        <x:v>142438884800</x:v>
      </x:c>
      <x:c r="L764" s="55" t="n">
        <x:v>9756088</x:v>
      </x:c>
      <x:c r="M764" t="str">
        <x:v>20210318000261</x:v>
      </x:c>
      <x:c r="N764" t="n">
        <x:v>44273.624999988424</x:v>
      </x:c>
      <x:c r="O764" s="54" t="n">
        <x:v>44196</x:v>
      </x:c>
      <x:c r="P764" t="str">
        <x:v>False</x:v>
      </x:c>
      <x:c r="Q764" t="str">
        <x:v>4957a629f231b71448122773660771e123a8afe95cf17712e8a5790b3de5e388</x:v>
      </x:c>
      <x:c r="R764" t="str">
        <x:v>83ba2cb7557a122716ec5a8f3de0e193cdc224d8740fbeb9bc856e79494d7737</x:v>
      </x:c>
      <x:c r="S764" t="n">
        <x:v>7</x:v>
      </x:c>
      <x:c r="T764" t="str">
        <x:v>2018-12-31|2019-12-31|2020-12-31</x:v>
      </x:c>
      <x:c r="U764" s="57" t="n">
        <x:v>-415.5867008576264</x:v>
      </x:c>
      <x:c r="V764" s="57" t="n">
        <x:v>-1.0284648425244949</x:v>
      </x:c>
      <x:c r="W764"/>
      <x:c r="X764"/>
      <x:c r="Y764" s="38" t="n">
        <x:v>0.6409090909090909</x:v>
      </x:c>
      <x:c r="Z764" s="38" t="n">
        <x:v>0.6465151672176482</x:v>
      </x:c>
      <x:c r="AA764" t="str">
        <x:v>NON_POSITIVE_ENTERPRISE_VALUE|NON_POSITIVE_EQUITY_VALUE|NON_POSITIVE_TERMINAL_FCF</x:v>
      </x:c>
    </x:row>
    <x:row r="765">
      <x:c r="A765" s="54" t="n">
        <x:v>44377</x:v>
      </x:c>
      <x:c r="B765" t="n">
        <x:v>44377.624999988424</x:v>
      </x:c>
      <x:c r="C765" t="str">
        <x:v>024740</x:v>
      </x:c>
      <x:c r="D765" t="str">
        <x:v>한일단조</x:v>
      </x:c>
      <x:c r="E765" t="str">
        <x:v>KOSDAQ</x:v>
      </x:c>
      <x:c r="F765" t="str">
        <x:v>SMALL</x:v>
      </x:c>
      <x:c r="G765" t="str">
        <x:v>DCF_SCREENING_EXCLUSION</x:v>
      </x:c>
      <x:c r="H765" t="str">
        <x:v>NON_POSITIVE_ENTERPRISE_VALUE|NON_POSITIVE_EQUITY_VALUE|NON_POSITIVE_TERMINAL_FCF</x:v>
      </x:c>
      <x:c r="I765" s="54" t="n">
        <x:v>44377</x:v>
      </x:c>
      <x:c r="J765" s="55" t="n">
        <x:v>3330</x:v>
      </x:c>
      <x:c r="K765" s="55" t="n">
        <x:v>99538122240</x:v>
      </x:c>
      <x:c r="L765" s="55" t="n">
        <x:v>29891328</x:v>
      </x:c>
      <x:c r="M765" t="str">
        <x:v>20210316000434</x:v>
      </x:c>
      <x:c r="N765" t="n">
        <x:v>44271.624999988424</x:v>
      </x:c>
      <x:c r="O765" s="54" t="n">
        <x:v>44196</x:v>
      </x:c>
      <x:c r="P765" t="str">
        <x:v>False</x:v>
      </x:c>
      <x:c r="Q765" t="str">
        <x:v>bcddd53c6582ac5aaffca85a248593cbfc6066bb4e4098e0d065dd9f43d5e655</x:v>
      </x:c>
      <x:c r="R765" t="str">
        <x:v>dbb560f48c3dd22007d5bb6c6b37c344d40acedb99d49577840c11f88daab7a1</x:v>
      </x:c>
      <x:c r="S765" t="n">
        <x:v>7</x:v>
      </x:c>
      <x:c r="T765" t="str">
        <x:v>2018-12-31|2019-12-31|2020-12-31</x:v>
      </x:c>
      <x:c r="U765" s="57" t="n">
        <x:v>-2473.11609930987</x:v>
      </x:c>
      <x:c r="V765" s="57" t="n">
        <x:v>-1.7426775073002612</x:v>
      </x:c>
      <x:c r="W765"/>
      <x:c r="X765"/>
      <x:c r="Y765" s="38" t="n">
        <x:v>0.6409090909090909</x:v>
      </x:c>
      <x:c r="Z765" s="38" t="n">
        <x:v>0.6171816933706179</x:v>
      </x:c>
      <x:c r="AA765" t="str">
        <x:v>NON_POSITIVE_ENTERPRISE_VALUE|NON_POSITIVE_EQUITY_VALUE|NON_POSITIVE_TERMINAL_FCF</x:v>
      </x:c>
    </x:row>
    <x:row r="766">
      <x:c r="A766" s="54" t="n">
        <x:v>44377</x:v>
      </x:c>
      <x:c r="B766" t="n">
        <x:v>44377.624999988424</x:v>
      </x:c>
      <x:c r="C766" t="str">
        <x:v>340930</x:v>
      </x:c>
      <x:c r="D766" t="str">
        <x:v>유일에너테크</x:v>
      </x:c>
      <x:c r="E766" t="str">
        <x:v>KOSDAQ</x:v>
      </x:c>
      <x:c r="F766" t="str">
        <x:v>SMALL</x:v>
      </x:c>
      <x:c r="G766" t="str">
        <x:v>ELIGIBLE</x:v>
      </x:c>
      <x:c r="H766"/>
      <x:c r="I766" s="54" t="n">
        <x:v>44377</x:v>
      </x:c>
      <x:c r="J766" s="55" t="n">
        <x:v>19650</x:v>
      </x:c>
      <x:c r="K766" s="55" t="n">
        <x:v>208094364600</x:v>
      </x:c>
      <x:c r="L766" s="55" t="n">
        <x:v>10590044</x:v>
      </x:c>
      <x:c r="M766" t="str">
        <x:v>20210319000946</x:v>
      </x:c>
      <x:c r="N766" t="n">
        <x:v>44274.624999988424</x:v>
      </x:c>
      <x:c r="O766" s="54" t="n">
        <x:v>44196</x:v>
      </x:c>
      <x:c r="P766" t="str">
        <x:v>False</x:v>
      </x:c>
      <x:c r="Q766" t="str">
        <x:v>4edaceb7bd22fcf8da9909d7fdb96098f9415c438240d4e0f8e7bb0b5d5e8b03</x:v>
      </x:c>
      <x:c r="R766" t="str">
        <x:v>0cf7d43db2fe6134461710bbb2a500dc2994af1861d6647b511395f0e1b4e0c8</x:v>
      </x:c>
      <x:c r="S766" t="n">
        <x:v>7</x:v>
      </x:c>
      <x:c r="T766" t="str">
        <x:v>2020-12-31</x:v>
      </x:c>
      <x:c r="U766" s="57" t="n">
        <x:v>5276.844468884548</x:v>
      </x:c>
      <x:c r="V766" s="57" t="n">
        <x:v>-0.731458296748878</x:v>
      </x:c>
      <x:c r="W766" t="n">
        <x:v>43</x:v>
      </x:c>
      <x:c r="X766" t="n">
        <x:v>4</x:v>
      </x:c>
      <x:c r="Y766" s="38" t="n">
        <x:v>0.6409090909090909</x:v>
      </x:c>
      <x:c r="Z766" s="38" t="n">
        <x:v>0.6264850986190418</x:v>
      </x:c>
      <x:c r="AA766"/>
    </x:row>
    <x:row r="767">
      <x:c r="A767" s="54" t="n">
        <x:v>44377</x:v>
      </x:c>
      <x:c r="B767" t="n">
        <x:v>44377.624999988424</x:v>
      </x:c>
      <x:c r="C767" t="str">
        <x:v>057030</x:v>
      </x:c>
      <x:c r="D767" t="str">
        <x:v>YBM넷</x:v>
      </x:c>
      <x:c r="E767" t="str">
        <x:v>KOSDAQ</x:v>
      </x:c>
      <x:c r="F767" t="str">
        <x:v>SMALL</x:v>
      </x:c>
      <x:c r="G767" t="str">
        <x:v>DCF_SCREENING_EXCLUSION</x:v>
      </x:c>
      <x:c r="H767" t="str">
        <x:v>NON_POSITIVE_ENTERPRISE_VALUE|NON_POSITIVE_EQUITY_VALUE|UNRELIABLE_TERMINAL_VALUE_SHARE</x:v>
      </x:c>
      <x:c r="I767" s="54" t="n">
        <x:v>44377</x:v>
      </x:c>
      <x:c r="J767" s="55" t="n">
        <x:v>8820</x:v>
      </x:c>
      <x:c r="K767" s="55" t="n">
        <x:v>143877987540</x:v>
      </x:c>
      <x:c r="L767" s="55" t="n">
        <x:v>16312697</x:v>
      </x:c>
      <x:c r="M767" t="str">
        <x:v>20210317001083</x:v>
      </x:c>
      <x:c r="N767" t="n">
        <x:v>44272.624999988424</x:v>
      </x:c>
      <x:c r="O767" s="54" t="n">
        <x:v>44196</x:v>
      </x:c>
      <x:c r="P767" t="str">
        <x:v>False</x:v>
      </x:c>
      <x:c r="Q767" t="str">
        <x:v>60475234d2620e0baa6d24996ee48c086941ccdd01a0698cccc5f9d626fd6bc6</x:v>
      </x:c>
      <x:c r="R767" t="str">
        <x:v>ebc2348fcc4b8ac130bf6ace569664f1a494da159f4a3374e924e8a62f011377</x:v>
      </x:c>
      <x:c r="S767" t="n">
        <x:v>6</x:v>
      </x:c>
      <x:c r="T767" t="str">
        <x:v>2018-12-31|2019-12-31|2020-12-31</x:v>
      </x:c>
      <x:c r="U767" s="57" t="n">
        <x:v>-12.62440454926056</x:v>
      </x:c>
      <x:c r="V767" s="57" t="n">
        <x:v>-1.00143133838427</x:v>
      </x:c>
      <x:c r="W767"/>
      <x:c r="X767"/>
      <x:c r="Y767" s="38" t="n">
        <x:v>0.6409090909090909</x:v>
      </x:c>
      <x:c r="Z767" s="38" t="n">
        <x:v>-1.0894625849005493</x:v>
      </x:c>
      <x:c r="AA767" t="str">
        <x:v>NON_POSITIVE_ENTERPRISE_VALUE|NON_POSITIVE_EQUITY_VALUE|UNRELIABLE_TERMINAL_VALUE_SHARE</x:v>
      </x:c>
    </x:row>
    <x:row r="768">
      <x:c r="A768" s="54" t="n">
        <x:v>44377</x:v>
      </x:c>
      <x:c r="B768" t="n">
        <x:v>44377.624999988424</x:v>
      </x:c>
      <x:c r="C768" t="str">
        <x:v>053160</x:v>
      </x:c>
      <x:c r="D768" t="str">
        <x:v>프리엠스</x:v>
      </x:c>
      <x:c r="E768" t="str">
        <x:v>KOSDAQ</x:v>
      </x:c>
      <x:c r="F768" t="str">
        <x:v>SMALL</x:v>
      </x:c>
      <x:c r="G768" t="str">
        <x:v>DCF_SCREENING_EXCLUSION</x:v>
      </x:c>
      <x:c r="H768" t="str">
        <x:v>NON_POSITIVE_ENTERPRISE_VALUE|NON_POSITIVE_TERMINAL_FCF</x:v>
      </x:c>
      <x:c r="I768" s="54" t="n">
        <x:v>44377</x:v>
      </x:c>
      <x:c r="J768" s="55" t="n">
        <x:v>24400</x:v>
      </x:c>
      <x:c r="K768" s="55" t="n">
        <x:v>146400000000</x:v>
      </x:c>
      <x:c r="L768" s="55" t="n">
        <x:v>6000000</x:v>
      </x:c>
      <x:c r="M768" t="str">
        <x:v>20210318000333</x:v>
      </x:c>
      <x:c r="N768" t="n">
        <x:v>44273.624999988424</x:v>
      </x:c>
      <x:c r="O768" s="54" t="n">
        <x:v>44196</x:v>
      </x:c>
      <x:c r="P768" t="str">
        <x:v>False</x:v>
      </x:c>
      <x:c r="Q768" t="str">
        <x:v>b4a0ad8f9fbc20989c6ce23324e39d807a3fce1a4ccdc7f31f6eaab83bcb1a23</x:v>
      </x:c>
      <x:c r="R768" t="str">
        <x:v>41e1a00bc59d917a22c9ee50e347e46b117ec6fa8dbe672beaa2c41a25d6a9bb</x:v>
      </x:c>
      <x:c r="S768" t="n">
        <x:v>7</x:v>
      </x:c>
      <x:c r="T768" t="str">
        <x:v>2018-12-31|2019-12-31|2020-12-31</x:v>
      </x:c>
      <x:c r="U768" s="57" t="n">
        <x:v>316.0971325401637</x:v>
      </x:c>
      <x:c r="V768" s="57" t="n">
        <x:v>-0.9870451994860588</x:v>
      </x:c>
      <x:c r="W768"/>
      <x:c r="X768"/>
      <x:c r="Y768" s="38" t="n">
        <x:v>0.6409090909090909</x:v>
      </x:c>
      <x:c r="Z768" s="38" t="n">
        <x:v>0.779709708489777</x:v>
      </x:c>
      <x:c r="AA768" t="str">
        <x:v>NON_POSITIVE_ENTERPRISE_VALUE|NON_POSITIVE_TERMINAL_FCF</x:v>
      </x:c>
    </x:row>
    <x:row r="769">
      <x:c r="A769" s="54" t="n">
        <x:v>44377</x:v>
      </x:c>
      <x:c r="B769" t="n">
        <x:v>44377.624999988424</x:v>
      </x:c>
      <x:c r="C769" t="str">
        <x:v>038620</x:v>
      </x:c>
      <x:c r="D769" t="str">
        <x:v>위즈코프</x:v>
      </x:c>
      <x:c r="E769" t="str">
        <x:v>KOSDAQ</x:v>
      </x:c>
      <x:c r="F769" t="str">
        <x:v>SMALL</x:v>
      </x:c>
      <x:c r="G769" t="str">
        <x:v>ELIGIBLE</x:v>
      </x:c>
      <x:c r="H769"/>
      <x:c r="I769" s="54" t="n">
        <x:v>44377</x:v>
      </x:c>
      <x:c r="J769" s="55" t="n">
        <x:v>6180</x:v>
      </x:c>
      <x:c r="K769" s="55" t="n">
        <x:v>250834056300</x:v>
      </x:c>
      <x:c r="L769" s="55" t="n">
        <x:v>40588035</x:v>
      </x:c>
      <x:c r="M769" t="str">
        <x:v>20210317001103</x:v>
      </x:c>
      <x:c r="N769" t="n">
        <x:v>44272.624999988424</x:v>
      </x:c>
      <x:c r="O769" s="54" t="n">
        <x:v>44196</x:v>
      </x:c>
      <x:c r="P769" t="str">
        <x:v>False</x:v>
      </x:c>
      <x:c r="Q769" t="str">
        <x:v>309ebd31cbd4e7c81c95aa5ef1f64b10cd60c14ea177e58841997373c9018659</x:v>
      </x:c>
      <x:c r="R769" t="str">
        <x:v>3b1385a91693a6dc001937e4e3c2b8c2db757cdce3e923778696cf18d12651f3</x:v>
      </x:c>
      <x:c r="S769" t="n">
        <x:v>6</x:v>
      </x:c>
      <x:c r="T769" t="str">
        <x:v>2018-12-31|2019-12-31|2020-12-31</x:v>
      </x:c>
      <x:c r="U769" s="57" t="n">
        <x:v>264.88152495344184</x:v>
      </x:c>
      <x:c r="V769" s="57" t="n">
        <x:v>-0.9571389118198315</x:v>
      </x:c>
      <x:c r="W769" t="n">
        <x:v>57</x:v>
      </x:c>
      <x:c r="X769" t="n">
        <x:v>5</x:v>
      </x:c>
      <x:c r="Y769" s="38" t="n">
        <x:v>0.6409090909090909</x:v>
      </x:c>
      <x:c r="Z769" s="38" t="n">
        <x:v>0.5998432973034096</x:v>
      </x:c>
      <x:c r="AA769"/>
    </x:row>
    <x:row r="770">
      <x:c r="A770" s="54" t="n">
        <x:v>44377</x:v>
      </x:c>
      <x:c r="B770" t="n">
        <x:v>44377.624999988424</x:v>
      </x:c>
      <x:c r="C770" t="str">
        <x:v>313760</x:v>
      </x:c>
      <x:c r="D770" t="str">
        <x:v>캐리</x:v>
      </x:c>
      <x:c r="E770" t="str">
        <x:v>KOSDAQ</x:v>
      </x:c>
      <x:c r="F770" t="str">
        <x:v>SMALL</x:v>
      </x:c>
      <x:c r="G770" t="str">
        <x:v>DCF_SCREENING_EXCLUSION</x:v>
      </x:c>
      <x:c r="H770" t="str">
        <x:v>UNRELIABLE_TERMINAL_VALUE_SHARE</x:v>
      </x:c>
      <x:c r="I770" s="54" t="n">
        <x:v>44377</x:v>
      </x:c>
      <x:c r="J770" s="55" t="n">
        <x:v>13650</x:v>
      </x:c>
      <x:c r="K770" s="55" t="n">
        <x:v>66366300000</x:v>
      </x:c>
      <x:c r="L770" s="55" t="n">
        <x:v>4862000</x:v>
      </x:c>
      <x:c r="M770" t="str">
        <x:v>20210318000686</x:v>
      </x:c>
      <x:c r="N770" t="n">
        <x:v>44273.624999988424</x:v>
      </x:c>
      <x:c r="O770" s="54" t="n">
        <x:v>44196</x:v>
      </x:c>
      <x:c r="P770" t="str">
        <x:v>False</x:v>
      </x:c>
      <x:c r="Q770" t="str">
        <x:v>804576bd15d64ec35c6bf019d2e23e3c9e1edcfa683d9cad2b367f8994c13dfc</x:v>
      </x:c>
      <x:c r="R770" t="str">
        <x:v>d85d0ce3685c46f62b52d2126678ceafd641a1fc3d9f82829a119e0806cd51fc</x:v>
      </x:c>
      <x:c r="S770" t="n">
        <x:v>5</x:v>
      </x:c>
      <x:c r="T770" t="str">
        <x:v>2019-12-31|2020-12-31</x:v>
      </x:c>
      <x:c r="U770" s="57" t="n">
        <x:v>1207.7666181905286</x:v>
      </x:c>
      <x:c r="V770" s="57" t="n">
        <x:v>-0.911518929070291</x:v>
      </x:c>
      <x:c r="W770"/>
      <x:c r="X770"/>
      <x:c r="Y770" s="38" t="n">
        <x:v>0.6409090909090909</x:v>
      </x:c>
      <x:c r="Z770" s="38" t="n">
        <x:v>2.6865882303611563</x:v>
      </x:c>
      <x:c r="AA770" t="str">
        <x:v>UNRELIABLE_TERMINAL_VALUE_SHARE</x:v>
      </x:c>
    </x:row>
    <x:row r="771">
      <x:c r="A771" s="54" t="n">
        <x:v>44377</x:v>
      </x:c>
      <x:c r="B771" t="n">
        <x:v>44377.624999988424</x:v>
      </x:c>
      <x:c r="C771" t="str">
        <x:v>372800</x:v>
      </x:c>
      <x:c r="D771" t="str">
        <x:v>아이티아이즈</x:v>
      </x:c>
      <x:c r="E771" t="str">
        <x:v>KOSDAQ</x:v>
      </x:c>
      <x:c r="F771" t="str">
        <x:v>SMALL</x:v>
      </x:c>
      <x:c r="G771" t="str">
        <x:v>NOT_LISTED_OR_NO_PRICE</x:v>
      </x:c>
      <x:c r="H771"/>
      <x:c r="I771" s="54"/>
      <x:c r="J771" s="55"/>
      <x:c r="K771" s="55"/>
      <x:c r="L771" s="55"/>
      <x:c r="M771"/>
      <x:c r="N771"/>
      <x:c r="O771" s="54"/>
      <x:c r="P771"/>
      <x:c r="Q771"/>
      <x:c r="R771"/>
      <x:c r="S771"/>
      <x:c r="T771"/>
      <x:c r="U771" s="57"/>
      <x:c r="V771" s="57"/>
      <x:c r="W771"/>
      <x:c r="X771"/>
      <x:c r="Y771" s="38"/>
      <x:c r="Z771" s="38"/>
      <x:c r="AA771"/>
    </x:row>
    <x:row r="772">
      <x:c r="A772" s="54" t="n">
        <x:v>44377</x:v>
      </x:c>
      <x:c r="B772" t="n">
        <x:v>44377.624999988424</x:v>
      </x:c>
      <x:c r="C772" t="str">
        <x:v>332290</x:v>
      </x:c>
      <x:c r="D772" t="str">
        <x:v>누보</x:v>
      </x:c>
      <x:c r="E772" t="str">
        <x:v>KOSDAQ</x:v>
      </x:c>
      <x:c r="F772" t="str">
        <x:v>SMALL</x:v>
      </x:c>
      <x:c r="G772" t="str">
        <x:v>NO_PIT_FINANCIALS</x:v>
      </x:c>
      <x:c r="H772"/>
      <x:c r="I772" s="54" t="n">
        <x:v>44377</x:v>
      </x:c>
      <x:c r="J772" s="55" t="n">
        <x:v>2170</x:v>
      </x:c>
      <x:c r="K772" s="55" t="n">
        <x:v>11294850000</x:v>
      </x:c>
      <x:c r="L772" s="55" t="n">
        <x:v>5205000</x:v>
      </x:c>
      <x:c r="M772"/>
      <x:c r="N772"/>
      <x:c r="O772" s="54"/>
      <x:c r="P772"/>
      <x:c r="Q772"/>
      <x:c r="R772"/>
      <x:c r="S772"/>
      <x:c r="T772"/>
      <x:c r="U772" s="57"/>
      <x:c r="V772" s="57"/>
      <x:c r="W772"/>
      <x:c r="X772"/>
      <x:c r="Y772" s="38"/>
      <x:c r="Z772" s="38"/>
      <x:c r="AA772"/>
    </x:row>
    <x:row r="773">
      <x:c r="A773" s="54" t="n">
        <x:v>44377</x:v>
      </x:c>
      <x:c r="B773" t="n">
        <x:v>44377.624999988424</x:v>
      </x:c>
      <x:c r="C773" t="str">
        <x:v>059100</x:v>
      </x:c>
      <x:c r="D773" t="str">
        <x:v>아이컴포넌트</x:v>
      </x:c>
      <x:c r="E773" t="str">
        <x:v>KOSDAQ</x:v>
      </x:c>
      <x:c r="F773" t="str">
        <x:v>SMALL</x:v>
      </x:c>
      <x:c r="G773" t="str">
        <x:v>ELIGIBLE</x:v>
      </x:c>
      <x:c r="H773"/>
      <x:c r="I773" s="54" t="n">
        <x:v>44377</x:v>
      </x:c>
      <x:c r="J773" s="55" t="n">
        <x:v>8450</x:v>
      </x:c>
      <x:c r="K773" s="55" t="n">
        <x:v>59748767000</x:v>
      </x:c>
      <x:c r="L773" s="55" t="n">
        <x:v>7070860</x:v>
      </x:c>
      <x:c r="M773" t="str">
        <x:v>20210311000765</x:v>
      </x:c>
      <x:c r="N773" t="n">
        <x:v>44266.624999988424</x:v>
      </x:c>
      <x:c r="O773" s="54" t="n">
        <x:v>44196</x:v>
      </x:c>
      <x:c r="P773" t="str">
        <x:v>False</x:v>
      </x:c>
      <x:c r="Q773" t="str">
        <x:v>e8cc72608f865813347d3ac3b67e881eac226f73bcd56829c110b23f06258cce</x:v>
      </x:c>
      <x:c r="R773" t="str">
        <x:v>48be34b909c118c536d5c159d6264871b4cac2eae463f91fc1446ad07beca7f1</x:v>
      </x:c>
      <x:c r="S773" t="n">
        <x:v>7</x:v>
      </x:c>
      <x:c r="T773" t="str">
        <x:v>2018-12-31|2019-12-31|2020-12-31</x:v>
      </x:c>
      <x:c r="U773" s="57" t="n">
        <x:v>1452.886955925407</x:v>
      </x:c>
      <x:c r="V773" s="57" t="n">
        <x:v>-0.8280607152750997</x:v>
      </x:c>
      <x:c r="W773" t="n">
        <x:v>50</x:v>
      </x:c>
      <x:c r="X773" t="n">
        <x:v>5</x:v>
      </x:c>
      <x:c r="Y773" s="38" t="n">
        <x:v>0.6409090909090909</x:v>
      </x:c>
      <x:c r="Z773" s="38" t="n">
        <x:v>0.4521477467865818</x:v>
      </x:c>
      <x:c r="AA773"/>
    </x:row>
    <x:row r="774">
      <x:c r="A774" s="54" t="n">
        <x:v>44377</x:v>
      </x:c>
      <x:c r="B774" t="n">
        <x:v>44377.624999988424</x:v>
      </x:c>
      <x:c r="C774" t="str">
        <x:v>060900</x:v>
      </x:c>
      <x:c r="D774" t="str">
        <x:v>DGP</x:v>
      </x:c>
      <x:c r="E774" t="str">
        <x:v>KOSDAQ</x:v>
      </x:c>
      <x:c r="F774" t="str">
        <x:v>SMALL</x:v>
      </x:c>
      <x:c r="G774" t="str">
        <x:v>DCF_SCREENING_EXCLUSION</x:v>
      </x:c>
      <x:c r="H774" t="str">
        <x:v>NON_POSITIVE_ENTERPRISE_VALUE|NON_POSITIVE_EQUITY_VALUE|NON_POSITIVE_TERMINAL_FCF</x:v>
      </x:c>
      <x:c r="I774" s="54" t="n">
        <x:v>44377</x:v>
      </x:c>
      <x:c r="J774" s="55" t="n">
        <x:v>1945</x:v>
      </x:c>
      <x:c r="K774" s="55" t="n">
        <x:v>307142230135</x:v>
      </x:c>
      <x:c r="L774" s="55" t="n">
        <x:v>157913743</x:v>
      </x:c>
      <x:c r="M774" t="str">
        <x:v>20200331002242</x:v>
      </x:c>
      <x:c r="N774" t="n">
        <x:v>43921.624999988424</x:v>
      </x:c>
      <x:c r="O774" s="54" t="n">
        <x:v>43830</x:v>
      </x:c>
      <x:c r="P774" t="str">
        <x:v>True</x:v>
      </x:c>
      <x:c r="Q774" t="str">
        <x:v>ac50e7e79003451d6c3ef8f2db1976662fecb89d432a540a13b72785abeff2ae</x:v>
      </x:c>
      <x:c r="R774" t="str">
        <x:v>ebc1ff8d1acc2ff5dec2c6a71422731b5ff8f9eab544b1cf7d4333ee990e85a4</x:v>
      </x:c>
      <x:c r="S774" t="n">
        <x:v>5</x:v>
      </x:c>
      <x:c r="T774" t="str">
        <x:v>2018-12-31|2019-12-31</x:v>
      </x:c>
      <x:c r="U774" s="57" t="n">
        <x:v>-206.2564030262121</x:v>
      </x:c>
      <x:c r="V774" s="57" t="n">
        <x:v>-1.1060444231497235</x:v>
      </x:c>
      <x:c r="W774"/>
      <x:c r="X774"/>
      <x:c r="Y774" s="38" t="n">
        <x:v>0.6409090909090909</x:v>
      </x:c>
      <x:c r="Z774" s="38" t="n">
        <x:v>0.6282819266558984</x:v>
      </x:c>
      <x:c r="AA774" t="str">
        <x:v>NON_POSITIVE_ENTERPRISE_VALUE|NON_POSITIVE_EQUITY_VALUE|NON_POSITIVE_TERMINAL_FCF</x:v>
      </x:c>
    </x:row>
    <x:row r="775">
      <x:c r="A775" s="54" t="n">
        <x:v>44377</x:v>
      </x:c>
      <x:c r="B775" t="n">
        <x:v>44377.624999988424</x:v>
      </x:c>
      <x:c r="C775" t="str">
        <x:v>232830</x:v>
      </x:c>
      <x:c r="D775" t="str">
        <x:v>아이티센피엔에스</x:v>
      </x:c>
      <x:c r="E775" t="str">
        <x:v>KOSDAQ</x:v>
      </x:c>
      <x:c r="F775" t="str">
        <x:v>SMALL</x:v>
      </x:c>
      <x:c r="G775" t="str">
        <x:v>NO_PIT_FINANCIALS</x:v>
      </x:c>
      <x:c r="H775"/>
      <x:c r="I775" s="54" t="n">
        <x:v>44377</x:v>
      </x:c>
      <x:c r="J775" s="55" t="n">
        <x:v>3960</x:v>
      </x:c>
      <x:c r="K775" s="55" t="n">
        <x:v>37655766720</x:v>
      </x:c>
      <x:c r="L775" s="55" t="n">
        <x:v>9509032</x:v>
      </x:c>
      <x:c r="M775"/>
      <x:c r="N775"/>
      <x:c r="O775" s="54"/>
      <x:c r="P775"/>
      <x:c r="Q775"/>
      <x:c r="R775"/>
      <x:c r="S775"/>
      <x:c r="T775"/>
      <x:c r="U775" s="57"/>
      <x:c r="V775" s="57"/>
      <x:c r="W775"/>
      <x:c r="X775"/>
      <x:c r="Y775" s="38"/>
      <x:c r="Z775" s="38"/>
      <x:c r="AA775"/>
    </x:row>
    <x:row r="776">
      <x:c r="A776" s="54" t="n">
        <x:v>44377</x:v>
      </x:c>
      <x:c r="B776" t="n">
        <x:v>44377.624999988424</x:v>
      </x:c>
      <x:c r="C776" t="str">
        <x:v>070590</x:v>
      </x:c>
      <x:c r="D776" t="str">
        <x:v>한솔인티큐브</x:v>
      </x:c>
      <x:c r="E776" t="str">
        <x:v>KOSDAQ</x:v>
      </x:c>
      <x:c r="F776" t="str">
        <x:v>SMALL</x:v>
      </x:c>
      <x:c r="G776" t="str">
        <x:v>DCF_SCREENING_EXCLUSION</x:v>
      </x:c>
      <x:c r="H776" t="str">
        <x:v>NON_POSITIVE_ENTERPRISE_VALUE|NON_POSITIVE_TERMINAL_FCF</x:v>
      </x:c>
      <x:c r="I776" s="54" t="n">
        <x:v>44377</x:v>
      </x:c>
      <x:c r="J776" s="55" t="n">
        <x:v>3625</x:v>
      </x:c>
      <x:c r="K776" s="55" t="n">
        <x:v>50313263625</x:v>
      </x:c>
      <x:c r="L776" s="55" t="n">
        <x:v>13879521</x:v>
      </x:c>
      <x:c r="M776" t="str">
        <x:v>20210324000748</x:v>
      </x:c>
      <x:c r="N776" t="n">
        <x:v>44279.624999988424</x:v>
      </x:c>
      <x:c r="O776" s="54" t="n">
        <x:v>44196</x:v>
      </x:c>
      <x:c r="P776" t="str">
        <x:v>True</x:v>
      </x:c>
      <x:c r="Q776" t="str">
        <x:v>dfa3780e4437c8885beecb0e4a6500139dafb9959c6c3d2e500e3fb4c1a430cd</x:v>
      </x:c>
      <x:c r="R776" t="str">
        <x:v>eff4d268488a35cbdc032eea9891367baeb650ad8e2dfcdb02709b589d77b61c</x:v>
      </x:c>
      <x:c r="S776" t="n">
        <x:v>6</x:v>
      </x:c>
      <x:c r="T776" t="str">
        <x:v>2018-12-31|2019-12-31|2020-12-31</x:v>
      </x:c>
      <x:c r="U776" s="57" t="n">
        <x:v>325.13457471873176</x:v>
      </x:c>
      <x:c r="V776" s="57" t="n">
        <x:v>-0.9103077035258671</x:v>
      </x:c>
      <x:c r="W776"/>
      <x:c r="X776"/>
      <x:c r="Y776" s="38" t="n">
        <x:v>0.6409090909090909</x:v>
      </x:c>
      <x:c r="Z776" s="38" t="n">
        <x:v>0.38507863592467434</x:v>
      </x:c>
      <x:c r="AA776" t="str">
        <x:v>NON_POSITIVE_ENTERPRISE_VALUE|NON_POSITIVE_TERMINAL_FCF</x:v>
      </x:c>
    </x:row>
    <x:row r="777">
      <x:c r="A777" s="54" t="n">
        <x:v>44377</x:v>
      </x:c>
      <x:c r="B777" t="n">
        <x:v>44377.624999988424</x:v>
      </x:c>
      <x:c r="C777" t="str">
        <x:v>163560</x:v>
      </x:c>
      <x:c r="D777" t="str">
        <x:v>동일고무벨트</x:v>
      </x:c>
      <x:c r="E777" t="str">
        <x:v>KOSPI</x:v>
      </x:c>
      <x:c r="F777" t="str">
        <x:v>SMALL</x:v>
      </x:c>
      <x:c r="G777" t="str">
        <x:v>ELIGIBLE</x:v>
      </x:c>
      <x:c r="H777"/>
      <x:c r="I777" s="54" t="n">
        <x:v>44377</x:v>
      </x:c>
      <x:c r="J777" s="55" t="n">
        <x:v>10000</x:v>
      </x:c>
      <x:c r="K777" s="55" t="n">
        <x:v>139000000000</x:v>
      </x:c>
      <x:c r="L777" s="55" t="n">
        <x:v>13900000</x:v>
      </x:c>
      <x:c r="M777" t="str">
        <x:v>20210315000958</x:v>
      </x:c>
      <x:c r="N777" t="n">
        <x:v>44270.624999988424</x:v>
      </x:c>
      <x:c r="O777" s="54" t="n">
        <x:v>44196</x:v>
      </x:c>
      <x:c r="P777" t="str">
        <x:v>False</x:v>
      </x:c>
      <x:c r="Q777" t="str">
        <x:v>baef3f3b4fd2cd0561db58dee801c4b1083a7eab3be7089842215efc57393a0f</x:v>
      </x:c>
      <x:c r="R777" t="str">
        <x:v>58f62cbe7203fe035b5c136891b5d43d1a5b5498301e4f4ae449c65b96ffd31e</x:v>
      </x:c>
      <x:c r="S777" t="n">
        <x:v>5</x:v>
      </x:c>
      <x:c r="T777" t="str">
        <x:v>2018-12-31|2019-12-31|2020-12-31</x:v>
      </x:c>
      <x:c r="U777" s="57" t="n">
        <x:v>7136.684095856287</x:v>
      </x:c>
      <x:c r="V777" s="57" t="n">
        <x:v>-0.2863315904143713</x:v>
      </x:c>
      <x:c r="W777" t="n">
        <x:v>18</x:v>
      </x:c>
      <x:c r="X777" t="n">
        <x:v>2</x:v>
      </x:c>
      <x:c r="Y777" s="38" t="n">
        <x:v>0.6409090909090909</x:v>
      </x:c>
      <x:c r="Z777" s="38" t="n">
        <x:v>0.5969551920077337</x:v>
      </x:c>
      <x:c r="AA777"/>
    </x:row>
    <x:row r="778">
      <x:c r="A778" s="54" t="n">
        <x:v>44377</x:v>
      </x:c>
      <x:c r="B778" t="n">
        <x:v>44377.624999988424</x:v>
      </x:c>
      <x:c r="C778" t="str">
        <x:v>004830</x:v>
      </x:c>
      <x:c r="D778" t="str">
        <x:v>덕성</x:v>
      </x:c>
      <x:c r="E778" t="str">
        <x:v>KOSPI</x:v>
      </x:c>
      <x:c r="F778" t="str">
        <x:v>SMALL</x:v>
      </x:c>
      <x:c r="G778" t="str">
        <x:v>DCF_SCREENING_EXCLUSION</x:v>
      </x:c>
      <x:c r="H778" t="str">
        <x:v>NON_POSITIVE_EQUITY_VALUE</x:v>
      </x:c>
      <x:c r="I778" s="54" t="n">
        <x:v>44377</x:v>
      </x:c>
      <x:c r="J778" s="55" t="n">
        <x:v>22950</x:v>
      </x:c>
      <x:c r="K778" s="55" t="n">
        <x:v>359856000000</x:v>
      </x:c>
      <x:c r="L778" s="55" t="n">
        <x:v>15680000</x:v>
      </x:c>
      <x:c r="M778" t="str">
        <x:v>20210319000522</x:v>
      </x:c>
      <x:c r="N778" t="n">
        <x:v>44274.624999988424</x:v>
      </x:c>
      <x:c r="O778" s="54" t="n">
        <x:v>44196</x:v>
      </x:c>
      <x:c r="P778" t="str">
        <x:v>False</x:v>
      </x:c>
      <x:c r="Q778" t="str">
        <x:v>42ee1e84d81634c21d6976fba98c4b5bca4d9df00c8a43afcf479eca2a3931d5</x:v>
      </x:c>
      <x:c r="R778" t="str">
        <x:v>1e77d4b7fd914b609a8404cdc068c6f747e4dcae104cca6760ea2cea87b7c693</x:v>
      </x:c>
      <x:c r="S778" t="n">
        <x:v>7</x:v>
      </x:c>
      <x:c r="T778" t="str">
        <x:v>2018-12-31|2019-12-31|2020-12-31</x:v>
      </x:c>
      <x:c r="U778" s="57" t="n">
        <x:v>-515.0099349836735</x:v>
      </x:c>
      <x:c r="V778" s="57" t="n">
        <x:v>-1.0224405200428617</x:v>
      </x:c>
      <x:c r="W778"/>
      <x:c r="X778"/>
      <x:c r="Y778" s="38" t="n">
        <x:v>0.6409090909090909</x:v>
      </x:c>
      <x:c r="Z778" s="38" t="n">
        <x:v>0.5348293753544032</x:v>
      </x:c>
      <x:c r="AA778" t="str">
        <x:v>NON_POSITIVE_EQUITY_VALUE</x:v>
      </x:c>
    </x:row>
    <x:row r="779">
      <x:c r="A779" s="54" t="n">
        <x:v>44377</x:v>
      </x:c>
      <x:c r="B779" t="n">
        <x:v>44377.624999988424</x:v>
      </x:c>
      <x:c r="C779" t="str">
        <x:v>014440</x:v>
      </x:c>
      <x:c r="D779" t="str">
        <x:v>영보화학</x:v>
      </x:c>
      <x:c r="E779" t="str">
        <x:v>KOSPI</x:v>
      </x:c>
      <x:c r="F779" t="str">
        <x:v>SMALL</x:v>
      </x:c>
      <x:c r="G779" t="str">
        <x:v>ELIGIBLE</x:v>
      </x:c>
      <x:c r="H779"/>
      <x:c r="I779" s="54" t="n">
        <x:v>44377</x:v>
      </x:c>
      <x:c r="J779" s="55" t="n">
        <x:v>5460</x:v>
      </x:c>
      <x:c r="K779" s="55" t="n">
        <x:v>109200000000</x:v>
      </x:c>
      <x:c r="L779" s="55" t="n">
        <x:v>20000000</x:v>
      </x:c>
      <x:c r="M779" t="str">
        <x:v>20210316000221</x:v>
      </x:c>
      <x:c r="N779" t="n">
        <x:v>44271.624999988424</x:v>
      </x:c>
      <x:c r="O779" s="54" t="n">
        <x:v>44196</x:v>
      </x:c>
      <x:c r="P779" t="str">
        <x:v>False</x:v>
      </x:c>
      <x:c r="Q779" t="str">
        <x:v>f0de45c57636ab96dbf1b7817b17503dafe80a609e11e7a88c8cecfb9010a072</x:v>
      </x:c>
      <x:c r="R779" t="str">
        <x:v>6e00c4edc0a60b1f6905bc60922501009c3ca8c1d98c3fa4190ab12b5fa4b69e</x:v>
      </x:c>
      <x:c r="S779" t="n">
        <x:v>6</x:v>
      </x:c>
      <x:c r="T779" t="str">
        <x:v>2018-12-31|2019-12-31|2020-12-31</x:v>
      </x:c>
      <x:c r="U779" s="57" t="n">
        <x:v>1677.1958772264159</x:v>
      </x:c>
      <x:c r="V779" s="57" t="n">
        <x:v>-0.6928212679072498</x:v>
      </x:c>
      <x:c r="W779" t="n">
        <x:v>39</x:v>
      </x:c>
      <x:c r="X779" t="n">
        <x:v>4</x:v>
      </x:c>
      <x:c r="Y779" s="38" t="n">
        <x:v>0.6409090909090909</x:v>
      </x:c>
      <x:c r="Z779" s="38" t="n">
        <x:v>0.4237287308061816</x:v>
      </x:c>
      <x:c r="AA779"/>
    </x:row>
    <x:row r="780">
      <x:c r="A780" s="54" t="n">
        <x:v>44377</x:v>
      </x:c>
      <x:c r="B780" t="n">
        <x:v>44377.624999988424</x:v>
      </x:c>
      <x:c r="C780" t="str">
        <x:v>009180</x:v>
      </x:c>
      <x:c r="D780" t="str">
        <x:v>한솔로지스틱스</x:v>
      </x:c>
      <x:c r="E780" t="str">
        <x:v>KOSPI</x:v>
      </x:c>
      <x:c r="F780" t="str">
        <x:v>SMALL</x:v>
      </x:c>
      <x:c r="G780" t="str">
        <x:v>ELIGIBLE</x:v>
      </x:c>
      <x:c r="H780"/>
      <x:c r="I780" s="54" t="n">
        <x:v>44377</x:v>
      </x:c>
      <x:c r="J780" s="55" t="n">
        <x:v>4480</x:v>
      </x:c>
      <x:c r="K780" s="55" t="n">
        <x:v>123098864000</x:v>
      </x:c>
      <x:c r="L780" s="55" t="n">
        <x:v>27477425</x:v>
      </x:c>
      <x:c r="M780" t="str">
        <x:v>20210316000126</x:v>
      </x:c>
      <x:c r="N780" t="n">
        <x:v>44271.624999988424</x:v>
      </x:c>
      <x:c r="O780" s="54" t="n">
        <x:v>44196</x:v>
      </x:c>
      <x:c r="P780" t="str">
        <x:v>False</x:v>
      </x:c>
      <x:c r="Q780" t="str">
        <x:v>90358983e6569ad1d37fec52c0d95d31983184295b716229d09300a8c1f981f8</x:v>
      </x:c>
      <x:c r="R780" t="str">
        <x:v>0425530dda02ff62a3f50e81c446cd2767797c01c2fd7b16c3ff06b61662092b</x:v>
      </x:c>
      <x:c r="S780" t="n">
        <x:v>6</x:v>
      </x:c>
      <x:c r="T780" t="str">
        <x:v>2018-12-31|2019-12-31|2020-12-31</x:v>
      </x:c>
      <x:c r="U780" s="57" t="n">
        <x:v>1545.9505137720944</x:v>
      </x:c>
      <x:c r="V780" s="57" t="n">
        <x:v>-0.654921760318729</x:v>
      </x:c>
      <x:c r="W780" t="n">
        <x:v>36</x:v>
      </x:c>
      <x:c r="X780" t="n">
        <x:v>3</x:v>
      </x:c>
      <x:c r="Y780" s="38" t="n">
        <x:v>0.6409090909090909</x:v>
      </x:c>
      <x:c r="Z780" s="38" t="n">
        <x:v>0.6173210181480715</x:v>
      </x:c>
      <x:c r="AA780"/>
    </x:row>
    <x:row r="781">
      <x:c r="A781" s="54" t="n">
        <x:v>44377</x:v>
      </x:c>
      <x:c r="B781" t="n">
        <x:v>44377.624999988424</x:v>
      </x:c>
      <x:c r="C781" t="str">
        <x:v>004910</x:v>
      </x:c>
      <x:c r="D781" t="str">
        <x:v>조광페인트</x:v>
      </x:c>
      <x:c r="E781" t="str">
        <x:v>KOSPI</x:v>
      </x:c>
      <x:c r="F781" t="str">
        <x:v>SMALL</x:v>
      </x:c>
      <x:c r="G781" t="str">
        <x:v>DCF_SCREENING_EXCLUSION</x:v>
      </x:c>
      <x:c r="H781" t="str">
        <x:v>NON_POSITIVE_ENTERPRISE_VALUE|NON_POSITIVE_EQUITY_VALUE|NON_POSITIVE_TERMINAL_FCF</x:v>
      </x:c>
      <x:c r="I781" s="54" t="n">
        <x:v>44377</x:v>
      </x:c>
      <x:c r="J781" s="55" t="n">
        <x:v>8480</x:v>
      </x:c>
      <x:c r="K781" s="55" t="n">
        <x:v>108544000000</x:v>
      </x:c>
      <x:c r="L781" s="55" t="n">
        <x:v>12800000</x:v>
      </x:c>
      <x:c r="M781" t="str">
        <x:v>20210419000042</x:v>
      </x:c>
      <x:c r="N781" t="n">
        <x:v>44305.624999988424</x:v>
      </x:c>
      <x:c r="O781" s="54" t="n">
        <x:v>44196</x:v>
      </x:c>
      <x:c r="P781" t="str">
        <x:v>True</x:v>
      </x:c>
      <x:c r="Q781" t="str">
        <x:v>31371b53e6968f0c727be36f621b75a0325fb63257f7a6cf4f6fcde45b9b8ca9</x:v>
      </x:c>
      <x:c r="R781" t="str">
        <x:v>f09edd0f60787c0ce79550e680d73af72e2ed75233d33e6d2afc27c291748506</x:v>
      </x:c>
      <x:c r="S781" t="n">
        <x:v>6</x:v>
      </x:c>
      <x:c r="T781" t="str">
        <x:v>2018-12-31|2019-12-31|2020-12-31</x:v>
      </x:c>
      <x:c r="U781" s="57" t="n">
        <x:v>-8516.353403523093</x:v>
      </x:c>
      <x:c r="V781" s="57" t="n">
        <x:v>-2.004286957962629</x:v>
      </x:c>
      <x:c r="W781"/>
      <x:c r="X781"/>
      <x:c r="Y781" s="38" t="n">
        <x:v>0.6409090909090909</x:v>
      </x:c>
      <x:c r="Z781" s="38" t="n">
        <x:v>0.5597063952745717</x:v>
      </x:c>
      <x:c r="AA781" t="str">
        <x:v>NON_POSITIVE_ENTERPRISE_VALUE|NON_POSITIVE_EQUITY_VALUE|NON_POSITIVE_TERMINAL_FCF</x:v>
      </x:c>
    </x:row>
    <x:row r="782">
      <x:c r="A782" s="54" t="n">
        <x:v>44377</x:v>
      </x:c>
      <x:c r="B782" t="n">
        <x:v>44377.624999988424</x:v>
      </x:c>
      <x:c r="C782" t="str">
        <x:v>004870</x:v>
      </x:c>
      <x:c r="D782" t="str">
        <x:v>티웨이홀딩스</x:v>
      </x:c>
      <x:c r="E782" t="str">
        <x:v>KOSPI</x:v>
      </x:c>
      <x:c r="F782" t="str">
        <x:v>SMALL</x:v>
      </x:c>
      <x:c r="G782" t="str">
        <x:v>EXCLUDED_ARCHETYPE</x:v>
      </x:c>
      <x:c r="H782" t="str">
        <x:v>FCFF_NOT_COMPARABLE_FOR_FINANCE_OR_HOLDING_HINT</x:v>
      </x:c>
      <x:c r="I782" s="54"/>
      <x:c r="J782" s="55"/>
      <x:c r="K782" s="55"/>
      <x:c r="L782" s="55"/>
      <x:c r="M782"/>
      <x:c r="N782"/>
      <x:c r="O782" s="54"/>
      <x:c r="P782"/>
      <x:c r="Q782"/>
      <x:c r="R782"/>
      <x:c r="S782"/>
      <x:c r="T782"/>
      <x:c r="U782" s="57"/>
      <x:c r="V782" s="57"/>
      <x:c r="W782"/>
      <x:c r="X782"/>
      <x:c r="Y782" s="38"/>
      <x:c r="Z782" s="38"/>
      <x:c r="AA782"/>
    </x:row>
    <x:row r="783">
      <x:c r="A783" s="54" t="n">
        <x:v>44377</x:v>
      </x:c>
      <x:c r="B783" t="n">
        <x:v>44377.624999988424</x:v>
      </x:c>
      <x:c r="C783" t="str">
        <x:v>010770</x:v>
      </x:c>
      <x:c r="D783" t="str">
        <x:v>평화홀딩스</x:v>
      </x:c>
      <x:c r="E783" t="str">
        <x:v>KOSPI</x:v>
      </x:c>
      <x:c r="F783" t="str">
        <x:v>SMALL</x:v>
      </x:c>
      <x:c r="G783" t="str">
        <x:v>EXCLUDED_ARCHETYPE</x:v>
      </x:c>
      <x:c r="H783" t="str">
        <x:v>FCFF_NOT_COMPARABLE_FOR_FINANCE_OR_HOLDING_HINT</x:v>
      </x:c>
      <x:c r="I783" s="54"/>
      <x:c r="J783" s="55"/>
      <x:c r="K783" s="55"/>
      <x:c r="L783" s="55"/>
      <x:c r="M783"/>
      <x:c r="N783"/>
      <x:c r="O783" s="54"/>
      <x:c r="P783"/>
      <x:c r="Q783"/>
      <x:c r="R783"/>
      <x:c r="S783"/>
      <x:c r="T783"/>
      <x:c r="U783" s="57"/>
      <x:c r="V783" s="57"/>
      <x:c r="W783"/>
      <x:c r="X783"/>
      <x:c r="Y783" s="38"/>
      <x:c r="Z783" s="38"/>
      <x:c r="AA783"/>
    </x:row>
    <x:row r="784">
      <x:c r="A784" s="54" t="n">
        <x:v>44377</x:v>
      </x:c>
      <x:c r="B784" t="n">
        <x:v>44377.624999988424</x:v>
      </x:c>
      <x:c r="C784" t="str">
        <x:v>001290</x:v>
      </x:c>
      <x:c r="D784" t="str">
        <x:v>상상인증권</x:v>
      </x:c>
      <x:c r="E784" t="str">
        <x:v>KOSPI</x:v>
      </x:c>
      <x:c r="F784" t="str">
        <x:v>SMALL</x:v>
      </x:c>
      <x:c r="G784" t="str">
        <x:v>EXCLUDED_ARCHETYPE</x:v>
      </x:c>
      <x:c r="H784" t="str">
        <x:v>FCFF_NOT_COMPARABLE_FOR_FINANCE_OR_HOLDING_HINT</x:v>
      </x:c>
      <x:c r="I784" s="54"/>
      <x:c r="J784" s="55"/>
      <x:c r="K784" s="55"/>
      <x:c r="L784" s="55"/>
      <x:c r="M784"/>
      <x:c r="N784"/>
      <x:c r="O784" s="54"/>
      <x:c r="P784"/>
      <x:c r="Q784"/>
      <x:c r="R784"/>
      <x:c r="S784"/>
      <x:c r="T784"/>
      <x:c r="U784" s="57"/>
      <x:c r="V784" s="57"/>
      <x:c r="W784"/>
      <x:c r="X784"/>
      <x:c r="Y784" s="38"/>
      <x:c r="Z784" s="38"/>
      <x:c r="AA784"/>
    </x:row>
    <x:row r="785">
      <x:c r="A785" s="54" t="n">
        <x:v>44377</x:v>
      </x:c>
      <x:c r="B785" t="n">
        <x:v>44377.624999988424</x:v>
      </x:c>
      <x:c r="C785" t="str">
        <x:v>047400</x:v>
      </x:c>
      <x:c r="D785" t="str">
        <x:v>유니온머티리얼</x:v>
      </x:c>
      <x:c r="E785" t="str">
        <x:v>KOSPI</x:v>
      </x:c>
      <x:c r="F785" t="str">
        <x:v>SMALL</x:v>
      </x:c>
      <x:c r="G785" t="str">
        <x:v>DCF_SCREENING_EXCLUSION</x:v>
      </x:c>
      <x:c r="H785" t="str">
        <x:v>NON_POSITIVE_ENTERPRISE_VALUE|NON_POSITIVE_EQUITY_VALUE|NON_POSITIVE_TERMINAL_FCF</x:v>
      </x:c>
      <x:c r="I785" s="54" t="n">
        <x:v>44377</x:v>
      </x:c>
      <x:c r="J785" s="55" t="n">
        <x:v>4015</x:v>
      </x:c>
      <x:c r="K785" s="55" t="n">
        <x:v>168630000000</x:v>
      </x:c>
      <x:c r="L785" s="55" t="n">
        <x:v>42000000</x:v>
      </x:c>
      <x:c r="M785" t="str">
        <x:v>20210324000592</x:v>
      </x:c>
      <x:c r="N785" t="n">
        <x:v>44279.624999988424</x:v>
      </x:c>
      <x:c r="O785" s="54" t="n">
        <x:v>44196</x:v>
      </x:c>
      <x:c r="P785" t="str">
        <x:v>True</x:v>
      </x:c>
      <x:c r="Q785" t="str">
        <x:v>2faed762bece4efe260acd74c17d74346c8ef6aa6f53afdefa1b978c7dc7d052</x:v>
      </x:c>
      <x:c r="R785" t="str">
        <x:v>31d12ab9f9e271f68ae744302cac793c6f69bc826b0d79a0a29618eb0857f543</x:v>
      </x:c>
      <x:c r="S785" t="n">
        <x:v>7</x:v>
      </x:c>
      <x:c r="T785" t="str">
        <x:v>2018-12-31|2019-12-31|2020-12-31</x:v>
      </x:c>
      <x:c r="U785" s="57" t="n">
        <x:v>-2229.2135837385426</x:v>
      </x:c>
      <x:c r="V785" s="57" t="n">
        <x:v>-1.555221315999637</x:v>
      </x:c>
      <x:c r="W785"/>
      <x:c r="X785"/>
      <x:c r="Y785" s="38" t="n">
        <x:v>0.6409090909090909</x:v>
      </x:c>
      <x:c r="Z785" s="38" t="n">
        <x:v>0.6735834371960262</x:v>
      </x:c>
      <x:c r="AA785" t="str">
        <x:v>NON_POSITIVE_ENTERPRISE_VALUE|NON_POSITIVE_EQUITY_VALUE|NON_POSITIVE_TERMINAL_FCF</x:v>
      </x:c>
    </x:row>
    <x:row r="786">
      <x:c r="A786" s="54" t="n">
        <x:v>44377</x:v>
      </x:c>
      <x:c r="B786" t="n">
        <x:v>44377.624999988424</x:v>
      </x:c>
      <x:c r="C786" t="str">
        <x:v>011300</x:v>
      </x:c>
      <x:c r="D786" t="str">
        <x:v>성안머티리얼스</x:v>
      </x:c>
      <x:c r="E786" t="str">
        <x:v>KOSPI</x:v>
      </x:c>
      <x:c r="F786" t="str">
        <x:v>SMALL</x:v>
      </x:c>
      <x:c r="G786" t="str">
        <x:v>DCF_SCREENING_EXCLUSION</x:v>
      </x:c>
      <x:c r="H786" t="str">
        <x:v>NON_POSITIVE_ENTERPRISE_VALUE|NON_POSITIVE_EQUITY_VALUE|NON_POSITIVE_TERMINAL_FCF</x:v>
      </x:c>
      <x:c r="I786" s="54" t="n">
        <x:v>44377</x:v>
      </x:c>
      <x:c r="J786" s="55" t="n">
        <x:v>787</x:v>
      </x:c>
      <x:c r="K786" s="55" t="n">
        <x:v>44747135820</x:v>
      </x:c>
      <x:c r="L786" s="55" t="n">
        <x:v>56857860</x:v>
      </x:c>
      <x:c r="M786" t="str">
        <x:v>20210322001033</x:v>
      </x:c>
      <x:c r="N786" t="n">
        <x:v>44277.624999988424</x:v>
      </x:c>
      <x:c r="O786" s="54" t="n">
        <x:v>44196</x:v>
      </x:c>
      <x:c r="P786" t="str">
        <x:v>False</x:v>
      </x:c>
      <x:c r="Q786" t="str">
        <x:v>2106ea223b55759e99c628e42f0aa4dd1146510d88b1409612128df1eff9bb36</x:v>
      </x:c>
      <x:c r="R786" t="str">
        <x:v>1bd0848bc249c4a18db15bd306d437f4d88fa539be03604db1eecc8b9aa8505f</x:v>
      </x:c>
      <x:c r="S786" t="n">
        <x:v>7</x:v>
      </x:c>
      <x:c r="T786" t="str">
        <x:v>2018-12-31|2019-12-31|2020-12-31</x:v>
      </x:c>
      <x:c r="U786" s="57" t="n">
        <x:v>-553.6379200498221</x:v>
      </x:c>
      <x:c r="V786" s="57" t="n">
        <x:v>-1.7034789327189608</x:v>
      </x:c>
      <x:c r="W786"/>
      <x:c r="X786"/>
      <x:c r="Y786" s="38" t="n">
        <x:v>0.6409090909090909</x:v>
      </x:c>
      <x:c r="Z786" s="38" t="n">
        <x:v>0.5433432522394165</x:v>
      </x:c>
      <x:c r="AA786" t="str">
        <x:v>NON_POSITIVE_ENTERPRISE_VALUE|NON_POSITIVE_EQUITY_VALUE|NON_POSITIVE_TERMINAL_FCF</x:v>
      </x:c>
    </x:row>
    <x:row r="787">
      <x:c r="A787" s="54" t="n">
        <x:v>44377</x:v>
      </x:c>
      <x:c r="B787" t="n">
        <x:v>44377.624999988424</x:v>
      </x:c>
      <x:c r="C787" t="str">
        <x:v>018500</x:v>
      </x:c>
      <x:c r="D787" t="str">
        <x:v>동원금속</x:v>
      </x:c>
      <x:c r="E787" t="str">
        <x:v>KOSPI</x:v>
      </x:c>
      <x:c r="F787" t="str">
        <x:v>SMALL</x:v>
      </x:c>
      <x:c r="G787" t="str">
        <x:v>DCF_SCREENING_EXCLUSION</x:v>
      </x:c>
      <x:c r="H787" t="str">
        <x:v>NON_POSITIVE_ENTERPRISE_VALUE|NON_POSITIVE_EQUITY_VALUE|NON_POSITIVE_TERMINAL_FCF</x:v>
      </x:c>
      <x:c r="I787" s="54" t="n">
        <x:v>44377</x:v>
      </x:c>
      <x:c r="J787" s="55" t="n">
        <x:v>1105</x:v>
      </x:c>
      <x:c r="K787" s="55" t="n">
        <x:v>51664200965</x:v>
      </x:c>
      <x:c r="L787" s="55" t="n">
        <x:v>46754933</x:v>
      </x:c>
      <x:c r="M787" t="str">
        <x:v>20210628000381</x:v>
      </x:c>
      <x:c r="N787" t="n">
        <x:v>44375.624999988424</x:v>
      </x:c>
      <x:c r="O787" s="54" t="n">
        <x:v>44286</x:v>
      </x:c>
      <x:c r="P787" t="str">
        <x:v>False</x:v>
      </x:c>
      <x:c r="Q787" t="str">
        <x:v>8b4d8af9368216f87d40a2dfdaf0ba422ce849283656231565148d6f83382aa3</x:v>
      </x:c>
      <x:c r="R787" t="str">
        <x:v>b0a96fa25d0c5eb81bd962e883dcb6fd3dc4528371208df3b37ac3b3c55ded03</x:v>
      </x:c>
      <x:c r="S787" t="n">
        <x:v>6</x:v>
      </x:c>
      <x:c r="T787" t="str">
        <x:v>2019-03-31|2020-03-31|2021-03-31</x:v>
      </x:c>
      <x:c r="U787" s="57" t="n">
        <x:v>-5809.189378425994</x:v>
      </x:c>
      <x:c r="V787" s="57" t="n">
        <x:v>-6.257184957851578</x:v>
      </x:c>
      <x:c r="W787"/>
      <x:c r="X787"/>
      <x:c r="Y787" s="38" t="n">
        <x:v>0.6409090909090909</x:v>
      </x:c>
      <x:c r="Z787" s="38" t="n">
        <x:v>0.6275845905541696</x:v>
      </x:c>
      <x:c r="AA787" t="str">
        <x:v>NON_POSITIVE_ENTERPRISE_VALUE|NON_POSITIVE_EQUITY_VALUE|NON_POSITIVE_TERMINAL_FCF</x:v>
      </x:c>
    </x:row>
    <x:row r="788">
      <x:c r="A788" s="54" t="n">
        <x:v>44377</x:v>
      </x:c>
      <x:c r="B788" t="n">
        <x:v>44377.624999988424</x:v>
      </x:c>
      <x:c r="C788" t="str">
        <x:v>004770</x:v>
      </x:c>
      <x:c r="D788" t="str">
        <x:v>써니전자</x:v>
      </x:c>
      <x:c r="E788" t="str">
        <x:v>KOSPI</x:v>
      </x:c>
      <x:c r="F788" t="str">
        <x:v>SMALL</x:v>
      </x:c>
      <x:c r="G788" t="str">
        <x:v>ELIGIBLE</x:v>
      </x:c>
      <x:c r="H788"/>
      <x:c r="I788" s="54" t="n">
        <x:v>44377</x:v>
      </x:c>
      <x:c r="J788" s="55" t="n">
        <x:v>3690</x:v>
      </x:c>
      <x:c r="K788" s="55" t="n">
        <x:v>128578090590</x:v>
      </x:c>
      <x:c r="L788" s="55" t="n">
        <x:v>34845011</x:v>
      </x:c>
      <x:c r="M788" t="str">
        <x:v>20210318001127</x:v>
      </x:c>
      <x:c r="N788" t="n">
        <x:v>44273.624999988424</x:v>
      </x:c>
      <x:c r="O788" s="54" t="n">
        <x:v>44196</x:v>
      </x:c>
      <x:c r="P788" t="str">
        <x:v>False</x:v>
      </x:c>
      <x:c r="Q788" t="str">
        <x:v>8b46655e02d4d6df87342d4e9f3beed4234a02867bf3c0cc2acaf8a4b4b8ceff</x:v>
      </x:c>
      <x:c r="R788" t="str">
        <x:v>2d64983843eedd99a29c8a305de0e6225eef28cdaaf42e87f829e3e2ae667fae</x:v>
      </x:c>
      <x:c r="S788" t="n">
        <x:v>7</x:v>
      </x:c>
      <x:c r="T788" t="str">
        <x:v>2018-12-31|2019-12-31|2020-12-31</x:v>
      </x:c>
      <x:c r="U788" s="57" t="n">
        <x:v>377.3620034860074</x:v>
      </x:c>
      <x:c r="V788" s="57" t="n">
        <x:v>-0.897733874394036</x:v>
      </x:c>
      <x:c r="W788" t="n">
        <x:v>55</x:v>
      </x:c>
      <x:c r="X788" t="n">
        <x:v>5</x:v>
      </x:c>
      <x:c r="Y788" s="38" t="n">
        <x:v>0.6409090909090909</x:v>
      </x:c>
      <x:c r="Z788" s="38" t="n">
        <x:v>0.6197720007781818</x:v>
      </x:c>
      <x:c r="AA788"/>
    </x:row>
    <x:row r="789">
      <x:c r="A789" s="54" t="n">
        <x:v>44377</x:v>
      </x:c>
      <x:c r="B789" t="n">
        <x:v>44377.624999988424</x:v>
      </x:c>
      <x:c r="C789" t="str">
        <x:v>000890</x:v>
      </x:c>
      <x:c r="D789" t="str">
        <x:v>보해양조</x:v>
      </x:c>
      <x:c r="E789" t="str">
        <x:v>KOSPI</x:v>
      </x:c>
      <x:c r="F789" t="str">
        <x:v>SMALL</x:v>
      </x:c>
      <x:c r="G789" t="str">
        <x:v>DCF_SCREENING_EXCLUSION</x:v>
      </x:c>
      <x:c r="H789" t="str">
        <x:v>NON_POSITIVE_ENTERPRISE_VALUE|NON_POSITIVE_EQUITY_VALUE|NON_POSITIVE_TERMINAL_FCF</x:v>
      </x:c>
      <x:c r="I789" s="54" t="n">
        <x:v>44377</x:v>
      </x:c>
      <x:c r="J789" s="55" t="n">
        <x:v>1220</x:v>
      </x:c>
      <x:c r="K789" s="55" t="n">
        <x:v>166878894380</x:v>
      </x:c>
      <x:c r="L789" s="55" t="n">
        <x:v>136785979</x:v>
      </x:c>
      <x:c r="M789" t="str">
        <x:v>20210319001392</x:v>
      </x:c>
      <x:c r="N789" t="n">
        <x:v>44274.624999988424</x:v>
      </x:c>
      <x:c r="O789" s="54" t="n">
        <x:v>44196</x:v>
      </x:c>
      <x:c r="P789" t="str">
        <x:v>False</x:v>
      </x:c>
      <x:c r="Q789" t="str">
        <x:v>3ebd0ea485dc0545ca2c22786df39759939993a7fe3ad4d4e499c45ece23d6af</x:v>
      </x:c>
      <x:c r="R789" t="str">
        <x:v>3d3a12bbb7c7aba20832505d64161e571ecfdd76d0d3491c6f35c84ea3ed6531</x:v>
      </x:c>
      <x:c r="S789" t="n">
        <x:v>6</x:v>
      </x:c>
      <x:c r="T789" t="str">
        <x:v>2018-12-31|2019-12-31|2020-12-31</x:v>
      </x:c>
      <x:c r="U789" s="57" t="n">
        <x:v>-639.2960277060148</x:v>
      </x:c>
      <x:c r="V789" s="57" t="n">
        <x:v>-1.5240131374639465</x:v>
      </x:c>
      <x:c r="W789"/>
      <x:c r="X789"/>
      <x:c r="Y789" s="38" t="n">
        <x:v>0.6409090909090909</x:v>
      </x:c>
      <x:c r="Z789" s="38" t="n">
        <x:v>0.8074010878060912</x:v>
      </x:c>
      <x:c r="AA789" t="str">
        <x:v>NON_POSITIVE_ENTERPRISE_VALUE|NON_POSITIVE_EQUITY_VALUE|NON_POSITIVE_TERMINAL_FCF</x:v>
      </x:c>
    </x:row>
    <x:row r="790">
      <x:c r="A790" s="54" t="n">
        <x:v>44377</x:v>
      </x:c>
      <x:c r="B790" t="n">
        <x:v>44377.624999988424</x:v>
      </x:c>
      <x:c r="C790" t="str">
        <x:v>021050</x:v>
      </x:c>
      <x:c r="D790" t="str">
        <x:v>서원</x:v>
      </x:c>
      <x:c r="E790" t="str">
        <x:v>KOSPI</x:v>
      </x:c>
      <x:c r="F790" t="str">
        <x:v>SMALL</x:v>
      </x:c>
      <x:c r="G790" t="str">
        <x:v>DCF_SCREENING_EXCLUSION</x:v>
      </x:c>
      <x:c r="H790" t="str">
        <x:v>NON_POSITIVE_EQUITY_VALUE</x:v>
      </x:c>
      <x:c r="I790" s="54" t="n">
        <x:v>44377</x:v>
      </x:c>
      <x:c r="J790" s="55" t="n">
        <x:v>2825</x:v>
      </x:c>
      <x:c r="K790" s="55" t="n">
        <x:v>134115716750</x:v>
      </x:c>
      <x:c r="L790" s="55" t="n">
        <x:v>47474590</x:v>
      </x:c>
      <x:c r="M790" t="str">
        <x:v>20210316000275</x:v>
      </x:c>
      <x:c r="N790" t="n">
        <x:v>44271.624999988424</x:v>
      </x:c>
      <x:c r="O790" s="54" t="n">
        <x:v>44196</x:v>
      </x:c>
      <x:c r="P790" t="str">
        <x:v>True</x:v>
      </x:c>
      <x:c r="Q790" t="str">
        <x:v>73efdb882c6dbec046e0a85be6bef5efcbde2e790f362d5f982aa2fa5d60c28d</x:v>
      </x:c>
      <x:c r="R790" t="str">
        <x:v>d801b90908bf67fc81182c96dfe87d2f4a696a641f898a93e9a55fc352c3b288</x:v>
      </x:c>
      <x:c r="S790" t="n">
        <x:v>6</x:v>
      </x:c>
      <x:c r="T790" t="str">
        <x:v>2018-12-31|2019-12-31|2020-12-31</x:v>
      </x:c>
      <x:c r="U790" s="57" t="n">
        <x:v>-702.0651112505049</x:v>
      </x:c>
      <x:c r="V790" s="57" t="n">
        <x:v>-1.2485186234515062</x:v>
      </x:c>
      <x:c r="W790"/>
      <x:c r="X790"/>
      <x:c r="Y790" s="38" t="n">
        <x:v>0.6409090909090909</x:v>
      </x:c>
      <x:c r="Z790" s="38" t="n">
        <x:v>0.4852218699058834</x:v>
      </x:c>
      <x:c r="AA790" t="str">
        <x:v>NON_POSITIVE_EQUITY_VALUE</x:v>
      </x:c>
    </x:row>
    <x:row r="791">
      <x:c r="A791" s="54" t="n">
        <x:v>44377</x:v>
      </x:c>
      <x:c r="B791" t="n">
        <x:v>44377.624999988424</x:v>
      </x:c>
      <x:c r="C791" t="str">
        <x:v>134790</x:v>
      </x:c>
      <x:c r="D791" t="str">
        <x:v>시디즈</x:v>
      </x:c>
      <x:c r="E791" t="str">
        <x:v>KOSPI</x:v>
      </x:c>
      <x:c r="F791" t="str">
        <x:v>SMALL</x:v>
      </x:c>
      <x:c r="G791" t="str">
        <x:v>ELIGIBLE</x:v>
      </x:c>
      <x:c r="H791"/>
      <x:c r="I791" s="54" t="n">
        <x:v>44377</x:v>
      </x:c>
      <x:c r="J791" s="55" t="n">
        <x:v>72900</x:v>
      </x:c>
      <x:c r="K791" s="55" t="n">
        <x:v>145800000000</x:v>
      </x:c>
      <x:c r="L791" s="55" t="n">
        <x:v>2000000</x:v>
      </x:c>
      <x:c r="M791" t="str">
        <x:v>20210318001352</x:v>
      </x:c>
      <x:c r="N791" t="n">
        <x:v>44273.624999988424</x:v>
      </x:c>
      <x:c r="O791" s="54" t="n">
        <x:v>44196</x:v>
      </x:c>
      <x:c r="P791" t="str">
        <x:v>False</x:v>
      </x:c>
      <x:c r="Q791" t="str">
        <x:v>bbec5051fd7d2963b05c2d67dd553210910a0744b4b4b13709d57f8439cfb581</x:v>
      </x:c>
      <x:c r="R791" t="str">
        <x:v>333f706df33904358aee96356488abe24966bbf4f443d47f133e4e13da34c87f</x:v>
      </x:c>
      <x:c r="S791" t="n">
        <x:v>5</x:v>
      </x:c>
      <x:c r="T791" t="str">
        <x:v>2018-12-31|2019-12-31|2020-12-31</x:v>
      </x:c>
      <x:c r="U791" s="57" t="n">
        <x:v>65913.62002204965</x:v>
      </x:c>
      <x:c r="V791" s="57" t="n">
        <x:v>-0.09583511629561525</x:v>
      </x:c>
      <x:c r="W791" t="n">
        <x:v>15</x:v>
      </x:c>
      <x:c r="X791" t="n">
        <x:v>2</x:v>
      </x:c>
      <x:c r="Y791" s="38" t="n">
        <x:v>0.6409090909090909</x:v>
      </x:c>
      <x:c r="Z791" s="38" t="n">
        <x:v>0.5427113498275224</x:v>
      </x:c>
      <x:c r="AA791"/>
    </x:row>
    <x:row r="792">
      <x:c r="A792" s="54" t="n">
        <x:v>44377</x:v>
      </x:c>
      <x:c r="B792" t="n">
        <x:v>44377.624999988424</x:v>
      </x:c>
      <x:c r="C792" t="str">
        <x:v>004920</x:v>
      </x:c>
      <x:c r="D792" t="str">
        <x:v>씨아이테크</x:v>
      </x:c>
      <x:c r="E792" t="str">
        <x:v>KOSPI</x:v>
      </x:c>
      <x:c r="F792" t="str">
        <x:v>SMALL</x:v>
      </x:c>
      <x:c r="G792" t="str">
        <x:v>DCF_SCREENING_EXCLUSION</x:v>
      </x:c>
      <x:c r="H792" t="str">
        <x:v>NON_POSITIVE_ENTERPRISE_VALUE|NON_POSITIVE_EQUITY_VALUE|NON_POSITIVE_TERMINAL_FCF</x:v>
      </x:c>
      <x:c r="I792" s="54" t="n">
        <x:v>44377</x:v>
      </x:c>
      <x:c r="J792" s="55" t="n">
        <x:v>1450</x:v>
      </x:c>
      <x:c r="K792" s="55" t="n">
        <x:v>57929992550</x:v>
      </x:c>
      <x:c r="L792" s="55" t="n">
        <x:v>39951719</x:v>
      </x:c>
      <x:c r="M792" t="str">
        <x:v>20210517001174</x:v>
      </x:c>
      <x:c r="N792" t="n">
        <x:v>44333.624999988424</x:v>
      </x:c>
      <x:c r="O792" s="54" t="n">
        <x:v>44196</x:v>
      </x:c>
      <x:c r="P792" t="str">
        <x:v>True</x:v>
      </x:c>
      <x:c r="Q792" t="str">
        <x:v>66e8d18c70a6324482b58b5b75526fe2324b78ec82bb3ca7dc4551e741147840</x:v>
      </x:c>
      <x:c r="R792" t="str">
        <x:v>5c8e319f2a8f315cf510b2d1e565b645c500fdf05714c6435f217b28c907a455</x:v>
      </x:c>
      <x:c r="S792" t="n">
        <x:v>6</x:v>
      </x:c>
      <x:c r="T792" t="str">
        <x:v>2018-12-31|2019-12-31|2020-12-31</x:v>
      </x:c>
      <x:c r="U792" s="57" t="n">
        <x:v>-1237.1042599933216</x:v>
      </x:c>
      <x:c r="V792" s="57" t="n">
        <x:v>-1.8531753517195322</x:v>
      </x:c>
      <x:c r="W792"/>
      <x:c r="X792"/>
      <x:c r="Y792" s="38" t="n">
        <x:v>0.6409090909090909</x:v>
      </x:c>
      <x:c r="Z792" s="38" t="n">
        <x:v>0.6486341432306945</x:v>
      </x:c>
      <x:c r="AA792" t="str">
        <x:v>NON_POSITIVE_ENTERPRISE_VALUE|NON_POSITIVE_EQUITY_VALUE|NON_POSITIVE_TERMINAL_FCF</x:v>
      </x:c>
    </x:row>
    <x:row r="793">
      <x:c r="A793" s="54" t="n">
        <x:v>44377</x:v>
      </x:c>
      <x:c r="B793" t="n">
        <x:v>44377.624999988424</x:v>
      </x:c>
      <x:c r="C793" t="str">
        <x:v>058730</x:v>
      </x:c>
      <x:c r="D793" t="str">
        <x:v>다스코</x:v>
      </x:c>
      <x:c r="E793" t="str">
        <x:v>KOSPI</x:v>
      </x:c>
      <x:c r="F793" t="str">
        <x:v>SMALL</x:v>
      </x:c>
      <x:c r="G793" t="str">
        <x:v>DCF_SCREENING_EXCLUSION</x:v>
      </x:c>
      <x:c r="H793" t="str">
        <x:v>NON_POSITIVE_ENTERPRISE_VALUE|NON_POSITIVE_EQUITY_VALUE|NON_POSITIVE_TERMINAL_FCF</x:v>
      </x:c>
      <x:c r="I793" s="54" t="n">
        <x:v>44377</x:v>
      </x:c>
      <x:c r="J793" s="55" t="n">
        <x:v>5900</x:v>
      </x:c>
      <x:c r="K793" s="55" t="n">
        <x:v>96170000000</x:v>
      </x:c>
      <x:c r="L793" s="55" t="n">
        <x:v>16300000</x:v>
      </x:c>
      <x:c r="M793" t="str">
        <x:v>20210316001150</x:v>
      </x:c>
      <x:c r="N793" t="n">
        <x:v>44271.624999988424</x:v>
      </x:c>
      <x:c r="O793" s="54" t="n">
        <x:v>44196</x:v>
      </x:c>
      <x:c r="P793" t="str">
        <x:v>False</x:v>
      </x:c>
      <x:c r="Q793" t="str">
        <x:v>8dfc70c6b5993aec2efab81d35934041997bfd958270fd3a3d944e267a7efbba</x:v>
      </x:c>
      <x:c r="R793" t="str">
        <x:v>010b4042ec3eefbdf97231545d2680dde64fc7665586c51d7e217cd2b1fccaa4</x:v>
      </x:c>
      <x:c r="S793" t="n">
        <x:v>7</x:v>
      </x:c>
      <x:c r="T793" t="str">
        <x:v>2019-12-31|2020-12-31</x:v>
      </x:c>
      <x:c r="U793" s="57" t="n">
        <x:v>-14268.688141973329</x:v>
      </x:c>
      <x:c r="V793" s="57" t="n">
        <x:v>-3.4184217189785304</x:v>
      </x:c>
      <x:c r="W793"/>
      <x:c r="X793"/>
      <x:c r="Y793" s="38" t="n">
        <x:v>0.6409090909090909</x:v>
      </x:c>
      <x:c r="Z793" s="38" t="n">
        <x:v>0.5914021055729185</x:v>
      </x:c>
      <x:c r="AA793" t="str">
        <x:v>NON_POSITIVE_ENTERPRISE_VALUE|NON_POSITIVE_EQUITY_VALUE|NON_POSITIVE_TERMINAL_FCF</x:v>
      </x:c>
    </x:row>
    <x:row r="794">
      <x:c r="A794" s="54" t="n">
        <x:v>44377</x:v>
      </x:c>
      <x:c r="B794" t="n">
        <x:v>44377.624999988424</x:v>
      </x:c>
      <x:c r="C794" t="str">
        <x:v>465770</x:v>
      </x:c>
      <x:c r="D794" t="str">
        <x:v>STX그린로지스</x:v>
      </x:c>
      <x:c r="E794" t="str">
        <x:v>KOSPI</x:v>
      </x:c>
      <x:c r="F794" t="str">
        <x:v>SMALL</x:v>
      </x:c>
      <x:c r="G794" t="str">
        <x:v>NOT_LISTED_OR_NO_PRICE</x:v>
      </x:c>
      <x:c r="H794"/>
      <x:c r="I794" s="54"/>
      <x:c r="J794" s="55"/>
      <x:c r="K794" s="55"/>
      <x:c r="L794" s="55"/>
      <x:c r="M794"/>
      <x:c r="N794"/>
      <x:c r="O794" s="54"/>
      <x:c r="P794"/>
      <x:c r="Q794"/>
      <x:c r="R794"/>
      <x:c r="S794"/>
      <x:c r="T794"/>
      <x:c r="U794" s="57"/>
      <x:c r="V794" s="57"/>
      <x:c r="W794"/>
      <x:c r="X794"/>
      <x:c r="Y794" s="38"/>
      <x:c r="Z794" s="38"/>
      <x:c r="AA794"/>
    </x:row>
    <x:row r="795">
      <x:c r="A795" s="54" t="n">
        <x:v>44377</x:v>
      </x:c>
      <x:c r="B795" t="n">
        <x:v>44377.624999988424</x:v>
      </x:c>
      <x:c r="C795" t="str">
        <x:v>000950</x:v>
      </x:c>
      <x:c r="D795" t="str">
        <x:v>전방</x:v>
      </x:c>
      <x:c r="E795" t="str">
        <x:v>KOSPI</x:v>
      </x:c>
      <x:c r="F795" t="str">
        <x:v>SMALL</x:v>
      </x:c>
      <x:c r="G795" t="str">
        <x:v>DCF_SCREENING_EXCLUSION</x:v>
      </x:c>
      <x:c r="H795" t="str">
        <x:v>NON_POSITIVE_ENTERPRISE_VALUE|NON_POSITIVE_EQUITY_VALUE|NON_POSITIVE_TERMINAL_FCF</x:v>
      </x:c>
      <x:c r="I795" s="54" t="n">
        <x:v>44377</x:v>
      </x:c>
      <x:c r="J795" s="55" t="n">
        <x:v>39950</x:v>
      </x:c>
      <x:c r="K795" s="55" t="n">
        <x:v>67116000000</x:v>
      </x:c>
      <x:c r="L795" s="55" t="n">
        <x:v>1680000</x:v>
      </x:c>
      <x:c r="M795" t="str">
        <x:v>20210318001043</x:v>
      </x:c>
      <x:c r="N795" t="n">
        <x:v>44273.624999988424</x:v>
      </x:c>
      <x:c r="O795" s="54" t="n">
        <x:v>44196</x:v>
      </x:c>
      <x:c r="P795" t="str">
        <x:v>True</x:v>
      </x:c>
      <x:c r="Q795" t="str">
        <x:v>b9fce772dc76b7ae2389c35c5f42b15687248a14ec4558001dc0b3fd7b82c14f</x:v>
      </x:c>
      <x:c r="R795" t="str">
        <x:v>b2af0a79a767b6ea71178f9d2c455f0dc00e1e9c048e495347b3014fccc714b3</x:v>
      </x:c>
      <x:c r="S795" t="n">
        <x:v>6</x:v>
      </x:c>
      <x:c r="T795" t="str">
        <x:v>2018-12-31|2019-12-31|2020-12-31</x:v>
      </x:c>
      <x:c r="U795" s="57" t="n">
        <x:v>-162503.159462934</x:v>
      </x:c>
      <x:c r="V795" s="57" t="n">
        <x:v>-5.067663566030889</x:v>
      </x:c>
      <x:c r="W795"/>
      <x:c r="X795"/>
      <x:c r="Y795" s="38" t="n">
        <x:v>0.6409090909090909</x:v>
      </x:c>
      <x:c r="Z795" s="38" t="n">
        <x:v>0.6472126296725118</x:v>
      </x:c>
      <x:c r="AA795" t="str">
        <x:v>NON_POSITIVE_ENTERPRISE_VALUE|NON_POSITIVE_EQUITY_VALUE|NON_POSITIVE_TERMINAL_FCF</x:v>
      </x:c>
    </x:row>
    <x:row r="796">
      <x:c r="A796" s="54" t="n">
        <x:v>44377</x:v>
      </x:c>
      <x:c r="B796" t="n">
        <x:v>44377.624999988424</x:v>
      </x:c>
      <x:c r="C796" t="str">
        <x:v>019180</x:v>
      </x:c>
      <x:c r="D796" t="str">
        <x:v>티에이치엔</x:v>
      </x:c>
      <x:c r="E796" t="str">
        <x:v>KOSPI</x:v>
      </x:c>
      <x:c r="F796" t="str">
        <x:v>SMALL</x:v>
      </x:c>
      <x:c r="G796" t="str">
        <x:v>DCF_SCREENING_EXCLUSION</x:v>
      </x:c>
      <x:c r="H796" t="str">
        <x:v>NON_POSITIVE_EQUITY_VALUE</x:v>
      </x:c>
      <x:c r="I796" s="54" t="n">
        <x:v>44377</x:v>
      </x:c>
      <x:c r="J796" s="55" t="n">
        <x:v>3930</x:v>
      </x:c>
      <x:c r="K796" s="55" t="n">
        <x:v>70740000000</x:v>
      </x:c>
      <x:c r="L796" s="55" t="n">
        <x:v>18000000</x:v>
      </x:c>
      <x:c r="M796" t="str">
        <x:v>20210322000959</x:v>
      </x:c>
      <x:c r="N796" t="n">
        <x:v>44277.624999988424</x:v>
      </x:c>
      <x:c r="O796" s="54" t="n">
        <x:v>44196</x:v>
      </x:c>
      <x:c r="P796" t="str">
        <x:v>False</x:v>
      </x:c>
      <x:c r="Q796" t="str">
        <x:v>dcc2eb809f089d8f0282266cd53a4e0a7dffd3144c6f92583d2a74e829b95a88</x:v>
      </x:c>
      <x:c r="R796" t="str">
        <x:v>45f16c0a252fa9b1dfc1521848f4f7956a7b81d8e6aca21436581ee34fc2bd09</x:v>
      </x:c>
      <x:c r="S796" t="n">
        <x:v>6</x:v>
      </x:c>
      <x:c r="T796" t="str">
        <x:v>2018-12-31|2019-12-31|2020-12-31</x:v>
      </x:c>
      <x:c r="U796" s="57" t="n">
        <x:v>-406.0032717832165</x:v>
      </x:c>
      <x:c r="V796" s="57" t="n">
        <x:v>-1.1033087205555259</x:v>
      </x:c>
      <x:c r="W796"/>
      <x:c r="X796"/>
      <x:c r="Y796" s="38" t="n">
        <x:v>0.6409090909090909</x:v>
      </x:c>
      <x:c r="Z796" s="38" t="n">
        <x:v>0.6691391429386849</x:v>
      </x:c>
      <x:c r="AA796" t="str">
        <x:v>NON_POSITIVE_EQUITY_VALUE</x:v>
      </x:c>
    </x:row>
    <x:row r="797">
      <x:c r="A797" s="54" t="n">
        <x:v>44377</x:v>
      </x:c>
      <x:c r="B797" t="n">
        <x:v>44377.624999988424</x:v>
      </x:c>
      <x:c r="C797" t="str">
        <x:v>020760</x:v>
      </x:c>
      <x:c r="D797" t="str">
        <x:v>일진디스플</x:v>
      </x:c>
      <x:c r="E797" t="str">
        <x:v>KOSPI</x:v>
      </x:c>
      <x:c r="F797" t="str">
        <x:v>SMALL</x:v>
      </x:c>
      <x:c r="G797" t="str">
        <x:v>DCF_SCREENING_EXCLUSION</x:v>
      </x:c>
      <x:c r="H797" t="str">
        <x:v>NON_POSITIVE_ENTERPRISE_VALUE|NON_POSITIVE_EQUITY_VALUE|NON_POSITIVE_TERMINAL_FCF</x:v>
      </x:c>
      <x:c r="I797" s="54" t="n">
        <x:v>44377</x:v>
      </x:c>
      <x:c r="J797" s="55" t="n">
        <x:v>4525</x:v>
      </x:c>
      <x:c r="K797" s="55" t="n">
        <x:v>155968994150</x:v>
      </x:c>
      <x:c r="L797" s="55" t="n">
        <x:v>34468286</x:v>
      </x:c>
      <x:c r="M797" t="str">
        <x:v>20210322000864</x:v>
      </x:c>
      <x:c r="N797" t="n">
        <x:v>44277.624999988424</x:v>
      </x:c>
      <x:c r="O797" s="54" t="n">
        <x:v>44196</x:v>
      </x:c>
      <x:c r="P797" t="str">
        <x:v>False</x:v>
      </x:c>
      <x:c r="Q797" t="str">
        <x:v>e9f4664126663cbf637197aa770940321f9f688bdb470a5399e39067f4e252f2</x:v>
      </x:c>
      <x:c r="R797" t="str">
        <x:v>6950d488aab80f446aa4eb46a2b5e0821eb5f2f08677512a5cd21decf601d04c</x:v>
      </x:c>
      <x:c r="S797" t="n">
        <x:v>6</x:v>
      </x:c>
      <x:c r="T797" t="str">
        <x:v>2018-12-31|2019-12-31|2020-12-31</x:v>
      </x:c>
      <x:c r="U797" s="57" t="n">
        <x:v>-4177.04498744415</x:v>
      </x:c>
      <x:c r="V797" s="57" t="n">
        <x:v>-1.9231038646285414</x:v>
      </x:c>
      <x:c r="W797"/>
      <x:c r="X797"/>
      <x:c r="Y797" s="38" t="n">
        <x:v>0.6409090909090909</x:v>
      </x:c>
      <x:c r="Z797" s="38" t="n">
        <x:v>0.6150493354495464</x:v>
      </x:c>
      <x:c r="AA797" t="str">
        <x:v>NON_POSITIVE_ENTERPRISE_VALUE|NON_POSITIVE_EQUITY_VALUE|NON_POSITIVE_TERMINAL_FCF</x:v>
      </x:c>
    </x:row>
    <x:row r="798">
      <x:c r="A798" s="54" t="n">
        <x:v>44377</x:v>
      </x:c>
      <x:c r="B798" t="n">
        <x:v>44377.624999988424</x:v>
      </x:c>
      <x:c r="C798" t="str">
        <x:v>069640</x:v>
      </x:c>
      <x:c r="D798" t="str">
        <x:v>한세엠케이</x:v>
      </x:c>
      <x:c r="E798" t="str">
        <x:v>KOSPI</x:v>
      </x:c>
      <x:c r="F798" t="str">
        <x:v>SMALL</x:v>
      </x:c>
      <x:c r="G798" t="str">
        <x:v>DCF_SCREENING_EXCLUSION</x:v>
      </x:c>
      <x:c r="H798" t="str">
        <x:v>NON_POSITIVE_ENTERPRISE_VALUE|NON_POSITIVE_EQUITY_VALUE|NON_POSITIVE_TERMINAL_FCF</x:v>
      </x:c>
      <x:c r="I798" s="54" t="n">
        <x:v>44377</x:v>
      </x:c>
      <x:c r="J798" s="55" t="n">
        <x:v>8850</x:v>
      </x:c>
      <x:c r="K798" s="55" t="n">
        <x:v>114247499700</x:v>
      </x:c>
      <x:c r="L798" s="55" t="n">
        <x:v>12909322</x:v>
      </x:c>
      <x:c r="M798" t="str">
        <x:v>20210317000840</x:v>
      </x:c>
      <x:c r="N798" t="n">
        <x:v>44272.624999988424</x:v>
      </x:c>
      <x:c r="O798" s="54" t="n">
        <x:v>44196</x:v>
      </x:c>
      <x:c r="P798" t="str">
        <x:v>False</x:v>
      </x:c>
      <x:c r="Q798" t="str">
        <x:v>30070d2f86e7097f4ab06bbd9e803616ed683652123719f330f3ffd5fd22061f</x:v>
      </x:c>
      <x:c r="R798" t="str">
        <x:v>1a287fbe09384b59e5d44ee21b46541e4adcd34e611491cf8692e82320de6d79</x:v>
      </x:c>
      <x:c r="S798" t="n">
        <x:v>6</x:v>
      </x:c>
      <x:c r="T798" t="str">
        <x:v>2018-12-31|2019-12-31|2020-12-31</x:v>
      </x:c>
      <x:c r="U798" s="57" t="n">
        <x:v>-10888.3580812113</x:v>
      </x:c>
      <x:c r="V798" s="57" t="n">
        <x:v>-2.230322947029525</x:v>
      </x:c>
      <x:c r="W798"/>
      <x:c r="X798"/>
      <x:c r="Y798" s="38" t="n">
        <x:v>0.6409090909090909</x:v>
      </x:c>
      <x:c r="Z798" s="38" t="n">
        <x:v>0.6903042520738043</x:v>
      </x:c>
      <x:c r="AA798" t="str">
        <x:v>NON_POSITIVE_ENTERPRISE_VALUE|NON_POSITIVE_EQUITY_VALUE|NON_POSITIVE_TERMINAL_FCF</x:v>
      </x:c>
    </x:row>
    <x:row r="799">
      <x:c r="A799" s="54" t="n">
        <x:v>44377</x:v>
      </x:c>
      <x:c r="B799" t="n">
        <x:v>44377.624999988424</x:v>
      </x:c>
      <x:c r="C799" t="str">
        <x:v>000040</x:v>
      </x:c>
      <x:c r="D799" t="str">
        <x:v>KR모터스</x:v>
      </x:c>
      <x:c r="E799" t="str">
        <x:v>KOSPI</x:v>
      </x:c>
      <x:c r="F799" t="str">
        <x:v>SMALL</x:v>
      </x:c>
      <x:c r="G799" t="str">
        <x:v>DCF_SCREENING_EXCLUSION</x:v>
      </x:c>
      <x:c r="H799" t="str">
        <x:v>NON_POSITIVE_ENTERPRISE_VALUE|NON_POSITIVE_EQUITY_VALUE|NON_POSITIVE_TERMINAL_FCF</x:v>
      </x:c>
      <x:c r="I799" s="54" t="n">
        <x:v>44377</x:v>
      </x:c>
      <x:c r="J799" s="55" t="n">
        <x:v>1225</x:v>
      </x:c>
      <x:c r="K799" s="55" t="n">
        <x:v>117768275800</x:v>
      </x:c>
      <x:c r="L799" s="55" t="n">
        <x:v>96137368</x:v>
      </x:c>
      <x:c r="M799" t="str">
        <x:v>20210322000894</x:v>
      </x:c>
      <x:c r="N799" t="n">
        <x:v>44277.624999988424</x:v>
      </x:c>
      <x:c r="O799" s="54" t="n">
        <x:v>44196</x:v>
      </x:c>
      <x:c r="P799" t="str">
        <x:v>False</x:v>
      </x:c>
      <x:c r="Q799" t="str">
        <x:v>32730308c1179d81214edd84bb6f3c6bd7008b5c3e9b979f9c1d09ea04f35077</x:v>
      </x:c>
      <x:c r="R799" t="str">
        <x:v>968b10afb418bce0ef16d9259e23e33f1bb845c955763eed1aac3733bcf42acf</x:v>
      </x:c>
      <x:c r="S799" t="n">
        <x:v>5</x:v>
      </x:c>
      <x:c r="T799" t="str">
        <x:v>2018-12-31|2019-12-31|2020-12-31</x:v>
      </x:c>
      <x:c r="U799" s="57" t="n">
        <x:v>-1947.480309538163</x:v>
      </x:c>
      <x:c r="V799" s="57" t="n">
        <x:v>-2.5897798445209492</x:v>
      </x:c>
      <x:c r="W799"/>
      <x:c r="X799"/>
      <x:c r="Y799" s="38" t="n">
        <x:v>0.6409090909090909</x:v>
      </x:c>
      <x:c r="Z799" s="38" t="n">
        <x:v>0.7887537334802602</x:v>
      </x:c>
      <x:c r="AA799" t="str">
        <x:v>NON_POSITIVE_ENTERPRISE_VALUE|NON_POSITIVE_EQUITY_VALUE|NON_POSITIVE_TERMINAL_FCF</x:v>
      </x:c>
    </x:row>
    <x:row r="800">
      <x:c r="A800" s="54" t="n">
        <x:v>44377</x:v>
      </x:c>
      <x:c r="B800" t="n">
        <x:v>44377.624999988424</x:v>
      </x:c>
      <x:c r="C800" t="str">
        <x:v>003680</x:v>
      </x:c>
      <x:c r="D800" t="str">
        <x:v>한성기업</x:v>
      </x:c>
      <x:c r="E800" t="str">
        <x:v>KOSPI</x:v>
      </x:c>
      <x:c r="F800" t="str">
        <x:v>SMALL</x:v>
      </x:c>
      <x:c r="G800" t="str">
        <x:v>DCF_SCREENING_EXCLUSION</x:v>
      </x:c>
      <x:c r="H800" t="str">
        <x:v>NON_POSITIVE_EQUITY_VALUE</x:v>
      </x:c>
      <x:c r="I800" s="54" t="n">
        <x:v>44377</x:v>
      </x:c>
      <x:c r="J800" s="55" t="n">
        <x:v>8650</x:v>
      </x:c>
      <x:c r="K800" s="55" t="n">
        <x:v>53712304750</x:v>
      </x:c>
      <x:c r="L800" s="55" t="n">
        <x:v>6209515</x:v>
      </x:c>
      <x:c r="M800" t="str">
        <x:v>20210322000152</x:v>
      </x:c>
      <x:c r="N800" t="n">
        <x:v>44277.624999988424</x:v>
      </x:c>
      <x:c r="O800" s="54" t="n">
        <x:v>44196</x:v>
      </x:c>
      <x:c r="P800" t="str">
        <x:v>True</x:v>
      </x:c>
      <x:c r="Q800" t="str">
        <x:v>efeec4d3b38f9274eedc700cd2807e8ed15ade31c6742205682368ca66029143</x:v>
      </x:c>
      <x:c r="R800" t="str">
        <x:v>bad2421615f0e13c16eb4371712d3e4dd68882d593259d2a94207c9534a038fd</x:v>
      </x:c>
      <x:c r="S800" t="n">
        <x:v>7</x:v>
      </x:c>
      <x:c r="T800" t="str">
        <x:v>2018-12-31|2019-12-31|2020-12-31</x:v>
      </x:c>
      <x:c r="U800" s="57" t="n">
        <x:v>-11051.577569534671</x:v>
      </x:c>
      <x:c r="V800" s="57" t="n">
        <x:v>-2.277639025379731</x:v>
      </x:c>
      <x:c r="W800"/>
      <x:c r="X800"/>
      <x:c r="Y800" s="38" t="n">
        <x:v>0.6409090909090909</x:v>
      </x:c>
      <x:c r="Z800" s="38" t="n">
        <x:v>0.19687524560489636</x:v>
      </x:c>
      <x:c r="AA800" t="str">
        <x:v>NON_POSITIVE_EQUITY_VALUE</x:v>
      </x:c>
    </x:row>
    <x:row r="801">
      <x:c r="A801" s="54" t="n">
        <x:v>44377</x:v>
      </x:c>
      <x:c r="B801" t="n">
        <x:v>44377.624999988424</x:v>
      </x:c>
      <x:c r="C801" t="str">
        <x:v>008600</x:v>
      </x:c>
      <x:c r="D801" t="str">
        <x:v>윌비스</x:v>
      </x:c>
      <x:c r="E801" t="str">
        <x:v>KOSPI</x:v>
      </x:c>
      <x:c r="F801" t="str">
        <x:v>SMALL</x:v>
      </x:c>
      <x:c r="G801" t="str">
        <x:v>DCF_SCREENING_EXCLUSION</x:v>
      </x:c>
      <x:c r="H801" t="str">
        <x:v>NON_POSITIVE_EQUITY_VALUE|NON_POSITIVE_TERMINAL_FCF|UNRELIABLE_TERMINAL_VALUE_SHARE</x:v>
      </x:c>
      <x:c r="I801" s="54" t="n">
        <x:v>44377</x:v>
      </x:c>
      <x:c r="J801" s="55" t="n">
        <x:v>2770</x:v>
      </x:c>
      <x:c r="K801" s="55" t="n">
        <x:v>182188196240</x:v>
      </x:c>
      <x:c r="L801" s="55" t="n">
        <x:v>65771912</x:v>
      </x:c>
      <x:c r="M801" t="str">
        <x:v>20210323000575</x:v>
      </x:c>
      <x:c r="N801" t="n">
        <x:v>44278.624999988424</x:v>
      </x:c>
      <x:c r="O801" s="54" t="n">
        <x:v>44196</x:v>
      </x:c>
      <x:c r="P801" t="str">
        <x:v>False</x:v>
      </x:c>
      <x:c r="Q801" t="str">
        <x:v>b719febfb263d74f5c1a95f9e34a3677e22a09d5a6b7a4fc66ff5c11becddb8f</x:v>
      </x:c>
      <x:c r="R801" t="str">
        <x:v>8965383f39a54d1e7c95ea3cb7e0d32a5909d20f877ae176394fcf3133590f04</x:v>
      </x:c>
      <x:c r="S801" t="n">
        <x:v>6</x:v>
      </x:c>
      <x:c r="T801" t="str">
        <x:v>2018-12-31|2019-12-31|2020-12-31</x:v>
      </x:c>
      <x:c r="U801" s="57" t="n">
        <x:v>-1915.9158885555178</x:v>
      </x:c>
      <x:c r="V801" s="57" t="n">
        <x:v>-1.6916663857601146</x:v>
      </x:c>
      <x:c r="W801"/>
      <x:c r="X801"/>
      <x:c r="Y801" s="38" t="n">
        <x:v>0.6409090909090909</x:v>
      </x:c>
      <x:c r="Z801" s="38" t="n">
        <x:v>-2.2264923648105195</x:v>
      </x:c>
      <x:c r="AA801" t="str">
        <x:v>NON_POSITIVE_EQUITY_VALUE|NON_POSITIVE_TERMINAL_FCF|UNRELIABLE_TERMINAL_VALUE_SHARE</x:v>
      </x:c>
    </x:row>
    <x:row r="802">
      <x:c r="A802" s="54" t="n">
        <x:v>44377</x:v>
      </x:c>
      <x:c r="B802" t="n">
        <x:v>44377.624999988424</x:v>
      </x:c>
      <x:c r="C802" t="str">
        <x:v>018310</x:v>
      </x:c>
      <x:c r="D802" t="str">
        <x:v>삼목에스폼</x:v>
      </x:c>
      <x:c r="E802" t="str">
        <x:v>KOSDAQ</x:v>
      </x:c>
      <x:c r="F802" t="str">
        <x:v>MID</x:v>
      </x:c>
      <x:c r="G802" t="str">
        <x:v>DCF_SCREENING_EXCLUSION</x:v>
      </x:c>
      <x:c r="H802" t="str">
        <x:v>NON_POSITIVE_ENTERPRISE_VALUE|UNRELIABLE_TERMINAL_VALUE_SHARE</x:v>
      </x:c>
      <x:c r="I802" s="54" t="n">
        <x:v>44377</x:v>
      </x:c>
      <x:c r="J802" s="55" t="n">
        <x:v>16250</x:v>
      </x:c>
      <x:c r="K802" s="55" t="n">
        <x:v>238875000000</x:v>
      </x:c>
      <x:c r="L802" s="55" t="n">
        <x:v>14700000</x:v>
      </x:c>
      <x:c r="M802" t="str">
        <x:v>20210318000660</x:v>
      </x:c>
      <x:c r="N802" t="n">
        <x:v>44273.624999988424</x:v>
      </x:c>
      <x:c r="O802" s="54" t="n">
        <x:v>44196</x:v>
      </x:c>
      <x:c r="P802" t="str">
        <x:v>False</x:v>
      </x:c>
      <x:c r="Q802" t="str">
        <x:v>0968ddf45c46f5b5ece0fa3f55863f8d70775ef917e4fe3a6b1f4cd41ceb84fd</x:v>
      </x:c>
      <x:c r="R802" t="str">
        <x:v>cf8157956af728228c6ed8ddd84096cf915b8edfe6efd9d2602309f87029c94e</x:v>
      </x:c>
      <x:c r="S802" t="n">
        <x:v>5</x:v>
      </x:c>
      <x:c r="T802" t="str">
        <x:v>2018-12-31|2019-12-31|2020-12-31</x:v>
      </x:c>
      <x:c r="U802" s="57" t="n">
        <x:v>2791.2134406764662</x:v>
      </x:c>
      <x:c r="V802" s="57" t="n">
        <x:v>-0.8282330190352944</x:v>
      </x:c>
      <x:c r="W802"/>
      <x:c r="X802"/>
      <x:c r="Y802" s="38" t="n">
        <x:v>0.6409090909090909</x:v>
      </x:c>
      <x:c r="Z802" s="38" t="n">
        <x:v>-0.7585311035244523</x:v>
      </x:c>
      <x:c r="AA802" t="str">
        <x:v>NON_POSITIVE_ENTERPRISE_VALUE|UNRELIABLE_TERMINAL_VALUE_SHARE</x:v>
      </x:c>
    </x:row>
    <x:row r="803">
      <x:c r="A803" s="54" t="n">
        <x:v>44377</x:v>
      </x:c>
      <x:c r="B803" t="n">
        <x:v>44377.624999988424</x:v>
      </x:c>
      <x:c r="C803" t="str">
        <x:v>090360</x:v>
      </x:c>
      <x:c r="D803" t="str">
        <x:v>로보스타</x:v>
      </x:c>
      <x:c r="E803" t="str">
        <x:v>KOSDAQ</x:v>
      </x:c>
      <x:c r="F803" t="str">
        <x:v>MID</x:v>
      </x:c>
      <x:c r="G803" t="str">
        <x:v>DCF_SCREENING_EXCLUSION</x:v>
      </x:c>
      <x:c r="H803" t="str">
        <x:v>NON_POSITIVE_ENTERPRISE_VALUE|NON_POSITIVE_EQUITY_VALUE|NON_POSITIVE_TERMINAL_FCF</x:v>
      </x:c>
      <x:c r="I803" s="54" t="n">
        <x:v>44377</x:v>
      </x:c>
      <x:c r="J803" s="55" t="n">
        <x:v>27500</x:v>
      </x:c>
      <x:c r="K803" s="55" t="n">
        <x:v>268125000000</x:v>
      </x:c>
      <x:c r="L803" s="55" t="n">
        <x:v>9750000</x:v>
      </x:c>
      <x:c r="M803" t="str">
        <x:v>20210318001032</x:v>
      </x:c>
      <x:c r="N803" t="n">
        <x:v>44273.624999988424</x:v>
      </x:c>
      <x:c r="O803" s="54" t="n">
        <x:v>44196</x:v>
      </x:c>
      <x:c r="P803" t="str">
        <x:v>False</x:v>
      </x:c>
      <x:c r="Q803" t="str">
        <x:v>88cb4cf0a36d9a74f35d1e6787172797f475075497b17a9d6c93468881b8ad59</x:v>
      </x:c>
      <x:c r="R803" t="str">
        <x:v>393cd3fc96dccdfcdecb18a4d5c483279ff025dd456a302734e96c47758e5d19</x:v>
      </x:c>
      <x:c r="S803" t="n">
        <x:v>5</x:v>
      </x:c>
      <x:c r="T803" t="str">
        <x:v>2018-12-31|2019-12-31|2020-12-31</x:v>
      </x:c>
      <x:c r="U803" s="57" t="n">
        <x:v>-3238.2249346541503</x:v>
      </x:c>
      <x:c r="V803" s="57" t="n">
        <x:v>-1.1177536339874237</x:v>
      </x:c>
      <x:c r="W803"/>
      <x:c r="X803"/>
      <x:c r="Y803" s="38" t="n">
        <x:v>0.6409090909090909</x:v>
      </x:c>
      <x:c r="Z803" s="38" t="n">
        <x:v>0.5481038802902851</x:v>
      </x:c>
      <x:c r="AA803" t="str">
        <x:v>NON_POSITIVE_ENTERPRISE_VALUE|NON_POSITIVE_EQUITY_VALUE|NON_POSITIVE_TERMINAL_FCF</x:v>
      </x:c>
    </x:row>
    <x:row r="804">
      <x:c r="A804" s="54" t="n">
        <x:v>44377</x:v>
      </x:c>
      <x:c r="B804" t="n">
        <x:v>44377.624999988424</x:v>
      </x:c>
      <x:c r="C804" t="str">
        <x:v>144960</x:v>
      </x:c>
      <x:c r="D804" t="str">
        <x:v>뉴파워프라즈마</x:v>
      </x:c>
      <x:c r="E804" t="str">
        <x:v>KOSDAQ</x:v>
      </x:c>
      <x:c r="F804" t="str">
        <x:v>MID</x:v>
      </x:c>
      <x:c r="G804" t="str">
        <x:v>DCF_SCREENING_EXCLUSION</x:v>
      </x:c>
      <x:c r="H804" t="str">
        <x:v>UNRELIABLE_TERMINAL_VALUE_SHARE</x:v>
      </x:c>
      <x:c r="I804" s="54" t="n">
        <x:v>44377</x:v>
      </x:c>
      <x:c r="J804" s="55" t="n">
        <x:v>6230</x:v>
      </x:c>
      <x:c r="K804" s="55" t="n">
        <x:v>272205047520</x:v>
      </x:c>
      <x:c r="L804" s="55" t="n">
        <x:v>43692624</x:v>
      </x:c>
      <x:c r="M804" t="str">
        <x:v>20210611000411</x:v>
      </x:c>
      <x:c r="N804" t="n">
        <x:v>44358.624999988424</x:v>
      </x:c>
      <x:c r="O804" s="54" t="n">
        <x:v>44196</x:v>
      </x:c>
      <x:c r="P804" t="str">
        <x:v>True</x:v>
      </x:c>
      <x:c r="Q804" t="str">
        <x:v>312f539d97d3aa1c7bb047898fcb4c436c8d81715df9c311126d80bdeb64d385</x:v>
      </x:c>
      <x:c r="R804" t="str">
        <x:v>56f6828f4ed58323e599f54630ea5479bac4b4b4597a629e367bba3d04c95997</x:v>
      </x:c>
      <x:c r="S804" t="n">
        <x:v>6</x:v>
      </x:c>
      <x:c r="T804" t="str">
        <x:v>2018-12-31|2019-12-31|2020-12-31</x:v>
      </x:c>
      <x:c r="U804" s="57" t="n">
        <x:v>324.0689461379253</x:v>
      </x:c>
      <x:c r="V804" s="57" t="n">
        <x:v>-0.9479825126584389</x:v>
      </x:c>
      <x:c r="W804"/>
      <x:c r="X804"/>
      <x:c r="Y804" s="38" t="n">
        <x:v>0.6409090909090909</x:v>
      </x:c>
      <x:c r="Z804" s="38" t="n">
        <x:v>0.9251796654018068</x:v>
      </x:c>
      <x:c r="AA804" t="str">
        <x:v>UNRELIABLE_TERMINAL_VALUE_SHARE</x:v>
      </x:c>
    </x:row>
    <x:row r="805">
      <x:c r="A805" s="54" t="n">
        <x:v>44377</x:v>
      </x:c>
      <x:c r="B805" t="n">
        <x:v>44377.624999988424</x:v>
      </x:c>
      <x:c r="C805" t="str">
        <x:v>065660</x:v>
      </x:c>
      <x:c r="D805" t="str">
        <x:v>안트로젠</x:v>
      </x:c>
      <x:c r="E805" t="str">
        <x:v>KOSDAQ</x:v>
      </x:c>
      <x:c r="F805" t="str">
        <x:v>MID</x:v>
      </x:c>
      <x:c r="G805" t="str">
        <x:v>DCF_SCREENING_EXCLUSION</x:v>
      </x:c>
      <x:c r="H805" t="str">
        <x:v>NON_POSITIVE_ENTERPRISE_VALUE|NON_POSITIVE_TERMINAL_FCF</x:v>
      </x:c>
      <x:c r="I805" s="54" t="n">
        <x:v>44377</x:v>
      </x:c>
      <x:c r="J805" s="55" t="n">
        <x:v>67200</x:v>
      </x:c>
      <x:c r="K805" s="55" t="n">
        <x:v>633147984000</x:v>
      </x:c>
      <x:c r="L805" s="55" t="n">
        <x:v>9421845</x:v>
      </x:c>
      <x:c r="M805" t="str">
        <x:v>20210610000235</x:v>
      </x:c>
      <x:c r="N805" t="n">
        <x:v>44357.624999988424</x:v>
      </x:c>
      <x:c r="O805" s="54" t="n">
        <x:v>44196</x:v>
      </x:c>
      <x:c r="P805" t="str">
        <x:v>True</x:v>
      </x:c>
      <x:c r="Q805" t="str">
        <x:v>6f61c0b1c0f9eaf34014e4a6f8dc099bb923dffcc9617963bb7066c9dcfd58eb</x:v>
      </x:c>
      <x:c r="R805" t="str">
        <x:v>9386ad6bf394bfdb870c609ce14ffd97e0eb668971e5d930b0515105d4b80aac</x:v>
      </x:c>
      <x:c r="S805" t="n">
        <x:v>7</x:v>
      </x:c>
      <x:c r="T805" t="str">
        <x:v>2018-12-31|2019-12-31|2020-12-31</x:v>
      </x:c>
      <x:c r="U805" s="57" t="n">
        <x:v>2127.6830208748315</x:v>
      </x:c>
      <x:c r="V805" s="57" t="n">
        <x:v>-0.9683380502846007</x:v>
      </x:c>
      <x:c r="W805"/>
      <x:c r="X805"/>
      <x:c r="Y805" s="38" t="n">
        <x:v>0.6409090909090909</x:v>
      </x:c>
      <x:c r="Z805" s="38" t="n">
        <x:v>0.6658765171775003</x:v>
      </x:c>
      <x:c r="AA805" t="str">
        <x:v>NON_POSITIVE_ENTERPRISE_VALUE|NON_POSITIVE_TERMINAL_FCF</x:v>
      </x:c>
    </x:row>
    <x:row r="806">
      <x:c r="A806" s="54" t="n">
        <x:v>44377</x:v>
      </x:c>
      <x:c r="B806" t="n">
        <x:v>44377.624999988424</x:v>
      </x:c>
      <x:c r="C806" t="str">
        <x:v>255220</x:v>
      </x:c>
      <x:c r="D806" t="str">
        <x:v>SG</x:v>
      </x:c>
      <x:c r="E806" t="str">
        <x:v>KOSDAQ</x:v>
      </x:c>
      <x:c r="F806" t="str">
        <x:v>MID</x:v>
      </x:c>
      <x:c r="G806" t="str">
        <x:v>DCF_SCREENING_EXCLUSION</x:v>
      </x:c>
      <x:c r="H806" t="str">
        <x:v>NON_POSITIVE_EQUITY_VALUE</x:v>
      </x:c>
      <x:c r="I806" s="54" t="n">
        <x:v>44377</x:v>
      </x:c>
      <x:c r="J806" s="55" t="n">
        <x:v>2460</x:v>
      </x:c>
      <x:c r="K806" s="55" t="n">
        <x:v>100357456440</x:v>
      </x:c>
      <x:c r="L806" s="55" t="n">
        <x:v>40795714</x:v>
      </x:c>
      <x:c r="M806" t="str">
        <x:v>20210324000133</x:v>
      </x:c>
      <x:c r="N806" t="n">
        <x:v>44279.624999988424</x:v>
      </x:c>
      <x:c r="O806" s="54" t="n">
        <x:v>44196</x:v>
      </x:c>
      <x:c r="P806" t="str">
        <x:v>False</x:v>
      </x:c>
      <x:c r="Q806" t="str">
        <x:v>0adef5a32b3a0bad9fad2d959acb393808bf778b0d2a2bfb31934aa6f5c7d6f0</x:v>
      </x:c>
      <x:c r="R806" t="str">
        <x:v>49184b327f54bf68f48deaae6b1eb6f1331aa67243bace168e6de38dee8216bb</x:v>
      </x:c>
      <x:c r="S806" t="n">
        <x:v>6</x:v>
      </x:c>
      <x:c r="T806" t="str">
        <x:v>2018-12-31|2019-12-31|2020-12-31</x:v>
      </x:c>
      <x:c r="U806" s="57" t="n">
        <x:v>-93.24776710574719</x:v>
      </x:c>
      <x:c r="V806" s="57" t="n">
        <x:v>-1.0379055963844501</x:v>
      </x:c>
      <x:c r="W806"/>
      <x:c r="X806"/>
      <x:c r="Y806" s="38" t="n">
        <x:v>0.6409090909090909</x:v>
      </x:c>
      <x:c r="Z806" s="38" t="n">
        <x:v>0.7805488705122708</x:v>
      </x:c>
      <x:c r="AA806" t="str">
        <x:v>NON_POSITIVE_EQUITY_VALUE</x:v>
      </x:c>
    </x:row>
    <x:row r="807">
      <x:c r="A807" s="54" t="n">
        <x:v>44377</x:v>
      </x:c>
      <x:c r="B807" t="n">
        <x:v>44377.624999988424</x:v>
      </x:c>
      <x:c r="C807" t="str">
        <x:v>356680</x:v>
      </x:c>
      <x:c r="D807" t="str">
        <x:v>엑스게이트</x:v>
      </x:c>
      <x:c r="E807" t="str">
        <x:v>KOSDAQ</x:v>
      </x:c>
      <x:c r="F807" t="str">
        <x:v>MID</x:v>
      </x:c>
      <x:c r="G807" t="str">
        <x:v>NOT_LISTED_OR_NO_PRICE</x:v>
      </x:c>
      <x:c r="H807"/>
      <x:c r="I807" s="54"/>
      <x:c r="J807" s="55"/>
      <x:c r="K807" s="55"/>
      <x:c r="L807" s="55"/>
      <x:c r="M807"/>
      <x:c r="N807"/>
      <x:c r="O807" s="54"/>
      <x:c r="P807"/>
      <x:c r="Q807"/>
      <x:c r="R807"/>
      <x:c r="S807"/>
      <x:c r="T807"/>
      <x:c r="U807" s="57"/>
      <x:c r="V807" s="57"/>
      <x:c r="W807"/>
      <x:c r="X807"/>
      <x:c r="Y807" s="38"/>
      <x:c r="Z807" s="38"/>
      <x:c r="AA807"/>
    </x:row>
    <x:row r="808">
      <x:c r="A808" s="54" t="n">
        <x:v>44377</x:v>
      </x:c>
      <x:c r="B808" t="n">
        <x:v>44377.624999988424</x:v>
      </x:c>
      <x:c r="C808" t="str">
        <x:v>038390</x:v>
      </x:c>
      <x:c r="D808" t="str">
        <x:v>레드캡투어</x:v>
      </x:c>
      <x:c r="E808" t="str">
        <x:v>KOSDAQ</x:v>
      </x:c>
      <x:c r="F808" t="str">
        <x:v>MID</x:v>
      </x:c>
      <x:c r="G808" t="str">
        <x:v>ELIGIBLE</x:v>
      </x:c>
      <x:c r="H808"/>
      <x:c r="I808" s="54" t="n">
        <x:v>44377</x:v>
      </x:c>
      <x:c r="J808" s="55" t="n">
        <x:v>26650</x:v>
      </x:c>
      <x:c r="K808" s="55" t="n">
        <x:v>228909642000</x:v>
      </x:c>
      <x:c r="L808" s="55" t="n">
        <x:v>8589480</x:v>
      </x:c>
      <x:c r="M808" t="str">
        <x:v>20210318001299</x:v>
      </x:c>
      <x:c r="N808" t="n">
        <x:v>44273.624999988424</x:v>
      </x:c>
      <x:c r="O808" s="54" t="n">
        <x:v>44196</x:v>
      </x:c>
      <x:c r="P808" t="str">
        <x:v>False</x:v>
      </x:c>
      <x:c r="Q808" t="str">
        <x:v>0bf69fd5dec939dd06f6f73c0024ab60f9eaf64a5a97f5e73cc09d30ce7a890c</x:v>
      </x:c>
      <x:c r="R808" t="str">
        <x:v>6080d7aab75c6070a2111ef6b1ac4f598f81c0a72dc5f88bc23b9d3a002435cd</x:v>
      </x:c>
      <x:c r="S808" t="n">
        <x:v>6</x:v>
      </x:c>
      <x:c r="T808" t="str">
        <x:v>2018-12-31|2019-12-31|2020-12-31</x:v>
      </x:c>
      <x:c r="U808" s="57" t="n">
        <x:v>6114.21914518699</x:v>
      </x:c>
      <x:c r="V808" s="57" t="n">
        <x:v>-0.7705733904245031</x:v>
      </x:c>
      <x:c r="W808" t="n">
        <x:v>47</x:v>
      </x:c>
      <x:c r="X808" t="n">
        <x:v>4</x:v>
      </x:c>
      <x:c r="Y808" s="38" t="n">
        <x:v>0.6409090909090909</x:v>
      </x:c>
      <x:c r="Z808" s="38" t="n">
        <x:v>0.6791804570932898</x:v>
      </x:c>
      <x:c r="AA808"/>
    </x:row>
    <x:row r="809">
      <x:c r="A809" s="54" t="n">
        <x:v>44377</x:v>
      </x:c>
      <x:c r="B809" t="n">
        <x:v>44377.624999988424</x:v>
      </x:c>
      <x:c r="C809" t="str">
        <x:v>083930</x:v>
      </x:c>
      <x:c r="D809" t="str">
        <x:v>아바코</x:v>
      </x:c>
      <x:c r="E809" t="str">
        <x:v>KOSDAQ</x:v>
      </x:c>
      <x:c r="F809" t="str">
        <x:v>MID</x:v>
      </x:c>
      <x:c r="G809" t="str">
        <x:v>ELIGIBLE</x:v>
      </x:c>
      <x:c r="H809"/>
      <x:c r="I809" s="54" t="n">
        <x:v>44377</x:v>
      </x:c>
      <x:c r="J809" s="55" t="n">
        <x:v>12500</x:v>
      </x:c>
      <x:c r="K809" s="55" t="n">
        <x:v>192659975000</x:v>
      </x:c>
      <x:c r="L809" s="55" t="n">
        <x:v>15412798</x:v>
      </x:c>
      <x:c r="M809" t="str">
        <x:v>20210318000989</x:v>
      </x:c>
      <x:c r="N809" t="n">
        <x:v>44273.624999988424</x:v>
      </x:c>
      <x:c r="O809" s="54" t="n">
        <x:v>44196</x:v>
      </x:c>
      <x:c r="P809" t="str">
        <x:v>False</x:v>
      </x:c>
      <x:c r="Q809" t="str">
        <x:v>60114731225ef8baae3792179fcf8d5016125a34b9cfd17e01cf872e573ee700</x:v>
      </x:c>
      <x:c r="R809" t="str">
        <x:v>a0f109d304fa19e95828c08a23b1aee8249cf1a937fd4863f9ce9941f9933507</x:v>
      </x:c>
      <x:c r="S809" t="n">
        <x:v>7</x:v>
      </x:c>
      <x:c r="T809" t="str">
        <x:v>2018-12-31|2019-12-31|2020-12-31</x:v>
      </x:c>
      <x:c r="U809" s="57" t="n">
        <x:v>13240.200501887175</x:v>
      </x:c>
      <x:c r="V809" s="57" t="n">
        <x:v>0.05921604015097397</x:v>
      </x:c>
      <x:c r="W809" t="n">
        <x:v>11</x:v>
      </x:c>
      <x:c r="X809" t="n">
        <x:v>1</x:v>
      </x:c>
      <x:c r="Y809" s="38" t="n">
        <x:v>0.6409090909090909</x:v>
      </x:c>
      <x:c r="Z809" s="38" t="n">
        <x:v>0.6094073877623714</x:v>
      </x:c>
      <x:c r="AA809"/>
    </x:row>
    <x:row r="810">
      <x:c r="A810" s="54" t="n">
        <x:v>44377</x:v>
      </x:c>
      <x:c r="B810" t="n">
        <x:v>44377.624999988424</x:v>
      </x:c>
      <x:c r="C810" t="str">
        <x:v>089600</x:v>
      </x:c>
      <x:c r="D810" t="str">
        <x:v>KT나스미디어</x:v>
      </x:c>
      <x:c r="E810" t="str">
        <x:v>KOSDAQ</x:v>
      </x:c>
      <x:c r="F810" t="str">
        <x:v>MID</x:v>
      </x:c>
      <x:c r="G810" t="str">
        <x:v>ELIGIBLE</x:v>
      </x:c>
      <x:c r="H810"/>
      <x:c r="I810" s="54" t="n">
        <x:v>44377</x:v>
      </x:c>
      <x:c r="J810" s="55" t="n">
        <x:v>41350</x:v>
      </x:c>
      <x:c r="K810" s="55" t="n">
        <x:v>397163028500</x:v>
      </x:c>
      <x:c r="L810" s="55" t="n">
        <x:v>9604910</x:v>
      </x:c>
      <x:c r="M810" t="str">
        <x:v>20210318000067</x:v>
      </x:c>
      <x:c r="N810" t="n">
        <x:v>44273.624999988424</x:v>
      </x:c>
      <x:c r="O810" s="54" t="n">
        <x:v>44196</x:v>
      </x:c>
      <x:c r="P810" t="str">
        <x:v>False</x:v>
      </x:c>
      <x:c r="Q810" t="str">
        <x:v>a1d9cdb9d1d9dc819cad4ac6c72f63c836e1aaee9bb46d49d938ba4926b89490</x:v>
      </x:c>
      <x:c r="R810" t="str">
        <x:v>d55d1de10b3562401f9b34a7663dbde29db72f781cfb628758459f0e16a60fee</x:v>
      </x:c>
      <x:c r="S810" t="n">
        <x:v>6</x:v>
      </x:c>
      <x:c r="T810" t="str">
        <x:v>2019-12-31|2020-12-31</x:v>
      </x:c>
      <x:c r="U810" s="57" t="n">
        <x:v>27176.156461939605</x:v>
      </x:c>
      <x:c r="V810" s="57" t="n">
        <x:v>-0.3427773527946891</x:v>
      </x:c>
      <x:c r="W810" t="n">
        <x:v>21</x:v>
      </x:c>
      <x:c r="X810" t="n">
        <x:v>2</x:v>
      </x:c>
      <x:c r="Y810" s="38" t="n">
        <x:v>0.6409090909090909</x:v>
      </x:c>
      <x:c r="Z810" s="38" t="n">
        <x:v>0.65385479783506</x:v>
      </x:c>
      <x:c r="AA810"/>
    </x:row>
    <x:row r="811">
      <x:c r="A811" s="54" t="n">
        <x:v>44377</x:v>
      </x:c>
      <x:c r="B811" t="n">
        <x:v>44377.624999988424</x:v>
      </x:c>
      <x:c r="C811" t="str">
        <x:v>091120</x:v>
      </x:c>
      <x:c r="D811" t="str">
        <x:v>이엠텍</x:v>
      </x:c>
      <x:c r="E811" t="str">
        <x:v>KOSDAQ</x:v>
      </x:c>
      <x:c r="F811" t="str">
        <x:v>MID</x:v>
      </x:c>
      <x:c r="G811" t="str">
        <x:v>DCF_SCREENING_EXCLUSION</x:v>
      </x:c>
      <x:c r="H811" t="str">
        <x:v>NON_POSITIVE_ENTERPRISE_VALUE|NON_POSITIVE_EQUITY_VALUE|NON_POSITIVE_TERMINAL_FCF</x:v>
      </x:c>
      <x:c r="I811" s="54" t="n">
        <x:v>44377</x:v>
      </x:c>
      <x:c r="J811" s="55" t="n">
        <x:v>19100</x:v>
      </x:c>
      <x:c r="K811" s="55" t="n">
        <x:v>303459577600</x:v>
      </x:c>
      <x:c r="L811" s="55" t="n">
        <x:v>15887936</x:v>
      </x:c>
      <x:c r="M811" t="str">
        <x:v>20210311000658</x:v>
      </x:c>
      <x:c r="N811" t="n">
        <x:v>44266.624999988424</x:v>
      </x:c>
      <x:c r="O811" s="54" t="n">
        <x:v>44196</x:v>
      </x:c>
      <x:c r="P811" t="str">
        <x:v>False</x:v>
      </x:c>
      <x:c r="Q811" t="str">
        <x:v>f69ed2abd476d2428711fd8f06bfe7c437a376e7a6f71c3438b39539c7d2f1a5</x:v>
      </x:c>
      <x:c r="R811" t="str">
        <x:v>f95f08942ff33b316ef5567d3919c0b3c241c98bfbf6f6c9873e5a0f80818c9f</x:v>
      </x:c>
      <x:c r="S811" t="n">
        <x:v>6</x:v>
      </x:c>
      <x:c r="T811" t="str">
        <x:v>2018-12-31|2019-12-31|2020-12-31</x:v>
      </x:c>
      <x:c r="U811" s="57" t="n">
        <x:v>-3124.546134909282</x:v>
      </x:c>
      <x:c r="V811" s="57" t="n">
        <x:v>-1.1635888028748316</x:v>
      </x:c>
      <x:c r="W811"/>
      <x:c r="X811"/>
      <x:c r="Y811" s="38" t="n">
        <x:v>0.6409090909090909</x:v>
      </x:c>
      <x:c r="Z811" s="38" t="n">
        <x:v>0.6813005067848964</x:v>
      </x:c>
      <x:c r="AA811" t="str">
        <x:v>NON_POSITIVE_ENTERPRISE_VALUE|NON_POSITIVE_EQUITY_VALUE|NON_POSITIVE_TERMINAL_FCF</x:v>
      </x:c>
    </x:row>
    <x:row r="812">
      <x:c r="A812" s="54" t="n">
        <x:v>44377</x:v>
      </x:c>
      <x:c r="B812" t="n">
        <x:v>44377.624999988424</x:v>
      </x:c>
      <x:c r="C812" t="str">
        <x:v>353810</x:v>
      </x:c>
      <x:c r="D812" t="str">
        <x:v>이지바이오</x:v>
      </x:c>
      <x:c r="E812" t="str">
        <x:v>KOSDAQ</x:v>
      </x:c>
      <x:c r="F812" t="str">
        <x:v>MID</x:v>
      </x:c>
      <x:c r="G812" t="str">
        <x:v>NO_PIT_FINANCIALS</x:v>
      </x:c>
      <x:c r="H812"/>
      <x:c r="I812" s="54" t="n">
        <x:v>44377</x:v>
      </x:c>
      <x:c r="J812" s="55" t="n">
        <x:v>6720</x:v>
      </x:c>
      <x:c r="K812" s="55" t="n">
        <x:v>229768358400</x:v>
      </x:c>
      <x:c r="L812" s="55" t="n">
        <x:v>34191720</x:v>
      </x:c>
      <x:c r="M812"/>
      <x:c r="N812"/>
      <x:c r="O812" s="54"/>
      <x:c r="P812"/>
      <x:c r="Q812"/>
      <x:c r="R812"/>
      <x:c r="S812"/>
      <x:c r="T812"/>
      <x:c r="U812" s="57"/>
      <x:c r="V812" s="57"/>
      <x:c r="W812"/>
      <x:c r="X812"/>
      <x:c r="Y812" s="38"/>
      <x:c r="Z812" s="38"/>
      <x:c r="AA812"/>
    </x:row>
    <x:row r="813">
      <x:c r="A813" s="54" t="n">
        <x:v>44377</x:v>
      </x:c>
      <x:c r="B813" t="n">
        <x:v>44377.624999988424</x:v>
      </x:c>
      <x:c r="C813" t="str">
        <x:v>203650</x:v>
      </x:c>
      <x:c r="D813" t="str">
        <x:v>드림시큐리티</x:v>
      </x:c>
      <x:c r="E813" t="str">
        <x:v>KOSDAQ</x:v>
      </x:c>
      <x:c r="F813" t="str">
        <x:v>MID</x:v>
      </x:c>
      <x:c r="G813" t="str">
        <x:v>ELIGIBLE</x:v>
      </x:c>
      <x:c r="H813"/>
      <x:c r="I813" s="54" t="n">
        <x:v>44377</x:v>
      </x:c>
      <x:c r="J813" s="55" t="n">
        <x:v>5530</x:v>
      </x:c>
      <x:c r="K813" s="55" t="n">
        <x:v>279849819620</x:v>
      </x:c>
      <x:c r="L813" s="55" t="n">
        <x:v>50605754</x:v>
      </x:c>
      <x:c r="M813" t="str">
        <x:v>20210319000618</x:v>
      </x:c>
      <x:c r="N813" t="n">
        <x:v>44274.624999988424</x:v>
      </x:c>
      <x:c r="O813" s="54" t="n">
        <x:v>44196</x:v>
      </x:c>
      <x:c r="P813" t="str">
        <x:v>False</x:v>
      </x:c>
      <x:c r="Q813" t="str">
        <x:v>5838df72d63cdf786042f815fde6255c8dbcd77782553756c9cdf9bd4987059d</x:v>
      </x:c>
      <x:c r="R813" t="str">
        <x:v>874a0191811b79512899b68cde668ed439a05e6c7703340b07c6d3c99580beba</x:v>
      </x:c>
      <x:c r="S813" t="n">
        <x:v>6</x:v>
      </x:c>
      <x:c r="T813" t="str">
        <x:v>2018-12-31|2019-12-31|2020-12-31</x:v>
      </x:c>
      <x:c r="U813" s="57" t="n">
        <x:v>1651.8549785795835</x:v>
      </x:c>
      <x:c r="V813" s="57" t="n">
        <x:v>-0.7012920472731313</x:v>
      </x:c>
      <x:c r="W813" t="n">
        <x:v>40</x:v>
      </x:c>
      <x:c r="X813" t="n">
        <x:v>4</x:v>
      </x:c>
      <x:c r="Y813" s="38" t="n">
        <x:v>0.6409090909090909</x:v>
      </x:c>
      <x:c r="Z813" s="38" t="n">
        <x:v>0.6847587029208964</x:v>
      </x:c>
      <x:c r="AA813"/>
    </x:row>
    <x:row r="814">
      <x:c r="A814" s="54" t="n">
        <x:v>44377</x:v>
      </x:c>
      <x:c r="B814" t="n">
        <x:v>44377.624999988424</x:v>
      </x:c>
      <x:c r="C814" t="str">
        <x:v>251120</x:v>
      </x:c>
      <x:c r="D814" t="str">
        <x:v>바이오에프디엔씨</x:v>
      </x:c>
      <x:c r="E814" t="str">
        <x:v>KOSDAQ</x:v>
      </x:c>
      <x:c r="F814" t="str">
        <x:v>MID</x:v>
      </x:c>
      <x:c r="G814" t="str">
        <x:v>NOT_LISTED_OR_NO_PRICE</x:v>
      </x:c>
      <x:c r="H814"/>
      <x:c r="I814" s="54"/>
      <x:c r="J814" s="55"/>
      <x:c r="K814" s="55"/>
      <x:c r="L814" s="55"/>
      <x:c r="M814"/>
      <x:c r="N814"/>
      <x:c r="O814" s="54"/>
      <x:c r="P814"/>
      <x:c r="Q814"/>
      <x:c r="R814"/>
      <x:c r="S814"/>
      <x:c r="T814"/>
      <x:c r="U814" s="57"/>
      <x:c r="V814" s="57"/>
      <x:c r="W814"/>
      <x:c r="X814"/>
      <x:c r="Y814" s="38"/>
      <x:c r="Z814" s="38"/>
      <x:c r="AA814"/>
    </x:row>
    <x:row r="815">
      <x:c r="A815" s="54" t="n">
        <x:v>44377</x:v>
      </x:c>
      <x:c r="B815" t="n">
        <x:v>44377.624999988424</x:v>
      </x:c>
      <x:c r="C815" t="str">
        <x:v>094820</x:v>
      </x:c>
      <x:c r="D815" t="str">
        <x:v>일진파워</x:v>
      </x:c>
      <x:c r="E815" t="str">
        <x:v>KOSDAQ</x:v>
      </x:c>
      <x:c r="F815" t="str">
        <x:v>MID</x:v>
      </x:c>
      <x:c r="G815" t="str">
        <x:v>ELIGIBLE</x:v>
      </x:c>
      <x:c r="H815"/>
      <x:c r="I815" s="54" t="n">
        <x:v>44377</x:v>
      </x:c>
      <x:c r="J815" s="55" t="n">
        <x:v>11400</x:v>
      </x:c>
      <x:c r="K815" s="55" t="n">
        <x:v>171897282600</x:v>
      </x:c>
      <x:c r="L815" s="55" t="n">
        <x:v>15078709</x:v>
      </x:c>
      <x:c r="M815" t="str">
        <x:v>20210318001274</x:v>
      </x:c>
      <x:c r="N815" t="n">
        <x:v>44273.624999988424</x:v>
      </x:c>
      <x:c r="O815" s="54" t="n">
        <x:v>44196</x:v>
      </x:c>
      <x:c r="P815" t="str">
        <x:v>False</x:v>
      </x:c>
      <x:c r="Q815" t="str">
        <x:v>876dfbe83ccde173bd7ce6620f972be12ab815292f2628b9efad7390810a78aa</x:v>
      </x:c>
      <x:c r="R815" t="str">
        <x:v>735ef39d51ec5f034ed98a1d8b748f5b100ea140a77ba94ff42c5c2693c842c9</x:v>
      </x:c>
      <x:c r="S815" t="n">
        <x:v>6</x:v>
      </x:c>
      <x:c r="T815" t="str">
        <x:v>2018-12-31|2019-12-31|2020-12-31</x:v>
      </x:c>
      <x:c r="U815" s="57" t="n">
        <x:v>10884.899548397261</x:v>
      </x:c>
      <x:c r="V815" s="57" t="n">
        <x:v>-0.04518425014059107</x:v>
      </x:c>
      <x:c r="W815" t="n">
        <x:v>13</x:v>
      </x:c>
      <x:c r="X815" t="n">
        <x:v>2</x:v>
      </x:c>
      <x:c r="Y815" s="38" t="n">
        <x:v>0.6409090909090909</x:v>
      </x:c>
      <x:c r="Z815" s="38" t="n">
        <x:v>0.6755436623710693</x:v>
      </x:c>
      <x:c r="AA815"/>
    </x:row>
    <x:row r="816">
      <x:c r="A816" s="54" t="n">
        <x:v>44377</x:v>
      </x:c>
      <x:c r="B816" t="n">
        <x:v>44377.624999988424</x:v>
      </x:c>
      <x:c r="C816" t="str">
        <x:v>333430</x:v>
      </x:c>
      <x:c r="D816" t="str">
        <x:v>일승</x:v>
      </x:c>
      <x:c r="E816" t="str">
        <x:v>KOSDAQ</x:v>
      </x:c>
      <x:c r="F816" t="str">
        <x:v>MID</x:v>
      </x:c>
      <x:c r="G816" t="str">
        <x:v>NO_PIT_FINANCIALS</x:v>
      </x:c>
      <x:c r="H816"/>
      <x:c r="I816" s="54" t="n">
        <x:v>44377</x:v>
      </x:c>
      <x:c r="J816" s="55" t="n">
        <x:v>3590</x:v>
      </x:c>
      <x:c r="K816" s="55" t="n">
        <x:v>110309021730</x:v>
      </x:c>
      <x:c r="L816" s="55" t="n">
        <x:v>30726747</x:v>
      </x:c>
      <x:c r="M816"/>
      <x:c r="N816"/>
      <x:c r="O816" s="54"/>
      <x:c r="P816"/>
      <x:c r="Q816"/>
      <x:c r="R816"/>
      <x:c r="S816"/>
      <x:c r="T816"/>
      <x:c r="U816" s="57"/>
      <x:c r="V816" s="57"/>
      <x:c r="W816"/>
      <x:c r="X816"/>
      <x:c r="Y816" s="38"/>
      <x:c r="Z816" s="38"/>
      <x:c r="AA816"/>
    </x:row>
    <x:row r="817">
      <x:c r="A817" s="54" t="n">
        <x:v>44377</x:v>
      </x:c>
      <x:c r="B817" t="n">
        <x:v>44377.624999988424</x:v>
      </x:c>
      <x:c r="C817" t="str">
        <x:v>041440</x:v>
      </x:c>
      <x:c r="D817" t="str">
        <x:v>현대에버다임</x:v>
      </x:c>
      <x:c r="E817" t="str">
        <x:v>KOSDAQ</x:v>
      </x:c>
      <x:c r="F817" t="str">
        <x:v>MID</x:v>
      </x:c>
      <x:c r="G817" t="str">
        <x:v>ELIGIBLE</x:v>
      </x:c>
      <x:c r="H817"/>
      <x:c r="I817" s="54" t="n">
        <x:v>44377</x:v>
      </x:c>
      <x:c r="J817" s="55" t="n">
        <x:v>7310</x:v>
      </x:c>
      <x:c r="K817" s="55" t="n">
        <x:v>130965550640</x:v>
      </x:c>
      <x:c r="L817" s="55" t="n">
        <x:v>17915944</x:v>
      </x:c>
      <x:c r="M817" t="str">
        <x:v>20210316001261</x:v>
      </x:c>
      <x:c r="N817" t="n">
        <x:v>44272.624999988424</x:v>
      </x:c>
      <x:c r="O817" s="54" t="n">
        <x:v>44196</x:v>
      </x:c>
      <x:c r="P817" t="str">
        <x:v>False</x:v>
      </x:c>
      <x:c r="Q817" t="str">
        <x:v>6f08b3f9f69113807f297444c8ce16eabb23af4da8e344ef1f527c9fcbc98da9</x:v>
      </x:c>
      <x:c r="R817" t="str">
        <x:v>3ad7a8ff31596a0244abff37b8d648f521f5d20687c5ab7c00c5e69dfae506f6</x:v>
      </x:c>
      <x:c r="S817" t="n">
        <x:v>7</x:v>
      </x:c>
      <x:c r="T817" t="str">
        <x:v>2018-12-31|2019-12-31|2020-12-31</x:v>
      </x:c>
      <x:c r="U817" s="57" t="n">
        <x:v>2775.8404516907763</x:v>
      </x:c>
      <x:c r="V817" s="57" t="n">
        <x:v>-0.6202680640641893</x:v>
      </x:c>
      <x:c r="W817" t="n">
        <x:v>34</x:v>
      </x:c>
      <x:c r="X817" t="n">
        <x:v>3</x:v>
      </x:c>
      <x:c r="Y817" s="38" t="n">
        <x:v>0.6409090909090909</x:v>
      </x:c>
      <x:c r="Z817" s="38" t="n">
        <x:v>0.4858903805076907</x:v>
      </x:c>
      <x:c r="AA817"/>
    </x:row>
    <x:row r="818">
      <x:c r="A818" s="54" t="n">
        <x:v>44377</x:v>
      </x:c>
      <x:c r="B818" t="n">
        <x:v>44377.624999988424</x:v>
      </x:c>
      <x:c r="C818" t="str">
        <x:v>067990</x:v>
      </x:c>
      <x:c r="D818" t="str">
        <x:v>도이치모터스</x:v>
      </x:c>
      <x:c r="E818" t="str">
        <x:v>KOSDAQ</x:v>
      </x:c>
      <x:c r="F818" t="str">
        <x:v>MID</x:v>
      </x:c>
      <x:c r="G818" t="str">
        <x:v>DCF_SCREENING_EXCLUSION</x:v>
      </x:c>
      <x:c r="H818" t="str">
        <x:v>NON_POSITIVE_EQUITY_VALUE|UNRELIABLE_TERMINAL_VALUE_SHARE</x:v>
      </x:c>
      <x:c r="I818" s="54" t="n">
        <x:v>44377</x:v>
      </x:c>
      <x:c r="J818" s="55" t="n">
        <x:v>8310</x:v>
      </x:c>
      <x:c r="K818" s="55" t="n">
        <x:v>246172996860</x:v>
      </x:c>
      <x:c r="L818" s="55" t="n">
        <x:v>29623706</x:v>
      </x:c>
      <x:c r="M818" t="str">
        <x:v>20210319000917</x:v>
      </x:c>
      <x:c r="N818" t="n">
        <x:v>44274.624999988424</x:v>
      </x:c>
      <x:c r="O818" s="54" t="n">
        <x:v>44196</x:v>
      </x:c>
      <x:c r="P818" t="str">
        <x:v>False</x:v>
      </x:c>
      <x:c r="Q818" t="str">
        <x:v>10c9b73d81d91b44f4c1ba26758c80f8e8f8f165fcc8cbc218727c8d84fa0d64</x:v>
      </x:c>
      <x:c r="R818" t="str">
        <x:v>51cc63cef37e912d19933c774d0e8b5d25c22e3894b2d141035ea06ec1d84a1a</x:v>
      </x:c>
      <x:c r="S818" t="n">
        <x:v>6</x:v>
      </x:c>
      <x:c r="T818" t="str">
        <x:v>2016-12-31|2018-12-31|2019-12-31|2020-12-31</x:v>
      </x:c>
      <x:c r="U818" s="57" t="n">
        <x:v>-14091.55512075233</x:v>
      </x:c>
      <x:c r="V818" s="57" t="n">
        <x:v>-2.6957346715706776</x:v>
      </x:c>
      <x:c r="W818"/>
      <x:c r="X818"/>
      <x:c r="Y818" s="38" t="n">
        <x:v>0.6409090909090909</x:v>
      </x:c>
      <x:c r="Z818" s="38" t="n">
        <x:v>0.9672534740739068</x:v>
      </x:c>
      <x:c r="AA818" t="str">
        <x:v>NON_POSITIVE_EQUITY_VALUE|UNRELIABLE_TERMINAL_VALUE_SHARE</x:v>
      </x:c>
    </x:row>
    <x:row r="819">
      <x:c r="A819" s="54" t="n">
        <x:v>44377</x:v>
      </x:c>
      <x:c r="B819" t="n">
        <x:v>44377.624999988424</x:v>
      </x:c>
      <x:c r="C819" t="str">
        <x:v>037070</x:v>
      </x:c>
      <x:c r="D819" t="str">
        <x:v>파세코</x:v>
      </x:c>
      <x:c r="E819" t="str">
        <x:v>KOSDAQ</x:v>
      </x:c>
      <x:c r="F819" t="str">
        <x:v>MID</x:v>
      </x:c>
      <x:c r="G819" t="str">
        <x:v>ELIGIBLE</x:v>
      </x:c>
      <x:c r="H819"/>
      <x:c r="I819" s="54" t="n">
        <x:v>44377</x:v>
      </x:c>
      <x:c r="J819" s="55" t="n">
        <x:v>19200</x:v>
      </x:c>
      <x:c r="K819" s="55" t="n">
        <x:v>268800000000</x:v>
      </x:c>
      <x:c r="L819" s="55" t="n">
        <x:v>14000000</x:v>
      </x:c>
      <x:c r="M819" t="str">
        <x:v>20210323000525</x:v>
      </x:c>
      <x:c r="N819" t="n">
        <x:v>44278.624999988424</x:v>
      </x:c>
      <x:c r="O819" s="54" t="n">
        <x:v>44196</x:v>
      </x:c>
      <x:c r="P819" t="str">
        <x:v>False</x:v>
      </x:c>
      <x:c r="Q819" t="str">
        <x:v>288ade85d77bdcb6715ad38831629f03378fc7c949c950410ef529b27ca026ca</x:v>
      </x:c>
      <x:c r="R819" t="str">
        <x:v>d47890457c3ba235de3e72b5dd35b3903fac66df1f32064164ee92ff8abb4066</x:v>
      </x:c>
      <x:c r="S819" t="n">
        <x:v>7</x:v>
      </x:c>
      <x:c r="T819" t="str">
        <x:v>2018-12-31|2019-12-31|2020-12-31</x:v>
      </x:c>
      <x:c r="U819" s="57" t="n">
        <x:v>8702.574407152382</x:v>
      </x:c>
      <x:c r="V819" s="57" t="n">
        <x:v>-0.5467409162941468</x:v>
      </x:c>
      <x:c r="W819" t="n">
        <x:v>28</x:v>
      </x:c>
      <x:c r="X819" t="n">
        <x:v>3</x:v>
      </x:c>
      <x:c r="Y819" s="38" t="n">
        <x:v>0.6409090909090909</x:v>
      </x:c>
      <x:c r="Z819" s="38" t="n">
        <x:v>0.6657247163665023</x:v>
      </x:c>
      <x:c r="AA819"/>
    </x:row>
    <x:row r="820">
      <x:c r="A820" s="54" t="n">
        <x:v>44377</x:v>
      </x:c>
      <x:c r="B820" t="n">
        <x:v>44377.624999988424</x:v>
      </x:c>
      <x:c r="C820" t="str">
        <x:v>365330</x:v>
      </x:c>
      <x:c r="D820" t="str">
        <x:v>에스와이스틸텍</x:v>
      </x:c>
      <x:c r="E820" t="str">
        <x:v>KOSDAQ</x:v>
      </x:c>
      <x:c r="F820" t="str">
        <x:v>MID</x:v>
      </x:c>
      <x:c r="G820" t="str">
        <x:v>NOT_LISTED_OR_NO_PRICE</x:v>
      </x:c>
      <x:c r="H820"/>
      <x:c r="I820" s="54"/>
      <x:c r="J820" s="55"/>
      <x:c r="K820" s="55"/>
      <x:c r="L820" s="55"/>
      <x:c r="M820"/>
      <x:c r="N820"/>
      <x:c r="O820" s="54"/>
      <x:c r="P820"/>
      <x:c r="Q820"/>
      <x:c r="R820"/>
      <x:c r="S820"/>
      <x:c r="T820"/>
      <x:c r="U820" s="57"/>
      <x:c r="V820" s="57"/>
      <x:c r="W820"/>
      <x:c r="X820"/>
      <x:c r="Y820" s="38"/>
      <x:c r="Z820" s="38"/>
      <x:c r="AA820"/>
    </x:row>
    <x:row r="821">
      <x:c r="A821" s="54" t="n">
        <x:v>44377</x:v>
      </x:c>
      <x:c r="B821" t="n">
        <x:v>44377.624999988424</x:v>
      </x:c>
      <x:c r="C821" t="str">
        <x:v>086960</x:v>
      </x:c>
      <x:c r="D821" t="str">
        <x:v>MDS테크</x:v>
      </x:c>
      <x:c r="E821" t="str">
        <x:v>KOSDAQ</x:v>
      </x:c>
      <x:c r="F821" t="str">
        <x:v>MID</x:v>
      </x:c>
      <x:c r="G821" t="str">
        <x:v>ELIGIBLE</x:v>
      </x:c>
      <x:c r="H821"/>
      <x:c r="I821" s="54" t="n">
        <x:v>44377</x:v>
      </x:c>
      <x:c r="J821" s="55" t="n">
        <x:v>16150</x:v>
      </x:c>
      <x:c r="K821" s="55" t="n">
        <x:v>142582019200</x:v>
      </x:c>
      <x:c r="L821" s="55" t="n">
        <x:v>8828608</x:v>
      </x:c>
      <x:c r="M821" t="str">
        <x:v>20210316001071</x:v>
      </x:c>
      <x:c r="N821" t="n">
        <x:v>44271.624999988424</x:v>
      </x:c>
      <x:c r="O821" s="54" t="n">
        <x:v>44196</x:v>
      </x:c>
      <x:c r="P821" t="str">
        <x:v>False</x:v>
      </x:c>
      <x:c r="Q821" t="str">
        <x:v>449b4e59d025de1d7d5a9ecb405a5bc4112be82940e8bc7805131bac9040560e</x:v>
      </x:c>
      <x:c r="R821" t="str">
        <x:v>0f0ce7f0414bfa51af4275551ce10741690be6847f9395f847a202ff0ada0b86</x:v>
      </x:c>
      <x:c r="S821" t="n">
        <x:v>6</x:v>
      </x:c>
      <x:c r="T821" t="str">
        <x:v>2018-12-31|2019-12-31|2020-12-31</x:v>
      </x:c>
      <x:c r="U821" s="57" t="n">
        <x:v>6485.458820206501</x:v>
      </x:c>
      <x:c r="V821" s="57" t="n">
        <x:v>-0.5984236024639937</x:v>
      </x:c>
      <x:c r="W821" t="n">
        <x:v>33</x:v>
      </x:c>
      <x:c r="X821" t="n">
        <x:v>3</x:v>
      </x:c>
      <x:c r="Y821" s="38" t="n">
        <x:v>0.6409090909090909</x:v>
      </x:c>
      <x:c r="Z821" s="38" t="n">
        <x:v>0.583251547314125</x:v>
      </x:c>
      <x:c r="AA821"/>
    </x:row>
    <x:row r="822">
      <x:c r="A822" s="54" t="n">
        <x:v>44377</x:v>
      </x:c>
      <x:c r="B822" t="n">
        <x:v>44377.624999988424</x:v>
      </x:c>
      <x:c r="C822" t="str">
        <x:v>014970</x:v>
      </x:c>
      <x:c r="D822" t="str">
        <x:v>삼륭물산</x:v>
      </x:c>
      <x:c r="E822" t="str">
        <x:v>KOSDAQ</x:v>
      </x:c>
      <x:c r="F822" t="str">
        <x:v>MID</x:v>
      </x:c>
      <x:c r="G822" t="str">
        <x:v>DCF_SCREENING_EXCLUSION</x:v>
      </x:c>
      <x:c r="H822" t="str">
        <x:v>NON_POSITIVE_ENTERPRISE_VALUE|NON_POSITIVE_EQUITY_VALUE|NON_POSITIVE_TERMINAL_FCF|UNRELIABLE_TERMINAL_VALUE_SHARE</x:v>
      </x:c>
      <x:c r="I822" s="54" t="n">
        <x:v>44377</x:v>
      </x:c>
      <x:c r="J822" s="55" t="n">
        <x:v>8600</x:v>
      </x:c>
      <x:c r="K822" s="55" t="n">
        <x:v>130075000000</x:v>
      </x:c>
      <x:c r="L822" s="55" t="n">
        <x:v>15125000</x:v>
      </x:c>
      <x:c r="M822" t="str">
        <x:v>20210330000019</x:v>
      </x:c>
      <x:c r="N822" t="n">
        <x:v>44285.624999988424</x:v>
      </x:c>
      <x:c r="O822" s="54" t="n">
        <x:v>44196</x:v>
      </x:c>
      <x:c r="P822" t="str">
        <x:v>False</x:v>
      </x:c>
      <x:c r="Q822" t="str">
        <x:v>db7fb8289834e170187de7d60202bd28289217460c9f69f69b7fa2a5f7ba5a44</x:v>
      </x:c>
      <x:c r="R822" t="str">
        <x:v>e2cea05971f07b11304f196f6480539ccc7b9ec2c5304a966d8bc1e0b3850142</x:v>
      </x:c>
      <x:c r="S822" t="n">
        <x:v>6</x:v>
      </x:c>
      <x:c r="T822" t="str">
        <x:v>2018-12-31|2019-12-31|2020-12-31</x:v>
      </x:c>
      <x:c r="U822" s="57" t="n">
        <x:v>-514.9984660024672</x:v>
      </x:c>
      <x:c r="V822" s="57" t="n">
        <x:v>-1.0598835425584263</x:v>
      </x:c>
      <x:c r="W822"/>
      <x:c r="X822"/>
      <x:c r="Y822" s="38" t="n">
        <x:v>0.6409090909090909</x:v>
      </x:c>
      <x:c r="Z822" s="38" t="n">
        <x:v>1.4185819358560103</x:v>
      </x:c>
      <x:c r="AA822" t="str">
        <x:v>NON_POSITIVE_ENTERPRISE_VALUE|NON_POSITIVE_EQUITY_VALUE|NON_POSITIVE_TERMINAL_FCF|UNRELIABLE_TERMINAL_VALUE_SHARE</x:v>
      </x:c>
    </x:row>
    <x:row r="823">
      <x:c r="A823" s="54" t="n">
        <x:v>44377</x:v>
      </x:c>
      <x:c r="B823" t="n">
        <x:v>44377.624999988424</x:v>
      </x:c>
      <x:c r="C823" t="str">
        <x:v>088390</x:v>
      </x:c>
      <x:c r="D823" t="str">
        <x:v>이녹스</x:v>
      </x:c>
      <x:c r="E823" t="str">
        <x:v>KOSDAQ</x:v>
      </x:c>
      <x:c r="F823" t="str">
        <x:v>MID</x:v>
      </x:c>
      <x:c r="G823" t="str">
        <x:v>ELIGIBLE</x:v>
      </x:c>
      <x:c r="H823"/>
      <x:c r="I823" s="54" t="n">
        <x:v>44377</x:v>
      </x:c>
      <x:c r="J823" s="55" t="n">
        <x:v>23350</x:v>
      </x:c>
      <x:c r="K823" s="55" t="n">
        <x:v>218342207400</x:v>
      </x:c>
      <x:c r="L823" s="55" t="n">
        <x:v>9350844</x:v>
      </x:c>
      <x:c r="M823" t="str">
        <x:v>20210318001318</x:v>
      </x:c>
      <x:c r="N823" t="n">
        <x:v>44273.624999988424</x:v>
      </x:c>
      <x:c r="O823" s="54" t="n">
        <x:v>44196</x:v>
      </x:c>
      <x:c r="P823" t="str">
        <x:v>False</x:v>
      </x:c>
      <x:c r="Q823" t="str">
        <x:v>78742b2d914e26f09250a3fd201ef069394f8986dff3d51832183c4eaf52b18c</x:v>
      </x:c>
      <x:c r="R823" t="str">
        <x:v>719a4e5b763bbedbc38452bf1788cbfb6ff51d8070e44e3b99ffdb9082646b27</x:v>
      </x:c>
      <x:c r="S823" t="n">
        <x:v>6</x:v>
      </x:c>
      <x:c r="T823" t="str">
        <x:v>2018-12-31|2019-12-31|2020-12-31</x:v>
      </x:c>
      <x:c r="U823" s="57" t="n">
        <x:v>4438.298471090707</x:v>
      </x:c>
      <x:c r="V823" s="57" t="n">
        <x:v>-0.8099229776834815</x:v>
      </x:c>
      <x:c r="W823" t="n">
        <x:v>48</x:v>
      </x:c>
      <x:c r="X823" t="n">
        <x:v>4</x:v>
      </x:c>
      <x:c r="Y823" s="38" t="n">
        <x:v>0.6409090909090909</x:v>
      </x:c>
      <x:c r="Z823" s="38" t="n">
        <x:v>0.46128834611293384</x:v>
      </x:c>
      <x:c r="AA823"/>
    </x:row>
    <x:row r="824">
      <x:c r="A824" s="54" t="n">
        <x:v>44377</x:v>
      </x:c>
      <x:c r="B824" t="n">
        <x:v>44377.624999988424</x:v>
      </x:c>
      <x:c r="C824" t="str">
        <x:v>170920</x:v>
      </x:c>
      <x:c r="D824" t="str">
        <x:v>엘티씨</x:v>
      </x:c>
      <x:c r="E824" t="str">
        <x:v>KOSDAQ</x:v>
      </x:c>
      <x:c r="F824" t="str">
        <x:v>MID</x:v>
      </x:c>
      <x:c r="G824" t="str">
        <x:v>DCF_SCREENING_EXCLUSION</x:v>
      </x:c>
      <x:c r="H824" t="str">
        <x:v>NON_POSITIVE_EQUITY_VALUE</x:v>
      </x:c>
      <x:c r="I824" s="54" t="n">
        <x:v>44377</x:v>
      </x:c>
      <x:c r="J824" s="55" t="n">
        <x:v>13100</x:v>
      </x:c>
      <x:c r="K824" s="55" t="n">
        <x:v>105053655300</x:v>
      </x:c>
      <x:c r="L824" s="55" t="n">
        <x:v>8019363</x:v>
      </x:c>
      <x:c r="M824" t="str">
        <x:v>20210317000881</x:v>
      </x:c>
      <x:c r="N824" t="n">
        <x:v>44272.624999988424</x:v>
      </x:c>
      <x:c r="O824" s="54" t="n">
        <x:v>44196</x:v>
      </x:c>
      <x:c r="P824" t="str">
        <x:v>False</x:v>
      </x:c>
      <x:c r="Q824" t="str">
        <x:v>8b37977f7e8946e919791090e3b7cef2344bd6904a0c156d385d0e36090a3962</x:v>
      </x:c>
      <x:c r="R824" t="str">
        <x:v>77d324f908a67f3c7389a72ba15f1781057da40e5bda11e730b362ede96f2780</x:v>
      </x:c>
      <x:c r="S824" t="n">
        <x:v>6</x:v>
      </x:c>
      <x:c r="T824" t="str">
        <x:v>2018-12-31|2019-12-31|2020-12-31</x:v>
      </x:c>
      <x:c r="U824" s="57" t="n">
        <x:v>-1.660878872603791</x:v>
      </x:c>
      <x:c r="V824" s="57" t="n">
        <x:v>-1.0001267846467636</x:v>
      </x:c>
      <x:c r="W824"/>
      <x:c r="X824"/>
      <x:c r="Y824" s="38" t="n">
        <x:v>0.6409090909090909</x:v>
      </x:c>
      <x:c r="Z824" s="38" t="n">
        <x:v>0.6218942210664877</x:v>
      </x:c>
      <x:c r="AA824" t="str">
        <x:v>NON_POSITIVE_EQUITY_VALUE</x:v>
      </x:c>
    </x:row>
    <x:row r="825">
      <x:c r="A825" s="54" t="n">
        <x:v>44377</x:v>
      </x:c>
      <x:c r="B825" t="n">
        <x:v>44377.624999988424</x:v>
      </x:c>
      <x:c r="C825" t="str">
        <x:v>021080</x:v>
      </x:c>
      <x:c r="D825" t="str">
        <x:v>에이티넘인베스트</x:v>
      </x:c>
      <x:c r="E825" t="str">
        <x:v>KOSDAQ</x:v>
      </x:c>
      <x:c r="F825" t="str">
        <x:v>MID</x:v>
      </x:c>
      <x:c r="G825" t="str">
        <x:v>ELIGIBLE</x:v>
      </x:c>
      <x:c r="H825"/>
      <x:c r="I825" s="54" t="n">
        <x:v>44377</x:v>
      </x:c>
      <x:c r="J825" s="55" t="n">
        <x:v>4385</x:v>
      </x:c>
      <x:c r="K825" s="55" t="n">
        <x:v>210480000000</x:v>
      </x:c>
      <x:c r="L825" s="55" t="n">
        <x:v>48000000</x:v>
      </x:c>
      <x:c r="M825" t="str">
        <x:v>20210316000584</x:v>
      </x:c>
      <x:c r="N825" t="n">
        <x:v>44271.624999988424</x:v>
      </x:c>
      <x:c r="O825" s="54" t="n">
        <x:v>44196</x:v>
      </x:c>
      <x:c r="P825" t="str">
        <x:v>False</x:v>
      </x:c>
      <x:c r="Q825" t="str">
        <x:v>55a37992fbde8e6d83b4745264fc16998a98544419186a4f9de0b42f1caceef0</x:v>
      </x:c>
      <x:c r="R825" t="str">
        <x:v>7745f524b3c0f5ad009800896f13fd804e8e005edcaddeaa544c11625b0472c8</x:v>
      </x:c>
      <x:c r="S825" t="n">
        <x:v>5</x:v>
      </x:c>
      <x:c r="T825" t="str">
        <x:v>2018-12-31|2019-12-31|2020-12-31</x:v>
      </x:c>
      <x:c r="U825" s="57" t="n">
        <x:v>3347.712238143814</x:v>
      </x:c>
      <x:c r="V825" s="57" t="n">
        <x:v>-0.23655365150654184</x:v>
      </x:c>
      <x:c r="W825" t="n">
        <x:v>16</x:v>
      </x:c>
      <x:c r="X825" t="n">
        <x:v>2</x:v>
      </x:c>
      <x:c r="Y825" s="38" t="n">
        <x:v>0.6409090909090909</x:v>
      </x:c>
      <x:c r="Z825" s="38" t="n">
        <x:v>0.6847587029208964</x:v>
      </x:c>
      <x:c r="AA825"/>
    </x:row>
    <x:row r="826">
      <x:c r="A826" s="54" t="n">
        <x:v>44377</x:v>
      </x:c>
      <x:c r="B826" t="n">
        <x:v>44377.624999988424</x:v>
      </x:c>
      <x:c r="C826" t="str">
        <x:v>302550</x:v>
      </x:c>
      <x:c r="D826" t="str">
        <x:v>리메드</x:v>
      </x:c>
      <x:c r="E826" t="str">
        <x:v>KOSDAQ</x:v>
      </x:c>
      <x:c r="F826" t="str">
        <x:v>MID</x:v>
      </x:c>
      <x:c r="G826" t="str">
        <x:v>ELIGIBLE</x:v>
      </x:c>
      <x:c r="H826"/>
      <x:c r="I826" s="54" t="n">
        <x:v>44377</x:v>
      </x:c>
      <x:c r="J826" s="55" t="n">
        <x:v>27000</x:v>
      </x:c>
      <x:c r="K826" s="55" t="n">
        <x:v>164761182000</x:v>
      </x:c>
      <x:c r="L826" s="55" t="n">
        <x:v>6102266</x:v>
      </x:c>
      <x:c r="M826" t="str">
        <x:v>20210322000679</x:v>
      </x:c>
      <x:c r="N826" t="n">
        <x:v>44277.624999988424</x:v>
      </x:c>
      <x:c r="O826" s="54" t="n">
        <x:v>44196</x:v>
      </x:c>
      <x:c r="P826" t="str">
        <x:v>False</x:v>
      </x:c>
      <x:c r="Q826" t="str">
        <x:v>1e639ed22abca5e497e8d1fb6e0e98e947dcf9cd388522a1c37f3ec1dc13d829</x:v>
      </x:c>
      <x:c r="R826" t="str">
        <x:v>2383eb7b5dddea424096886da74c8322f4f6a110c52b643834c9d484ea7d8e6c</x:v>
      </x:c>
      <x:c r="S826" t="n">
        <x:v>6</x:v>
      </x:c>
      <x:c r="T826" t="str">
        <x:v>2019-12-31|2020-12-31</x:v>
      </x:c>
      <x:c r="U826" s="57" t="n">
        <x:v>2662.869910062585</x:v>
      </x:c>
      <x:c r="V826" s="57" t="n">
        <x:v>-0.9013751885162006</x:v>
      </x:c>
      <x:c r="W826" t="n">
        <x:v>56</x:v>
      </x:c>
      <x:c r="X826" t="n">
        <x:v>5</x:v>
      </x:c>
      <x:c r="Y826" s="38" t="n">
        <x:v>0.6409090909090909</x:v>
      </x:c>
      <x:c r="Z826" s="38" t="n">
        <x:v>0.7012694220738431</x:v>
      </x:c>
      <x:c r="AA826"/>
    </x:row>
    <x:row r="827">
      <x:c r="A827" s="54" t="n">
        <x:v>44377</x:v>
      </x:c>
      <x:c r="B827" t="n">
        <x:v>44377.624999988424</x:v>
      </x:c>
      <x:c r="C827" t="str">
        <x:v>011760</x:v>
      </x:c>
      <x:c r="D827" t="str">
        <x:v>현대코퍼레이션</x:v>
      </x:c>
      <x:c r="E827" t="str">
        <x:v>KOSPI</x:v>
      </x:c>
      <x:c r="F827" t="str">
        <x:v>MID</x:v>
      </x:c>
      <x:c r="G827" t="str">
        <x:v>ELIGIBLE</x:v>
      </x:c>
      <x:c r="H827"/>
      <x:c r="I827" s="54" t="n">
        <x:v>44377</x:v>
      </x:c>
      <x:c r="J827" s="55" t="n">
        <x:v>20250</x:v>
      </x:c>
      <x:c r="K827" s="55" t="n">
        <x:v>267886561500</x:v>
      </x:c>
      <x:c r="L827" s="55" t="n">
        <x:v>13228966</x:v>
      </x:c>
      <x:c r="M827" t="str">
        <x:v>20210316000887</x:v>
      </x:c>
      <x:c r="N827" t="n">
        <x:v>44271.624999988424</x:v>
      </x:c>
      <x:c r="O827" s="54" t="n">
        <x:v>44196</x:v>
      </x:c>
      <x:c r="P827" t="str">
        <x:v>False</x:v>
      </x:c>
      <x:c r="Q827" t="str">
        <x:v>278ee78f0a27176a2018ffaad516b599eaf70ba9580db1bc71f8fb92c05598e4</x:v>
      </x:c>
      <x:c r="R827" t="str">
        <x:v>a57c1d91ac06dca8334078344d08773f484c9199efaec07d1393489503253d10</x:v>
      </x:c>
      <x:c r="S827" t="n">
        <x:v>6</x:v>
      </x:c>
      <x:c r="T827" t="str">
        <x:v>2018-12-31|2019-12-31|2020-12-31</x:v>
      </x:c>
      <x:c r="U827" s="57" t="n">
        <x:v>13014.620111364917</x:v>
      </x:c>
      <x:c r="V827" s="57" t="n">
        <x:v>-0.3573027105498807</x:v>
      </x:c>
      <x:c r="W827" t="n">
        <x:v>22</x:v>
      </x:c>
      <x:c r="X827" t="n">
        <x:v>2</x:v>
      </x:c>
      <x:c r="Y827" s="38" t="n">
        <x:v>0.6409090909090909</x:v>
      </x:c>
      <x:c r="Z827" s="38" t="n">
        <x:v>0.6392017842916052</x:v>
      </x:c>
      <x:c r="AA827"/>
    </x:row>
    <x:row r="828">
      <x:c r="A828" s="54" t="n">
        <x:v>44377</x:v>
      </x:c>
      <x:c r="B828" t="n">
        <x:v>44377.624999988424</x:v>
      </x:c>
      <x:c r="C828" t="str">
        <x:v>010690</x:v>
      </x:c>
      <x:c r="D828" t="str">
        <x:v>화신</x:v>
      </x:c>
      <x:c r="E828" t="str">
        <x:v>KOSPI</x:v>
      </x:c>
      <x:c r="F828" t="str">
        <x:v>MID</x:v>
      </x:c>
      <x:c r="G828" t="str">
        <x:v>DCF_SCREENING_EXCLUSION</x:v>
      </x:c>
      <x:c r="H828" t="str">
        <x:v>NON_POSITIVE_ENTERPRISE_VALUE|NON_POSITIVE_EQUITY_VALUE|NON_POSITIVE_TERMINAL_FCF</x:v>
      </x:c>
      <x:c r="I828" s="54" t="n">
        <x:v>44377</x:v>
      </x:c>
      <x:c r="J828" s="55" t="n">
        <x:v>10050</x:v>
      </x:c>
      <x:c r="K828" s="55" t="n">
        <x:v>350950120500</x:v>
      </x:c>
      <x:c r="L828" s="55" t="n">
        <x:v>34920410</x:v>
      </x:c>
      <x:c r="M828" t="str">
        <x:v>20210322000570</x:v>
      </x:c>
      <x:c r="N828" t="n">
        <x:v>44277.624999988424</x:v>
      </x:c>
      <x:c r="O828" s="54" t="n">
        <x:v>44196</x:v>
      </x:c>
      <x:c r="P828" t="str">
        <x:v>False</x:v>
      </x:c>
      <x:c r="Q828" t="str">
        <x:v>2c40177bebdb79af787fdbbbe7b2fb1961c7e34aff8c723bffa7969be0d2c81a</x:v>
      </x:c>
      <x:c r="R828" t="str">
        <x:v>648b337d596595f7fa419e14405bf4a6cc9b965de9c5fe7ae81f9018c5994503</x:v>
      </x:c>
      <x:c r="S828" t="n">
        <x:v>6</x:v>
      </x:c>
      <x:c r="T828" t="str">
        <x:v>2018-12-31|2019-12-31|2020-12-31</x:v>
      </x:c>
      <x:c r="U828" s="57" t="n">
        <x:v>-16153.5769382895</x:v>
      </x:c>
      <x:c r="V828" s="57" t="n">
        <x:v>-2.607321088387015</x:v>
      </x:c>
      <x:c r="W828"/>
      <x:c r="X828"/>
      <x:c r="Y828" s="38" t="n">
        <x:v>0.6409090909090909</x:v>
      </x:c>
      <x:c r="Z828" s="38" t="n">
        <x:v>0.676334784928983</x:v>
      </x:c>
      <x:c r="AA828" t="str">
        <x:v>NON_POSITIVE_ENTERPRISE_VALUE|NON_POSITIVE_EQUITY_VALUE|NON_POSITIVE_TERMINAL_FCF</x:v>
      </x:c>
    </x:row>
    <x:row r="829">
      <x:c r="A829" s="54" t="n">
        <x:v>44377</x:v>
      </x:c>
      <x:c r="B829" t="n">
        <x:v>44377.624999988424</x:v>
      </x:c>
      <x:c r="C829" t="str">
        <x:v>029460</x:v>
      </x:c>
      <x:c r="D829" t="str">
        <x:v>케이씨</x:v>
      </x:c>
      <x:c r="E829" t="str">
        <x:v>KOSPI</x:v>
      </x:c>
      <x:c r="F829" t="str">
        <x:v>MID</x:v>
      </x:c>
      <x:c r="G829" t="str">
        <x:v>ELIGIBLE</x:v>
      </x:c>
      <x:c r="H829"/>
      <x:c r="I829" s="54" t="n">
        <x:v>44377</x:v>
      </x:c>
      <x:c r="J829" s="55" t="n">
        <x:v>27000</x:v>
      </x:c>
      <x:c r="K829" s="55" t="n">
        <x:v>365959188000</x:v>
      </x:c>
      <x:c r="L829" s="55" t="n">
        <x:v>13554044</x:v>
      </x:c>
      <x:c r="M829" t="str">
        <x:v>20210316000993</x:v>
      </x:c>
      <x:c r="N829" t="n">
        <x:v>44271.624999988424</x:v>
      </x:c>
      <x:c r="O829" s="54" t="n">
        <x:v>44196</x:v>
      </x:c>
      <x:c r="P829" t="str">
        <x:v>False</x:v>
      </x:c>
      <x:c r="Q829" t="str">
        <x:v>b4098d53fa6c9821544b19624f9e3b95c7efb07ed65dd730ca2d013f17f0f149</x:v>
      </x:c>
      <x:c r="R829" t="str">
        <x:v>bdbc2e70dba69343ad2b40ebf43c406cfee3642881bca2327498ab7f2557dc61</x:v>
      </x:c>
      <x:c r="S829" t="n">
        <x:v>7</x:v>
      </x:c>
      <x:c r="T829" t="str">
        <x:v>2018-12-31|2019-12-31|2020-12-31</x:v>
      </x:c>
      <x:c r="U829" s="57" t="n">
        <x:v>48747.66235572782</x:v>
      </x:c>
      <x:c r="V829" s="57" t="n">
        <x:v>0.8054689761380674</x:v>
      </x:c>
      <x:c r="W829" t="n">
        <x:v>5</x:v>
      </x:c>
      <x:c r="X829" t="n">
        <x:v>1</x:v>
      </x:c>
      <x:c r="Y829" s="38" t="n">
        <x:v>0.6409090909090909</x:v>
      </x:c>
      <x:c r="Z829" s="38" t="n">
        <x:v>0.6736961444810375</x:v>
      </x:c>
      <x:c r="AA829"/>
    </x:row>
    <x:row r="830">
      <x:c r="A830" s="54" t="n">
        <x:v>44377</x:v>
      </x:c>
      <x:c r="B830" t="n">
        <x:v>44377.624999988424</x:v>
      </x:c>
      <x:c r="C830" t="str">
        <x:v>122900</x:v>
      </x:c>
      <x:c r="D830" t="str">
        <x:v>아이마켓코리아</x:v>
      </x:c>
      <x:c r="E830" t="str">
        <x:v>KOSPI</x:v>
      </x:c>
      <x:c r="F830" t="str">
        <x:v>MID</x:v>
      </x:c>
      <x:c r="G830" t="str">
        <x:v>ELIGIBLE</x:v>
      </x:c>
      <x:c r="H830"/>
      <x:c r="I830" s="54" t="n">
        <x:v>44377</x:v>
      </x:c>
      <x:c r="J830" s="55" t="n">
        <x:v>11350</x:v>
      </x:c>
      <x:c r="K830" s="55" t="n">
        <x:v>379417334000</x:v>
      </x:c>
      <x:c r="L830" s="55" t="n">
        <x:v>33428840</x:v>
      </x:c>
      <x:c r="M830" t="str">
        <x:v>20210322000664</x:v>
      </x:c>
      <x:c r="N830" t="n">
        <x:v>44277.624999988424</x:v>
      </x:c>
      <x:c r="O830" s="54" t="n">
        <x:v>44196</x:v>
      </x:c>
      <x:c r="P830" t="str">
        <x:v>False</x:v>
      </x:c>
      <x:c r="Q830" t="str">
        <x:v>b92939c81e354aaff71090566e3693253c1752bd6d081c88b85c8203cdcf44f4</x:v>
      </x:c>
      <x:c r="R830" t="str">
        <x:v>2f99c90467b5d1ba95e082e3d4cbf7a890d1b59929860f56e1b76261c8b1a50c</x:v>
      </x:c>
      <x:c r="S830" t="n">
        <x:v>7</x:v>
      </x:c>
      <x:c r="T830" t="str">
        <x:v>2018-12-31|2019-12-31|2020-12-31</x:v>
      </x:c>
      <x:c r="U830" s="57" t="n">
        <x:v>7534.48271490816</x:v>
      </x:c>
      <x:c r="V830" s="57" t="n">
        <x:v>-0.3361689237966378</x:v>
      </x:c>
      <x:c r="W830" t="n">
        <x:v>20</x:v>
      </x:c>
      <x:c r="X830" t="n">
        <x:v>2</x:v>
      </x:c>
      <x:c r="Y830" s="38" t="n">
        <x:v>0.6409090909090909</x:v>
      </x:c>
      <x:c r="Z830" s="38" t="n">
        <x:v>0.6656486310336687</x:v>
      </x:c>
      <x:c r="AA830"/>
    </x:row>
    <x:row r="831">
      <x:c r="A831" s="54" t="n">
        <x:v>44377</x:v>
      </x:c>
      <x:c r="B831" t="n">
        <x:v>44377.624999988424</x:v>
      </x:c>
      <x:c r="C831" t="str">
        <x:v>001820</x:v>
      </x:c>
      <x:c r="D831" t="str">
        <x:v>삼화콘덴서</x:v>
      </x:c>
      <x:c r="E831" t="str">
        <x:v>KOSPI</x:v>
      </x:c>
      <x:c r="F831" t="str">
        <x:v>MID</x:v>
      </x:c>
      <x:c r="G831" t="str">
        <x:v>ELIGIBLE</x:v>
      </x:c>
      <x:c r="H831"/>
      <x:c r="I831" s="54" t="n">
        <x:v>44377</x:v>
      </x:c>
      <x:c r="J831" s="55" t="n">
        <x:v>60300</x:v>
      </x:c>
      <x:c r="K831" s="55" t="n">
        <x:v>626818500000</x:v>
      </x:c>
      <x:c r="L831" s="55" t="n">
        <x:v>10395000</x:v>
      </x:c>
      <x:c r="M831" t="str">
        <x:v>20210318000813</x:v>
      </x:c>
      <x:c r="N831" t="n">
        <x:v>44273.624999988424</x:v>
      </x:c>
      <x:c r="O831" s="54" t="n">
        <x:v>44196</x:v>
      </x:c>
      <x:c r="P831" t="str">
        <x:v>False</x:v>
      </x:c>
      <x:c r="Q831" t="str">
        <x:v>62af25af3ee9d675da0f9a28a9d429b856f6716ee8ccde02bf6bb2659a309d7d</x:v>
      </x:c>
      <x:c r="R831" t="str">
        <x:v>377ca5e06ffa671a6e44038c8c5ed1f0add6921eecb130f7781f3365ed119d4a</x:v>
      </x:c>
      <x:c r="S831" t="n">
        <x:v>6</x:v>
      </x:c>
      <x:c r="T831" t="str">
        <x:v>2018-12-31|2019-12-31|2020-12-31</x:v>
      </x:c>
      <x:c r="U831" s="57" t="n">
        <x:v>19903.907995886217</x:v>
      </x:c>
      <x:c r="V831" s="57" t="n">
        <x:v>-0.6699186070333961</x:v>
      </x:c>
      <x:c r="W831" t="n">
        <x:v>37</x:v>
      </x:c>
      <x:c r="X831" t="n">
        <x:v>4</x:v>
      </x:c>
      <x:c r="Y831" s="38" t="n">
        <x:v>0.6409090909090909</x:v>
      </x:c>
      <x:c r="Z831" s="38" t="n">
        <x:v>0.7024781145767918</x:v>
      </x:c>
      <x:c r="AA831"/>
    </x:row>
    <x:row r="832">
      <x:c r="A832" s="54" t="n">
        <x:v>44377</x:v>
      </x:c>
      <x:c r="B832" t="n">
        <x:v>44377.624999988424</x:v>
      </x:c>
      <x:c r="C832" t="str">
        <x:v>001790</x:v>
      </x:c>
      <x:c r="D832" t="str">
        <x:v>대한제당</x:v>
      </x:c>
      <x:c r="E832" t="str">
        <x:v>KOSPI</x:v>
      </x:c>
      <x:c r="F832" t="str">
        <x:v>MID</x:v>
      </x:c>
      <x:c r="G832" t="str">
        <x:v>ELIGIBLE</x:v>
      </x:c>
      <x:c r="H832"/>
      <x:c r="I832" s="54" t="n">
        <x:v>44377</x:v>
      </x:c>
      <x:c r="J832" s="55" t="n">
        <x:v>3540</x:v>
      </x:c>
      <x:c r="K832" s="55" t="n">
        <x:v>317525893200</x:v>
      </x:c>
      <x:c r="L832" s="55" t="n">
        <x:v>89696580</x:v>
      </x:c>
      <x:c r="M832" t="str">
        <x:v>20210419000297</x:v>
      </x:c>
      <x:c r="N832" t="n">
        <x:v>44305.624999988424</x:v>
      </x:c>
      <x:c r="O832" s="54" t="n">
        <x:v>44196</x:v>
      </x:c>
      <x:c r="P832" t="str">
        <x:v>True</x:v>
      </x:c>
      <x:c r="Q832" t="str">
        <x:v>7386d6b7f498bee97055913795870feb3dd802720df714a650ee71d84745f789</x:v>
      </x:c>
      <x:c r="R832" t="str">
        <x:v>94740bf63be73c4dac11b62e160d72258565c0a2cb42b25e32354159b5b309cd</x:v>
      </x:c>
      <x:c r="S832" t="n">
        <x:v>6</x:v>
      </x:c>
      <x:c r="T832" t="str">
        <x:v>2018-12-31|2019-12-31|2020-12-31</x:v>
      </x:c>
      <x:c r="U832" s="57" t="n">
        <x:v>1160.3339311700863</x:v>
      </x:c>
      <x:c r="V832" s="57" t="n">
        <x:v>-0.6722220533417835</x:v>
      </x:c>
      <x:c r="W832" t="n">
        <x:v>38</x:v>
      </x:c>
      <x:c r="X832" t="n">
        <x:v>4</x:v>
      </x:c>
      <x:c r="Y832" s="38" t="n">
        <x:v>0.6409090909090909</x:v>
      </x:c>
      <x:c r="Z832" s="38" t="n">
        <x:v>0.5698434338896153</x:v>
      </x:c>
      <x:c r="AA832"/>
    </x:row>
    <x:row r="833">
      <x:c r="A833" s="54" t="n">
        <x:v>44377</x:v>
      </x:c>
      <x:c r="B833" t="n">
        <x:v>44377.624999988424</x:v>
      </x:c>
      <x:c r="C833" t="str">
        <x:v>001340</x:v>
      </x:c>
      <x:c r="D833" t="str">
        <x:v>PKC</x:v>
      </x:c>
      <x:c r="E833" t="str">
        <x:v>KOSPI</x:v>
      </x:c>
      <x:c r="F833" t="str">
        <x:v>MID</x:v>
      </x:c>
      <x:c r="G833" t="str">
        <x:v>ELIGIBLE</x:v>
      </x:c>
      <x:c r="H833"/>
      <x:c r="I833" s="54" t="n">
        <x:v>44377</x:v>
      </x:c>
      <x:c r="J833" s="55" t="n">
        <x:v>6670</x:v>
      </x:c>
      <x:c r="K833" s="55" t="n">
        <x:v>299605774690</x:v>
      </x:c>
      <x:c r="L833" s="55" t="n">
        <x:v>44918407</x:v>
      </x:c>
      <x:c r="M833" t="str">
        <x:v>20210317000563</x:v>
      </x:c>
      <x:c r="N833" t="n">
        <x:v>44272.624999988424</x:v>
      </x:c>
      <x:c r="O833" s="54" t="n">
        <x:v>44196</x:v>
      </x:c>
      <x:c r="P833" t="str">
        <x:v>False</x:v>
      </x:c>
      <x:c r="Q833" t="str">
        <x:v>81adfca52825bdd115d27da3b41cb6c3439abb61b538de345fb74e37891da0b1</x:v>
      </x:c>
      <x:c r="R833" t="str">
        <x:v>2e28e834dc1fb990f4d5415cd14d168e467ed9142c468c9f6da7138ee5fe5af3</x:v>
      </x:c>
      <x:c r="S833" t="n">
        <x:v>6</x:v>
      </x:c>
      <x:c r="T833" t="str">
        <x:v>2016-12-31|2017-12-31|2018-12-31|2019-12-31|2020-12-31</x:v>
      </x:c>
      <x:c r="U833" s="57" t="n">
        <x:v>65.60697834095828</x:v>
      </x:c>
      <x:c r="V833" s="57" t="n">
        <x:v>-0.9901638713131996</x:v>
      </x:c>
      <x:c r="W833" t="n">
        <x:v>60</x:v>
      </x:c>
      <x:c r="X833" t="n">
        <x:v>5</x:v>
      </x:c>
      <x:c r="Y833" s="38" t="n">
        <x:v>0.6409090909090909</x:v>
      </x:c>
      <x:c r="Z833" s="38" t="n">
        <x:v>0.6734078515422923</x:v>
      </x:c>
      <x:c r="AA833"/>
    </x:row>
    <x:row r="834">
      <x:c r="A834" s="54" t="n">
        <x:v>44377</x:v>
      </x:c>
      <x:c r="B834" t="n">
        <x:v>44377.624999988424</x:v>
      </x:c>
      <x:c r="C834" t="str">
        <x:v>096760</x:v>
      </x:c>
      <x:c r="D834" t="str">
        <x:v>JW홀딩스</x:v>
      </x:c>
      <x:c r="E834" t="str">
        <x:v>KOSPI</x:v>
      </x:c>
      <x:c r="F834" t="str">
        <x:v>MID</x:v>
      </x:c>
      <x:c r="G834" t="str">
        <x:v>EXCLUDED_ARCHETYPE</x:v>
      </x:c>
      <x:c r="H834" t="str">
        <x:v>FCFF_NOT_COMPARABLE_FOR_FINANCE_OR_HOLDING_HINT</x:v>
      </x:c>
      <x:c r="I834" s="54"/>
      <x:c r="J834" s="55"/>
      <x:c r="K834" s="55"/>
      <x:c r="L834" s="55"/>
      <x:c r="M834"/>
      <x:c r="N834"/>
      <x:c r="O834" s="54"/>
      <x:c r="P834"/>
      <x:c r="Q834"/>
      <x:c r="R834"/>
      <x:c r="S834"/>
      <x:c r="T834"/>
      <x:c r="U834" s="57"/>
      <x:c r="V834" s="57"/>
      <x:c r="W834"/>
      <x:c r="X834"/>
      <x:c r="Y834" s="38"/>
      <x:c r="Z834" s="38"/>
      <x:c r="AA834"/>
    </x:row>
    <x:row r="835">
      <x:c r="A835" s="54" t="n">
        <x:v>44377</x:v>
      </x:c>
      <x:c r="B835" t="n">
        <x:v>44377.624999988424</x:v>
      </x:c>
      <x:c r="C835" t="str">
        <x:v>005010</x:v>
      </x:c>
      <x:c r="D835" t="str">
        <x:v>휴스틸</x:v>
      </x:c>
      <x:c r="E835" t="str">
        <x:v>KOSPI</x:v>
      </x:c>
      <x:c r="F835" t="str">
        <x:v>MID</x:v>
      </x:c>
      <x:c r="G835" t="str">
        <x:v>ELIGIBLE</x:v>
      </x:c>
      <x:c r="H835"/>
      <x:c r="I835" s="54" t="n">
        <x:v>44377</x:v>
      </x:c>
      <x:c r="J835" s="55" t="n">
        <x:v>14200</x:v>
      </x:c>
      <x:c r="K835" s="55" t="n">
        <x:v>108711863000</x:v>
      </x:c>
      <x:c r="L835" s="55" t="n">
        <x:v>7655765</x:v>
      </x:c>
      <x:c r="M835" t="str">
        <x:v>20210323001094</x:v>
      </x:c>
      <x:c r="N835" t="n">
        <x:v>44278.624999988424</x:v>
      </x:c>
      <x:c r="O835" s="54" t="n">
        <x:v>44196</x:v>
      </x:c>
      <x:c r="P835" t="str">
        <x:v>False</x:v>
      </x:c>
      <x:c r="Q835" t="str">
        <x:v>358c99bbd3908de4511666e01e6de1624292a0d2e52d26017dbc07b20987a606</x:v>
      </x:c>
      <x:c r="R835" t="str">
        <x:v>b22c5cf1055628239a9b026a80fc3913c3040d0df837fed18104e6bc98dc4d00</x:v>
      </x:c>
      <x:c r="S835" t="n">
        <x:v>7</x:v>
      </x:c>
      <x:c r="T835" t="str">
        <x:v>2018-12-31|2019-12-31|2020-12-31</x:v>
      </x:c>
      <x:c r="U835" s="57" t="n">
        <x:v>7791.562764499198</x:v>
      </x:c>
      <x:c r="V835" s="57" t="n">
        <x:v>-0.45129839686625367</x:v>
      </x:c>
      <x:c r="W835" t="n">
        <x:v>26</x:v>
      </x:c>
      <x:c r="X835" t="n">
        <x:v>3</x:v>
      </x:c>
      <x:c r="Y835" s="38" t="n">
        <x:v>0.6409090909090909</x:v>
      </x:c>
      <x:c r="Z835" s="38" t="n">
        <x:v>0.471667152477003</x:v>
      </x:c>
      <x:c r="AA835"/>
    </x:row>
    <x:row r="836">
      <x:c r="A836" s="54" t="n">
        <x:v>44377</x:v>
      </x:c>
      <x:c r="B836" t="n">
        <x:v>44377.624999988424</x:v>
      </x:c>
      <x:c r="C836" t="str">
        <x:v>001630</x:v>
      </x:c>
      <x:c r="D836" t="str">
        <x:v>종근당홀딩스</x:v>
      </x:c>
      <x:c r="E836" t="str">
        <x:v>KOSPI</x:v>
      </x:c>
      <x:c r="F836" t="str">
        <x:v>MID</x:v>
      </x:c>
      <x:c r="G836" t="str">
        <x:v>EXCLUDED_ARCHETYPE</x:v>
      </x:c>
      <x:c r="H836" t="str">
        <x:v>FCFF_NOT_COMPARABLE_FOR_FINANCE_OR_HOLDING_HINT</x:v>
      </x:c>
      <x:c r="I836" s="54"/>
      <x:c r="J836" s="55"/>
      <x:c r="K836" s="55"/>
      <x:c r="L836" s="55"/>
      <x:c r="M836"/>
      <x:c r="N836"/>
      <x:c r="O836" s="54"/>
      <x:c r="P836"/>
      <x:c r="Q836"/>
      <x:c r="R836"/>
      <x:c r="S836"/>
      <x:c r="T836"/>
      <x:c r="U836" s="57"/>
      <x:c r="V836" s="57"/>
      <x:c r="W836"/>
      <x:c r="X836"/>
      <x:c r="Y836" s="38"/>
      <x:c r="Z836" s="38"/>
      <x:c r="AA836"/>
    </x:row>
    <x:row r="837">
      <x:c r="A837" s="54" t="n">
        <x:v>44377</x:v>
      </x:c>
      <x:c r="B837" t="n">
        <x:v>44377.624999988424</x:v>
      </x:c>
      <x:c r="C837" t="str">
        <x:v>005680</x:v>
      </x:c>
      <x:c r="D837" t="str">
        <x:v>삼영전자</x:v>
      </x:c>
      <x:c r="E837" t="str">
        <x:v>KOSPI</x:v>
      </x:c>
      <x:c r="F837" t="str">
        <x:v>MID</x:v>
      </x:c>
      <x:c r="G837" t="str">
        <x:v>ELIGIBLE</x:v>
      </x:c>
      <x:c r="H837"/>
      <x:c r="I837" s="54" t="n">
        <x:v>44377</x:v>
      </x:c>
      <x:c r="J837" s="55" t="n">
        <x:v>14050</x:v>
      </x:c>
      <x:c r="K837" s="55" t="n">
        <x:v>281000000000</x:v>
      </x:c>
      <x:c r="L837" s="55" t="n">
        <x:v>20000000</x:v>
      </x:c>
      <x:c r="M837" t="str">
        <x:v>20210311000178</x:v>
      </x:c>
      <x:c r="N837" t="n">
        <x:v>44266.624999988424</x:v>
      </x:c>
      <x:c r="O837" s="54" t="n">
        <x:v>44196</x:v>
      </x:c>
      <x:c r="P837" t="str">
        <x:v>False</x:v>
      </x:c>
      <x:c r="Q837" t="str">
        <x:v>dde14fa80372da4de99c1b031ada4ede564fe680bd7b1decb0a4ae7d0ff72d41</x:v>
      </x:c>
      <x:c r="R837" t="str">
        <x:v>39c89dac47e1d12411df59d521e88eca256c5297f13e434da2910061f9732c40</x:v>
      </x:c>
      <x:c r="S837" t="n">
        <x:v>6</x:v>
      </x:c>
      <x:c r="T837" t="str">
        <x:v>2018-12-31|2019-12-31|2020-12-31</x:v>
      </x:c>
      <x:c r="U837" s="57" t="n">
        <x:v>3668.246287265243</x:v>
      </x:c>
      <x:c r="V837" s="57" t="n">
        <x:v>-0.7389148549989151</x:v>
      </x:c>
      <x:c r="W837" t="n">
        <x:v>45</x:v>
      </x:c>
      <x:c r="X837" t="n">
        <x:v>4</x:v>
      </x:c>
      <x:c r="Y837" s="38" t="n">
        <x:v>0.6409090909090909</x:v>
      </x:c>
      <x:c r="Z837" s="38" t="n">
        <x:v>0.4816152124920987</x:v>
      </x:c>
      <x:c r="AA837"/>
    </x:row>
    <x:row r="838">
      <x:c r="A838" s="54" t="n">
        <x:v>44377</x:v>
      </x:c>
      <x:c r="B838" t="n">
        <x:v>44377.624999988424</x:v>
      </x:c>
      <x:c r="C838" t="str">
        <x:v>028100</x:v>
      </x:c>
      <x:c r="D838" t="str">
        <x:v>동아지질</x:v>
      </x:c>
      <x:c r="E838" t="str">
        <x:v>KOSPI</x:v>
      </x:c>
      <x:c r="F838" t="str">
        <x:v>MID</x:v>
      </x:c>
      <x:c r="G838" t="str">
        <x:v>ELIGIBLE</x:v>
      </x:c>
      <x:c r="H838"/>
      <x:c r="I838" s="54" t="n">
        <x:v>44377</x:v>
      </x:c>
      <x:c r="J838" s="55" t="n">
        <x:v>22350</x:v>
      </x:c>
      <x:c r="K838" s="55" t="n">
        <x:v>257025000000</x:v>
      </x:c>
      <x:c r="L838" s="55" t="n">
        <x:v>11500000</x:v>
      </x:c>
      <x:c r="M838" t="str">
        <x:v>20210317000479</x:v>
      </x:c>
      <x:c r="N838" t="n">
        <x:v>44272.624999988424</x:v>
      </x:c>
      <x:c r="O838" s="54" t="n">
        <x:v>44196</x:v>
      </x:c>
      <x:c r="P838" t="str">
        <x:v>False</x:v>
      </x:c>
      <x:c r="Q838" t="str">
        <x:v>bc2d1caa964a2ab24387413d73b3d76e86ffc1bf831ba20155c556d6c0d445b4</x:v>
      </x:c>
      <x:c r="R838" t="str">
        <x:v>ed58f112ca210e521489ef5cb877a8950f25699d8d3c5b406b93f360e560ce8f</x:v>
      </x:c>
      <x:c r="S838" t="n">
        <x:v>7</x:v>
      </x:c>
      <x:c r="T838" t="str">
        <x:v>2018-12-31|2019-12-31|2020-12-31</x:v>
      </x:c>
      <x:c r="U838" s="57" t="n">
        <x:v>26722.030644503473</x:v>
      </x:c>
      <x:c r="V838" s="57" t="n">
        <x:v>0.19561658364668777</x:v>
      </x:c>
      <x:c r="W838" t="n">
        <x:v>9</x:v>
      </x:c>
      <x:c r="X838" t="n">
        <x:v>1</x:v>
      </x:c>
      <x:c r="Y838" s="38" t="n">
        <x:v>0.6409090909090909</x:v>
      </x:c>
      <x:c r="Z838" s="38" t="n">
        <x:v>0.7103235894476889</x:v>
      </x:c>
      <x:c r="AA838"/>
    </x:row>
    <x:row r="839">
      <x:c r="A839" s="54" t="n">
        <x:v>44377</x:v>
      </x:c>
      <x:c r="B839" t="n">
        <x:v>44377.624999988424</x:v>
      </x:c>
      <x:c r="C839" t="str">
        <x:v>001750</x:v>
      </x:c>
      <x:c r="D839" t="str">
        <x:v>한양증권</x:v>
      </x:c>
      <x:c r="E839" t="str">
        <x:v>KOSPI</x:v>
      </x:c>
      <x:c r="F839" t="str">
        <x:v>MID</x:v>
      </x:c>
      <x:c r="G839" t="str">
        <x:v>EXCLUDED_ARCHETYPE</x:v>
      </x:c>
      <x:c r="H839" t="str">
        <x:v>FCFF_NOT_COMPARABLE_FOR_FINANCE_OR_HOLDING_HINT</x:v>
      </x:c>
      <x:c r="I839" s="54"/>
      <x:c r="J839" s="55"/>
      <x:c r="K839" s="55"/>
      <x:c r="L839" s="55"/>
      <x:c r="M839"/>
      <x:c r="N839"/>
      <x:c r="O839" s="54"/>
      <x:c r="P839"/>
      <x:c r="Q839"/>
      <x:c r="R839"/>
      <x:c r="S839"/>
      <x:c r="T839"/>
      <x:c r="U839" s="57"/>
      <x:c r="V839" s="57"/>
      <x:c r="W839"/>
      <x:c r="X839"/>
      <x:c r="Y839" s="38"/>
      <x:c r="Z839" s="38"/>
      <x:c r="AA839"/>
    </x:row>
    <x:row r="840">
      <x:c r="A840" s="54" t="n">
        <x:v>44377</x:v>
      </x:c>
      <x:c r="B840" t="n">
        <x:v>44377.624999988424</x:v>
      </x:c>
      <x:c r="C840" t="str">
        <x:v>102460</x:v>
      </x:c>
      <x:c r="D840" t="str">
        <x:v>이연제약</x:v>
      </x:c>
      <x:c r="E840" t="str">
        <x:v>KOSPI</x:v>
      </x:c>
      <x:c r="F840" t="str">
        <x:v>MID</x:v>
      </x:c>
      <x:c r="G840" t="str">
        <x:v>ELIGIBLE</x:v>
      </x:c>
      <x:c r="H840"/>
      <x:c r="I840" s="54" t="n">
        <x:v>44377</x:v>
      </x:c>
      <x:c r="J840" s="55" t="n">
        <x:v>48300</x:v>
      </x:c>
      <x:c r="K840" s="55" t="n">
        <x:v>869331269100</x:v>
      </x:c>
      <x:c r="L840" s="55" t="n">
        <x:v>17998577</x:v>
      </x:c>
      <x:c r="M840" t="str">
        <x:v>20210318000279</x:v>
      </x:c>
      <x:c r="N840" t="n">
        <x:v>44273.624999988424</x:v>
      </x:c>
      <x:c r="O840" s="54" t="n">
        <x:v>44196</x:v>
      </x:c>
      <x:c r="P840" t="str">
        <x:v>False</x:v>
      </x:c>
      <x:c r="Q840" t="str">
        <x:v>bafa27ff7a8f0c2cc105ff079f8634cb91e99101fddf8fe16ed747692f943381</x:v>
      </x:c>
      <x:c r="R840" t="str">
        <x:v>7ab3717ffefb5b466b6c6284aa66ff1f75d6201cbed0dd7623fb983f6e7e880b</x:v>
      </x:c>
      <x:c r="S840" t="n">
        <x:v>4</x:v>
      </x:c>
      <x:c r="T840" t="str">
        <x:v>2018-12-31|2019-12-31|2020-12-31</x:v>
      </x:c>
      <x:c r="U840" s="57" t="n">
        <x:v>1678.3327852134746</x:v>
      </x:c>
      <x:c r="V840" s="57" t="n">
        <x:v>-0.9652519092088307</x:v>
      </x:c>
      <x:c r="W840" t="n">
        <x:v>59</x:v>
      </x:c>
      <x:c r="X840" t="n">
        <x:v>5</x:v>
      </x:c>
      <x:c r="Y840" s="38" t="n">
        <x:v>0.6409090909090909</x:v>
      </x:c>
      <x:c r="Z840" s="38" t="n">
        <x:v>0.6881824883488759</x:v>
      </x:c>
      <x:c r="AA840"/>
    </x:row>
    <x:row r="841">
      <x:c r="A841" s="54" t="n">
        <x:v>44377</x:v>
      </x:c>
      <x:c r="B841" t="n">
        <x:v>44377.624999988424</x:v>
      </x:c>
      <x:c r="C841" t="str">
        <x:v>053690</x:v>
      </x:c>
      <x:c r="D841" t="str">
        <x:v>한미글로벌</x:v>
      </x:c>
      <x:c r="E841" t="str">
        <x:v>KOSPI</x:v>
      </x:c>
      <x:c r="F841" t="str">
        <x:v>MID</x:v>
      </x:c>
      <x:c r="G841" t="str">
        <x:v>ELIGIBLE</x:v>
      </x:c>
      <x:c r="H841"/>
      <x:c r="I841" s="54" t="n">
        <x:v>44377</x:v>
      </x:c>
      <x:c r="J841" s="55" t="n">
        <x:v>12150</x:v>
      </x:c>
      <x:c r="K841" s="55" t="n">
        <x:v>133134232500</x:v>
      </x:c>
      <x:c r="L841" s="55" t="n">
        <x:v>10957550</x:v>
      </x:c>
      <x:c r="M841" t="str">
        <x:v>20210326001219</x:v>
      </x:c>
      <x:c r="N841" t="n">
        <x:v>44281.624999988424</x:v>
      </x:c>
      <x:c r="O841" s="54" t="n">
        <x:v>44196</x:v>
      </x:c>
      <x:c r="P841" t="str">
        <x:v>True</x:v>
      </x:c>
      <x:c r="Q841" t="str">
        <x:v>e941839f60714374267fa53fec0758cc41c633a07fb2a702fbbee19bbfd8deb7</x:v>
      </x:c>
      <x:c r="R841" t="str">
        <x:v>934955606a112d859a0ce14e27a56a79ebcff494f5ee54caaecf4cb0b75c9b26</x:v>
      </x:c>
      <x:c r="S841" t="n">
        <x:v>6</x:v>
      </x:c>
      <x:c r="T841" t="str">
        <x:v>2018-12-31|2019-12-31|2020-12-31</x:v>
      </x:c>
      <x:c r="U841" s="57" t="n">
        <x:v>14615.232013631028</x:v>
      </x:c>
      <x:c r="V841" s="57" t="n">
        <x:v>0.20289975420831505</x:v>
      </x:c>
      <x:c r="W841" t="n">
        <x:v>8</x:v>
      </x:c>
      <x:c r="X841" t="n">
        <x:v>1</x:v>
      </x:c>
      <x:c r="Y841" s="38" t="n">
        <x:v>0.6409090909090909</x:v>
      </x:c>
      <x:c r="Z841" s="38" t="n">
        <x:v>0.6899242333766348</x:v>
      </x:c>
      <x:c r="AA841"/>
    </x:row>
    <x:row r="842">
      <x:c r="A842" s="54" t="n">
        <x:v>44377</x:v>
      </x:c>
      <x:c r="B842" t="n">
        <x:v>44377.624999988424</x:v>
      </x:c>
      <x:c r="C842" t="str">
        <x:v>213500</x:v>
      </x:c>
      <x:c r="D842" t="str">
        <x:v>한솔제지</x:v>
      </x:c>
      <x:c r="E842" t="str">
        <x:v>KOSPI</x:v>
      </x:c>
      <x:c r="F842" t="str">
        <x:v>MID</x:v>
      </x:c>
      <x:c r="G842" t="str">
        <x:v>ELIGIBLE</x:v>
      </x:c>
      <x:c r="H842"/>
      <x:c r="I842" s="54" t="n">
        <x:v>44377</x:v>
      </x:c>
      <x:c r="J842" s="55" t="n">
        <x:v>16350</x:v>
      </x:c>
      <x:c r="K842" s="55" t="n">
        <x:v>389139417600</x:v>
      </x:c>
      <x:c r="L842" s="55" t="n">
        <x:v>23800576</x:v>
      </x:c>
      <x:c r="M842" t="str">
        <x:v>20210317001248</x:v>
      </x:c>
      <x:c r="N842" t="n">
        <x:v>44272.624999988424</x:v>
      </x:c>
      <x:c r="O842" s="54" t="n">
        <x:v>44196</x:v>
      </x:c>
      <x:c r="P842" t="str">
        <x:v>True</x:v>
      </x:c>
      <x:c r="Q842" t="str">
        <x:v>8efbce3ee9b4e5be342d13640deb5660db4e1206c3c7f9d96ce1c37099bb3a70</x:v>
      </x:c>
      <x:c r="R842" t="str">
        <x:v>bdec2c9e28fec8b0cb98d00a31cab09a0c1959da47b6f2ecece8901870a4f4f8</x:v>
      </x:c>
      <x:c r="S842" t="n">
        <x:v>6</x:v>
      </x:c>
      <x:c r="T842" t="str">
        <x:v>2018-12-31|2019-12-31|2020-12-31</x:v>
      </x:c>
      <x:c r="U842" s="57" t="n">
        <x:v>8382.140797073778</x:v>
      </x:c>
      <x:c r="V842" s="57" t="n">
        <x:v>-0.4873308380994631</x:v>
      </x:c>
      <x:c r="W842" t="n">
        <x:v>27</x:v>
      </x:c>
      <x:c r="X842" t="n">
        <x:v>3</x:v>
      </x:c>
      <x:c r="Y842" s="38" t="n">
        <x:v>0.6409090909090909</x:v>
      </x:c>
      <x:c r="Z842" s="38" t="n">
        <x:v>0.6149835882195432</x:v>
      </x:c>
      <x:c r="AA842"/>
    </x:row>
    <x:row r="843">
      <x:c r="A843" s="54" t="n">
        <x:v>44377</x:v>
      </x:c>
      <x:c r="B843" t="n">
        <x:v>44377.624999988424</x:v>
      </x:c>
      <x:c r="C843" t="str">
        <x:v>005430</x:v>
      </x:c>
      <x:c r="D843" t="str">
        <x:v>한국공항</x:v>
      </x:c>
      <x:c r="E843" t="str">
        <x:v>KOSPI</x:v>
      </x:c>
      <x:c r="F843" t="str">
        <x:v>MID</x:v>
      </x:c>
      <x:c r="G843" t="str">
        <x:v>DCF_SCREENING_EXCLUSION</x:v>
      </x:c>
      <x:c r="H843" t="str">
        <x:v>UNRELIABLE_TERMINAL_VALUE_SHARE</x:v>
      </x:c>
      <x:c r="I843" s="54" t="n">
        <x:v>44377</x:v>
      </x:c>
      <x:c r="J843" s="55" t="n">
        <x:v>46600</x:v>
      </x:c>
      <x:c r="K843" s="55" t="n">
        <x:v>147552143000</x:v>
      </x:c>
      <x:c r="L843" s="55" t="n">
        <x:v>3166355</x:v>
      </x:c>
      <x:c r="M843" t="str">
        <x:v>20210318001204</x:v>
      </x:c>
      <x:c r="N843" t="n">
        <x:v>44273.624999988424</x:v>
      </x:c>
      <x:c r="O843" s="54" t="n">
        <x:v>44196</x:v>
      </x:c>
      <x:c r="P843" t="str">
        <x:v>False</x:v>
      </x:c>
      <x:c r="Q843" t="str">
        <x:v>0d39e979f1c33d350281bec900a7d13ad08ca5a63340b7c00b73f9412208d65e</x:v>
      </x:c>
      <x:c r="R843" t="str">
        <x:v>eb32c26607eae35c127601fc1bfa293ae7e44bc65bad03d2d6206715c05bacd4</x:v>
      </x:c>
      <x:c r="S843" t="n">
        <x:v>7</x:v>
      </x:c>
      <x:c r="T843" t="str">
        <x:v>2018-12-31|2019-12-31|2020-12-31</x:v>
      </x:c>
      <x:c r="U843" s="57" t="n">
        <x:v>44990.34699553746</x:v>
      </x:c>
      <x:c r="V843" s="57" t="n">
        <x:v>-0.03454190996700732</x:v>
      </x:c>
      <x:c r="W843"/>
      <x:c r="X843"/>
      <x:c r="Y843" s="38" t="n">
        <x:v>0.6409090909090909</x:v>
      </x:c>
      <x:c r="Z843" s="38" t="n">
        <x:v>1.3916929697875668</x:v>
      </x:c>
      <x:c r="AA843" t="str">
        <x:v>UNRELIABLE_TERMINAL_VALUE_SHARE</x:v>
      </x:c>
    </x:row>
    <x:row r="844">
      <x:c r="A844" s="54" t="n">
        <x:v>44377</x:v>
      </x:c>
      <x:c r="B844" t="n">
        <x:v>44377.624999988424</x:v>
      </x:c>
      <x:c r="C844" t="str">
        <x:v>003460</x:v>
      </x:c>
      <x:c r="D844" t="str">
        <x:v>유화증권</x:v>
      </x:c>
      <x:c r="E844" t="str">
        <x:v>KOSPI</x:v>
      </x:c>
      <x:c r="F844" t="str">
        <x:v>MID</x:v>
      </x:c>
      <x:c r="G844" t="str">
        <x:v>EXCLUDED_ARCHETYPE</x:v>
      </x:c>
      <x:c r="H844" t="str">
        <x:v>FCFF_NOT_COMPARABLE_FOR_FINANCE_OR_HOLDING_HINT</x:v>
      </x:c>
      <x:c r="I844" s="54"/>
      <x:c r="J844" s="55"/>
      <x:c r="K844" s="55"/>
      <x:c r="L844" s="55"/>
      <x:c r="M844"/>
      <x:c r="N844"/>
      <x:c r="O844" s="54"/>
      <x:c r="P844"/>
      <x:c r="Q844"/>
      <x:c r="R844"/>
      <x:c r="S844"/>
      <x:c r="T844"/>
      <x:c r="U844" s="57"/>
      <x:c r="V844" s="57"/>
      <x:c r="W844"/>
      <x:c r="X844"/>
      <x:c r="Y844" s="38"/>
      <x:c r="Z844" s="38"/>
      <x:c r="AA844"/>
    </x:row>
    <x:row r="845">
      <x:c r="A845" s="54" t="n">
        <x:v>44377</x:v>
      </x:c>
      <x:c r="B845" t="n">
        <x:v>44377.624999988424</x:v>
      </x:c>
      <x:c r="C845" t="str">
        <x:v>004140</x:v>
      </x:c>
      <x:c r="D845" t="str">
        <x:v>동방</x:v>
      </x:c>
      <x:c r="E845" t="str">
        <x:v>KOSPI</x:v>
      </x:c>
      <x:c r="F845" t="str">
        <x:v>MID</x:v>
      </x:c>
      <x:c r="G845" t="str">
        <x:v>ELIGIBLE</x:v>
      </x:c>
      <x:c r="H845"/>
      <x:c r="I845" s="54" t="n">
        <x:v>44377</x:v>
      </x:c>
      <x:c r="J845" s="55" t="n">
        <x:v>6500</x:v>
      </x:c>
      <x:c r="K845" s="55" t="n">
        <x:v>259816479000</x:v>
      </x:c>
      <x:c r="L845" s="55" t="n">
        <x:v>39971766</x:v>
      </x:c>
      <x:c r="M845" t="str">
        <x:v>20210318001411</x:v>
      </x:c>
      <x:c r="N845" t="n">
        <x:v>44273.624999988424</x:v>
      </x:c>
      <x:c r="O845" s="54" t="n">
        <x:v>44196</x:v>
      </x:c>
      <x:c r="P845" t="str">
        <x:v>True</x:v>
      </x:c>
      <x:c r="Q845" t="str">
        <x:v>cd914a5019f6e8560601ad20b2cd3d5aa53872889b48071bc71e88ce799a30ef</x:v>
      </x:c>
      <x:c r="R845" t="str">
        <x:v>86c9b67053a243604488e4e135d64ed754baba5bc9f5c2c88b641944276ce88d</x:v>
      </x:c>
      <x:c r="S845" t="n">
        <x:v>7</x:v>
      </x:c>
      <x:c r="T845" t="str">
        <x:v>2018-12-31|2019-12-31|2020-12-31</x:v>
      </x:c>
      <x:c r="U845" s="57" t="n">
        <x:v>1747.670303427982</x:v>
      </x:c>
      <x:c r="V845" s="57" t="n">
        <x:v>-0.7311276456264643</x:v>
      </x:c>
      <x:c r="W845" t="n">
        <x:v>42</x:v>
      </x:c>
      <x:c r="X845" t="n">
        <x:v>4</x:v>
      </x:c>
      <x:c r="Y845" s="38" t="n">
        <x:v>0.6409090909090909</x:v>
      </x:c>
      <x:c r="Z845" s="38" t="n">
        <x:v>0.6560054137396165</x:v>
      </x:c>
      <x:c r="AA845"/>
    </x:row>
    <x:row r="846">
      <x:c r="A846" s="54" t="n">
        <x:v>44377</x:v>
      </x:c>
      <x:c r="B846" t="n">
        <x:v>44377.624999988424</x:v>
      </x:c>
      <x:c r="C846" t="str">
        <x:v>317400</x:v>
      </x:c>
      <x:c r="D846" t="str">
        <x:v>자이에스앤디</x:v>
      </x:c>
      <x:c r="E846" t="str">
        <x:v>KOSPI</x:v>
      </x:c>
      <x:c r="F846" t="str">
        <x:v>MID</x:v>
      </x:c>
      <x:c r="G846" t="str">
        <x:v>ELIGIBLE</x:v>
      </x:c>
      <x:c r="H846"/>
      <x:c r="I846" s="54" t="n">
        <x:v>44377</x:v>
      </x:c>
      <x:c r="J846" s="55" t="n">
        <x:v>10750</x:v>
      </x:c>
      <x:c r="K846" s="55" t="n">
        <x:v>416912090000</x:v>
      </x:c>
      <x:c r="L846" s="55" t="n">
        <x:v>38782520</x:v>
      </x:c>
      <x:c r="M846" t="str">
        <x:v>20210318000575</x:v>
      </x:c>
      <x:c r="N846" t="n">
        <x:v>44273.624999988424</x:v>
      </x:c>
      <x:c r="O846" s="54" t="n">
        <x:v>44196</x:v>
      </x:c>
      <x:c r="P846" t="str">
        <x:v>False</x:v>
      </x:c>
      <x:c r="Q846" t="str">
        <x:v>972d3a642af3619808d682902738953c9555278604c118a76ff87e207ed26808</x:v>
      </x:c>
      <x:c r="R846" t="str">
        <x:v>ef1ddccd1b3a53bd2d8cdfd2488576185c9b52dcf56116da62a2f5aa543acf63</x:v>
      </x:c>
      <x:c r="S846" t="n">
        <x:v>6</x:v>
      </x:c>
      <x:c r="T846" t="str">
        <x:v>2019-12-31|2020-12-31</x:v>
      </x:c>
      <x:c r="U846" s="57" t="n">
        <x:v>4374.302478907729</x:v>
      </x:c>
      <x:c r="V846" s="57" t="n">
        <x:v>-0.5930881414969554</x:v>
      </x:c>
      <x:c r="W846" t="n">
        <x:v>31</x:v>
      </x:c>
      <x:c r="X846" t="n">
        <x:v>3</x:v>
      </x:c>
      <x:c r="Y846" s="38" t="n">
        <x:v>0.6409090909090909</x:v>
      </x:c>
      <x:c r="Z846" s="38" t="n">
        <x:v>0.7139082035114958</x:v>
      </x:c>
      <x:c r="AA846"/>
    </x:row>
    <x:row r="847">
      <x:c r="A847" s="54" t="n">
        <x:v>44377</x:v>
      </x:c>
      <x:c r="B847" t="n">
        <x:v>44377.624999988424</x:v>
      </x:c>
      <x:c r="C847" t="str">
        <x:v>077500</x:v>
      </x:c>
      <x:c r="D847" t="str">
        <x:v>유니퀘스트</x:v>
      </x:c>
      <x:c r="E847" t="str">
        <x:v>KOSPI</x:v>
      </x:c>
      <x:c r="F847" t="str">
        <x:v>MID</x:v>
      </x:c>
      <x:c r="G847" t="str">
        <x:v>ELIGIBLE</x:v>
      </x:c>
      <x:c r="H847"/>
      <x:c r="I847" s="54" t="n">
        <x:v>44377</x:v>
      </x:c>
      <x:c r="J847" s="55" t="n">
        <x:v>12300</x:v>
      </x:c>
      <x:c r="K847" s="55" t="n">
        <x:v>336149467500</x:v>
      </x:c>
      <x:c r="L847" s="55" t="n">
        <x:v>27329225</x:v>
      </x:c>
      <x:c r="M847" t="str">
        <x:v>20210318000454</x:v>
      </x:c>
      <x:c r="N847" t="n">
        <x:v>44273.624999988424</x:v>
      </x:c>
      <x:c r="O847" s="54" t="n">
        <x:v>44196</x:v>
      </x:c>
      <x:c r="P847" t="str">
        <x:v>False</x:v>
      </x:c>
      <x:c r="Q847" t="str">
        <x:v>a7dcf0cd97b67f36277f7912422e20d08b38408b0ee61022a89fa576309001d3</x:v>
      </x:c>
      <x:c r="R847" t="str">
        <x:v>e39ed4292dbdb8f45e1d48663c9e445f3a550dc01f4177cc1ba51136e7e4cdda</x:v>
      </x:c>
      <x:c r="S847" t="n">
        <x:v>6</x:v>
      </x:c>
      <x:c r="T847" t="str">
        <x:v>2011-12-31|2012-12-31|2013-12-31|2014-12-31|2015-12-31|2016-12-31|2017-12-31|2018-12-31|2019-12-31|2020-12-31</x:v>
      </x:c>
      <x:c r="U847" s="57" t="n">
        <x:v>3267.2172867695444</x:v>
      </x:c>
      <x:c r="V847" s="57" t="n">
        <x:v>-0.7343725783114191</x:v>
      </x:c>
      <x:c r="W847" t="n">
        <x:v>44</x:v>
      </x:c>
      <x:c r="X847" t="n">
        <x:v>4</x:v>
      </x:c>
      <x:c r="Y847" s="38" t="n">
        <x:v>0.6409090909090909</x:v>
      </x:c>
      <x:c r="Z847" s="38" t="n">
        <x:v>0.7102171216326743</x:v>
      </x:c>
      <x:c r="AA847"/>
    </x:row>
    <x:row r="848">
      <x:c r="A848" s="54" t="n">
        <x:v>44377</x:v>
      </x:c>
      <x:c r="B848" t="n">
        <x:v>44377.624999988424</x:v>
      </x:c>
      <x:c r="C848" t="str">
        <x:v>012800</x:v>
      </x:c>
      <x:c r="D848" t="str">
        <x:v>대창</x:v>
      </x:c>
      <x:c r="E848" t="str">
        <x:v>KOSPI</x:v>
      </x:c>
      <x:c r="F848" t="str">
        <x:v>MID</x:v>
      </x:c>
      <x:c r="G848" t="str">
        <x:v>DCF_SCREENING_EXCLUSION</x:v>
      </x:c>
      <x:c r="H848" t="str">
        <x:v>NON_POSITIVE_EQUITY_VALUE</x:v>
      </x:c>
      <x:c r="I848" s="54" t="n">
        <x:v>44377</x:v>
      </x:c>
      <x:c r="J848" s="55" t="n">
        <x:v>2540</x:v>
      </x:c>
      <x:c r="K848" s="55" t="n">
        <x:v>231496867460</x:v>
      </x:c>
      <x:c r="L848" s="55" t="n">
        <x:v>91140499</x:v>
      </x:c>
      <x:c r="M848" t="str">
        <x:v>20210316000786</x:v>
      </x:c>
      <x:c r="N848" t="n">
        <x:v>44271.624999988424</x:v>
      </x:c>
      <x:c r="O848" s="54" t="n">
        <x:v>44196</x:v>
      </x:c>
      <x:c r="P848" t="str">
        <x:v>False</x:v>
      </x:c>
      <x:c r="Q848" t="str">
        <x:v>288fe04d382aeada273aa123db82dda005a9ba84d4be0bdc1555e67746224fb5</x:v>
      </x:c>
      <x:c r="R848" t="str">
        <x:v>48e7b410feb392de5e03ac9d89c1be7d66a37c0cc44dbbeedb6030482a136dc1</x:v>
      </x:c>
      <x:c r="S848" t="n">
        <x:v>6</x:v>
      </x:c>
      <x:c r="T848" t="str">
        <x:v>2018-12-31|2019-12-31|2020-12-31</x:v>
      </x:c>
      <x:c r="U848" s="57" t="n">
        <x:v>-1273.7759667062403</x:v>
      </x:c>
      <x:c r="V848" s="57" t="n">
        <x:v>-1.5014866010654488</x:v>
      </x:c>
      <x:c r="W848"/>
      <x:c r="X848"/>
      <x:c r="Y848" s="38" t="n">
        <x:v>0.6409090909090909</x:v>
      </x:c>
      <x:c r="Z848" s="38" t="n">
        <x:v>0.5720876278257565</x:v>
      </x:c>
      <x:c r="AA848" t="str">
        <x:v>NON_POSITIVE_EQUITY_VALUE</x:v>
      </x:c>
    </x:row>
    <x:row r="849">
      <x:c r="A849" s="54" t="n">
        <x:v>44377</x:v>
      </x:c>
      <x:c r="B849" t="n">
        <x:v>44377.624999988424</x:v>
      </x:c>
      <x:c r="C849" t="str">
        <x:v>063160</x:v>
      </x:c>
      <x:c r="D849" t="str">
        <x:v>종근당바이오</x:v>
      </x:c>
      <x:c r="E849" t="str">
        <x:v>KOSPI</x:v>
      </x:c>
      <x:c r="F849" t="str">
        <x:v>MID</x:v>
      </x:c>
      <x:c r="G849" t="str">
        <x:v>DCF_SCREENING_EXCLUSION</x:v>
      </x:c>
      <x:c r="H849" t="str">
        <x:v>NON_POSITIVE_ENTERPRISE_VALUE|NON_POSITIVE_EQUITY_VALUE|NON_POSITIVE_TERMINAL_FCF</x:v>
      </x:c>
      <x:c r="I849" s="54" t="n">
        <x:v>44377</x:v>
      </x:c>
      <x:c r="J849" s="55" t="n">
        <x:v>58800</x:v>
      </x:c>
      <x:c r="K849" s="55" t="n">
        <x:v>322574565600</x:v>
      </x:c>
      <x:c r="L849" s="55" t="n">
        <x:v>5485962</x:v>
      </x:c>
      <x:c r="M849" t="str">
        <x:v>20210318000155</x:v>
      </x:c>
      <x:c r="N849" t="n">
        <x:v>44273.624999988424</x:v>
      </x:c>
      <x:c r="O849" s="54" t="n">
        <x:v>44196</x:v>
      </x:c>
      <x:c r="P849" t="str">
        <x:v>False</x:v>
      </x:c>
      <x:c r="Q849" t="str">
        <x:v>12a42858c216018c3f0f1b14b5ee17c39d18a1bb52df0e2c279fa5d11fb87884</x:v>
      </x:c>
      <x:c r="R849" t="str">
        <x:v>59ae91f70b0051a643ac98ab54ac94176214907bf89d0c8d5859d9c634888ba7</x:v>
      </x:c>
      <x:c r="S849" t="n">
        <x:v>6</x:v>
      </x:c>
      <x:c r="T849" t="str">
        <x:v>2018-12-31|2019-12-31|2020-12-31</x:v>
      </x:c>
      <x:c r="U849" s="57" t="n">
        <x:v>-4693.968948135113</x:v>
      </x:c>
      <x:c r="V849" s="57" t="n">
        <x:v>-1.0798294038798488</x:v>
      </x:c>
      <x:c r="W849"/>
      <x:c r="X849"/>
      <x:c r="Y849" s="38" t="n">
        <x:v>0.6409090909090909</x:v>
      </x:c>
      <x:c r="Z849" s="38" t="n">
        <x:v>0.8031267951001957</x:v>
      </x:c>
      <x:c r="AA849" t="str">
        <x:v>NON_POSITIVE_ENTERPRISE_VALUE|NON_POSITIVE_EQUITY_VALUE|NON_POSITIVE_TERMINAL_FCF</x:v>
      </x:c>
    </x:row>
    <x:row r="850">
      <x:c r="A850" s="54" t="n">
        <x:v>44377</x:v>
      </x:c>
      <x:c r="B850" t="n">
        <x:v>44377.624999988424</x:v>
      </x:c>
      <x:c r="C850" t="str">
        <x:v>013570</x:v>
      </x:c>
      <x:c r="D850" t="str">
        <x:v>디와이</x:v>
      </x:c>
      <x:c r="E850" t="str">
        <x:v>KOSPI</x:v>
      </x:c>
      <x:c r="F850" t="str">
        <x:v>MID</x:v>
      </x:c>
      <x:c r="G850" t="str">
        <x:v>ELIGIBLE</x:v>
      </x:c>
      <x:c r="H850"/>
      <x:c r="I850" s="54" t="n">
        <x:v>44377</x:v>
      </x:c>
      <x:c r="J850" s="55" t="n">
        <x:v>6220</x:v>
      </x:c>
      <x:c r="K850" s="55" t="n">
        <x:v>163708117260</x:v>
      </x:c>
      <x:c r="L850" s="55" t="n">
        <x:v>26319633</x:v>
      </x:c>
      <x:c r="M850" t="str">
        <x:v>20210317000774</x:v>
      </x:c>
      <x:c r="N850" t="n">
        <x:v>44272.624999988424</x:v>
      </x:c>
      <x:c r="O850" s="54" t="n">
        <x:v>44196</x:v>
      </x:c>
      <x:c r="P850" t="str">
        <x:v>False</x:v>
      </x:c>
      <x:c r="Q850" t="str">
        <x:v>026eb57a723d5ffc9d1d0ceb5b5954dd368c42a7508240f6f6c97c0766b2139e</x:v>
      </x:c>
      <x:c r="R850" t="str">
        <x:v>10f2bed39b38be0c665affc123279ad0909fa5b0f00dddf578a1c9893c86b681</x:v>
      </x:c>
      <x:c r="S850" t="n">
        <x:v>6</x:v>
      </x:c>
      <x:c r="T850" t="str">
        <x:v>2018-12-31|2019-12-31|2020-12-31</x:v>
      </x:c>
      <x:c r="U850" s="57" t="n">
        <x:v>6956.82440349549</x:v>
      </x:c>
      <x:c r="V850" s="57" t="n">
        <x:v>0.11846051503142925</x:v>
      </x:c>
      <x:c r="W850" t="n">
        <x:v>10</x:v>
      </x:c>
      <x:c r="X850" t="n">
        <x:v>1</x:v>
      </x:c>
      <x:c r="Y850" s="38" t="n">
        <x:v>0.6409090909090909</x:v>
      </x:c>
      <x:c r="Z850" s="38" t="n">
        <x:v>0.5573266821696645</x:v>
      </x:c>
      <x:c r="AA850"/>
    </x:row>
    <x:row r="851">
      <x:c r="A851" s="54" t="n">
        <x:v>44377</x:v>
      </x:c>
      <x:c r="B851" t="n">
        <x:v>44377.624999988424</x:v>
      </x:c>
      <x:c r="C851" t="str">
        <x:v>227840</x:v>
      </x:c>
      <x:c r="D851" t="str">
        <x:v>현대코퍼레이션홀딩스</x:v>
      </x:c>
      <x:c r="E851" t="str">
        <x:v>KOSPI</x:v>
      </x:c>
      <x:c r="F851" t="str">
        <x:v>MID</x:v>
      </x:c>
      <x:c r="G851" t="str">
        <x:v>EXCLUDED_ARCHETYPE</x:v>
      </x:c>
      <x:c r="H851" t="str">
        <x:v>FCFF_NOT_COMPARABLE_FOR_FINANCE_OR_HOLDING_HINT</x:v>
      </x:c>
      <x:c r="I851" s="54"/>
      <x:c r="J851" s="55"/>
      <x:c r="K851" s="55"/>
      <x:c r="L851" s="55"/>
      <x:c r="M851"/>
      <x:c r="N851"/>
      <x:c r="O851" s="54"/>
      <x:c r="P851"/>
      <x:c r="Q851"/>
      <x:c r="R851"/>
      <x:c r="S851"/>
      <x:c r="T851"/>
      <x:c r="U851" s="57"/>
      <x:c r="V851" s="57"/>
      <x:c r="W851"/>
      <x:c r="X851"/>
      <x:c r="Y851" s="38"/>
      <x:c r="Z851" s="38"/>
      <x:c r="AA851"/>
    </x:row>
    <x:row r="852">
      <x:c r="A852" s="54" t="n">
        <x:v>44377</x:v>
      </x:c>
      <x:c r="B852" t="n">
        <x:v>44377.624999988424</x:v>
      </x:c>
      <x:c r="C852" t="str">
        <x:v>247540</x:v>
      </x:c>
      <x:c r="D852" t="str">
        <x:v>에코프로비엠</x:v>
      </x:c>
      <x:c r="E852" t="str">
        <x:v>KOSDAQ</x:v>
      </x:c>
      <x:c r="F852" t="str">
        <x:v>LARGE</x:v>
      </x:c>
      <x:c r="G852" t="str">
        <x:v>DCF_SCREENING_EXCLUSION</x:v>
      </x:c>
      <x:c r="H852" t="str">
        <x:v>NON_POSITIVE_ENTERPRISE_VALUE|NON_POSITIVE_EQUITY_VALUE|UNRELIABLE_TERMINAL_VALUE_SHARE</x:v>
      </x:c>
      <x:c r="I852" s="54" t="n">
        <x:v>44377</x:v>
      </x:c>
      <x:c r="J852" s="55" t="n">
        <x:v>212100</x:v>
      </x:c>
      <x:c r="K852" s="55" t="n">
        <x:v>4649118738600</x:v>
      </x:c>
      <x:c r="L852" s="55" t="n">
        <x:v>21919466</x:v>
      </x:c>
      <x:c r="M852" t="str">
        <x:v>20210319000143</x:v>
      </x:c>
      <x:c r="N852" t="n">
        <x:v>44274.624999988424</x:v>
      </x:c>
      <x:c r="O852" s="54" t="n">
        <x:v>44196</x:v>
      </x:c>
      <x:c r="P852" t="str">
        <x:v>False</x:v>
      </x:c>
      <x:c r="Q852" t="str">
        <x:v>fa53eb6416e576ead7e0b664625c9075f7fdeb4c7640710afe2a3435950c614d</x:v>
      </x:c>
      <x:c r="R852" t="str">
        <x:v>196ebcb6be7e465873e32e42c727482fdce4f4a7c6f6cad821f0c0e774909bec</x:v>
      </x:c>
      <x:c r="S852" t="n">
        <x:v>5</x:v>
      </x:c>
      <x:c r="T852" t="str">
        <x:v>2018-12-31|2019-12-31|2020-12-31</x:v>
      </x:c>
      <x:c r="U852" s="57" t="n">
        <x:v>-644.8357541311481</x:v>
      </x:c>
      <x:c r="V852" s="57" t="n">
        <x:v>-1.003040244008162</x:v>
      </x:c>
      <x:c r="W852"/>
      <x:c r="X852"/>
      <x:c r="Y852" s="38" t="n">
        <x:v>0.6409090909090909</x:v>
      </x:c>
      <x:c r="Z852" s="38" t="n">
        <x:v>-30.366184346138358</x:v>
      </x:c>
      <x:c r="AA852" t="str">
        <x:v>NON_POSITIVE_ENTERPRISE_VALUE|NON_POSITIVE_EQUITY_VALUE|UNRELIABLE_TERMINAL_VALUE_SHARE</x:v>
      </x:c>
    </x:row>
    <x:row r="853">
      <x:c r="A853" s="54" t="n">
        <x:v>44377</x:v>
      </x:c>
      <x:c r="B853" t="n">
        <x:v>44377.624999988424</x:v>
      </x:c>
      <x:c r="C853" t="str">
        <x:v>086520</x:v>
      </x:c>
      <x:c r="D853" t="str">
        <x:v>에코프로</x:v>
      </x:c>
      <x:c r="E853" t="str">
        <x:v>KOSDAQ</x:v>
      </x:c>
      <x:c r="F853" t="str">
        <x:v>LARGE</x:v>
      </x:c>
      <x:c r="G853" t="str">
        <x:v>DCF_SCREENING_EXCLUSION</x:v>
      </x:c>
      <x:c r="H853" t="str">
        <x:v>UNRELIABLE_TERMINAL_VALUE_SHARE</x:v>
      </x:c>
      <x:c r="I853" s="54" t="n">
        <x:v>44377</x:v>
      </x:c>
      <x:c r="J853" s="55" t="n">
        <x:v>45250</x:v>
      </x:c>
      <x:c r="K853" s="55" t="n">
        <x:v>846237761750</x:v>
      </x:c>
      <x:c r="L853" s="55" t="n">
        <x:v>18701387</x:v>
      </x:c>
      <x:c r="M853" t="str">
        <x:v>20210318001384</x:v>
      </x:c>
      <x:c r="N853" t="n">
        <x:v>44273.624999988424</x:v>
      </x:c>
      <x:c r="O853" s="54" t="n">
        <x:v>44196</x:v>
      </x:c>
      <x:c r="P853" t="str">
        <x:v>False</x:v>
      </x:c>
      <x:c r="Q853" t="str">
        <x:v>a687a00cece70ad7db7c3ecbfb971411e84ec258ecf00b6f04ab05f4dc52774f</x:v>
      </x:c>
      <x:c r="R853" t="str">
        <x:v>563fb827c7e598361ec3848851227e273b0ff0d7a4b37e27051a7594f0ca10c3</x:v>
      </x:c>
      <x:c r="S853" t="n">
        <x:v>5</x:v>
      </x:c>
      <x:c r="T853" t="str">
        <x:v>2018-12-31|2019-12-31|2020-12-31</x:v>
      </x:c>
      <x:c r="U853" s="57" t="n">
        <x:v>19583.78623653523</x:v>
      </x:c>
      <x:c r="V853" s="57" t="n">
        <x:v>-0.5672091439439728</x:v>
      </x:c>
      <x:c r="W853"/>
      <x:c r="X853"/>
      <x:c r="Y853" s="38" t="n">
        <x:v>0.6409090909090909</x:v>
      </x:c>
      <x:c r="Z853" s="38" t="n">
        <x:v>0.8989847001381003</x:v>
      </x:c>
      <x:c r="AA853" t="str">
        <x:v>UNRELIABLE_TERMINAL_VALUE_SHARE</x:v>
      </x:c>
    </x:row>
    <x:row r="854">
      <x:c r="A854" s="54" t="n">
        <x:v>44377</x:v>
      </x:c>
      <x:c r="B854" t="n">
        <x:v>44377.624999988424</x:v>
      </x:c>
      <x:c r="C854" t="str">
        <x:v>214450</x:v>
      </x:c>
      <x:c r="D854" t="str">
        <x:v>파마리서치</x:v>
      </x:c>
      <x:c r="E854" t="str">
        <x:v>KOSDAQ</x:v>
      </x:c>
      <x:c r="F854" t="str">
        <x:v>LARGE</x:v>
      </x:c>
      <x:c r="G854" t="str">
        <x:v>ELIGIBLE</x:v>
      </x:c>
      <x:c r="H854"/>
      <x:c r="I854" s="54" t="n">
        <x:v>44377</x:v>
      </x:c>
      <x:c r="J854" s="55" t="n">
        <x:v>90000</x:v>
      </x:c>
      <x:c r="K854" s="55" t="n">
        <x:v>910073700000</x:v>
      </x:c>
      <x:c r="L854" s="55" t="n">
        <x:v>10111930</x:v>
      </x:c>
      <x:c r="M854" t="str">
        <x:v>20210318001093</x:v>
      </x:c>
      <x:c r="N854" t="n">
        <x:v>44273.624999988424</x:v>
      </x:c>
      <x:c r="O854" s="54" t="n">
        <x:v>44196</x:v>
      </x:c>
      <x:c r="P854" t="str">
        <x:v>False</x:v>
      </x:c>
      <x:c r="Q854" t="str">
        <x:v>3e332a9f4ec106a2211472bb71f03ad861892600b83b1d1b5b01ad83841bfd65</x:v>
      </x:c>
      <x:c r="R854" t="str">
        <x:v>ce82779cbd26ca8913e36b32b438b11f0c3dbde3a74d5fdc850344ef948d3d94</x:v>
      </x:c>
      <x:c r="S854" t="n">
        <x:v>6</x:v>
      </x:c>
      <x:c r="T854" t="str">
        <x:v>2018-12-31|2019-12-31|2020-12-31</x:v>
      </x:c>
      <x:c r="U854" s="57" t="n">
        <x:v>26209.6971471413</x:v>
      </x:c>
      <x:c r="V854" s="57" t="n">
        <x:v>-0.7087811428095411</x:v>
      </x:c>
      <x:c r="W854" t="n">
        <x:v>41</x:v>
      </x:c>
      <x:c r="X854" t="n">
        <x:v>4</x:v>
      </x:c>
      <x:c r="Y854" s="38" t="n">
        <x:v>0.6409090909090909</x:v>
      </x:c>
      <x:c r="Z854" s="38" t="n">
        <x:v>0.6815994734709864</x:v>
      </x:c>
      <x:c r="AA854"/>
    </x:row>
    <x:row r="855">
      <x:c r="A855" s="54" t="n">
        <x:v>44377</x:v>
      </x:c>
      <x:c r="B855" t="n">
        <x:v>44377.624999988424</x:v>
      </x:c>
      <x:c r="C855" t="str">
        <x:v>277810</x:v>
      </x:c>
      <x:c r="D855" t="str">
        <x:v>레인보우로보틱스</x:v>
      </x:c>
      <x:c r="E855" t="str">
        <x:v>KOSDAQ</x:v>
      </x:c>
      <x:c r="F855" t="str">
        <x:v>LARGE</x:v>
      </x:c>
      <x:c r="G855" t="str">
        <x:v>DCF_SCREENING_EXCLUSION</x:v>
      </x:c>
      <x:c r="H855" t="str">
        <x:v>NON_POSITIVE_ENTERPRISE_VALUE|NON_POSITIVE_EQUITY_VALUE|NON_POSITIVE_TERMINAL_FCF</x:v>
      </x:c>
      <x:c r="I855" s="54" t="n">
        <x:v>44377</x:v>
      </x:c>
      <x:c r="J855" s="55" t="n">
        <x:v>24550</x:v>
      </x:c>
      <x:c r="K855" s="55" t="n">
        <x:v>396119503700</x:v>
      </x:c>
      <x:c r="L855" s="55" t="n">
        <x:v>16135214</x:v>
      </x:c>
      <x:c r="M855" t="str">
        <x:v>20210608000437</x:v>
      </x:c>
      <x:c r="N855" t="n">
        <x:v>44355.624999988424</x:v>
      </x:c>
      <x:c r="O855" s="54" t="n">
        <x:v>44196</x:v>
      </x:c>
      <x:c r="P855" t="str">
        <x:v>True</x:v>
      </x:c>
      <x:c r="Q855" t="str">
        <x:v>c89a3ca105328f51266a1f37cccdfec02049104d2a72ff28fa17f02891265999</x:v>
      </x:c>
      <x:c r="R855" t="str">
        <x:v>6fc86da4be33ed7a76870c0f845fedd615c50bd512fe5c1739fe99a1bb7e5af5</x:v>
      </x:c>
      <x:c r="S855" t="n">
        <x:v>6</x:v>
      </x:c>
      <x:c r="T855" t="str">
        <x:v>2020-12-31</x:v>
      </x:c>
      <x:c r="U855" s="57" t="n">
        <x:v>-667.1673938712847</x:v>
      </x:c>
      <x:c r="V855" s="57" t="n">
        <x:v>-1.0271758612574862</x:v>
      </x:c>
      <x:c r="W855"/>
      <x:c r="X855"/>
      <x:c r="Y855" s="38" t="n">
        <x:v>0.6409090909090909</x:v>
      </x:c>
      <x:c r="Z855" s="38" t="n">
        <x:v>0.7013426708992583</x:v>
      </x:c>
      <x:c r="AA855" t="str">
        <x:v>NON_POSITIVE_ENTERPRISE_VALUE|NON_POSITIVE_EQUITY_VALUE|NON_POSITIVE_TERMINAL_FCF</x:v>
      </x:c>
    </x:row>
    <x:row r="856">
      <x:c r="A856" s="54" t="n">
        <x:v>44377</x:v>
      </x:c>
      <x:c r="B856" t="n">
        <x:v>44377.624999988424</x:v>
      </x:c>
      <x:c r="C856" t="str">
        <x:v>310210</x:v>
      </x:c>
      <x:c r="D856" t="str">
        <x:v>보로노이</x:v>
      </x:c>
      <x:c r="E856" t="str">
        <x:v>KOSDAQ</x:v>
      </x:c>
      <x:c r="F856" t="str">
        <x:v>LARGE</x:v>
      </x:c>
      <x:c r="G856" t="str">
        <x:v>NOT_LISTED_OR_NO_PRICE</x:v>
      </x:c>
      <x:c r="H856"/>
      <x:c r="I856" s="54"/>
      <x:c r="J856" s="55"/>
      <x:c r="K856" s="55"/>
      <x:c r="L856" s="55"/>
      <x:c r="M856"/>
      <x:c r="N856"/>
      <x:c r="O856" s="54"/>
      <x:c r="P856"/>
      <x:c r="Q856"/>
      <x:c r="R856"/>
      <x:c r="S856"/>
      <x:c r="T856"/>
      <x:c r="U856" s="57"/>
      <x:c r="V856" s="57"/>
      <x:c r="W856"/>
      <x:c r="X856"/>
      <x:c r="Y856" s="38"/>
      <x:c r="Z856" s="38"/>
      <x:c r="AA856"/>
    </x:row>
    <x:row r="857">
      <x:c r="A857" s="54" t="n">
        <x:v>44377</x:v>
      </x:c>
      <x:c r="B857" t="n">
        <x:v>44377.624999988424</x:v>
      </x:c>
      <x:c r="C857" t="str">
        <x:v>195940</x:v>
      </x:c>
      <x:c r="D857" t="str">
        <x:v>HK이노엔</x:v>
      </x:c>
      <x:c r="E857" t="str">
        <x:v>KOSDAQ</x:v>
      </x:c>
      <x:c r="F857" t="str">
        <x:v>LARGE</x:v>
      </x:c>
      <x:c r="G857" t="str">
        <x:v>NOT_LISTED_OR_NO_PRICE</x:v>
      </x:c>
      <x:c r="H857"/>
      <x:c r="I857" s="54"/>
      <x:c r="J857" s="55"/>
      <x:c r="K857" s="55"/>
      <x:c r="L857" s="55"/>
      <x:c r="M857"/>
      <x:c r="N857"/>
      <x:c r="O857" s="54"/>
      <x:c r="P857"/>
      <x:c r="Q857"/>
      <x:c r="R857"/>
      <x:c r="S857"/>
      <x:c r="T857"/>
      <x:c r="U857" s="57"/>
      <x:c r="V857" s="57"/>
      <x:c r="W857"/>
      <x:c r="X857"/>
      <x:c r="Y857" s="38"/>
      <x:c r="Z857" s="38"/>
      <x:c r="AA857"/>
    </x:row>
    <x:row r="858">
      <x:c r="A858" s="54" t="n">
        <x:v>44377</x:v>
      </x:c>
      <x:c r="B858" t="n">
        <x:v>44377.624999988424</x:v>
      </x:c>
      <x:c r="C858" t="str">
        <x:v>039200</x:v>
      </x:c>
      <x:c r="D858" t="str">
        <x:v>오스코텍</x:v>
      </x:c>
      <x:c r="E858" t="str">
        <x:v>KOSDAQ</x:v>
      </x:c>
      <x:c r="F858" t="str">
        <x:v>LARGE</x:v>
      </x:c>
      <x:c r="G858" t="str">
        <x:v>DCF_SCREENING_EXCLUSION</x:v>
      </x:c>
      <x:c r="H858" t="str">
        <x:v>UNRELIABLE_TERMINAL_VALUE_SHARE</x:v>
      </x:c>
      <x:c r="I858" s="54" t="n">
        <x:v>44377</x:v>
      </x:c>
      <x:c r="J858" s="55" t="n">
        <x:v>39050</x:v>
      </x:c>
      <x:c r="K858" s="55" t="n">
        <x:v>1168175243950</x:v>
      </x:c>
      <x:c r="L858" s="55" t="n">
        <x:v>29914859</x:v>
      </x:c>
      <x:c r="M858" t="str">
        <x:v>20210309000649</x:v>
      </x:c>
      <x:c r="N858" t="n">
        <x:v>44264.624999988424</x:v>
      </x:c>
      <x:c r="O858" s="54" t="n">
        <x:v>44196</x:v>
      </x:c>
      <x:c r="P858" t="str">
        <x:v>False</x:v>
      </x:c>
      <x:c r="Q858" t="str">
        <x:v>5f66f9c8531173b988926df5b3dfe8e77c701088924b995e30a2c1e31825db20</x:v>
      </x:c>
      <x:c r="R858" t="str">
        <x:v>cefaae42be57979bac03cc222629dc9f8db194b47a7b8e7358d033df0f605aa8</x:v>
      </x:c>
      <x:c r="S858" t="n">
        <x:v>6</x:v>
      </x:c>
      <x:c r="T858" t="str">
        <x:v>2018-12-31|2019-12-31|2020-12-31</x:v>
      </x:c>
      <x:c r="U858" s="57" t="n">
        <x:v>260.50000601978536</x:v>
      </x:c>
      <x:c r="V858" s="57" t="n">
        <x:v>-0.9933290651467405</x:v>
      </x:c>
      <x:c r="W858"/>
      <x:c r="X858"/>
      <x:c r="Y858" s="38" t="n">
        <x:v>0.6409090909090909</x:v>
      </x:c>
      <x:c r="Z858" s="38" t="n">
        <x:v>2.281358639367685</x:v>
      </x:c>
      <x:c r="AA858" t="str">
        <x:v>UNRELIABLE_TERMINAL_VALUE_SHARE</x:v>
      </x:c>
    </x:row>
    <x:row r="859">
      <x:c r="A859" s="54" t="n">
        <x:v>44377</x:v>
      </x:c>
      <x:c r="B859" t="n">
        <x:v>44377.624999988424</x:v>
      </x:c>
      <x:c r="C859" t="str">
        <x:v>084370</x:v>
      </x:c>
      <x:c r="D859" t="str">
        <x:v>유진테크</x:v>
      </x:c>
      <x:c r="E859" t="str">
        <x:v>KOSDAQ</x:v>
      </x:c>
      <x:c r="F859" t="str">
        <x:v>LARGE</x:v>
      </x:c>
      <x:c r="G859" t="str">
        <x:v>ELIGIBLE</x:v>
      </x:c>
      <x:c r="H859"/>
      <x:c r="I859" s="54" t="n">
        <x:v>44377</x:v>
      </x:c>
      <x:c r="J859" s="55" t="n">
        <x:v>45300</x:v>
      </x:c>
      <x:c r="K859" s="55" t="n">
        <x:v>1038096702600</x:v>
      </x:c>
      <x:c r="L859" s="55" t="n">
        <x:v>22916042</x:v>
      </x:c>
      <x:c r="M859" t="str">
        <x:v>20210318000928</x:v>
      </x:c>
      <x:c r="N859" t="n">
        <x:v>44273.624999988424</x:v>
      </x:c>
      <x:c r="O859" s="54" t="n">
        <x:v>44196</x:v>
      </x:c>
      <x:c r="P859" t="str">
        <x:v>False</x:v>
      </x:c>
      <x:c r="Q859" t="str">
        <x:v>bf7e14182e15ec1b0a65f6a99dee0c252f90e2f4d19cfb12a4647e851ec5e5b7</x:v>
      </x:c>
      <x:c r="R859" t="str">
        <x:v>8affe8a1dfb2a22feec01ae715557408d24e8c692b51407d0f4760c7027eeeac</x:v>
      </x:c>
      <x:c r="S859" t="n">
        <x:v>5</x:v>
      </x:c>
      <x:c r="T859" t="str">
        <x:v>2018-12-31|2019-12-31|2020-12-31</x:v>
      </x:c>
      <x:c r="U859" s="57" t="n">
        <x:v>6690.003749659355</x:v>
      </x:c>
      <x:c r="V859" s="57" t="n">
        <x:v>-0.8523177980207648</x:v>
      </x:c>
      <x:c r="W859" t="n">
        <x:v>51</x:v>
      </x:c>
      <x:c r="X859" t="n">
        <x:v>5</x:v>
      </x:c>
      <x:c r="Y859" s="38" t="n">
        <x:v>0.6409090909090909</x:v>
      </x:c>
      <x:c r="Z859" s="38" t="n">
        <x:v>0.6720938958423033</x:v>
      </x:c>
      <x:c r="AA859"/>
    </x:row>
    <x:row r="860">
      <x:c r="A860" s="54" t="n">
        <x:v>44377</x:v>
      </x:c>
      <x:c r="B860" t="n">
        <x:v>44377.624999988424</x:v>
      </x:c>
      <x:c r="C860" t="str">
        <x:v>160190</x:v>
      </x:c>
      <x:c r="D860" t="str">
        <x:v>하이젠알앤엠</x:v>
      </x:c>
      <x:c r="E860" t="str">
        <x:v>KOSDAQ</x:v>
      </x:c>
      <x:c r="F860" t="str">
        <x:v>LARGE</x:v>
      </x:c>
      <x:c r="G860" t="str">
        <x:v>NOT_LISTED_OR_NO_PRICE</x:v>
      </x:c>
      <x:c r="H860"/>
      <x:c r="I860" s="54"/>
      <x:c r="J860" s="55"/>
      <x:c r="K860" s="55"/>
      <x:c r="L860" s="55"/>
      <x:c r="M860"/>
      <x:c r="N860"/>
      <x:c r="O860" s="54"/>
      <x:c r="P860"/>
      <x:c r="Q860"/>
      <x:c r="R860"/>
      <x:c r="S860"/>
      <x:c r="T860"/>
      <x:c r="U860" s="57"/>
      <x:c r="V860" s="57"/>
      <x:c r="W860"/>
      <x:c r="X860"/>
      <x:c r="Y860" s="38"/>
      <x:c r="Z860" s="38"/>
      <x:c r="AA860"/>
    </x:row>
    <x:row r="861">
      <x:c r="A861" s="54" t="n">
        <x:v>44377</x:v>
      </x:c>
      <x:c r="B861" t="n">
        <x:v>44377.624999988424</x:v>
      </x:c>
      <x:c r="C861" t="str">
        <x:v>281740</x:v>
      </x:c>
      <x:c r="D861" t="str">
        <x:v>레이크머티리얼즈</x:v>
      </x:c>
      <x:c r="E861" t="str">
        <x:v>KOSDAQ</x:v>
      </x:c>
      <x:c r="F861" t="str">
        <x:v>LARGE</x:v>
      </x:c>
      <x:c r="G861" t="str">
        <x:v>DCF_SCREENING_EXCLUSION</x:v>
      </x:c>
      <x:c r="H861" t="str">
        <x:v>NON_POSITIVE_EQUITY_VALUE</x:v>
      </x:c>
      <x:c r="I861" s="54" t="n">
        <x:v>44377</x:v>
      </x:c>
      <x:c r="J861" s="55" t="n">
        <x:v>4390</x:v>
      </x:c>
      <x:c r="K861" s="55" t="n">
        <x:v>288557105720</x:v>
      </x:c>
      <x:c r="L861" s="55" t="n">
        <x:v>65730548</x:v>
      </x:c>
      <x:c r="M861" t="str">
        <x:v>20210319000669</x:v>
      </x:c>
      <x:c r="N861" t="n">
        <x:v>44274.624999988424</x:v>
      </x:c>
      <x:c r="O861" s="54" t="n">
        <x:v>44196</x:v>
      </x:c>
      <x:c r="P861" t="str">
        <x:v>False</x:v>
      </x:c>
      <x:c r="Q861" t="str">
        <x:v>0692d98dca920cc2bece4f710df372fb43593aa9b44e369a877f98c7608d0125</x:v>
      </x:c>
      <x:c r="R861" t="str">
        <x:v>00fc48414330dcf13d290e98fb5aa238310d60bce3bd407cf7257beeb570c2c1</x:v>
      </x:c>
      <x:c r="S861" t="n">
        <x:v>6</x:v>
      </x:c>
      <x:c r="T861" t="str">
        <x:v>2020-12-31</x:v>
      </x:c>
      <x:c r="U861" s="57" t="n">
        <x:v>-71.33934337373849</x:v>
      </x:c>
      <x:c r="V861" s="57" t="n">
        <x:v>-1.0162504199029017</x:v>
      </x:c>
      <x:c r="W861"/>
      <x:c r="X861"/>
      <x:c r="Y861" s="38" t="n">
        <x:v>0.6409090909090909</x:v>
      </x:c>
      <x:c r="Z861" s="38" t="n">
        <x:v>0.7013426708992583</x:v>
      </x:c>
      <x:c r="AA861" t="str">
        <x:v>NON_POSITIVE_EQUITY_VALUE</x:v>
      </x:c>
    </x:row>
    <x:row r="862">
      <x:c r="A862" s="54" t="n">
        <x:v>44377</x:v>
      </x:c>
      <x:c r="B862" t="n">
        <x:v>44377.624999988424</x:v>
      </x:c>
      <x:c r="C862" t="str">
        <x:v>078130</x:v>
      </x:c>
      <x:c r="D862" t="str">
        <x:v>국일제지</x:v>
      </x:c>
      <x:c r="E862" t="str">
        <x:v>KOSDAQ</x:v>
      </x:c>
      <x:c r="F862" t="str">
        <x:v>LARGE</x:v>
      </x:c>
      <x:c r="G862" t="str">
        <x:v>DCF_SCREENING_EXCLUSION</x:v>
      </x:c>
      <x:c r="H862" t="str">
        <x:v>NON_POSITIVE_ENTERPRISE_VALUE|NON_POSITIVE_EQUITY_VALUE|NON_POSITIVE_TERMINAL_FCF</x:v>
      </x:c>
      <x:c r="I862" s="54" t="n">
        <x:v>44377</x:v>
      </x:c>
      <x:c r="J862" s="55" t="n">
        <x:v>5710</x:v>
      </x:c>
      <x:c r="K862" s="55" t="n">
        <x:v>727842811030</x:v>
      </x:c>
      <x:c r="L862" s="55" t="n">
        <x:v>127468093</x:v>
      </x:c>
      <x:c r="M862" t="str">
        <x:v>20210317001032</x:v>
      </x:c>
      <x:c r="N862" t="n">
        <x:v>44272.624999988424</x:v>
      </x:c>
      <x:c r="O862" s="54" t="n">
        <x:v>44196</x:v>
      </x:c>
      <x:c r="P862" t="str">
        <x:v>False</x:v>
      </x:c>
      <x:c r="Q862" t="str">
        <x:v>a2d8f4275a7a909be23671d83b0f047b49d3101f99ceb97a2291f838d3741795</x:v>
      </x:c>
      <x:c r="R862" t="str">
        <x:v>f04e49e0ee03a66e4e1f761c9bd1bb178b9bf15fb019dc6ad53f92c2e92e51cd</x:v>
      </x:c>
      <x:c r="S862" t="n">
        <x:v>6</x:v>
      </x:c>
      <x:c r="T862" t="str">
        <x:v>2018-12-31|2019-12-31|2020-12-31</x:v>
      </x:c>
      <x:c r="U862" s="57" t="n">
        <x:v>-993.9264313479732</x:v>
      </x:c>
      <x:c r="V862" s="57" t="n">
        <x:v>-1.1740676762430777</x:v>
      </x:c>
      <x:c r="W862"/>
      <x:c r="X862"/>
      <x:c r="Y862" s="38" t="n">
        <x:v>0.6409090909090909</x:v>
      </x:c>
      <x:c r="Z862" s="38" t="n">
        <x:v>0.6494465255095048</x:v>
      </x:c>
      <x:c r="AA862" t="str">
        <x:v>NON_POSITIVE_ENTERPRISE_VALUE|NON_POSITIVE_EQUITY_VALUE|NON_POSITIVE_TERMINAL_FCF</x:v>
      </x:c>
    </x:row>
    <x:row r="863">
      <x:c r="A863" s="54" t="n">
        <x:v>44377</x:v>
      </x:c>
      <x:c r="B863" t="n">
        <x:v>44377.624999988424</x:v>
      </x:c>
      <x:c r="C863" t="str">
        <x:v>131970</x:v>
      </x:c>
      <x:c r="D863" t="str">
        <x:v>두산테스나</x:v>
      </x:c>
      <x:c r="E863" t="str">
        <x:v>KOSDAQ</x:v>
      </x:c>
      <x:c r="F863" t="str">
        <x:v>LARGE</x:v>
      </x:c>
      <x:c r="G863" t="str">
        <x:v>ELIGIBLE</x:v>
      </x:c>
      <x:c r="H863"/>
      <x:c r="I863" s="54" t="n">
        <x:v>44377</x:v>
      </x:c>
      <x:c r="J863" s="55" t="n">
        <x:v>46050</x:v>
      </x:c>
      <x:c r="K863" s="55" t="n">
        <x:v>679678520850</x:v>
      </x:c>
      <x:c r="L863" s="55" t="n">
        <x:v>14759577</x:v>
      </x:c>
      <x:c r="M863" t="str">
        <x:v>20210419000076</x:v>
      </x:c>
      <x:c r="N863" t="n">
        <x:v>44305.624999988424</x:v>
      </x:c>
      <x:c r="O863" s="54" t="n">
        <x:v>44196</x:v>
      </x:c>
      <x:c r="P863" t="str">
        <x:v>True</x:v>
      </x:c>
      <x:c r="Q863" t="str">
        <x:v>7830a97ece1a25a62017aa54229abe56b1e63b20643308ca53a4639968a972bb</x:v>
      </x:c>
      <x:c r="R863" t="str">
        <x:v>257e76de79b54053ccb14f87e6416eee2b3f0d40a1cd1f8ac4c52d78814a5212</x:v>
      </x:c>
      <x:c r="S863" t="n">
        <x:v>5</x:v>
      </x:c>
      <x:c r="T863" t="str">
        <x:v>2018-12-31|2019-12-31|2020-12-31</x:v>
      </x:c>
      <x:c r="U863" s="57" t="n">
        <x:v>20115.014823098634</x:v>
      </x:c>
      <x:c r="V863" s="57" t="n">
        <x:v>-0.5631918605190307</x:v>
      </x:c>
      <x:c r="W863" t="n">
        <x:v>30</x:v>
      </x:c>
      <x:c r="X863" t="n">
        <x:v>3</x:v>
      </x:c>
      <x:c r="Y863" s="38" t="n">
        <x:v>0.6409090909090909</x:v>
      </x:c>
      <x:c r="Z863" s="38" t="n">
        <x:v>0.7256069356528623</x:v>
      </x:c>
      <x:c r="AA863"/>
    </x:row>
    <x:row r="864">
      <x:c r="A864" s="54" t="n">
        <x:v>44377</x:v>
      </x:c>
      <x:c r="B864" t="n">
        <x:v>44377.624999988424</x:v>
      </x:c>
      <x:c r="C864" t="str">
        <x:v>025320</x:v>
      </x:c>
      <x:c r="D864" t="str">
        <x:v>시노펙스</x:v>
      </x:c>
      <x:c r="E864" t="str">
        <x:v>KOSDAQ</x:v>
      </x:c>
      <x:c r="F864" t="str">
        <x:v>LARGE</x:v>
      </x:c>
      <x:c r="G864" t="str">
        <x:v>DCF_SCREENING_EXCLUSION</x:v>
      </x:c>
      <x:c r="H864" t="str">
        <x:v>NON_POSITIVE_ENTERPRISE_VALUE|NON_POSITIVE_EQUITY_VALUE|NON_POSITIVE_TERMINAL_FCF</x:v>
      </x:c>
      <x:c r="I864" s="54" t="n">
        <x:v>44377</x:v>
      </x:c>
      <x:c r="J864" s="55" t="n">
        <x:v>3690</x:v>
      </x:c>
      <x:c r="K864" s="55" t="n">
        <x:v>270266515020</x:v>
      </x:c>
      <x:c r="L864" s="55" t="n">
        <x:v>73242958</x:v>
      </x:c>
      <x:c r="M864" t="str">
        <x:v>20210323000457</x:v>
      </x:c>
      <x:c r="N864" t="n">
        <x:v>44278.624999988424</x:v>
      </x:c>
      <x:c r="O864" s="54" t="n">
        <x:v>44196</x:v>
      </x:c>
      <x:c r="P864" t="str">
        <x:v>False</x:v>
      </x:c>
      <x:c r="Q864" t="str">
        <x:v>4ed010fb22700cc727461b09e40117faa4e69e3e52cc5fdb902efc9104877c42</x:v>
      </x:c>
      <x:c r="R864" t="str">
        <x:v>b924ca165efae21f513feeb3a8be79f68b017f396ca98dc610dac49a44598330</x:v>
      </x:c>
      <x:c r="S864" t="n">
        <x:v>6</x:v>
      </x:c>
      <x:c r="T864" t="str">
        <x:v>2018-12-31|2019-12-31|2020-12-31</x:v>
      </x:c>
      <x:c r="U864" s="57" t="n">
        <x:v>-1589.5402274427975</x:v>
      </x:c>
      <x:c r="V864" s="57" t="n">
        <x:v>-1.4307697093340914</x:v>
      </x:c>
      <x:c r="W864"/>
      <x:c r="X864"/>
      <x:c r="Y864" s="38" t="n">
        <x:v>0.6409090909090909</x:v>
      </x:c>
      <x:c r="Z864" s="38" t="n">
        <x:v>0.5650623118634555</x:v>
      </x:c>
      <x:c r="AA864" t="str">
        <x:v>NON_POSITIVE_ENTERPRISE_VALUE|NON_POSITIVE_EQUITY_VALUE|NON_POSITIVE_TERMINAL_FCF</x:v>
      </x:c>
    </x:row>
    <x:row r="865">
      <x:c r="A865" s="54" t="n">
        <x:v>44377</x:v>
      </x:c>
      <x:c r="B865" t="n">
        <x:v>44377.624999988424</x:v>
      </x:c>
      <x:c r="C865" t="str">
        <x:v>347700</x:v>
      </x:c>
      <x:c r="D865" t="str">
        <x:v>스피어</x:v>
      </x:c>
      <x:c r="E865" t="str">
        <x:v>KOSDAQ</x:v>
      </x:c>
      <x:c r="F865" t="str">
        <x:v>LARGE</x:v>
      </x:c>
      <x:c r="G865" t="str">
        <x:v>DCF_SCREENING_EXCLUSION</x:v>
      </x:c>
      <x:c r="H865" t="str">
        <x:v>NON_POSITIVE_ENTERPRISE_VALUE|NON_POSITIVE_TERMINAL_FCF</x:v>
      </x:c>
      <x:c r="I865" s="54" t="n">
        <x:v>44377</x:v>
      </x:c>
      <x:c r="J865" s="55" t="n">
        <x:v>10850</x:v>
      </x:c>
      <x:c r="K865" s="55" t="n">
        <x:v>109799504500</x:v>
      </x:c>
      <x:c r="L865" s="55" t="n">
        <x:v>10119770</x:v>
      </x:c>
      <x:c r="M865" t="str">
        <x:v>20210607000174</x:v>
      </x:c>
      <x:c r="N865" t="n">
        <x:v>44354.624999988424</x:v>
      </x:c>
      <x:c r="O865" s="54" t="n">
        <x:v>44196</x:v>
      </x:c>
      <x:c r="P865" t="str">
        <x:v>True</x:v>
      </x:c>
      <x:c r="Q865" t="str">
        <x:v>c0520cdf6afb73decac60ef46ba45aedf738d0748abd8fb33394c8dee781acd9</x:v>
      </x:c>
      <x:c r="R865" t="str">
        <x:v>13a13d8702b9454a08ba530844faf994b54de0456edf4a2defea173e9b3c9a78</x:v>
      </x:c>
      <x:c r="S865" t="n">
        <x:v>6</x:v>
      </x:c>
      <x:c r="T865" t="str">
        <x:v>2020-12-31</x:v>
      </x:c>
      <x:c r="U865" s="57" t="n">
        <x:v>105.513405157469</x:v>
      </x:c>
      <x:c r="V865" s="57" t="n">
        <x:v>-0.9902752621974683</x:v>
      </x:c>
      <x:c r="W865"/>
      <x:c r="X865"/>
      <x:c r="Y865" s="38" t="n">
        <x:v>0.6409090909090909</x:v>
      </x:c>
      <x:c r="Z865" s="38" t="n">
        <x:v>0.7013426708992583</x:v>
      </x:c>
      <x:c r="AA865" t="str">
        <x:v>NON_POSITIVE_ENTERPRISE_VALUE|NON_POSITIVE_TERMINAL_FCF</x:v>
      </x:c>
    </x:row>
    <x:row r="866">
      <x:c r="A866" s="54" t="n">
        <x:v>44377</x:v>
      </x:c>
      <x:c r="B866" t="n">
        <x:v>44377.624999988424</x:v>
      </x:c>
      <x:c r="C866" t="str">
        <x:v>119850</x:v>
      </x:c>
      <x:c r="D866" t="str">
        <x:v>지엔씨에너지</x:v>
      </x:c>
      <x:c r="E866" t="str">
        <x:v>KOSDAQ</x:v>
      </x:c>
      <x:c r="F866" t="str">
        <x:v>LARGE</x:v>
      </x:c>
      <x:c r="G866" t="str">
        <x:v>ELIGIBLE</x:v>
      </x:c>
      <x:c r="H866"/>
      <x:c r="I866" s="54" t="n">
        <x:v>44377</x:v>
      </x:c>
      <x:c r="J866" s="55" t="n">
        <x:v>5530</x:v>
      </x:c>
      <x:c r="K866" s="55" t="n">
        <x:v>90962466770</x:v>
      </x:c>
      <x:c r="L866" s="55" t="n">
        <x:v>16448909</x:v>
      </x:c>
      <x:c r="M866" t="str">
        <x:v>20210318000663</x:v>
      </x:c>
      <x:c r="N866" t="n">
        <x:v>44273.624999988424</x:v>
      </x:c>
      <x:c r="O866" s="54" t="n">
        <x:v>44196</x:v>
      </x:c>
      <x:c r="P866" t="str">
        <x:v>False</x:v>
      </x:c>
      <x:c r="Q866" t="str">
        <x:v>653cb6ddd884358c126b2b72eab500c005242c43829e2e092de6d2c9e30c286a</x:v>
      </x:c>
      <x:c r="R866" t="str">
        <x:v>b3725620b61f6398fb580fc894decfc40ce95155ca3c21938f10d0118493dd5c</x:v>
      </x:c>
      <x:c r="S866" t="n">
        <x:v>6</x:v>
      </x:c>
      <x:c r="T866" t="str">
        <x:v>2018-12-31|2019-12-31|2020-12-31</x:v>
      </x:c>
      <x:c r="U866" s="57" t="n">
        <x:v>6956.039257826385</x:v>
      </x:c>
      <x:c r="V866" s="57" t="n">
        <x:v>0.2578732835129088</x:v>
      </x:c>
      <x:c r="W866" t="n">
        <x:v>7</x:v>
      </x:c>
      <x:c r="X866" t="n">
        <x:v>1</x:v>
      </x:c>
      <x:c r="Y866" s="38" t="n">
        <x:v>0.6409090909090909</x:v>
      </x:c>
      <x:c r="Z866" s="38" t="n">
        <x:v>0.7372895800495701</x:v>
      </x:c>
      <x:c r="AA866"/>
    </x:row>
    <x:row r="867">
      <x:c r="A867" s="54" t="n">
        <x:v>44377</x:v>
      </x:c>
      <x:c r="B867" t="n">
        <x:v>44377.624999988424</x:v>
      </x:c>
      <x:c r="C867" t="str">
        <x:v>084110</x:v>
      </x:c>
      <x:c r="D867" t="str">
        <x:v>휴온스글로벌</x:v>
      </x:c>
      <x:c r="E867" t="str">
        <x:v>KOSDAQ</x:v>
      </x:c>
      <x:c r="F867" t="str">
        <x:v>LARGE</x:v>
      </x:c>
      <x:c r="G867" t="str">
        <x:v>ELIGIBLE</x:v>
      </x:c>
      <x:c r="H867"/>
      <x:c r="I867" s="54" t="n">
        <x:v>44377</x:v>
      </x:c>
      <x:c r="J867" s="55" t="n">
        <x:v>67100</x:v>
      </x:c>
      <x:c r="K867" s="55" t="n">
        <x:v>807232391900</x:v>
      </x:c>
      <x:c r="L867" s="55" t="n">
        <x:v>12030289</x:v>
      </x:c>
      <x:c r="M867" t="str">
        <x:v>20210311001143</x:v>
      </x:c>
      <x:c r="N867" t="n">
        <x:v>44266.624999988424</x:v>
      </x:c>
      <x:c r="O867" s="54" t="n">
        <x:v>44196</x:v>
      </x:c>
      <x:c r="P867" t="str">
        <x:v>False</x:v>
      </x:c>
      <x:c r="Q867" t="str">
        <x:v>fa81c84f17329d7b4da199ca087127a31bb8895032b44094df209b2bcca991ae</x:v>
      </x:c>
      <x:c r="R867" t="str">
        <x:v>51b01d395ba6e242ca6bc50955b5df968a7361f69faf87ac5902a92b48e44089</x:v>
      </x:c>
      <x:c r="S867" t="n">
        <x:v>6</x:v>
      </x:c>
      <x:c r="T867" t="str">
        <x:v>2018-12-31|2019-12-31|2020-12-31</x:v>
      </x:c>
      <x:c r="U867" s="57" t="n">
        <x:v>62717.699944589345</x:v>
      </x:c>
      <x:c r="V867" s="57" t="n">
        <x:v>-0.06530998592266256</x:v>
      </x:c>
      <x:c r="W867" t="n">
        <x:v>14</x:v>
      </x:c>
      <x:c r="X867" t="n">
        <x:v>2</x:v>
      </x:c>
      <x:c r="Y867" s="38" t="n">
        <x:v>0.6409090909090909</x:v>
      </x:c>
      <x:c r="Z867" s="38" t="n">
        <x:v>0.7345335402673521</x:v>
      </x:c>
      <x:c r="AA867"/>
    </x:row>
    <x:row r="868">
      <x:c r="A868" s="54" t="n">
        <x:v>44377</x:v>
      </x:c>
      <x:c r="B868" t="n">
        <x:v>44377.624999988424</x:v>
      </x:c>
      <x:c r="C868" t="str">
        <x:v>206650</x:v>
      </x:c>
      <x:c r="D868" t="str">
        <x:v>유바이오로직스</x:v>
      </x:c>
      <x:c r="E868" t="str">
        <x:v>KOSDAQ</x:v>
      </x:c>
      <x:c r="F868" t="str">
        <x:v>LARGE</x:v>
      </x:c>
      <x:c r="G868" t="str">
        <x:v>DCF_SCREENING_EXCLUSION</x:v>
      </x:c>
      <x:c r="H868" t="str">
        <x:v>UNRELIABLE_TERMINAL_VALUE_SHARE</x:v>
      </x:c>
      <x:c r="I868" s="54" t="n">
        <x:v>44377</x:v>
      </x:c>
      <x:c r="J868" s="55" t="n">
        <x:v>41300</x:v>
      </x:c>
      <x:c r="K868" s="55" t="n">
        <x:v>1448721069600</x:v>
      </x:c>
      <x:c r="L868" s="55" t="n">
        <x:v>35077992</x:v>
      </x:c>
      <x:c r="M868" t="str">
        <x:v>20210630000434</x:v>
      </x:c>
      <x:c r="N868" t="n">
        <x:v>44377.624999988424</x:v>
      </x:c>
      <x:c r="O868" s="54" t="n">
        <x:v>44196</x:v>
      </x:c>
      <x:c r="P868" t="str">
        <x:v>True</x:v>
      </x:c>
      <x:c r="Q868" t="str">
        <x:v>067460ec3ee877541a5caf31e6d54ee8107ff03c30ccabc175d5213fa89ac48c</x:v>
      </x:c>
      <x:c r="R868" t="str">
        <x:v>81a2b4d8fac3c721e3762964d02710f0979f601bea0a9652244c2da652042693</x:v>
      </x:c>
      <x:c r="S868" t="n">
        <x:v>5</x:v>
      </x:c>
      <x:c r="T868" t="str">
        <x:v>2018-12-31|2019-12-31|2020-12-31</x:v>
      </x:c>
      <x:c r="U868" s="57" t="n">
        <x:v>2639.522565259156</x:v>
      </x:c>
      <x:c r="V868" s="57" t="n">
        <x:v>-0.9360890420034103</x:v>
      </x:c>
      <x:c r="W868"/>
      <x:c r="X868"/>
      <x:c r="Y868" s="38" t="n">
        <x:v>0.6409090909090909</x:v>
      </x:c>
      <x:c r="Z868" s="38" t="n">
        <x:v>1.0855136145824282</x:v>
      </x:c>
      <x:c r="AA868" t="str">
        <x:v>UNRELIABLE_TERMINAL_VALUE_SHARE</x:v>
      </x:c>
    </x:row>
    <x:row r="869">
      <x:c r="A869" s="54" t="n">
        <x:v>44377</x:v>
      </x:c>
      <x:c r="B869" t="n">
        <x:v>44377.624999988424</x:v>
      </x:c>
      <x:c r="C869" t="str">
        <x:v>365340</x:v>
      </x:c>
      <x:c r="D869" t="str">
        <x:v>성일하이텍</x:v>
      </x:c>
      <x:c r="E869" t="str">
        <x:v>KOSDAQ</x:v>
      </x:c>
      <x:c r="F869" t="str">
        <x:v>LARGE</x:v>
      </x:c>
      <x:c r="G869" t="str">
        <x:v>NOT_LISTED_OR_NO_PRICE</x:v>
      </x:c>
      <x:c r="H869"/>
      <x:c r="I869" s="54"/>
      <x:c r="J869" s="55"/>
      <x:c r="K869" s="55"/>
      <x:c r="L869" s="55"/>
      <x:c r="M869"/>
      <x:c r="N869"/>
      <x:c r="O869" s="54"/>
      <x:c r="P869"/>
      <x:c r="Q869"/>
      <x:c r="R869"/>
      <x:c r="S869"/>
      <x:c r="T869"/>
      <x:c r="U869" s="57"/>
      <x:c r="V869" s="57"/>
      <x:c r="W869"/>
      <x:c r="X869"/>
      <x:c r="Y869" s="38"/>
      <x:c r="Z869" s="38"/>
      <x:c r="AA869"/>
    </x:row>
    <x:row r="870">
      <x:c r="A870" s="54" t="n">
        <x:v>44377</x:v>
      </x:c>
      <x:c r="B870" t="n">
        <x:v>44377.624999988424</x:v>
      </x:c>
      <x:c r="C870" t="str">
        <x:v>030530</x:v>
      </x:c>
      <x:c r="D870" t="str">
        <x:v>원익홀딩스</x:v>
      </x:c>
      <x:c r="E870" t="str">
        <x:v>KOSDAQ</x:v>
      </x:c>
      <x:c r="F870" t="str">
        <x:v>LARGE</x:v>
      </x:c>
      <x:c r="G870" t="str">
        <x:v>EXCLUDED_ARCHETYPE</x:v>
      </x:c>
      <x:c r="H870" t="str">
        <x:v>FCFF_NOT_COMPARABLE_FOR_FINANCE_OR_HOLDING_HINT</x:v>
      </x:c>
      <x:c r="I870" s="54"/>
      <x:c r="J870" s="55"/>
      <x:c r="K870" s="55"/>
      <x:c r="L870" s="55"/>
      <x:c r="M870"/>
      <x:c r="N870"/>
      <x:c r="O870" s="54"/>
      <x:c r="P870"/>
      <x:c r="Q870"/>
      <x:c r="R870"/>
      <x:c r="S870"/>
      <x:c r="T870"/>
      <x:c r="U870" s="57"/>
      <x:c r="V870" s="57"/>
      <x:c r="W870"/>
      <x:c r="X870"/>
      <x:c r="Y870" s="38"/>
      <x:c r="Z870" s="38"/>
      <x:c r="AA870"/>
    </x:row>
    <x:row r="871">
      <x:c r="A871" s="54" t="n">
        <x:v>44377</x:v>
      </x:c>
      <x:c r="B871" t="n">
        <x:v>44377.624999988424</x:v>
      </x:c>
      <x:c r="C871" t="str">
        <x:v>220100</x:v>
      </x:c>
      <x:c r="D871" t="str">
        <x:v>퓨쳐켐</x:v>
      </x:c>
      <x:c r="E871" t="str">
        <x:v>KOSDAQ</x:v>
      </x:c>
      <x:c r="F871" t="str">
        <x:v>LARGE</x:v>
      </x:c>
      <x:c r="G871" t="str">
        <x:v>DCF_SCREENING_EXCLUSION</x:v>
      </x:c>
      <x:c r="H871" t="str">
        <x:v>NON_POSITIVE_ENTERPRISE_VALUE|NON_POSITIVE_EQUITY_VALUE|NON_POSITIVE_TERMINAL_FCF</x:v>
      </x:c>
      <x:c r="I871" s="54" t="n">
        <x:v>44377</x:v>
      </x:c>
      <x:c r="J871" s="55" t="n">
        <x:v>15000</x:v>
      </x:c>
      <x:c r="K871" s="55" t="n">
        <x:v>204689565000</x:v>
      </x:c>
      <x:c r="L871" s="55" t="n">
        <x:v>13645971</x:v>
      </x:c>
      <x:c r="M871" t="str">
        <x:v>20210615000215</x:v>
      </x:c>
      <x:c r="N871" t="n">
        <x:v>44362.624999988424</x:v>
      </x:c>
      <x:c r="O871" s="54" t="n">
        <x:v>44196</x:v>
      </x:c>
      <x:c r="P871" t="str">
        <x:v>True</x:v>
      </x:c>
      <x:c r="Q871" t="str">
        <x:v>774d33683e2a64cbd21cad6bd5b0d405abbbaecd776b82c7b5e5fc0933427b58</x:v>
      </x:c>
      <x:c r="R871" t="str">
        <x:v>e7f9b0455266aaa977f205aaeaa90b0ee053bbe7b3e86135c44c9f7af8e39dad</x:v>
      </x:c>
      <x:c r="S871" t="n">
        <x:v>5</x:v>
      </x:c>
      <x:c r="T871" t="str">
        <x:v>2018-12-31|2019-12-31|2020-12-31</x:v>
      </x:c>
      <x:c r="U871" s="57" t="n">
        <x:v>-2161.672272645734</x:v>
      </x:c>
      <x:c r="V871" s="57" t="n">
        <x:v>-1.144111484843049</x:v>
      </x:c>
      <x:c r="W871"/>
      <x:c r="X871"/>
      <x:c r="Y871" s="38" t="n">
        <x:v>0.6409090909090909</x:v>
      </x:c>
      <x:c r="Z871" s="38" t="n">
        <x:v>0.7048576618166811</x:v>
      </x:c>
      <x:c r="AA871" t="str">
        <x:v>NON_POSITIVE_ENTERPRISE_VALUE|NON_POSITIVE_EQUITY_VALUE|NON_POSITIVE_TERMINAL_FCF</x:v>
      </x:c>
    </x:row>
    <x:row r="872">
      <x:c r="A872" s="54" t="n">
        <x:v>44377</x:v>
      </x:c>
      <x:c r="B872" t="n">
        <x:v>44377.624999988424</x:v>
      </x:c>
      <x:c r="C872" t="str">
        <x:v>416180</x:v>
      </x:c>
      <x:c r="D872" t="str">
        <x:v>신성에스티</x:v>
      </x:c>
      <x:c r="E872" t="str">
        <x:v>KOSDAQ</x:v>
      </x:c>
      <x:c r="F872" t="str">
        <x:v>LARGE</x:v>
      </x:c>
      <x:c r="G872" t="str">
        <x:v>NOT_LISTED_OR_NO_PRICE</x:v>
      </x:c>
      <x:c r="H872"/>
      <x:c r="I872" s="54"/>
      <x:c r="J872" s="55"/>
      <x:c r="K872" s="55"/>
      <x:c r="L872" s="55"/>
      <x:c r="M872"/>
      <x:c r="N872"/>
      <x:c r="O872" s="54"/>
      <x:c r="P872"/>
      <x:c r="Q872"/>
      <x:c r="R872"/>
      <x:c r="S872"/>
      <x:c r="T872"/>
      <x:c r="U872" s="57"/>
      <x:c r="V872" s="57"/>
      <x:c r="W872"/>
      <x:c r="X872"/>
      <x:c r="Y872" s="38"/>
      <x:c r="Z872" s="38"/>
      <x:c r="AA872"/>
    </x:row>
    <x:row r="873">
      <x:c r="A873" s="54" t="n">
        <x:v>44377</x:v>
      </x:c>
      <x:c r="B873" t="n">
        <x:v>44377.624999988424</x:v>
      </x:c>
      <x:c r="C873" t="str">
        <x:v>082800</x:v>
      </x:c>
      <x:c r="D873" t="str">
        <x:v>비보존제약</x:v>
      </x:c>
      <x:c r="E873" t="str">
        <x:v>KOSDAQ</x:v>
      </x:c>
      <x:c r="F873" t="str">
        <x:v>LARGE</x:v>
      </x:c>
      <x:c r="G873" t="str">
        <x:v>DCF_SCREENING_EXCLUSION</x:v>
      </x:c>
      <x:c r="H873" t="str">
        <x:v>NON_POSITIVE_ENTERPRISE_VALUE|NON_POSITIVE_EQUITY_VALUE|NON_POSITIVE_TERMINAL_FCF</x:v>
      </x:c>
      <x:c r="I873" s="54" t="n">
        <x:v>44377</x:v>
      </x:c>
      <x:c r="J873" s="55" t="n">
        <x:v>1595</x:v>
      </x:c>
      <x:c r="K873" s="55" t="n">
        <x:v>254861408615</x:v>
      </x:c>
      <x:c r="L873" s="55" t="n">
        <x:v>159787717</x:v>
      </x:c>
      <x:c r="M873" t="str">
        <x:v>20210323001078</x:v>
      </x:c>
      <x:c r="N873" t="n">
        <x:v>44278.624999988424</x:v>
      </x:c>
      <x:c r="O873" s="54" t="n">
        <x:v>44196</x:v>
      </x:c>
      <x:c r="P873" t="str">
        <x:v>False</x:v>
      </x:c>
      <x:c r="Q873" t="str">
        <x:v>3b01bee336db8ffce31a0f1ea2f2a5c281a51b24bbb77cb4e7a1d4dbc273ef76</x:v>
      </x:c>
      <x:c r="R873" t="str">
        <x:v>e987258f2be741fdffc583ab11e478c7828ce4eba0c4248bc6fff53b2238bc2f</x:v>
      </x:c>
      <x:c r="S873" t="n">
        <x:v>5</x:v>
      </x:c>
      <x:c r="T873" t="str">
        <x:v>2018-12-31|2019-12-31|2020-12-31</x:v>
      </x:c>
      <x:c r="U873" s="57" t="n">
        <x:v>-732.3482484163834</x:v>
      </x:c>
      <x:c r="V873" s="57" t="n">
        <x:v>-1.4591525068441276</x:v>
      </x:c>
      <x:c r="W873"/>
      <x:c r="X873"/>
      <x:c r="Y873" s="38" t="n">
        <x:v>0.6409090909090909</x:v>
      </x:c>
      <x:c r="Z873" s="38" t="n">
        <x:v>0.7047682246707426</x:v>
      </x:c>
      <x:c r="AA873" t="str">
        <x:v>NON_POSITIVE_ENTERPRISE_VALUE|NON_POSITIVE_EQUITY_VALUE|NON_POSITIVE_TERMINAL_FCF</x:v>
      </x:c>
    </x:row>
    <x:row r="874">
      <x:c r="A874" s="54" t="n">
        <x:v>44377</x:v>
      </x:c>
      <x:c r="B874" t="n">
        <x:v>44377.624999988424</x:v>
      </x:c>
      <x:c r="C874" t="str">
        <x:v>204620</x:v>
      </x:c>
      <x:c r="D874" t="str">
        <x:v>글로벌텍스프리</x:v>
      </x:c>
      <x:c r="E874" t="str">
        <x:v>KOSDAQ</x:v>
      </x:c>
      <x:c r="F874" t="str">
        <x:v>LARGE</x:v>
      </x:c>
      <x:c r="G874" t="str">
        <x:v>DCF_SCREENING_EXCLUSION</x:v>
      </x:c>
      <x:c r="H874" t="str">
        <x:v>UNRELIABLE_TERMINAL_VALUE_SHARE</x:v>
      </x:c>
      <x:c r="I874" s="54" t="n">
        <x:v>44377</x:v>
      </x:c>
      <x:c r="J874" s="55" t="n">
        <x:v>3725</x:v>
      </x:c>
      <x:c r="K874" s="55" t="n">
        <x:v>181544173975</x:v>
      </x:c>
      <x:c r="L874" s="55" t="n">
        <x:v>48736691</x:v>
      </x:c>
      <x:c r="M874" t="str">
        <x:v>20210322001155</x:v>
      </x:c>
      <x:c r="N874" t="n">
        <x:v>44277.624999988424</x:v>
      </x:c>
      <x:c r="O874" s="54" t="n">
        <x:v>44196</x:v>
      </x:c>
      <x:c r="P874" t="str">
        <x:v>False</x:v>
      </x:c>
      <x:c r="Q874" t="str">
        <x:v>63e285f34a7299143d8cfef21dff4eab139ba2d6da9068d43044e662192b9141</x:v>
      </x:c>
      <x:c r="R874" t="str">
        <x:v>942d3112c880d8248b9474645454b62643e68b942d77b7486e4633785d250695</x:v>
      </x:c>
      <x:c r="S874" t="n">
        <x:v>7</x:v>
      </x:c>
      <x:c r="T874" t="str">
        <x:v>2018-12-31|2019-12-31|2020-12-31</x:v>
      </x:c>
      <x:c r="U874" s="57" t="n">
        <x:v>899.8525927064413</x:v>
      </x:c>
      <x:c r="V874" s="57" t="n">
        <x:v>-0.7584288341727674</x:v>
      </x:c>
      <x:c r="W874"/>
      <x:c r="X874"/>
      <x:c r="Y874" s="38" t="n">
        <x:v>0.6409090909090909</x:v>
      </x:c>
      <x:c r="Z874" s="38" t="n">
        <x:v>0.9852227558467876</x:v>
      </x:c>
      <x:c r="AA874" t="str">
        <x:v>UNRELIABLE_TERMINAL_VALUE_SHARE</x:v>
      </x:c>
    </x:row>
    <x:row r="875">
      <x:c r="A875" s="54" t="n">
        <x:v>44377</x:v>
      </x:c>
      <x:c r="B875" t="n">
        <x:v>44377.624999988424</x:v>
      </x:c>
      <x:c r="C875" t="str">
        <x:v>445090</x:v>
      </x:c>
      <x:c r="D875" t="str">
        <x:v>에이직랜드</x:v>
      </x:c>
      <x:c r="E875" t="str">
        <x:v>KOSDAQ</x:v>
      </x:c>
      <x:c r="F875" t="str">
        <x:v>LARGE</x:v>
      </x:c>
      <x:c r="G875" t="str">
        <x:v>NOT_LISTED_OR_NO_PRICE</x:v>
      </x:c>
      <x:c r="H875"/>
      <x:c r="I875" s="54"/>
      <x:c r="J875" s="55"/>
      <x:c r="K875" s="55"/>
      <x:c r="L875" s="55"/>
      <x:c r="M875"/>
      <x:c r="N875"/>
      <x:c r="O875" s="54"/>
      <x:c r="P875"/>
      <x:c r="Q875"/>
      <x:c r="R875"/>
      <x:c r="S875"/>
      <x:c r="T875"/>
      <x:c r="U875" s="57"/>
      <x:c r="V875" s="57"/>
      <x:c r="W875"/>
      <x:c r="X875"/>
      <x:c r="Y875" s="38"/>
      <x:c r="Z875" s="38"/>
      <x:c r="AA875"/>
    </x:row>
    <x:row r="876">
      <x:c r="A876" s="54" t="n">
        <x:v>44377</x:v>
      </x:c>
      <x:c r="B876" t="n">
        <x:v>44377.624999988424</x:v>
      </x:c>
      <x:c r="C876" t="str">
        <x:v>115450</x:v>
      </x:c>
      <x:c r="D876" t="str">
        <x:v>HLB테라퓨틱스</x:v>
      </x:c>
      <x:c r="E876" t="str">
        <x:v>KOSDAQ</x:v>
      </x:c>
      <x:c r="F876" t="str">
        <x:v>LARGE</x:v>
      </x:c>
      <x:c r="G876" t="str">
        <x:v>DCF_SCREENING_EXCLUSION</x:v>
      </x:c>
      <x:c r="H876" t="str">
        <x:v>NON_POSITIVE_ENTERPRISE_VALUE|NON_POSITIVE_EQUITY_VALUE|NON_POSITIVE_TERMINAL_FCF</x:v>
      </x:c>
      <x:c r="I876" s="54" t="n">
        <x:v>44377</x:v>
      </x:c>
      <x:c r="J876" s="55" t="n">
        <x:v>11600</x:v>
      </x:c>
      <x:c r="K876" s="55" t="n">
        <x:v>314221020400</x:v>
      </x:c>
      <x:c r="L876" s="55" t="n">
        <x:v>27088019</x:v>
      </x:c>
      <x:c r="M876" t="str">
        <x:v>20210322000267</x:v>
      </x:c>
      <x:c r="N876" t="n">
        <x:v>44277.624999988424</x:v>
      </x:c>
      <x:c r="O876" s="54" t="n">
        <x:v>44196</x:v>
      </x:c>
      <x:c r="P876" t="str">
        <x:v>True</x:v>
      </x:c>
      <x:c r="Q876" t="str">
        <x:v>9353d71566402711a7e944bd746b58f70992d4280153e7918d6d972ec9847f15</x:v>
      </x:c>
      <x:c r="R876" t="str">
        <x:v>440c3108003fc6dd85b6abafd86205d83884fe967e098286fac2cc393031076c</x:v>
      </x:c>
      <x:c r="S876" t="n">
        <x:v>6</x:v>
      </x:c>
      <x:c r="T876" t="str">
        <x:v>2018-12-31|2019-12-31|2020-12-31</x:v>
      </x:c>
      <x:c r="U876" s="57" t="n">
        <x:v>-3360.487745607768</x:v>
      </x:c>
      <x:c r="V876" s="57" t="n">
        <x:v>-1.2896972194489456</x:v>
      </x:c>
      <x:c r="W876"/>
      <x:c r="X876"/>
      <x:c r="Y876" s="38" t="n">
        <x:v>0.6409090909090909</x:v>
      </x:c>
      <x:c r="Z876" s="38" t="n">
        <x:v>0.6727961565714479</x:v>
      </x:c>
      <x:c r="AA876" t="str">
        <x:v>NON_POSITIVE_ENTERPRISE_VALUE|NON_POSITIVE_EQUITY_VALUE|NON_POSITIVE_TERMINAL_FCF</x:v>
      </x:c>
    </x:row>
    <x:row r="877">
      <x:c r="A877" s="54" t="n">
        <x:v>44377</x:v>
      </x:c>
      <x:c r="B877" t="n">
        <x:v>44377.624999988424</x:v>
      </x:c>
      <x:c r="C877" t="str">
        <x:v>035420</x:v>
      </x:c>
      <x:c r="D877" t="str">
        <x:v>NAVER</x:v>
      </x:c>
      <x:c r="E877" t="str">
        <x:v>KOSPI</x:v>
      </x:c>
      <x:c r="F877" t="str">
        <x:v>LARGE</x:v>
      </x:c>
      <x:c r="G877" t="str">
        <x:v>ELIGIBLE</x:v>
      </x:c>
      <x:c r="H877"/>
      <x:c r="I877" s="54" t="n">
        <x:v>44377</x:v>
      </x:c>
      <x:c r="J877" s="55" t="n">
        <x:v>417500</x:v>
      </x:c>
      <x:c r="K877" s="55" t="n">
        <x:v>68579967412500</x:v>
      </x:c>
      <x:c r="L877" s="55" t="n">
        <x:v>164263395</x:v>
      </x:c>
      <x:c r="M877" t="str">
        <x:v>20210316001214</x:v>
      </x:c>
      <x:c r="N877" t="n">
        <x:v>44271.624999988424</x:v>
      </x:c>
      <x:c r="O877" s="54" t="n">
        <x:v>44196</x:v>
      </x:c>
      <x:c r="P877" t="str">
        <x:v>False</x:v>
      </x:c>
      <x:c r="Q877" t="str">
        <x:v>68dc118fc30765c984117bc63ce97f43158503473a4b2cf6dc55888cc7a4f8c2</x:v>
      </x:c>
      <x:c r="R877" t="str">
        <x:v>d6e2b5708b1e7fbdbe00ab991bbb242db3d72e567c47557b0ad1c27529b9273f</x:v>
      </x:c>
      <x:c r="S877" t="n">
        <x:v>6</x:v>
      </x:c>
      <x:c r="T877" t="str">
        <x:v>2018-12-31|2019-12-31|2020-12-31</x:v>
      </x:c>
      <x:c r="U877" s="57" t="n">
        <x:v>48037.82319413707</x:v>
      </x:c>
      <x:c r="V877" s="57" t="n">
        <x:v>-0.8849393456427854</x:v>
      </x:c>
      <x:c r="W877" t="n">
        <x:v>54</x:v>
      </x:c>
      <x:c r="X877" t="n">
        <x:v>5</x:v>
      </x:c>
      <x:c r="Y877" s="38" t="n">
        <x:v>0.6409090909090909</x:v>
      </x:c>
      <x:c r="Z877" s="38" t="n">
        <x:v>0.6459381047084306</x:v>
      </x:c>
      <x:c r="AA877"/>
    </x:row>
    <x:row r="878">
      <x:c r="A878" s="54" t="n">
        <x:v>44377</x:v>
      </x:c>
      <x:c r="B878" t="n">
        <x:v>44377.624999988424</x:v>
      </x:c>
      <x:c r="C878" t="str">
        <x:v>030200</x:v>
      </x:c>
      <x:c r="D878" t="str">
        <x:v>KT</x:v>
      </x:c>
      <x:c r="E878" t="str">
        <x:v>KOSPI</x:v>
      </x:c>
      <x:c r="F878" t="str">
        <x:v>LARGE</x:v>
      </x:c>
      <x:c r="G878" t="str">
        <x:v>ELIGIBLE</x:v>
      </x:c>
      <x:c r="H878"/>
      <x:c r="I878" s="54" t="n">
        <x:v>44377</x:v>
      </x:c>
      <x:c r="J878" s="55" t="n">
        <x:v>31800</x:v>
      </x:c>
      <x:c r="K878" s="55" t="n">
        <x:v>8303355494400</x:v>
      </x:c>
      <x:c r="L878" s="55" t="n">
        <x:v>261111808</x:v>
      </x:c>
      <x:c r="M878" t="str">
        <x:v>20210319001235</x:v>
      </x:c>
      <x:c r="N878" t="n">
        <x:v>44274.624999988424</x:v>
      </x:c>
      <x:c r="O878" s="54" t="n">
        <x:v>44196</x:v>
      </x:c>
      <x:c r="P878" t="str">
        <x:v>False</x:v>
      </x:c>
      <x:c r="Q878" t="str">
        <x:v>d64d7a158d387dd550e1fae4d790e729d0c9d1d8b0cac7452fc112e47649dda4</x:v>
      </x:c>
      <x:c r="R878" t="str">
        <x:v>9f4c1f28bbd6500760e6bd9819530619dfe207c0cc1188e35fcf4794fd02938a</x:v>
      </x:c>
      <x:c r="S878" t="n">
        <x:v>6</x:v>
      </x:c>
      <x:c r="T878" t="str">
        <x:v>2018-12-31|2019-12-31|2020-12-31</x:v>
      </x:c>
      <x:c r="U878" s="57" t="n">
        <x:v>42508.529940105356</x:v>
      </x:c>
      <x:c r="V878" s="57" t="n">
        <x:v>0.33674622453161485</x:v>
      </x:c>
      <x:c r="W878" t="n">
        <x:v>6</x:v>
      </x:c>
      <x:c r="X878" t="n">
        <x:v>1</x:v>
      </x:c>
      <x:c r="Y878" s="38" t="n">
        <x:v>0.6409090909090909</x:v>
      </x:c>
      <x:c r="Z878" s="38" t="n">
        <x:v>0.7002042252982207</x:v>
      </x:c>
      <x:c r="AA878"/>
    </x:row>
    <x:row r="879">
      <x:c r="A879" s="54" t="n">
        <x:v>44377</x:v>
      </x:c>
      <x:c r="B879" t="n">
        <x:v>44377.624999988424</x:v>
      </x:c>
      <x:c r="C879" t="str">
        <x:v>018260</x:v>
      </x:c>
      <x:c r="D879" t="str">
        <x:v>삼성에스디에스</x:v>
      </x:c>
      <x:c r="E879" t="str">
        <x:v>KOSPI</x:v>
      </x:c>
      <x:c r="F879" t="str">
        <x:v>LARGE</x:v>
      </x:c>
      <x:c r="G879" t="str">
        <x:v>ELIGIBLE</x:v>
      </x:c>
      <x:c r="H879"/>
      <x:c r="I879" s="54" t="n">
        <x:v>44377</x:v>
      </x:c>
      <x:c r="J879" s="55" t="n">
        <x:v>185000</x:v>
      </x:c>
      <x:c r="K879" s="55" t="n">
        <x:v>14314893000000</x:v>
      </x:c>
      <x:c r="L879" s="55" t="n">
        <x:v>77377800</x:v>
      </x:c>
      <x:c r="M879" t="str">
        <x:v>20210309000603</x:v>
      </x:c>
      <x:c r="N879" t="n">
        <x:v>44264.624999988424</x:v>
      </x:c>
      <x:c r="O879" s="54" t="n">
        <x:v>44196</x:v>
      </x:c>
      <x:c r="P879" t="str">
        <x:v>False</x:v>
      </x:c>
      <x:c r="Q879" t="str">
        <x:v>edc177af043fcf418403e0860c191e7eb2aff41f6c969aac1a56c8246da7a635</x:v>
      </x:c>
      <x:c r="R879" t="str">
        <x:v>97fc48826aebc55efc6036c432fae7c4d1f02450779c2cb47bad737bffdbe6f1</x:v>
      </x:c>
      <x:c r="S879" t="n">
        <x:v>6</x:v>
      </x:c>
      <x:c r="T879" t="str">
        <x:v>2018-12-31|2019-12-31|2020-12-31</x:v>
      </x:c>
      <x:c r="U879" s="57" t="n">
        <x:v>128730.48947024481</x:v>
      </x:c>
      <x:c r="V879" s="57" t="n">
        <x:v>-0.3041595163770551</x:v>
      </x:c>
      <x:c r="W879" t="n">
        <x:v>19</x:v>
      </x:c>
      <x:c r="X879" t="n">
        <x:v>2</x:v>
      </x:c>
      <x:c r="Y879" s="38" t="n">
        <x:v>0.6409090909090909</x:v>
      </x:c>
      <x:c r="Z879" s="38" t="n">
        <x:v>0.7166900971799662</x:v>
      </x:c>
      <x:c r="AA879"/>
    </x:row>
    <x:row r="880">
      <x:c r="A880" s="54" t="n">
        <x:v>44377</x:v>
      </x:c>
      <x:c r="B880" t="n">
        <x:v>44377.624999988424</x:v>
      </x:c>
      <x:c r="C880" t="str">
        <x:v>090430</x:v>
      </x:c>
      <x:c r="D880" t="str">
        <x:v>아모레퍼시픽</x:v>
      </x:c>
      <x:c r="E880" t="str">
        <x:v>KOSPI</x:v>
      </x:c>
      <x:c r="F880" t="str">
        <x:v>LARGE</x:v>
      </x:c>
      <x:c r="G880" t="str">
        <x:v>ELIGIBLE</x:v>
      </x:c>
      <x:c r="H880"/>
      <x:c r="I880" s="54" t="n">
        <x:v>44377</x:v>
      </x:c>
      <x:c r="J880" s="55" t="n">
        <x:v>252000</x:v>
      </x:c>
      <x:c r="K880" s="55" t="n">
        <x:v>14731539480000</x:v>
      </x:c>
      <x:c r="L880" s="55" t="n">
        <x:v>58458490</x:v>
      </x:c>
      <x:c r="M880" t="str">
        <x:v>20210311000870</x:v>
      </x:c>
      <x:c r="N880" t="n">
        <x:v>44266.624999988424</x:v>
      </x:c>
      <x:c r="O880" s="54" t="n">
        <x:v>44196</x:v>
      </x:c>
      <x:c r="P880" t="str">
        <x:v>False</x:v>
      </x:c>
      <x:c r="Q880" t="str">
        <x:v>682836cd3aff088dd1bd023babd164c42c02b19fe8ab2fcca2b2f27afc639e1e</x:v>
      </x:c>
      <x:c r="R880" t="str">
        <x:v>b63f75062ff6f7e7d2344776d997d81b161b773562eab38e5237692e4163d4d0</x:v>
      </x:c>
      <x:c r="S880" t="n">
        <x:v>6</x:v>
      </x:c>
      <x:c r="T880" t="str">
        <x:v>2018-12-31|2019-12-31|2020-12-31</x:v>
      </x:c>
      <x:c r="U880" s="57" t="n">
        <x:v>37104.65707583782</x:v>
      </x:c>
      <x:c r="V880" s="57" t="n">
        <x:v>-0.8527592973181038</x:v>
      </x:c>
      <x:c r="W880" t="n">
        <x:v>52</x:v>
      </x:c>
      <x:c r="X880" t="n">
        <x:v>5</x:v>
      </x:c>
      <x:c r="Y880" s="38" t="n">
        <x:v>0.6409090909090909</x:v>
      </x:c>
      <x:c r="Z880" s="38" t="n">
        <x:v>0.7858385578371689</x:v>
      </x:c>
      <x:c r="AA880"/>
    </x:row>
    <x:row r="881">
      <x:c r="A881" s="54" t="n">
        <x:v>44377</x:v>
      </x:c>
      <x:c r="B881" t="n">
        <x:v>44377.624999988424</x:v>
      </x:c>
      <x:c r="C881" t="str">
        <x:v>278470</x:v>
      </x:c>
      <x:c r="D881" t="str">
        <x:v>에이피알</x:v>
      </x:c>
      <x:c r="E881" t="str">
        <x:v>KOSPI</x:v>
      </x:c>
      <x:c r="F881" t="str">
        <x:v>LARGE</x:v>
      </x:c>
      <x:c r="G881" t="str">
        <x:v>NOT_LISTED_OR_NO_PRICE</x:v>
      </x:c>
      <x:c r="H881"/>
      <x:c r="I881" s="54"/>
      <x:c r="J881" s="55"/>
      <x:c r="K881" s="55"/>
      <x:c r="L881" s="55"/>
      <x:c r="M881"/>
      <x:c r="N881"/>
      <x:c r="O881" s="54"/>
      <x:c r="P881"/>
      <x:c r="Q881"/>
      <x:c r="R881"/>
      <x:c r="S881"/>
      <x:c r="T881"/>
      <x:c r="U881" s="57"/>
      <x:c r="V881" s="57"/>
      <x:c r="W881"/>
      <x:c r="X881"/>
      <x:c r="Y881" s="38"/>
      <x:c r="Z881" s="38"/>
      <x:c r="AA881"/>
    </x:row>
    <x:row r="882">
      <x:c r="A882" s="54" t="n">
        <x:v>44377</x:v>
      </x:c>
      <x:c r="B882" t="n">
        <x:v>44377.624999988424</x:v>
      </x:c>
      <x:c r="C882" t="str">
        <x:v>006260</x:v>
      </x:c>
      <x:c r="D882" t="str">
        <x:v>LS</x:v>
      </x:c>
      <x:c r="E882" t="str">
        <x:v>KOSPI</x:v>
      </x:c>
      <x:c r="F882" t="str">
        <x:v>LARGE</x:v>
      </x:c>
      <x:c r="G882" t="str">
        <x:v>ELIGIBLE</x:v>
      </x:c>
      <x:c r="H882"/>
      <x:c r="I882" s="54" t="n">
        <x:v>44377</x:v>
      </x:c>
      <x:c r="J882" s="55" t="n">
        <x:v>70800</x:v>
      </x:c>
      <x:c r="K882" s="55" t="n">
        <x:v>2279760000000</x:v>
      </x:c>
      <x:c r="L882" s="55" t="n">
        <x:v>32200000</x:v>
      </x:c>
      <x:c r="M882" t="str">
        <x:v>20210319001409</x:v>
      </x:c>
      <x:c r="N882" t="n">
        <x:v>44274.624999988424</x:v>
      </x:c>
      <x:c r="O882" s="54" t="n">
        <x:v>44196</x:v>
      </x:c>
      <x:c r="P882" t="str">
        <x:v>False</x:v>
      </x:c>
      <x:c r="Q882" t="str">
        <x:v>2e2a1ff8e69e274717df50a9b120ce914d117cc1cbaf4f6204652e6f635e8570</x:v>
      </x:c>
      <x:c r="R882" t="str">
        <x:v>e0a259537c141194efc4995d00107920aa3ebd04668d89fb3c754b0921e74c52</x:v>
      </x:c>
      <x:c r="S882" t="n">
        <x:v>6</x:v>
      </x:c>
      <x:c r="T882" t="str">
        <x:v>2018-12-31|2019-12-31|2020-12-31</x:v>
      </x:c>
      <x:c r="U882" s="57" t="n">
        <x:v>74965.19884083132</x:v>
      </x:c>
      <x:c r="V882" s="57" t="n">
        <x:v>0.05883049210213734</x:v>
      </x:c>
      <x:c r="W882" t="n">
        <x:v>12</x:v>
      </x:c>
      <x:c r="X882" t="n">
        <x:v>1</x:v>
      </x:c>
      <x:c r="Y882" s="38" t="n">
        <x:v>0.6409090909090909</x:v>
      </x:c>
      <x:c r="Z882" s="38" t="n">
        <x:v>0.7002935981601249</x:v>
      </x:c>
      <x:c r="AA882"/>
    </x:row>
    <x:row r="883">
      <x:c r="A883" s="54" t="n">
        <x:v>44377</x:v>
      </x:c>
      <x:c r="B883" t="n">
        <x:v>44377.624999988424</x:v>
      </x:c>
      <x:c r="C883" t="str">
        <x:v>454910</x:v>
      </x:c>
      <x:c r="D883" t="str">
        <x:v>두산로보틱스</x:v>
      </x:c>
      <x:c r="E883" t="str">
        <x:v>KOSPI</x:v>
      </x:c>
      <x:c r="F883" t="str">
        <x:v>LARGE</x:v>
      </x:c>
      <x:c r="G883" t="str">
        <x:v>NOT_LISTED_OR_NO_PRICE</x:v>
      </x:c>
      <x:c r="H883"/>
      <x:c r="I883" s="54"/>
      <x:c r="J883" s="55"/>
      <x:c r="K883" s="55"/>
      <x:c r="L883" s="55"/>
      <x:c r="M883"/>
      <x:c r="N883"/>
      <x:c r="O883" s="54"/>
      <x:c r="P883"/>
      <x:c r="Q883"/>
      <x:c r="R883"/>
      <x:c r="S883"/>
      <x:c r="T883"/>
      <x:c r="U883" s="57"/>
      <x:c r="V883" s="57"/>
      <x:c r="W883"/>
      <x:c r="X883"/>
      <x:c r="Y883" s="38"/>
      <x:c r="Z883" s="38"/>
      <x:c r="AA883"/>
    </x:row>
    <x:row r="884">
      <x:c r="A884" s="54" t="n">
        <x:v>44377</x:v>
      </x:c>
      <x:c r="B884" t="n">
        <x:v>44377.624999988424</x:v>
      </x:c>
      <x:c r="C884" t="str">
        <x:v>012750</x:v>
      </x:c>
      <x:c r="D884" t="str">
        <x:v>에스원</x:v>
      </x:c>
      <x:c r="E884" t="str">
        <x:v>KOSPI</x:v>
      </x:c>
      <x:c r="F884" t="str">
        <x:v>LARGE</x:v>
      </x:c>
      <x:c r="G884" t="str">
        <x:v>ELIGIBLE</x:v>
      </x:c>
      <x:c r="H884"/>
      <x:c r="I884" s="54" t="n">
        <x:v>44377</x:v>
      </x:c>
      <x:c r="J884" s="55" t="n">
        <x:v>81900</x:v>
      </x:c>
      <x:c r="K884" s="55" t="n">
        <x:v>3112132678200</x:v>
      </x:c>
      <x:c r="L884" s="55" t="n">
        <x:v>37999178</x:v>
      </x:c>
      <x:c r="M884" t="str">
        <x:v>20210310001205</x:v>
      </x:c>
      <x:c r="N884" t="n">
        <x:v>44265.624999988424</x:v>
      </x:c>
      <x:c r="O884" s="54" t="n">
        <x:v>44196</x:v>
      </x:c>
      <x:c r="P884" t="str">
        <x:v>False</x:v>
      </x:c>
      <x:c r="Q884" t="str">
        <x:v>0a3ed71297759119003ee98a7805f72c1dc9fad49ec63ae5c48d4e2e56539dd5</x:v>
      </x:c>
      <x:c r="R884" t="str">
        <x:v>b83c02c73209df95f78347c6ddf20eb81282366efc1db64f582c0f07c4cd9dc4</x:v>
      </x:c>
      <x:c r="S884" t="n">
        <x:v>6</x:v>
      </x:c>
      <x:c r="T884" t="str">
        <x:v>2018-12-31|2019-12-31|2020-12-31</x:v>
      </x:c>
      <x:c r="U884" s="57" t="n">
        <x:v>48123.6319242491</x:v>
      </x:c>
      <x:c r="V884" s="57" t="n">
        <x:v>-0.4124098666147851</x:v>
      </x:c>
      <x:c r="W884" t="n">
        <x:v>25</x:v>
      </x:c>
      <x:c r="X884" t="n">
        <x:v>3</x:v>
      </x:c>
      <x:c r="Y884" s="38" t="n">
        <x:v>0.6409090909090909</x:v>
      </x:c>
      <x:c r="Z884" s="38" t="n">
        <x:v>0.7046545925462127</x:v>
      </x:c>
      <x:c r="AA884"/>
    </x:row>
    <x:row r="885">
      <x:c r="A885" s="54" t="n">
        <x:v>44377</x:v>
      </x:c>
      <x:c r="B885" t="n">
        <x:v>44377.624999988424</x:v>
      </x:c>
      <x:c r="C885" t="str">
        <x:v>081660</x:v>
      </x:c>
      <x:c r="D885" t="str">
        <x:v>미스토홀딩스</x:v>
      </x:c>
      <x:c r="E885" t="str">
        <x:v>KOSPI</x:v>
      </x:c>
      <x:c r="F885" t="str">
        <x:v>LARGE</x:v>
      </x:c>
      <x:c r="G885" t="str">
        <x:v>EXCLUDED_ARCHETYPE</x:v>
      </x:c>
      <x:c r="H885" t="str">
        <x:v>FCFF_NOT_COMPARABLE_FOR_FINANCE_OR_HOLDING_HINT</x:v>
      </x:c>
      <x:c r="I885" s="54"/>
      <x:c r="J885" s="55"/>
      <x:c r="K885" s="55"/>
      <x:c r="L885" s="55"/>
      <x:c r="M885"/>
      <x:c r="N885"/>
      <x:c r="O885" s="54"/>
      <x:c r="P885"/>
      <x:c r="Q885"/>
      <x:c r="R885"/>
      <x:c r="S885"/>
      <x:c r="T885"/>
      <x:c r="U885" s="57"/>
      <x:c r="V885" s="57"/>
      <x:c r="W885"/>
      <x:c r="X885"/>
      <x:c r="Y885" s="38"/>
      <x:c r="Z885" s="38"/>
      <x:c r="AA885"/>
    </x:row>
    <x:row r="886">
      <x:c r="A886" s="54" t="n">
        <x:v>44377</x:v>
      </x:c>
      <x:c r="B886" t="n">
        <x:v>44377.624999988424</x:v>
      </x:c>
      <x:c r="C886" t="str">
        <x:v>282330</x:v>
      </x:c>
      <x:c r="D886" t="str">
        <x:v>BGF리테일</x:v>
      </x:c>
      <x:c r="E886" t="str">
        <x:v>KOSPI</x:v>
      </x:c>
      <x:c r="F886" t="str">
        <x:v>LARGE</x:v>
      </x:c>
      <x:c r="G886" t="str">
        <x:v>ELIGIBLE</x:v>
      </x:c>
      <x:c r="H886"/>
      <x:c r="I886" s="54" t="n">
        <x:v>44377</x:v>
      </x:c>
      <x:c r="J886" s="55" t="n">
        <x:v>179500</x:v>
      </x:c>
      <x:c r="K886" s="55" t="n">
        <x:v>3102461127000</x:v>
      </x:c>
      <x:c r="L886" s="55" t="n">
        <x:v>17283906</x:v>
      </x:c>
      <x:c r="M886" t="str">
        <x:v>20210317000292</x:v>
      </x:c>
      <x:c r="N886" t="n">
        <x:v>44272.624999988424</x:v>
      </x:c>
      <x:c r="O886" s="54" t="n">
        <x:v>44196</x:v>
      </x:c>
      <x:c r="P886" t="str">
        <x:v>False</x:v>
      </x:c>
      <x:c r="Q886" t="str">
        <x:v>aa79bf7fd6660eb0490fcac8a96eb933e26e179d55cd9289bea9b829c313f623</x:v>
      </x:c>
      <x:c r="R886" t="str">
        <x:v>e4d7c557bd7c15d8950d7cee60d1a08ea0333b53a5078601468e7d947ef98035</x:v>
      </x:c>
      <x:c r="S886" t="n">
        <x:v>6</x:v>
      </x:c>
      <x:c r="T886" t="str">
        <x:v>2018-12-31|2019-12-31|2020-12-31</x:v>
      </x:c>
      <x:c r="U886" s="57" t="n">
        <x:v>78594.0466403678</x:v>
      </x:c>
      <x:c r="V886" s="57" t="n">
        <x:v>-0.56215015799238</x:v>
      </x:c>
      <x:c r="W886" t="n">
        <x:v>29</x:v>
      </x:c>
      <x:c r="X886" t="n">
        <x:v>3</x:v>
      </x:c>
      <x:c r="Y886" s="38" t="n">
        <x:v>0.6409090909090909</x:v>
      </x:c>
      <x:c r="Z886" s="38" t="n">
        <x:v>0.7388678392258508</x:v>
      </x:c>
      <x:c r="AA886"/>
    </x:row>
    <x:row r="887">
      <x:c r="A887" s="54" t="n">
        <x:v>44377</x:v>
      </x:c>
      <x:c r="B887" t="n">
        <x:v>44377.624999988424</x:v>
      </x:c>
      <x:c r="C887" t="str">
        <x:v>023590</x:v>
      </x:c>
      <x:c r="D887" t="str">
        <x:v>다우기술</x:v>
      </x:c>
      <x:c r="E887" t="str">
        <x:v>KOSPI</x:v>
      </x:c>
      <x:c r="F887" t="str">
        <x:v>LARGE</x:v>
      </x:c>
      <x:c r="G887" t="str">
        <x:v>ELIGIBLE</x:v>
      </x:c>
      <x:c r="H887"/>
      <x:c r="I887" s="54" t="n">
        <x:v>44377</x:v>
      </x:c>
      <x:c r="J887" s="55" t="n">
        <x:v>28500</x:v>
      </x:c>
      <x:c r="K887" s="55" t="n">
        <x:v>1278698584500</x:v>
      </x:c>
      <x:c r="L887" s="55" t="n">
        <x:v>44866617</x:v>
      </x:c>
      <x:c r="M887" t="str">
        <x:v>20210324000853</x:v>
      </x:c>
      <x:c r="N887" t="n">
        <x:v>44279.624999988424</x:v>
      </x:c>
      <x:c r="O887" s="54" t="n">
        <x:v>44196</x:v>
      </x:c>
      <x:c r="P887" t="str">
        <x:v>True</x:v>
      </x:c>
      <x:c r="Q887" t="str">
        <x:v>c97c8cbfdcd3c8b3ac309f5a350b50c95d89530c369d35494facdf626e81b500</x:v>
      </x:c>
      <x:c r="R887" t="str">
        <x:v>63fff4375277417fe0cda7a62c4cff709cc679465a152a16f9654ac939f99d83</x:v>
      </x:c>
      <x:c r="S887" t="n">
        <x:v>7</x:v>
      </x:c>
      <x:c r="T887" t="str">
        <x:v>2015-12-31|2016-12-31|2017-12-31|2018-12-31|2019-12-31|2020-12-31</x:v>
      </x:c>
      <x:c r="U887" s="57" t="n">
        <x:v>71811.18974158533</x:v>
      </x:c>
      <x:c r="V887" s="57" t="n">
        <x:v>1.519690868125801</x:v>
      </x:c>
      <x:c r="W887" t="n">
        <x:v>3</x:v>
      </x:c>
      <x:c r="X887" t="n">
        <x:v>1</x:v>
      </x:c>
      <x:c r="Y887" s="38" t="n">
        <x:v>0.6409090909090909</x:v>
      </x:c>
      <x:c r="Z887" s="38" t="n">
        <x:v>0.7162800487147283</x:v>
      </x:c>
      <x:c r="AA887"/>
    </x:row>
    <x:row r="888">
      <x:c r="A888" s="54" t="n">
        <x:v>44377</x:v>
      </x:c>
      <x:c r="B888" t="n">
        <x:v>44377.624999988424</x:v>
      </x:c>
      <x:c r="C888" t="str">
        <x:v>300720</x:v>
      </x:c>
      <x:c r="D888" t="str">
        <x:v>한일시멘트</x:v>
      </x:c>
      <x:c r="E888" t="str">
        <x:v>KOSPI</x:v>
      </x:c>
      <x:c r="F888" t="str">
        <x:v>LARGE</x:v>
      </x:c>
      <x:c r="G888" t="str">
        <x:v>ELIGIBLE</x:v>
      </x:c>
      <x:c r="H888"/>
      <x:c r="I888" s="54" t="n">
        <x:v>44377</x:v>
      </x:c>
      <x:c r="J888" s="55" t="n">
        <x:v>159500</x:v>
      </x:c>
      <x:c r="K888" s="55" t="n">
        <x:v>1104721563000</x:v>
      </x:c>
      <x:c r="L888" s="55" t="n">
        <x:v>6926154</x:v>
      </x:c>
      <x:c r="M888" t="str">
        <x:v>20210317000869</x:v>
      </x:c>
      <x:c r="N888" t="n">
        <x:v>44272.624999988424</x:v>
      </x:c>
      <x:c r="O888" s="54" t="n">
        <x:v>44196</x:v>
      </x:c>
      <x:c r="P888" t="str">
        <x:v>False</x:v>
      </x:c>
      <x:c r="Q888" t="str">
        <x:v>57bb71e240b0add3acf1f7cbd662939dbed523efc96efbb684d025eac7893032</x:v>
      </x:c>
      <x:c r="R888" t="str">
        <x:v>1190ba69398cb0aad725ff58fdb0bd969963273ae8263c0541894883a98e5116</x:v>
      </x:c>
      <x:c r="S888" t="n">
        <x:v>6</x:v>
      </x:c>
      <x:c r="T888" t="str">
        <x:v>2019-12-31|2020-12-31</x:v>
      </x:c>
      <x:c r="U888" s="57" t="n">
        <x:v>96207.10775946586</x:v>
      </x:c>
      <x:c r="V888" s="57" t="n">
        <x:v>-0.3968206410064837</x:v>
      </x:c>
      <x:c r="W888" t="n">
        <x:v>24</x:v>
      </x:c>
      <x:c r="X888" t="n">
        <x:v>2</x:v>
      </x:c>
      <x:c r="Y888" s="38" t="n">
        <x:v>0.6409090909090909</x:v>
      </x:c>
      <x:c r="Z888" s="38" t="n">
        <x:v>0.6567026117095043</x:v>
      </x:c>
      <x:c r="AA888"/>
    </x:row>
    <x:row r="889">
      <x:c r="A889" s="54" t="n">
        <x:v>44377</x:v>
      </x:c>
      <x:c r="B889" t="n">
        <x:v>44377.624999988424</x:v>
      </x:c>
      <x:c r="C889" t="str">
        <x:v>007070</x:v>
      </x:c>
      <x:c r="D889" t="str">
        <x:v>GS리테일</x:v>
      </x:c>
      <x:c r="E889" t="str">
        <x:v>KOSPI</x:v>
      </x:c>
      <x:c r="F889" t="str">
        <x:v>LARGE</x:v>
      </x:c>
      <x:c r="G889" t="str">
        <x:v>DCF_SCREENING_EXCLUSION</x:v>
      </x:c>
      <x:c r="H889" t="str">
        <x:v>NON_POSITIVE_EQUITY_VALUE</x:v>
      </x:c>
      <x:c r="I889" s="54" t="n">
        <x:v>44377</x:v>
      </x:c>
      <x:c r="J889" s="55" t="n">
        <x:v>38650</x:v>
      </x:c>
      <x:c r="K889" s="55" t="n">
        <x:v>2976050000000</x:v>
      </x:c>
      <x:c r="L889" s="55" t="n">
        <x:v>77000000</x:v>
      </x:c>
      <x:c r="M889" t="str">
        <x:v>20210317000726</x:v>
      </x:c>
      <x:c r="N889" t="n">
        <x:v>44272.624999988424</x:v>
      </x:c>
      <x:c r="O889" s="54" t="n">
        <x:v>44196</x:v>
      </x:c>
      <x:c r="P889" t="str">
        <x:v>False</x:v>
      </x:c>
      <x:c r="Q889" t="str">
        <x:v>09480827c1f272b69ff6a4edf29804b1b62c2c0c3f523ff91ae9137b09f41aa2</x:v>
      </x:c>
      <x:c r="R889" t="str">
        <x:v>2561d91d0ae2a2591d7ab55a1d9b9b66dbef01aeaac7c78bb5c930ef1438a902</x:v>
      </x:c>
      <x:c r="S889" t="n">
        <x:v>6</x:v>
      </x:c>
      <x:c r="T889" t="str">
        <x:v>2018-12-31|2019-12-31|2020-12-31</x:v>
      </x:c>
      <x:c r="U889" s="57" t="n">
        <x:v>-3952.375981271904</x:v>
      </x:c>
      <x:c r="V889" s="57" t="n">
        <x:v>-1.1022606980924166</x:v>
      </x:c>
      <x:c r="W889"/>
      <x:c r="X889"/>
      <x:c r="Y889" s="38" t="n">
        <x:v>0.6409090909090909</x:v>
      </x:c>
      <x:c r="Z889" s="38" t="n">
        <x:v>0.6831830947112829</x:v>
      </x:c>
      <x:c r="AA889" t="str">
        <x:v>NON_POSITIVE_EQUITY_VALUE</x:v>
      </x:c>
    </x:row>
    <x:row r="890">
      <x:c r="A890" s="54" t="n">
        <x:v>44377</x:v>
      </x:c>
      <x:c r="B890" t="n">
        <x:v>44377.624999988424</x:v>
      </x:c>
      <x:c r="C890" t="str">
        <x:v>280360</x:v>
      </x:c>
      <x:c r="D890" t="str">
        <x:v>롯데웰푸드</x:v>
      </x:c>
      <x:c r="E890" t="str">
        <x:v>KOSPI</x:v>
      </x:c>
      <x:c r="F890" t="str">
        <x:v>LARGE</x:v>
      </x:c>
      <x:c r="G890" t="str">
        <x:v>ELIGIBLE</x:v>
      </x:c>
      <x:c r="H890"/>
      <x:c r="I890" s="54" t="n">
        <x:v>44377</x:v>
      </x:c>
      <x:c r="J890" s="55" t="n">
        <x:v>138500</x:v>
      </x:c>
      <x:c r="K890" s="55" t="n">
        <x:v>888715304500</x:v>
      </x:c>
      <x:c r="L890" s="55" t="n">
        <x:v>6416717</x:v>
      </x:c>
      <x:c r="M890" t="str">
        <x:v>20210315000804</x:v>
      </x:c>
      <x:c r="N890" t="n">
        <x:v>44270.624999988424</x:v>
      </x:c>
      <x:c r="O890" s="54" t="n">
        <x:v>44196</x:v>
      </x:c>
      <x:c r="P890" t="str">
        <x:v>False</x:v>
      </x:c>
      <x:c r="Q890" t="str">
        <x:v>1ee0e549d7e0293ad58d7371d4b065fe8c672123b3d380ec66da7518417d260f</x:v>
      </x:c>
      <x:c r="R890" t="str">
        <x:v>a3cb010a2f2971464a6cfa2b678b566fcbb8415c1fbfb3477c5019b6bb101b3c</x:v>
      </x:c>
      <x:c r="S890" t="n">
        <x:v>5</x:v>
      </x:c>
      <x:c r="T890" t="str">
        <x:v>2018-12-31|2019-12-31|2020-12-31</x:v>
      </x:c>
      <x:c r="U890" s="57" t="n">
        <x:v>346646.34124681045</x:v>
      </x:c>
      <x:c r="V890" s="57" t="n">
        <x:v>1.502861669652061</x:v>
      </x:c>
      <x:c r="W890" t="n">
        <x:v>4</x:v>
      </x:c>
      <x:c r="X890" t="n">
        <x:v>1</x:v>
      </x:c>
      <x:c r="Y890" s="38" t="n">
        <x:v>0.6409090909090909</x:v>
      </x:c>
      <x:c r="Z890" s="38" t="n">
        <x:v>0.7225534519191731</x:v>
      </x:c>
      <x:c r="AA890"/>
    </x:row>
    <x:row r="891">
      <x:c r="A891" s="54" t="n">
        <x:v>44377</x:v>
      </x:c>
      <x:c r="B891" t="n">
        <x:v>44377.624999988424</x:v>
      </x:c>
      <x:c r="C891" t="str">
        <x:v>039130</x:v>
      </x:c>
      <x:c r="D891" t="str">
        <x:v>하나투어</x:v>
      </x:c>
      <x:c r="E891" t="str">
        <x:v>KOSPI</x:v>
      </x:c>
      <x:c r="F891" t="str">
        <x:v>LARGE</x:v>
      </x:c>
      <x:c r="G891" t="str">
        <x:v>DCF_SCREENING_EXCLUSION</x:v>
      </x:c>
      <x:c r="H891" t="str">
        <x:v>NON_POSITIVE_ENTERPRISE_VALUE|NON_POSITIVE_EQUITY_VALUE|NON_POSITIVE_TERMINAL_FCF</x:v>
      </x:c>
      <x:c r="I891" s="54" t="n">
        <x:v>44377</x:v>
      </x:c>
      <x:c r="J891" s="55" t="n">
        <x:v>79200</x:v>
      </x:c>
      <x:c r="K891" s="55" t="n">
        <x:v>1103983452000</x:v>
      </x:c>
      <x:c r="L891" s="55" t="n">
        <x:v>13939185</x:v>
      </x:c>
      <x:c r="M891" t="str">
        <x:v>20210329000797</x:v>
      </x:c>
      <x:c r="N891" t="n">
        <x:v>44284.624999988424</x:v>
      </x:c>
      <x:c r="O891" s="54" t="n">
        <x:v>44196</x:v>
      </x:c>
      <x:c r="P891" t="str">
        <x:v>True</x:v>
      </x:c>
      <x:c r="Q891" t="str">
        <x:v>07a45aef6deb1a4c2c8168baa038feaf8c9e87827aa26ae89a51dd3b842899cb</x:v>
      </x:c>
      <x:c r="R891" t="str">
        <x:v>8312128c6d8f7949feb4faefa11da36fe68a6b3bf928eab3d571b9fca280ebf5</x:v>
      </x:c>
      <x:c r="S891" t="n">
        <x:v>5</x:v>
      </x:c>
      <x:c r="T891" t="str">
        <x:v>2018-12-31|2019-12-31|2020-12-31</x:v>
      </x:c>
      <x:c r="U891" s="57" t="n">
        <x:v>-30469.206001994222</x:v>
      </x:c>
      <x:c r="V891" s="57" t="n">
        <x:v>-1.3847121969948766</x:v>
      </x:c>
      <x:c r="W891"/>
      <x:c r="X891"/>
      <x:c r="Y891" s="38" t="n">
        <x:v>0.6409090909090909</x:v>
      </x:c>
      <x:c r="Z891" s="38" t="n">
        <x:v>0.6865240790654953</x:v>
      </x:c>
      <x:c r="AA891" t="str">
        <x:v>NON_POSITIVE_ENTERPRISE_VALUE|NON_POSITIVE_EQUITY_VALUE|NON_POSITIVE_TERMINAL_FCF</x:v>
      </x:c>
    </x:row>
    <x:row r="892">
      <x:c r="A892" s="54" t="n">
        <x:v>44377</x:v>
      </x:c>
      <x:c r="B892" t="n">
        <x:v>44377.624999988424</x:v>
      </x:c>
      <x:c r="C892" t="str">
        <x:v>005690</x:v>
      </x:c>
      <x:c r="D892" t="str">
        <x:v>파미셀</x:v>
      </x:c>
      <x:c r="E892" t="str">
        <x:v>KOSPI</x:v>
      </x:c>
      <x:c r="F892" t="str">
        <x:v>LARGE</x:v>
      </x:c>
      <x:c r="G892" t="str">
        <x:v>ELIGIBLE</x:v>
      </x:c>
      <x:c r="H892"/>
      <x:c r="I892" s="54" t="n">
        <x:v>44377</x:v>
      </x:c>
      <x:c r="J892" s="55" t="n">
        <x:v>18150</x:v>
      </x:c>
      <x:c r="K892" s="55" t="n">
        <x:v>1088254942500</x:v>
      </x:c>
      <x:c r="L892" s="55" t="n">
        <x:v>59958950</x:v>
      </x:c>
      <x:c r="M892" t="str">
        <x:v>20210316000706</x:v>
      </x:c>
      <x:c r="N892" t="n">
        <x:v>44271.624999988424</x:v>
      </x:c>
      <x:c r="O892" s="54" t="n">
        <x:v>44196</x:v>
      </x:c>
      <x:c r="P892" t="str">
        <x:v>False</x:v>
      </x:c>
      <x:c r="Q892" t="str">
        <x:v>fa54012739fd618aa7535c4d17434bee1d46849d1ee4a643e5e2fc41ce75fdec</x:v>
      </x:c>
      <x:c r="R892" t="str">
        <x:v>0e4d6e58bba3a2b71f8530a601fc6bbbeb1f7e571a298d85e723e46ed5670148</x:v>
      </x:c>
      <x:c r="S892" t="n">
        <x:v>6</x:v>
      </x:c>
      <x:c r="T892" t="str">
        <x:v>2018-12-31|2019-12-31|2020-12-31</x:v>
      </x:c>
      <x:c r="U892" s="57" t="n">
        <x:v>667.61282697586</x:v>
      </x:c>
      <x:c r="V892" s="57" t="n">
        <x:v>-0.9632169241335614</x:v>
      </x:c>
      <x:c r="W892" t="n">
        <x:v>58</x:v>
      </x:c>
      <x:c r="X892" t="n">
        <x:v>5</x:v>
      </x:c>
      <x:c r="Y892" s="38" t="n">
        <x:v>0.6409090909090909</x:v>
      </x:c>
      <x:c r="Z892" s="38" t="n">
        <x:v>0.5228483789302356</x:v>
      </x:c>
      <x:c r="AA892"/>
    </x:row>
    <x:row r="893">
      <x:c r="A893" s="54" t="n">
        <x:v>44377</x:v>
      </x:c>
      <x:c r="B893" t="n">
        <x:v>44377.624999988424</x:v>
      </x:c>
      <x:c r="C893" t="str">
        <x:v>002030</x:v>
      </x:c>
      <x:c r="D893" t="str">
        <x:v>아세아</x:v>
      </x:c>
      <x:c r="E893" t="str">
        <x:v>KOSPI</x:v>
      </x:c>
      <x:c r="F893" t="str">
        <x:v>LARGE</x:v>
      </x:c>
      <x:c r="G893" t="str">
        <x:v>ELIGIBLE</x:v>
      </x:c>
      <x:c r="H893"/>
      <x:c r="I893" s="54" t="n">
        <x:v>44377</x:v>
      </x:c>
      <x:c r="J893" s="55" t="n">
        <x:v>130000</x:v>
      </x:c>
      <x:c r="K893" s="55" t="n">
        <x:v>284833120000</x:v>
      </x:c>
      <x:c r="L893" s="55" t="n">
        <x:v>2191024</x:v>
      </x:c>
      <x:c r="M893" t="str">
        <x:v>20210311001237</x:v>
      </x:c>
      <x:c r="N893" t="n">
        <x:v>44267.624999988424</x:v>
      </x:c>
      <x:c r="O893" s="54" t="n">
        <x:v>44196</x:v>
      </x:c>
      <x:c r="P893" t="str">
        <x:v>False</x:v>
      </x:c>
      <x:c r="Q893" t="str">
        <x:v>8b8cdfda137062b626c7f4debdbb542672b3179f003172447d4e662b9db19a67</x:v>
      </x:c>
      <x:c r="R893" t="str">
        <x:v>ca20a5f9a559431cbb27b5a06ae60b06d965c13af31237646316781b9eb987f4</x:v>
      </x:c>
      <x:c r="S893" t="n">
        <x:v>6</x:v>
      </x:c>
      <x:c r="T893" t="str">
        <x:v>2018-12-31|2019-12-31|2020-12-31</x:v>
      </x:c>
      <x:c r="U893" s="57" t="n">
        <x:v>478666.81222584867</x:v>
      </x:c>
      <x:c r="V893" s="57" t="n">
        <x:v>2.6820524017372973</x:v>
      </x:c>
      <x:c r="W893" t="n">
        <x:v>1</x:v>
      </x:c>
      <x:c r="X893" t="n">
        <x:v>1</x:v>
      </x:c>
      <x:c r="Y893" s="38" t="n">
        <x:v>0.6409090909090909</x:v>
      </x:c>
      <x:c r="Z893" s="38" t="n">
        <x:v>0.6909807733775754</x:v>
      </x:c>
      <x:c r="AA893"/>
    </x:row>
    <x:row r="894">
      <x:c r="A894" s="54" t="n">
        <x:v>44377</x:v>
      </x:c>
      <x:c r="B894" t="n">
        <x:v>44377.624999988424</x:v>
      </x:c>
      <x:c r="C894" t="str">
        <x:v>009410</x:v>
      </x:c>
      <x:c r="D894" t="str">
        <x:v>태영건설</x:v>
      </x:c>
      <x:c r="E894" t="str">
        <x:v>KOSPI</x:v>
      </x:c>
      <x:c r="F894" t="str">
        <x:v>LARGE</x:v>
      </x:c>
      <x:c r="G894" t="str">
        <x:v>ELIGIBLE</x:v>
      </x:c>
      <x:c r="H894"/>
      <x:c r="I894" s="54" t="n">
        <x:v>44377</x:v>
      </x:c>
      <x:c r="J894" s="55" t="n">
        <x:v>12500</x:v>
      </x:c>
      <x:c r="K894" s="55" t="n">
        <x:v>486238725000</x:v>
      </x:c>
      <x:c r="L894" s="55" t="n">
        <x:v>38899098</x:v>
      </x:c>
      <x:c r="M894" t="str">
        <x:v>20210311001176</x:v>
      </x:c>
      <x:c r="N894" t="n">
        <x:v>44266.624999988424</x:v>
      </x:c>
      <x:c r="O894" s="54" t="n">
        <x:v>44196</x:v>
      </x:c>
      <x:c r="P894" t="str">
        <x:v>False</x:v>
      </x:c>
      <x:c r="Q894" t="str">
        <x:v>78a85e2ef01142181919ef0732d24074a8415f99303f666cadc31a9be51f4661</x:v>
      </x:c>
      <x:c r="R894" t="str">
        <x:v>86a71103d3998acf93c4458c6c2298d81ce1620be123364166119339e5e05a93</x:v>
      </x:c>
      <x:c r="S894" t="n">
        <x:v>6</x:v>
      </x:c>
      <x:c r="T894" t="str">
        <x:v>2018-12-31|2019-12-31|2020-12-31</x:v>
      </x:c>
      <x:c r="U894" s="57" t="n">
        <x:v>35385.81482636989</x:v>
      </x:c>
      <x:c r="V894" s="57" t="n">
        <x:v>1.8308651861095915</x:v>
      </x:c>
      <x:c r="W894" t="n">
        <x:v>2</x:v>
      </x:c>
      <x:c r="X894" t="n">
        <x:v>1</x:v>
      </x:c>
      <x:c r="Y894" s="38" t="n">
        <x:v>0.6409090909090909</x:v>
      </x:c>
      <x:c r="Z894" s="38" t="n">
        <x:v>0.6178666138919248</x:v>
      </x:c>
      <x:c r="AA894"/>
    </x:row>
    <x:row r="895">
      <x:c r="A895" s="54" t="n">
        <x:v>44377</x:v>
      </x:c>
      <x:c r="B895" t="n">
        <x:v>44377.624999988424</x:v>
      </x:c>
      <x:c r="C895" t="str">
        <x:v>010780</x:v>
      </x:c>
      <x:c r="D895" t="str">
        <x:v>아이에스동서</x:v>
      </x:c>
      <x:c r="E895" t="str">
        <x:v>KOSPI</x:v>
      </x:c>
      <x:c r="F895" t="str">
        <x:v>LARGE</x:v>
      </x:c>
      <x:c r="G895" t="str">
        <x:v>ELIGIBLE</x:v>
      </x:c>
      <x:c r="H895"/>
      <x:c r="I895" s="54" t="n">
        <x:v>44377</x:v>
      </x:c>
      <x:c r="J895" s="55" t="n">
        <x:v>60800</x:v>
      </x:c>
      <x:c r="K895" s="55" t="n">
        <x:v>1878270444800</x:v>
      </x:c>
      <x:c r="L895" s="55" t="n">
        <x:v>30892606</x:v>
      </x:c>
      <x:c r="M895" t="str">
        <x:v>20210318001311</x:v>
      </x:c>
      <x:c r="N895" t="n">
        <x:v>44273.624999988424</x:v>
      </x:c>
      <x:c r="O895" s="54" t="n">
        <x:v>44196</x:v>
      </x:c>
      <x:c r="P895" t="str">
        <x:v>False</x:v>
      </x:c>
      <x:c r="Q895" t="str">
        <x:v>094578780776951126cd16965b2594fc48196cf618e7aaa99e81f00c137d37cf</x:v>
      </x:c>
      <x:c r="R895" t="str">
        <x:v>5664421574bf325e30481deeefea05624dcea9a782106a653e2191cc9b0e7f8f</x:v>
      </x:c>
      <x:c r="S895" t="n">
        <x:v>6</x:v>
      </x:c>
      <x:c r="T895" t="str">
        <x:v>2018-12-31|2019-12-31|2020-12-31</x:v>
      </x:c>
      <x:c r="U895" s="57" t="n">
        <x:v>45884.41456404137</x:v>
      </x:c>
      <x:c r="V895" s="57" t="n">
        <x:v>-0.24532212888089858</x:v>
      </x:c>
      <x:c r="W895" t="n">
        <x:v>17</x:v>
      </x:c>
      <x:c r="X895" t="n">
        <x:v>2</x:v>
      </x:c>
      <x:c r="Y895" s="38" t="n">
        <x:v>0.6409090909090909</x:v>
      </x:c>
      <x:c r="Z895" s="38" t="n">
        <x:v>0.6457198375624914</x:v>
      </x:c>
      <x:c r="AA895"/>
    </x:row>
    <x:row r="896">
      <x:c r="A896" s="54" t="n">
        <x:v>44377</x:v>
      </x:c>
      <x:c r="B896" t="n">
        <x:v>44377.624999988424</x:v>
      </x:c>
      <x:c r="C896" t="str">
        <x:v>453340</x:v>
      </x:c>
      <x:c r="D896" t="str">
        <x:v>현대그린푸드</x:v>
      </x:c>
      <x:c r="E896" t="str">
        <x:v>KOSPI</x:v>
      </x:c>
      <x:c r="F896" t="str">
        <x:v>LARGE</x:v>
      </x:c>
      <x:c r="G896" t="str">
        <x:v>NOT_LISTED_OR_NO_PRICE</x:v>
      </x:c>
      <x:c r="H896"/>
      <x:c r="I896" s="54"/>
      <x:c r="J896" s="55"/>
      <x:c r="K896" s="55"/>
      <x:c r="L896" s="55"/>
      <x:c r="M896"/>
      <x:c r="N896"/>
      <x:c r="O896" s="54"/>
      <x:c r="P896"/>
      <x:c r="Q896"/>
      <x:c r="R896"/>
      <x:c r="S896"/>
      <x:c r="T896"/>
      <x:c r="U896" s="57"/>
      <x:c r="V896" s="57"/>
      <x:c r="W896"/>
      <x:c r="X896"/>
      <x:c r="Y896" s="38"/>
      <x:c r="Z896" s="38"/>
      <x:c r="AA896"/>
    </x:row>
    <x:row r="897">
      <x:c r="A897" s="54" t="n">
        <x:v>44377</x:v>
      </x:c>
      <x:c r="B897" t="n">
        <x:v>44377.624999988424</x:v>
      </x:c>
      <x:c r="C897" t="str">
        <x:v>006220</x:v>
      </x:c>
      <x:c r="D897" t="str">
        <x:v>제주은행</x:v>
      </x:c>
      <x:c r="E897" t="str">
        <x:v>KOSPI</x:v>
      </x:c>
      <x:c r="F897" t="str">
        <x:v>LARGE</x:v>
      </x:c>
      <x:c r="G897" t="str">
        <x:v>EXCLUDED_ARCHETYPE</x:v>
      </x:c>
      <x:c r="H897" t="str">
        <x:v>FCFF_NOT_COMPARABLE_FOR_FINANCE_OR_HOLDING_HINT</x:v>
      </x:c>
      <x:c r="I897" s="54"/>
      <x:c r="J897" s="55"/>
      <x:c r="K897" s="55"/>
      <x:c r="L897" s="55"/>
      <x:c r="M897"/>
      <x:c r="N897"/>
      <x:c r="O897" s="54"/>
      <x:c r="P897"/>
      <x:c r="Q897"/>
      <x:c r="R897"/>
      <x:c r="S897"/>
      <x:c r="T897"/>
      <x:c r="U897" s="57"/>
      <x:c r="V897" s="57"/>
      <x:c r="W897"/>
      <x:c r="X897"/>
      <x:c r="Y897" s="38"/>
      <x:c r="Z897" s="38"/>
      <x:c r="AA897"/>
    </x:row>
    <x:row r="898">
      <x:c r="A898" s="54" t="n">
        <x:v>44377</x:v>
      </x:c>
      <x:c r="B898" t="n">
        <x:v>44377.624999988424</x:v>
      </x:c>
      <x:c r="C898" t="str">
        <x:v>094800</x:v>
      </x:c>
      <x:c r="D898" t="str">
        <x:v>맵스리얼티1</x:v>
      </x:c>
      <x:c r="E898" t="str">
        <x:v>KOSPI</x:v>
      </x:c>
      <x:c r="F898" t="str">
        <x:v>LARGE</x:v>
      </x:c>
      <x:c r="G898" t="str">
        <x:v>NO_PIT_FINANCIALS</x:v>
      </x:c>
      <x:c r="H898"/>
      <x:c r="I898" s="54" t="n">
        <x:v>44377</x:v>
      </x:c>
      <x:c r="J898" s="55" t="n">
        <x:v>4900</x:v>
      </x:c>
      <x:c r="K898" s="55" t="n">
        <x:v>454888221900</x:v>
      </x:c>
      <x:c r="L898" s="55" t="n">
        <x:v>92834331</x:v>
      </x:c>
      <x:c r="M898"/>
      <x:c r="N898"/>
      <x:c r="O898" s="54"/>
      <x:c r="P898"/>
      <x:c r="Q898"/>
      <x:c r="R898"/>
      <x:c r="S898"/>
      <x:c r="T898"/>
      <x:c r="U898" s="57"/>
      <x:c r="V898" s="57"/>
      <x:c r="W898"/>
      <x:c r="X898"/>
      <x:c r="Y898" s="38"/>
      <x:c r="Z898" s="38"/>
      <x:c r="AA898"/>
    </x:row>
    <x:row r="899">
      <x:c r="A899" s="54" t="n">
        <x:v>44377</x:v>
      </x:c>
      <x:c r="B899" t="n">
        <x:v>44377.624999988424</x:v>
      </x:c>
      <x:c r="C899" t="str">
        <x:v>003160</x:v>
      </x:c>
      <x:c r="D899" t="str">
        <x:v>디아이</x:v>
      </x:c>
      <x:c r="E899" t="str">
        <x:v>KOSPI</x:v>
      </x:c>
      <x:c r="F899" t="str">
        <x:v>LARGE</x:v>
      </x:c>
      <x:c r="G899" t="str">
        <x:v>DCF_SCREENING_EXCLUSION</x:v>
      </x:c>
      <x:c r="H899" t="str">
        <x:v>NON_POSITIVE_ENTERPRISE_VALUE|NON_POSITIVE_EQUITY_VALUE|NON_POSITIVE_TERMINAL_FCF</x:v>
      </x:c>
      <x:c r="I899" s="54" t="n">
        <x:v>44377</x:v>
      </x:c>
      <x:c r="J899" s="55" t="n">
        <x:v>8050</x:v>
      </x:c>
      <x:c r="K899" s="55" t="n">
        <x:v>253549119250</x:v>
      </x:c>
      <x:c r="L899" s="55" t="n">
        <x:v>31496785</x:v>
      </x:c>
      <x:c r="M899" t="str">
        <x:v>20210318000533</x:v>
      </x:c>
      <x:c r="N899" t="n">
        <x:v>44273.624999988424</x:v>
      </x:c>
      <x:c r="O899" s="54" t="n">
        <x:v>44196</x:v>
      </x:c>
      <x:c r="P899" t="str">
        <x:v>False</x:v>
      </x:c>
      <x:c r="Q899" t="str">
        <x:v>03ab6e86f639e746b392cee66e420f6d6b9598de47129a3c9e526fb06a632676</x:v>
      </x:c>
      <x:c r="R899" t="str">
        <x:v>5c34c9691d36a58038498c0fded1a54ded7428e84486acaaed05eb0d9fb9d071</x:v>
      </x:c>
      <x:c r="S899" t="n">
        <x:v>6</x:v>
      </x:c>
      <x:c r="T899" t="str">
        <x:v>2018-12-31|2019-12-31|2020-12-31</x:v>
      </x:c>
      <x:c r="U899" s="57" t="n">
        <x:v>-85.67734326279664</x:v>
      </x:c>
      <x:c r="V899" s="57" t="n">
        <x:v>-1.0106431482314033</x:v>
      </x:c>
      <x:c r="W899"/>
      <x:c r="X899"/>
      <x:c r="Y899" s="38" t="n">
        <x:v>0.6409090909090909</x:v>
      </x:c>
      <x:c r="Z899" s="38" t="n">
        <x:v>0.7008659573285638</x:v>
      </x:c>
      <x:c r="AA899" t="str">
        <x:v>NON_POSITIVE_ENTERPRISE_VALUE|NON_POSITIVE_EQUITY_VALUE|NON_POSITIVE_TERMINAL_FCF</x:v>
      </x:c>
    </x:row>
    <x:row r="900">
      <x:c r="A900" s="54" t="n">
        <x:v>44377</x:v>
      </x:c>
      <x:c r="B900" t="n">
        <x:v>44377.624999988424</x:v>
      </x:c>
      <x:c r="C900" t="str">
        <x:v>001940</x:v>
      </x:c>
      <x:c r="D900" t="str">
        <x:v>KISCO홀딩스</x:v>
      </x:c>
      <x:c r="E900" t="str">
        <x:v>KOSPI</x:v>
      </x:c>
      <x:c r="F900" t="str">
        <x:v>LARGE</x:v>
      </x:c>
      <x:c r="G900" t="str">
        <x:v>EXCLUDED_ARCHETYPE</x:v>
      </x:c>
      <x:c r="H900" t="str">
        <x:v>FCFF_NOT_COMPARABLE_FOR_FINANCE_OR_HOLDING_HINT</x:v>
      </x:c>
      <x:c r="I900" s="54"/>
      <x:c r="J900" s="55"/>
      <x:c r="K900" s="55"/>
      <x:c r="L900" s="55"/>
      <x:c r="M900"/>
      <x:c r="N900"/>
      <x:c r="O900" s="54"/>
      <x:c r="P900"/>
      <x:c r="Q900"/>
      <x:c r="R900"/>
      <x:c r="S900"/>
      <x:c r="T900"/>
      <x:c r="U900" s="57"/>
      <x:c r="V900" s="57"/>
      <x:c r="W900"/>
      <x:c r="X900"/>
      <x:c r="Y900" s="38"/>
      <x:c r="Z900" s="38"/>
      <x:c r="AA900"/>
    </x:row>
    <x:row r="901">
      <x:c r="A901" s="54" t="n">
        <x:v>44377</x:v>
      </x:c>
      <x:c r="B901" t="n">
        <x:v>44377.624999988424</x:v>
      </x:c>
      <x:c r="C901" t="str">
        <x:v>009290</x:v>
      </x:c>
      <x:c r="D901" t="str">
        <x:v>광동제약</x:v>
      </x:c>
      <x:c r="E901" t="str">
        <x:v>KOSPI</x:v>
      </x:c>
      <x:c r="F901" t="str">
        <x:v>LARGE</x:v>
      </x:c>
      <x:c r="G901" t="str">
        <x:v>ELIGIBLE</x:v>
      </x:c>
      <x:c r="H901"/>
      <x:c r="I901" s="54" t="n">
        <x:v>44377</x:v>
      </x:c>
      <x:c r="J901" s="55" t="n">
        <x:v>9020</x:v>
      </x:c>
      <x:c r="K901" s="55" t="n">
        <x:v>472836076020</x:v>
      </x:c>
      <x:c r="L901" s="55" t="n">
        <x:v>52420851</x:v>
      </x:c>
      <x:c r="M901" t="str">
        <x:v>20210405002921</x:v>
      </x:c>
      <x:c r="N901" t="n">
        <x:v>44291.624999988424</x:v>
      </x:c>
      <x:c r="O901" s="54" t="n">
        <x:v>44196</x:v>
      </x:c>
      <x:c r="P901" t="str">
        <x:v>True</x:v>
      </x:c>
      <x:c r="Q901" t="str">
        <x:v>878145efc93308cfe8dc700fe4afa827301bbc20c03d457077bdcabab123c6b2</x:v>
      </x:c>
      <x:c r="R901" t="str">
        <x:v>699b0e5dc21366fc545a137defe104a7e7586c8b538e1c2d4e1b51b6eadae0de</x:v>
      </x:c>
      <x:c r="S901" t="n">
        <x:v>6</x:v>
      </x:c>
      <x:c r="T901" t="str">
        <x:v>2018-12-31|2019-12-31|2020-12-31</x:v>
      </x:c>
      <x:c r="U901" s="57" t="n">
        <x:v>5478.922463171795</x:v>
      </x:c>
      <x:c r="V901" s="57" t="n">
        <x:v>-0.3925806581849451</x:v>
      </x:c>
      <x:c r="W901" t="n">
        <x:v>23</x:v>
      </x:c>
      <x:c r="X901" t="n">
        <x:v>2</x:v>
      </x:c>
      <x:c r="Y901" s="38" t="n">
        <x:v>0.6409090909090909</x:v>
      </x:c>
      <x:c r="Z901" s="38" t="n">
        <x:v>0.6930680230726235</x:v>
      </x:c>
      <x:c r="AA901"/>
    </x:row>
    <x:row r="902">
      <x:c r="A902" s="54" t="n">
        <x:v>44469</x:v>
      </x:c>
      <x:c r="B902" t="n">
        <x:v>44469.624999988424</x:v>
      </x:c>
      <x:c r="C902" t="str">
        <x:v>168330</x:v>
      </x:c>
      <x:c r="D902" t="str">
        <x:v>내츄럴엔도텍</x:v>
      </x:c>
      <x:c r="E902" t="str">
        <x:v>KOSDAQ</x:v>
      </x:c>
      <x:c r="F902" t="str">
        <x:v>SMALL</x:v>
      </x:c>
      <x:c r="G902" t="str">
        <x:v>DCF_SCREENING_EXCLUSION</x:v>
      </x:c>
      <x:c r="H902" t="str">
        <x:v>NON_POSITIVE_ENTERPRISE_VALUE|NON_POSITIVE_EQUITY_VALUE|NON_POSITIVE_TERMINAL_FCF</x:v>
      </x:c>
      <x:c r="I902" s="54" t="n">
        <x:v>44469</x:v>
      </x:c>
      <x:c r="J902" s="55" t="n">
        <x:v>7220</x:v>
      </x:c>
      <x:c r="K902" s="55" t="n">
        <x:v>223902134720</x:v>
      </x:c>
      <x:c r="L902" s="55" t="n">
        <x:v>31011376</x:v>
      </x:c>
      <x:c r="M902" t="str">
        <x:v>20210303000280</x:v>
      </x:c>
      <x:c r="N902" t="n">
        <x:v>44258.624999988424</x:v>
      </x:c>
      <x:c r="O902" s="54" t="n">
        <x:v>44196</x:v>
      </x:c>
      <x:c r="P902" t="str">
        <x:v>False</x:v>
      </x:c>
      <x:c r="Q902" t="str">
        <x:v>12f6d395c0e4b1b8f425dcaa44cdc4180e5de60af484fd89e630977f15ab3f94</x:v>
      </x:c>
      <x:c r="R902" t="str">
        <x:v>ebe0fbf72d88fe7fc52cacc68d69c2d42eb3b0e9bd705b3702023f6c356cfeb3</x:v>
      </x:c>
      <x:c r="S902" t="n">
        <x:v>6</x:v>
      </x:c>
      <x:c r="T902" t="str">
        <x:v>2018-12-31|2019-12-31|2020-12-31</x:v>
      </x:c>
      <x:c r="U902" s="57" t="n">
        <x:v>-1849.6230074798918</x:v>
      </x:c>
      <x:c r="V902" s="57" t="n">
        <x:v>-1.2561804719501235</x:v>
      </x:c>
      <x:c r="W902"/>
      <x:c r="X902"/>
      <x:c r="Y902" s="38" t="n">
        <x:v>0.6409090909090909</x:v>
      </x:c>
      <x:c r="Z902" s="38" t="n">
        <x:v>0.7104871108598526</x:v>
      </x:c>
      <x:c r="AA902" t="str">
        <x:v>NON_POSITIVE_ENTERPRISE_VALUE|NON_POSITIVE_EQUITY_VALUE|NON_POSITIVE_TERMINAL_FCF</x:v>
      </x:c>
    </x:row>
    <x:row r="903">
      <x:c r="A903" s="54" t="n">
        <x:v>44469</x:v>
      </x:c>
      <x:c r="B903" t="n">
        <x:v>44469.624999988424</x:v>
      </x:c>
      <x:c r="C903" t="str">
        <x:v>120240</x:v>
      </x:c>
      <x:c r="D903" t="str">
        <x:v>대정화금</x:v>
      </x:c>
      <x:c r="E903" t="str">
        <x:v>KOSDAQ</x:v>
      </x:c>
      <x:c r="F903" t="str">
        <x:v>SMALL</x:v>
      </x:c>
      <x:c r="G903" t="str">
        <x:v>ELIGIBLE</x:v>
      </x:c>
      <x:c r="H903"/>
      <x:c r="I903" s="54" t="n">
        <x:v>44469</x:v>
      </x:c>
      <x:c r="J903" s="55" t="n">
        <x:v>26100</x:v>
      </x:c>
      <x:c r="K903" s="55" t="n">
        <x:v>187669205100</x:v>
      </x:c>
      <x:c r="L903" s="55" t="n">
        <x:v>7190391</x:v>
      </x:c>
      <x:c r="M903" t="str">
        <x:v>20210317000302</x:v>
      </x:c>
      <x:c r="N903" t="n">
        <x:v>44272.624999988424</x:v>
      </x:c>
      <x:c r="O903" s="54" t="n">
        <x:v>44196</x:v>
      </x:c>
      <x:c r="P903" t="str">
        <x:v>False</x:v>
      </x:c>
      <x:c r="Q903" t="str">
        <x:v>79ea1097aa607227b98a7a32e6dd80c1d5fbd37a9488ebb72f6587a882384460</x:v>
      </x:c>
      <x:c r="R903" t="str">
        <x:v>e8a0c6d1ef5fd661a02144f028419a8ba978bcafe2ce5c299aefae98596c795e</x:v>
      </x:c>
      <x:c r="S903" t="n">
        <x:v>7</x:v>
      </x:c>
      <x:c r="T903" t="str">
        <x:v>2018-12-31|2019-12-31|2020-12-31</x:v>
      </x:c>
      <x:c r="U903" s="57" t="n">
        <x:v>5007.145691336183</x:v>
      </x:c>
      <x:c r="V903" s="57" t="n">
        <x:v>-0.808155337496698</x:v>
      </x:c>
      <x:c r="W903" t="n">
        <x:v>50</x:v>
      </x:c>
      <x:c r="X903" t="n">
        <x:v>5</x:v>
      </x:c>
      <x:c r="Y903" s="38" t="n">
        <x:v>0.6409090909090909</x:v>
      </x:c>
      <x:c r="Z903" s="38" t="n">
        <x:v>0.6314380977867342</x:v>
      </x:c>
      <x:c r="AA903"/>
    </x:row>
    <x:row r="904">
      <x:c r="A904" s="54" t="n">
        <x:v>44469</x:v>
      </x:c>
      <x:c r="B904" t="n">
        <x:v>44469.624999988424</x:v>
      </x:c>
      <x:c r="C904" t="str">
        <x:v>348350</x:v>
      </x:c>
      <x:c r="D904" t="str">
        <x:v>위드텍</x:v>
      </x:c>
      <x:c r="E904" t="str">
        <x:v>KOSDAQ</x:v>
      </x:c>
      <x:c r="F904" t="str">
        <x:v>SMALL</x:v>
      </x:c>
      <x:c r="G904" t="str">
        <x:v>ELIGIBLE</x:v>
      </x:c>
      <x:c r="H904"/>
      <x:c r="I904" s="54" t="n">
        <x:v>44469</x:v>
      </x:c>
      <x:c r="J904" s="55" t="n">
        <x:v>20000</x:v>
      </x:c>
      <x:c r="K904" s="55" t="n">
        <x:v>203672000000</x:v>
      </x:c>
      <x:c r="L904" s="55" t="n">
        <x:v>10183600</x:v>
      </x:c>
      <x:c r="M904" t="str">
        <x:v>20210318000566</x:v>
      </x:c>
      <x:c r="N904" t="n">
        <x:v>44273.624999988424</x:v>
      </x:c>
      <x:c r="O904" s="54" t="n">
        <x:v>44196</x:v>
      </x:c>
      <x:c r="P904" t="str">
        <x:v>False</x:v>
      </x:c>
      <x:c r="Q904" t="str">
        <x:v>ef77d72fcd4a365e95b6be9846d366d11a2f9ee03c72d882691e5300ec03a056</x:v>
      </x:c>
      <x:c r="R904" t="str">
        <x:v>35f1438d299f1113fe8669add4e885c78e17d05552fb887ce7f2635e77cbd3f0</x:v>
      </x:c>
      <x:c r="S904" t="n">
        <x:v>5</x:v>
      </x:c>
      <x:c r="T904" t="str">
        <x:v>2020-12-31</x:v>
      </x:c>
      <x:c r="U904" s="57" t="n">
        <x:v>8969.877214211123</x:v>
      </x:c>
      <x:c r="V904" s="57" t="n">
        <x:v>-0.5515061392894438</x:v>
      </x:c>
      <x:c r="W904" t="n">
        <x:v>33</x:v>
      </x:c>
      <x:c r="X904" t="n">
        <x:v>3</x:v>
      </x:c>
      <x:c r="Y904" s="38" t="n">
        <x:v>0.6409090909090909</x:v>
      </x:c>
      <x:c r="Z904" s="38" t="n">
        <x:v>0.6264850986190418</x:v>
      </x:c>
      <x:c r="AA904"/>
    </x:row>
    <x:row r="905">
      <x:c r="A905" s="54" t="n">
        <x:v>44469</x:v>
      </x:c>
      <x:c r="B905" t="n">
        <x:v>44469.624999988424</x:v>
      </x:c>
      <x:c r="C905" t="str">
        <x:v>226330</x:v>
      </x:c>
      <x:c r="D905" t="str">
        <x:v>신테카바이오</x:v>
      </x:c>
      <x:c r="E905" t="str">
        <x:v>KOSDAQ</x:v>
      </x:c>
      <x:c r="F905" t="str">
        <x:v>SMALL</x:v>
      </x:c>
      <x:c r="G905" t="str">
        <x:v>DCF_SCREENING_EXCLUSION</x:v>
      </x:c>
      <x:c r="H905" t="str">
        <x:v>NON_POSITIVE_ENTERPRISE_VALUE|NON_POSITIVE_TERMINAL_FCF</x:v>
      </x:c>
      <x:c r="I905" s="54" t="n">
        <x:v>44469</x:v>
      </x:c>
      <x:c r="J905" s="55" t="n">
        <x:v>11100</x:v>
      </x:c>
      <x:c r="K905" s="55" t="n">
        <x:v>149850177600</x:v>
      </x:c>
      <x:c r="L905" s="55" t="n">
        <x:v>13500016</x:v>
      </x:c>
      <x:c r="M905" t="str">
        <x:v>20210604000121</x:v>
      </x:c>
      <x:c r="N905" t="n">
        <x:v>44351.624999988424</x:v>
      </x:c>
      <x:c r="O905" s="54" t="n">
        <x:v>44196</x:v>
      </x:c>
      <x:c r="P905" t="str">
        <x:v>True</x:v>
      </x:c>
      <x:c r="Q905" t="str">
        <x:v>ba5a50c006f28d63d2d7f28107b10d3cc9c463db310a36808a71244b7f816013</x:v>
      </x:c>
      <x:c r="R905" t="str">
        <x:v>e77c3870ccbb8a15d0e10c5e640bd49b5d34c510b162af51894caf35100caa59</x:v>
      </x:c>
      <x:c r="S905" t="n">
        <x:v>5</x:v>
      </x:c>
      <x:c r="T905" t="str">
        <x:v>2019-12-31|2020-12-31</x:v>
      </x:c>
      <x:c r="U905" s="57" t="n">
        <x:v>76.31978169558231</x:v>
      </x:c>
      <x:c r="V905" s="57" t="n">
        <x:v>-0.9931243439913889</x:v>
      </x:c>
      <x:c r="W905"/>
      <x:c r="X905"/>
      <x:c r="Y905" s="38" t="n">
        <x:v>0.6409090909090909</x:v>
      </x:c>
      <x:c r="Z905" s="38" t="n">
        <x:v>0.6422566574366064</x:v>
      </x:c>
      <x:c r="AA905" t="str">
        <x:v>NON_POSITIVE_ENTERPRISE_VALUE|NON_POSITIVE_TERMINAL_FCF</x:v>
      </x:c>
    </x:row>
    <x:row r="906">
      <x:c r="A906" s="54" t="n">
        <x:v>44469</x:v>
      </x:c>
      <x:c r="B906" t="n">
        <x:v>44469.624999988424</x:v>
      </x:c>
      <x:c r="C906" t="str">
        <x:v>215090</x:v>
      </x:c>
      <x:c r="D906" t="str">
        <x:v>솔디펜스</x:v>
      </x:c>
      <x:c r="E906" t="str">
        <x:v>KOSDAQ</x:v>
      </x:c>
      <x:c r="F906" t="str">
        <x:v>SMALL</x:v>
      </x:c>
      <x:c r="G906" t="str">
        <x:v>DCF_SCREENING_EXCLUSION</x:v>
      </x:c>
      <x:c r="H906" t="str">
        <x:v>NON_POSITIVE_ENTERPRISE_VALUE|NON_POSITIVE_TERMINAL_FCF|UNRELIABLE_TERMINAL_VALUE_SHARE</x:v>
      </x:c>
      <x:c r="I906" s="54" t="n">
        <x:v>44469</x:v>
      </x:c>
      <x:c r="J906" s="55" t="n">
        <x:v>2440</x:v>
      </x:c>
      <x:c r="K906" s="55" t="n">
        <x:v>195918418960</x:v>
      </x:c>
      <x:c r="L906" s="55" t="n">
        <x:v>80294434</x:v>
      </x:c>
      <x:c r="M906" t="str">
        <x:v>20210326001138</x:v>
      </x:c>
      <x:c r="N906" t="n">
        <x:v>44281.624999988424</x:v>
      </x:c>
      <x:c r="O906" s="54" t="n">
        <x:v>44196</x:v>
      </x:c>
      <x:c r="P906" t="str">
        <x:v>True</x:v>
      </x:c>
      <x:c r="Q906" t="str">
        <x:v>feae0fd579199192f0805a0b1fb81bf61c479b6c9f75105a850686de5a88a707</x:v>
      </x:c>
      <x:c r="R906" t="str">
        <x:v>f0f176e1fc63763432332de6850bd0b510a939831e8f177568a84756edefdb44</x:v>
      </x:c>
      <x:c r="S906" t="n">
        <x:v>6</x:v>
      </x:c>
      <x:c r="T906" t="str">
        <x:v>2018-12-31|2019-12-31|2020-12-31</x:v>
      </x:c>
      <x:c r="U906" s="57" t="n">
        <x:v>61.495237399741804</x:v>
      </x:c>
      <x:c r="V906" s="57" t="n">
        <x:v>-0.9747970338525649</x:v>
      </x:c>
      <x:c r="W906"/>
      <x:c r="X906"/>
      <x:c r="Y906" s="38" t="n">
        <x:v>0.6409090909090909</x:v>
      </x:c>
      <x:c r="Z906" s="38" t="n">
        <x:v>2.31170596304378</x:v>
      </x:c>
      <x:c r="AA906" t="str">
        <x:v>NON_POSITIVE_ENTERPRISE_VALUE|NON_POSITIVE_TERMINAL_FCF|UNRELIABLE_TERMINAL_VALUE_SHARE</x:v>
      </x:c>
    </x:row>
    <x:row r="907">
      <x:c r="A907" s="54" t="n">
        <x:v>44469</x:v>
      </x:c>
      <x:c r="B907" t="n">
        <x:v>44469.624999988424</x:v>
      </x:c>
      <x:c r="C907" t="str">
        <x:v>185490</x:v>
      </x:c>
      <x:c r="D907" t="str">
        <x:v>아이진</x:v>
      </x:c>
      <x:c r="E907" t="str">
        <x:v>KOSDAQ</x:v>
      </x:c>
      <x:c r="F907" t="str">
        <x:v>SMALL</x:v>
      </x:c>
      <x:c r="G907" t="str">
        <x:v>DCF_SCREENING_EXCLUSION</x:v>
      </x:c>
      <x:c r="H907" t="str">
        <x:v>NON_POSITIVE_ENTERPRISE_VALUE|NON_POSITIVE_EQUITY_VALUE|NON_POSITIVE_TERMINAL_FCF</x:v>
      </x:c>
      <x:c r="I907" s="54" t="n">
        <x:v>44469</x:v>
      </x:c>
      <x:c r="J907" s="55" t="n">
        <x:v>39700</x:v>
      </x:c>
      <x:c r="K907" s="55" t="n">
        <x:v>786708102500</x:v>
      </x:c>
      <x:c r="L907" s="55" t="n">
        <x:v>19816325</x:v>
      </x:c>
      <x:c r="M907" t="str">
        <x:v>20210817002194</x:v>
      </x:c>
      <x:c r="N907" t="n">
        <x:v>44425.624999988424</x:v>
      </x:c>
      <x:c r="O907" s="54" t="n">
        <x:v>44196</x:v>
      </x:c>
      <x:c r="P907" t="str">
        <x:v>True</x:v>
      </x:c>
      <x:c r="Q907" t="str">
        <x:v>0e7d29a2941321b9942620f3f2efea1a0a65c1757502abd849111793c24ea147</x:v>
      </x:c>
      <x:c r="R907" t="str">
        <x:v>1c918c3d0f400ada7d52d1517aa6223a927b7944a9d2189b5899c82bbbc6a946</x:v>
      </x:c>
      <x:c r="S907" t="n">
        <x:v>5</x:v>
      </x:c>
      <x:c r="T907" t="str">
        <x:v>2018-12-31|2019-12-31|2020-12-31</x:v>
      </x:c>
      <x:c r="U907" s="57" t="n">
        <x:v>-514.1079936383842</x:v>
      </x:c>
      <x:c r="V907" s="57" t="n">
        <x:v>-1.0129498235173398</x:v>
      </x:c>
      <x:c r="W907"/>
      <x:c r="X907"/>
      <x:c r="Y907" s="38" t="n">
        <x:v>0.6409090909090909</x:v>
      </x:c>
      <x:c r="Z907" s="38" t="n">
        <x:v>0.6422566574366064</x:v>
      </x:c>
      <x:c r="AA907" t="str">
        <x:v>NON_POSITIVE_ENTERPRISE_VALUE|NON_POSITIVE_EQUITY_VALUE|NON_POSITIVE_TERMINAL_FCF</x:v>
      </x:c>
    </x:row>
    <x:row r="908">
      <x:c r="A908" s="54" t="n">
        <x:v>44469</x:v>
      </x:c>
      <x:c r="B908" t="n">
        <x:v>44469.624999988424</x:v>
      </x:c>
      <x:c r="C908" t="str">
        <x:v>333620</x:v>
      </x:c>
      <x:c r="D908" t="str">
        <x:v>엔시스</x:v>
      </x:c>
      <x:c r="E908" t="str">
        <x:v>KOSDAQ</x:v>
      </x:c>
      <x:c r="F908" t="str">
        <x:v>SMALL</x:v>
      </x:c>
      <x:c r="G908" t="str">
        <x:v>ELIGIBLE</x:v>
      </x:c>
      <x:c r="H908"/>
      <x:c r="I908" s="54" t="n">
        <x:v>44469</x:v>
      </x:c>
      <x:c r="J908" s="55" t="n">
        <x:v>23550</x:v>
      </x:c>
      <x:c r="K908" s="55" t="n">
        <x:v>248601901200</x:v>
      </x:c>
      <x:c r="L908" s="55" t="n">
        <x:v>10556344</x:v>
      </x:c>
      <x:c r="M908" t="str">
        <x:v>20210330001049</x:v>
      </x:c>
      <x:c r="N908" t="n">
        <x:v>44285.624999988424</x:v>
      </x:c>
      <x:c r="O908" s="54" t="n">
        <x:v>44196</x:v>
      </x:c>
      <x:c r="P908" t="str">
        <x:v>False</x:v>
      </x:c>
      <x:c r="Q908" t="str">
        <x:v>61f82ce73befc02902eea21758ca0e4b06f34fe04d325c2a6942b7bf6ae1f86f</x:v>
      </x:c>
      <x:c r="R908" t="str">
        <x:v>d3d4373a7a43baa8f32a0875fa4f755fa4c492c5f350135252bcb7d2f7e42e76</x:v>
      </x:c>
      <x:c r="S908" t="n">
        <x:v>6</x:v>
      </x:c>
      <x:c r="T908" t="str">
        <x:v>2020-12-31</x:v>
      </x:c>
      <x:c r="U908" s="57" t="n">
        <x:v>4955.7705005639455</x:v>
      </x:c>
      <x:c r="V908" s="57" t="n">
        <x:v>-0.7895638853263718</x:v>
      </x:c>
      <x:c r="W908" t="n">
        <x:v>46</x:v>
      </x:c>
      <x:c r="X908" t="n">
        <x:v>4</x:v>
      </x:c>
      <x:c r="Y908" s="38" t="n">
        <x:v>0.6409090909090909</x:v>
      </x:c>
      <x:c r="Z908" s="38" t="n">
        <x:v>0.6264850986190418</x:v>
      </x:c>
      <x:c r="AA908"/>
    </x:row>
    <x:row r="909">
      <x:c r="A909" s="54" t="n">
        <x:v>44469</x:v>
      </x:c>
      <x:c r="B909" t="n">
        <x:v>44469.624999988424</x:v>
      </x:c>
      <x:c r="C909" t="str">
        <x:v>036710</x:v>
      </x:c>
      <x:c r="D909" t="str">
        <x:v>심텍홀딩스</x:v>
      </x:c>
      <x:c r="E909" t="str">
        <x:v>KOSDAQ</x:v>
      </x:c>
      <x:c r="F909" t="str">
        <x:v>SMALL</x:v>
      </x:c>
      <x:c r="G909" t="str">
        <x:v>EXCLUDED_ARCHETYPE</x:v>
      </x:c>
      <x:c r="H909" t="str">
        <x:v>FCFF_NOT_COMPARABLE_FOR_FINANCE_OR_HOLDING_HINT</x:v>
      </x:c>
      <x:c r="I909" s="54"/>
      <x:c r="J909" s="55"/>
      <x:c r="K909" s="55"/>
      <x:c r="L909" s="55"/>
      <x:c r="M909"/>
      <x:c r="N909"/>
      <x:c r="O909" s="54"/>
      <x:c r="P909"/>
      <x:c r="Q909"/>
      <x:c r="R909"/>
      <x:c r="S909"/>
      <x:c r="T909"/>
      <x:c r="U909" s="57"/>
      <x:c r="V909" s="57"/>
      <x:c r="W909"/>
      <x:c r="X909"/>
      <x:c r="Y909" s="38"/>
      <x:c r="Z909" s="38"/>
      <x:c r="AA909"/>
    </x:row>
    <x:row r="910">
      <x:c r="A910" s="54" t="n">
        <x:v>44469</x:v>
      </x:c>
      <x:c r="B910" t="n">
        <x:v>44469.624999988424</x:v>
      </x:c>
      <x:c r="C910" t="str">
        <x:v>049480</x:v>
      </x:c>
      <x:c r="D910" t="str">
        <x:v>오픈베이스</x:v>
      </x:c>
      <x:c r="E910" t="str">
        <x:v>KOSDAQ</x:v>
      </x:c>
      <x:c r="F910" t="str">
        <x:v>SMALL</x:v>
      </x:c>
      <x:c r="G910" t="str">
        <x:v>ELIGIBLE</x:v>
      </x:c>
      <x:c r="H910"/>
      <x:c r="I910" s="54" t="n">
        <x:v>44469</x:v>
      </x:c>
      <x:c r="J910" s="55" t="n">
        <x:v>3215</x:v>
      </x:c>
      <x:c r="K910" s="55" t="n">
        <x:v>101022961345</x:v>
      </x:c>
      <x:c r="L910" s="55" t="n">
        <x:v>31422383</x:v>
      </x:c>
      <x:c r="M910" t="str">
        <x:v>20210331001149</x:v>
      </x:c>
      <x:c r="N910" t="n">
        <x:v>44286.624999988424</x:v>
      </x:c>
      <x:c r="O910" s="54" t="n">
        <x:v>44196</x:v>
      </x:c>
      <x:c r="P910" t="str">
        <x:v>True</x:v>
      </x:c>
      <x:c r="Q910" t="str">
        <x:v>642837c1645ce3c3a21febfa241576f44c38bfa76dc50686d810c45735e19039</x:v>
      </x:c>
      <x:c r="R910" t="str">
        <x:v>f3b4dde16d7ed2994db5d44d2cf3850c1f1f822ad4d02bf68ab968341f6d0104</x:v>
      </x:c>
      <x:c r="S910" t="n">
        <x:v>6</x:v>
      </x:c>
      <x:c r="T910" t="str">
        <x:v>2018-12-31|2019-12-31|2020-12-31</x:v>
      </x:c>
      <x:c r="U910" s="57" t="n">
        <x:v>672.2798367060648</x:v>
      </x:c>
      <x:c r="V910" s="57" t="n">
        <x:v>-0.7908927413044899</x:v>
      </x:c>
      <x:c r="W910" t="n">
        <x:v>47</x:v>
      </x:c>
      <x:c r="X910" t="n">
        <x:v>4</x:v>
      </x:c>
      <x:c r="Y910" s="38" t="n">
        <x:v>0.6409090909090909</x:v>
      </x:c>
      <x:c r="Z910" s="38" t="n">
        <x:v>0.5204473624506991</x:v>
      </x:c>
      <x:c r="AA910"/>
    </x:row>
    <x:row r="911">
      <x:c r="A911" s="54" t="n">
        <x:v>44469</x:v>
      </x:c>
      <x:c r="B911" t="n">
        <x:v>44469.624999988424</x:v>
      </x:c>
      <x:c r="C911" t="str">
        <x:v>302430</x:v>
      </x:c>
      <x:c r="D911" t="str">
        <x:v>이노메트리</x:v>
      </x:c>
      <x:c r="E911" t="str">
        <x:v>KOSDAQ</x:v>
      </x:c>
      <x:c r="F911" t="str">
        <x:v>SMALL</x:v>
      </x:c>
      <x:c r="G911" t="str">
        <x:v>DCF_SCREENING_EXCLUSION</x:v>
      </x:c>
      <x:c r="H911" t="str">
        <x:v>UNRELIABLE_TERMINAL_VALUE_SHARE</x:v>
      </x:c>
      <x:c r="I911" s="54" t="n">
        <x:v>44469</x:v>
      </x:c>
      <x:c r="J911" s="55" t="n">
        <x:v>16800</x:v>
      </x:c>
      <x:c r="K911" s="55" t="n">
        <x:v>164581838400</x:v>
      </x:c>
      <x:c r="L911" s="55" t="n">
        <x:v>9796538</x:v>
      </x:c>
      <x:c r="M911" t="str">
        <x:v>20210318000512</x:v>
      </x:c>
      <x:c r="N911" t="n">
        <x:v>44273.624999988424</x:v>
      </x:c>
      <x:c r="O911" s="54" t="n">
        <x:v>44196</x:v>
      </x:c>
      <x:c r="P911" t="str">
        <x:v>False</x:v>
      </x:c>
      <x:c r="Q911" t="str">
        <x:v>0e2c0a41f276dcb0dffcbb7a7feba201dca98557caab8278087c38ae6914e4fa</x:v>
      </x:c>
      <x:c r="R911" t="str">
        <x:v>58a931fbbc9fcfc00ce69836b45ab49dee82d5069bc84e4fcbceb9c4a21c2d15</x:v>
      </x:c>
      <x:c r="S911" t="n">
        <x:v>6</x:v>
      </x:c>
      <x:c r="T911" t="str">
        <x:v>2018-12-31|2019-12-31|2020-12-31</x:v>
      </x:c>
      <x:c r="U911" s="57" t="n">
        <x:v>1862.2682270213957</x:v>
      </x:c>
      <x:c r="V911" s="57" t="n">
        <x:v>-0.889150700772536</x:v>
      </x:c>
      <x:c r="W911"/>
      <x:c r="X911"/>
      <x:c r="Y911" s="38" t="n">
        <x:v>0.6409090909090909</x:v>
      </x:c>
      <x:c r="Z911" s="38" t="n">
        <x:v>2.5226489595750157</x:v>
      </x:c>
      <x:c r="AA911" t="str">
        <x:v>UNRELIABLE_TERMINAL_VALUE_SHARE</x:v>
      </x:c>
    </x:row>
    <x:row r="912">
      <x:c r="A912" s="54" t="n">
        <x:v>44469</x:v>
      </x:c>
      <x:c r="B912" t="n">
        <x:v>44469.624999988424</x:v>
      </x:c>
      <x:c r="C912" t="str">
        <x:v>288620</x:v>
      </x:c>
      <x:c r="D912" t="str">
        <x:v>에스퓨얼셀</x:v>
      </x:c>
      <x:c r="E912" t="str">
        <x:v>KOSDAQ</x:v>
      </x:c>
      <x:c r="F912" t="str">
        <x:v>SMALL</x:v>
      </x:c>
      <x:c r="G912" t="str">
        <x:v>DCF_SCREENING_EXCLUSION</x:v>
      </x:c>
      <x:c r="H912" t="str">
        <x:v>UNRELIABLE_TERMINAL_VALUE_SHARE</x:v>
      </x:c>
      <x:c r="I912" s="54" t="n">
        <x:v>44469</x:v>
      </x:c>
      <x:c r="J912" s="55" t="n">
        <x:v>34000</x:v>
      </x:c>
      <x:c r="K912" s="55" t="n">
        <x:v>233726744000</x:v>
      </x:c>
      <x:c r="L912" s="55" t="n">
        <x:v>6874316</x:v>
      </x:c>
      <x:c r="M912" t="str">
        <x:v>20210322000950</x:v>
      </x:c>
      <x:c r="N912" t="n">
        <x:v>44277.624999988424</x:v>
      </x:c>
      <x:c r="O912" s="54" t="n">
        <x:v>44196</x:v>
      </x:c>
      <x:c r="P912" t="str">
        <x:v>True</x:v>
      </x:c>
      <x:c r="Q912" t="str">
        <x:v>b6e4d91695a9f0735eff6749b3213297590bd82820da324ce044ff958ad9ea61</x:v>
      </x:c>
      <x:c r="R912" t="str">
        <x:v>a37de3dc4a80eb88b549c986771055707cdcc7e81bd7c3b009dd2f31f3b5c37a</x:v>
      </x:c>
      <x:c r="S912" t="n">
        <x:v>6</x:v>
      </x:c>
      <x:c r="T912" t="str">
        <x:v>2018-12-31|2019-12-31|2020-12-31</x:v>
      </x:c>
      <x:c r="U912" s="57" t="n">
        <x:v>3270.0839499807116</x:v>
      </x:c>
      <x:c r="V912" s="57" t="n">
        <x:v>-0.9038210602946849</x:v>
      </x:c>
      <x:c r="W912"/>
      <x:c r="X912"/>
      <x:c r="Y912" s="38" t="n">
        <x:v>0.6409090909090909</x:v>
      </x:c>
      <x:c r="Z912" s="38" t="n">
        <x:v>1.2356011361536037</x:v>
      </x:c>
      <x:c r="AA912" t="str">
        <x:v>UNRELIABLE_TERMINAL_VALUE_SHARE</x:v>
      </x:c>
    </x:row>
    <x:row r="913">
      <x:c r="A913" s="54" t="n">
        <x:v>44469</x:v>
      </x:c>
      <x:c r="B913" t="n">
        <x:v>44469.624999988424</x:v>
      </x:c>
      <x:c r="C913" t="str">
        <x:v>094840</x:v>
      </x:c>
      <x:c r="D913" t="str">
        <x:v>슈프리마에이치큐</x:v>
      </x:c>
      <x:c r="E913" t="str">
        <x:v>KOSDAQ</x:v>
      </x:c>
      <x:c r="F913" t="str">
        <x:v>SMALL</x:v>
      </x:c>
      <x:c r="G913" t="str">
        <x:v>ELIGIBLE</x:v>
      </x:c>
      <x:c r="H913"/>
      <x:c r="I913" s="54" t="n">
        <x:v>44469</x:v>
      </x:c>
      <x:c r="J913" s="55" t="n">
        <x:v>8220</x:v>
      </x:c>
      <x:c r="K913" s="55" t="n">
        <x:v>86078524800</x:v>
      </x:c>
      <x:c r="L913" s="55" t="n">
        <x:v>10471840</x:v>
      </x:c>
      <x:c r="M913" t="str">
        <x:v>20210315000815</x:v>
      </x:c>
      <x:c r="N913" t="n">
        <x:v>44270.624999988424</x:v>
      </x:c>
      <x:c r="O913" s="54" t="n">
        <x:v>44196</x:v>
      </x:c>
      <x:c r="P913" t="str">
        <x:v>False</x:v>
      </x:c>
      <x:c r="Q913" t="str">
        <x:v>edcb9acdb46347ad603be9d7e20150a84d21700a5df672987b045d3c629119be</x:v>
      </x:c>
      <x:c r="R913" t="str">
        <x:v>47f745c4b7f953ba3135475be04bae6977c7fb05c197963522eabde4ffd14566</x:v>
      </x:c>
      <x:c r="S913" t="n">
        <x:v>6</x:v>
      </x:c>
      <x:c r="T913" t="str">
        <x:v>2018-12-31|2019-12-31|2020-12-31</x:v>
      </x:c>
      <x:c r="U913" s="57" t="n">
        <x:v>3832.062991635382</x:v>
      </x:c>
      <x:c r="V913" s="57" t="n">
        <x:v>-0.5338122881222164</x:v>
      </x:c>
      <x:c r="W913" t="n">
        <x:v>27</x:v>
      </x:c>
      <x:c r="X913" t="n">
        <x:v>3</x:v>
      </x:c>
      <x:c r="Y913" s="38" t="n">
        <x:v>0.6409090909090909</x:v>
      </x:c>
      <x:c r="Z913" s="38" t="n">
        <x:v>0.5990314888023098</x:v>
      </x:c>
      <x:c r="AA913"/>
    </x:row>
    <x:row r="914">
      <x:c r="A914" s="54" t="n">
        <x:v>44469</x:v>
      </x:c>
      <x:c r="B914" t="n">
        <x:v>44469.624999988424</x:v>
      </x:c>
      <x:c r="C914" t="str">
        <x:v>019990</x:v>
      </x:c>
      <x:c r="D914" t="str">
        <x:v>에너토크</x:v>
      </x:c>
      <x:c r="E914" t="str">
        <x:v>KOSDAQ</x:v>
      </x:c>
      <x:c r="F914" t="str">
        <x:v>SMALL</x:v>
      </x:c>
      <x:c r="G914" t="str">
        <x:v>DCF_SCREENING_EXCLUSION</x:v>
      </x:c>
      <x:c r="H914" t="str">
        <x:v>NON_POSITIVE_ENTERPRISE_VALUE|NON_POSITIVE_EQUITY_VALUE|NON_POSITIVE_TERMINAL_FCF</x:v>
      </x:c>
      <x:c r="I914" s="54" t="n">
        <x:v>44469</x:v>
      </x:c>
      <x:c r="J914" s="55" t="n">
        <x:v>8710</x:v>
      </x:c>
      <x:c r="K914" s="55" t="n">
        <x:v>84975526480</x:v>
      </x:c>
      <x:c r="L914" s="55" t="n">
        <x:v>9756088</x:v>
      </x:c>
      <x:c r="M914" t="str">
        <x:v>20210318000261</x:v>
      </x:c>
      <x:c r="N914" t="n">
        <x:v>44273.624999988424</x:v>
      </x:c>
      <x:c r="O914" s="54" t="n">
        <x:v>44196</x:v>
      </x:c>
      <x:c r="P914" t="str">
        <x:v>False</x:v>
      </x:c>
      <x:c r="Q914" t="str">
        <x:v>4957a629f231b71448122773660771e123a8afe95cf17712e8a5790b3de5e388</x:v>
      </x:c>
      <x:c r="R914" t="str">
        <x:v>83ba2cb7557a122716ec5a8f3de0e193cdc224d8740fbeb9bc856e79494d7737</x:v>
      </x:c>
      <x:c r="S914" t="n">
        <x:v>7</x:v>
      </x:c>
      <x:c r="T914" t="str">
        <x:v>2018-12-31|2019-12-31|2020-12-31</x:v>
      </x:c>
      <x:c r="U914" s="57" t="n">
        <x:v>-415.5867008576264</x:v>
      </x:c>
      <x:c r="V914" s="57" t="n">
        <x:v>-1.0477137429228045</x:v>
      </x:c>
      <x:c r="W914"/>
      <x:c r="X914"/>
      <x:c r="Y914" s="38" t="n">
        <x:v>0.6409090909090909</x:v>
      </x:c>
      <x:c r="Z914" s="38" t="n">
        <x:v>0.6465151672176482</x:v>
      </x:c>
      <x:c r="AA914" t="str">
        <x:v>NON_POSITIVE_ENTERPRISE_VALUE|NON_POSITIVE_EQUITY_VALUE|NON_POSITIVE_TERMINAL_FCF</x:v>
      </x:c>
    </x:row>
    <x:row r="915">
      <x:c r="A915" s="54" t="n">
        <x:v>44469</x:v>
      </x:c>
      <x:c r="B915" t="n">
        <x:v>44469.624999988424</x:v>
      </x:c>
      <x:c r="C915" t="str">
        <x:v>024740</x:v>
      </x:c>
      <x:c r="D915" t="str">
        <x:v>한일단조</x:v>
      </x:c>
      <x:c r="E915" t="str">
        <x:v>KOSDAQ</x:v>
      </x:c>
      <x:c r="F915" t="str">
        <x:v>SMALL</x:v>
      </x:c>
      <x:c r="G915" t="str">
        <x:v>DCF_SCREENING_EXCLUSION</x:v>
      </x:c>
      <x:c r="H915" t="str">
        <x:v>NON_POSITIVE_ENTERPRISE_VALUE|NON_POSITIVE_EQUITY_VALUE|NON_POSITIVE_TERMINAL_FCF</x:v>
      </x:c>
      <x:c r="I915" s="54" t="n">
        <x:v>44469</x:v>
      </x:c>
      <x:c r="J915" s="55" t="n">
        <x:v>3355</x:v>
      </x:c>
      <x:c r="K915" s="55" t="n">
        <x:v>100285405440</x:v>
      </x:c>
      <x:c r="L915" s="55" t="n">
        <x:v>29891328</x:v>
      </x:c>
      <x:c r="M915" t="str">
        <x:v>20210316000434</x:v>
      </x:c>
      <x:c r="N915" t="n">
        <x:v>44271.624999988424</x:v>
      </x:c>
      <x:c r="O915" s="54" t="n">
        <x:v>44196</x:v>
      </x:c>
      <x:c r="P915" t="str">
        <x:v>False</x:v>
      </x:c>
      <x:c r="Q915" t="str">
        <x:v>bcddd53c6582ac5aaffca85a248593cbfc6066bb4e4098e0d065dd9f43d5e655</x:v>
      </x:c>
      <x:c r="R915" t="str">
        <x:v>dbb560f48c3dd22007d5bb6c6b37c344d40acedb99d49577840c11f88daab7a1</x:v>
      </x:c>
      <x:c r="S915" t="n">
        <x:v>7</x:v>
      </x:c>
      <x:c r="T915" t="str">
        <x:v>2018-12-31|2019-12-31|2020-12-31</x:v>
      </x:c>
      <x:c r="U915" s="57" t="n">
        <x:v>-2473.11609930987</x:v>
      </x:c>
      <x:c r="V915" s="57" t="n">
        <x:v>-1.7371433977078599</x:v>
      </x:c>
      <x:c r="W915"/>
      <x:c r="X915"/>
      <x:c r="Y915" s="38" t="n">
        <x:v>0.6409090909090909</x:v>
      </x:c>
      <x:c r="Z915" s="38" t="n">
        <x:v>0.6171816933706179</x:v>
      </x:c>
      <x:c r="AA915" t="str">
        <x:v>NON_POSITIVE_ENTERPRISE_VALUE|NON_POSITIVE_EQUITY_VALUE|NON_POSITIVE_TERMINAL_FCF</x:v>
      </x:c>
    </x:row>
    <x:row r="916">
      <x:c r="A916" s="54" t="n">
        <x:v>44469</x:v>
      </x:c>
      <x:c r="B916" t="n">
        <x:v>44469.624999988424</x:v>
      </x:c>
      <x:c r="C916" t="str">
        <x:v>340930</x:v>
      </x:c>
      <x:c r="D916" t="str">
        <x:v>유일에너테크</x:v>
      </x:c>
      <x:c r="E916" t="str">
        <x:v>KOSDAQ</x:v>
      </x:c>
      <x:c r="F916" t="str">
        <x:v>SMALL</x:v>
      </x:c>
      <x:c r="G916" t="str">
        <x:v>ELIGIBLE</x:v>
      </x:c>
      <x:c r="H916"/>
      <x:c r="I916" s="54" t="n">
        <x:v>44469</x:v>
      </x:c>
      <x:c r="J916" s="55" t="n">
        <x:v>21350</x:v>
      </x:c>
      <x:c r="K916" s="55" t="n">
        <x:v>227905784400</x:v>
      </x:c>
      <x:c r="L916" s="55" t="n">
        <x:v>10674744</x:v>
      </x:c>
      <x:c r="M916" t="str">
        <x:v>20210319000946</x:v>
      </x:c>
      <x:c r="N916" t="n">
        <x:v>44274.624999988424</x:v>
      </x:c>
      <x:c r="O916" s="54" t="n">
        <x:v>44196</x:v>
      </x:c>
      <x:c r="P916" t="str">
        <x:v>False</x:v>
      </x:c>
      <x:c r="Q916" t="str">
        <x:v>4edaceb7bd22fcf8da9909d7fdb96098f9415c438240d4e0f8e7bb0b5d5e8b03</x:v>
      </x:c>
      <x:c r="R916" t="str">
        <x:v>0cf7d43db2fe6134461710bbb2a500dc2994af1861d6647b511395f0e1b4e0c8</x:v>
      </x:c>
      <x:c r="S916" t="n">
        <x:v>7</x:v>
      </x:c>
      <x:c r="T916" t="str">
        <x:v>2020-12-31</x:v>
      </x:c>
      <x:c r="U916" s="57" t="n">
        <x:v>5234.974731632346</x:v>
      </x:c>
      <x:c r="V916" s="57" t="n">
        <x:v>-0.7548021202982508</x:v>
      </x:c>
      <x:c r="W916" t="n">
        <x:v>44</x:v>
      </x:c>
      <x:c r="X916" t="n">
        <x:v>4</x:v>
      </x:c>
      <x:c r="Y916" s="38" t="n">
        <x:v>0.6409090909090909</x:v>
      </x:c>
      <x:c r="Z916" s="38" t="n">
        <x:v>0.6264850986190418</x:v>
      </x:c>
      <x:c r="AA916"/>
    </x:row>
    <x:row r="917">
      <x:c r="A917" s="54" t="n">
        <x:v>44469</x:v>
      </x:c>
      <x:c r="B917" t="n">
        <x:v>44469.624999988424</x:v>
      </x:c>
      <x:c r="C917" t="str">
        <x:v>057030</x:v>
      </x:c>
      <x:c r="D917" t="str">
        <x:v>YBM넷</x:v>
      </x:c>
      <x:c r="E917" t="str">
        <x:v>KOSDAQ</x:v>
      </x:c>
      <x:c r="F917" t="str">
        <x:v>SMALL</x:v>
      </x:c>
      <x:c r="G917" t="str">
        <x:v>DCF_SCREENING_EXCLUSION</x:v>
      </x:c>
      <x:c r="H917" t="str">
        <x:v>NON_POSITIVE_ENTERPRISE_VALUE|NON_POSITIVE_EQUITY_VALUE|UNRELIABLE_TERMINAL_VALUE_SHARE</x:v>
      </x:c>
      <x:c r="I917" s="54" t="n">
        <x:v>44469</x:v>
      </x:c>
      <x:c r="J917" s="55" t="n">
        <x:v>6610</x:v>
      </x:c>
      <x:c r="K917" s="55" t="n">
        <x:v>107826927170</x:v>
      </x:c>
      <x:c r="L917" s="55" t="n">
        <x:v>16312697</x:v>
      </x:c>
      <x:c r="M917" t="str">
        <x:v>20210317001083</x:v>
      </x:c>
      <x:c r="N917" t="n">
        <x:v>44272.624999988424</x:v>
      </x:c>
      <x:c r="O917" s="54" t="n">
        <x:v>44196</x:v>
      </x:c>
      <x:c r="P917" t="str">
        <x:v>False</x:v>
      </x:c>
      <x:c r="Q917" t="str">
        <x:v>60475234d2620e0baa6d24996ee48c086941ccdd01a0698cccc5f9d626fd6bc6</x:v>
      </x:c>
      <x:c r="R917" t="str">
        <x:v>ebc2348fcc4b8ac130bf6ace569664f1a494da159f4a3374e924e8a62f011377</x:v>
      </x:c>
      <x:c r="S917" t="n">
        <x:v>6</x:v>
      </x:c>
      <x:c r="T917" t="str">
        <x:v>2018-12-31|2019-12-31|2020-12-31</x:v>
      </x:c>
      <x:c r="U917" s="57" t="n">
        <x:v>-12.62440454926056</x:v>
      </x:c>
      <x:c r="V917" s="57" t="n">
        <x:v>-1.0019098947880878</x:v>
      </x:c>
      <x:c r="W917"/>
      <x:c r="X917"/>
      <x:c r="Y917" s="38" t="n">
        <x:v>0.6409090909090909</x:v>
      </x:c>
      <x:c r="Z917" s="38" t="n">
        <x:v>-1.0894625849005493</x:v>
      </x:c>
      <x:c r="AA917" t="str">
        <x:v>NON_POSITIVE_ENTERPRISE_VALUE|NON_POSITIVE_EQUITY_VALUE|UNRELIABLE_TERMINAL_VALUE_SHARE</x:v>
      </x:c>
    </x:row>
    <x:row r="918">
      <x:c r="A918" s="54" t="n">
        <x:v>44469</x:v>
      </x:c>
      <x:c r="B918" t="n">
        <x:v>44469.624999988424</x:v>
      </x:c>
      <x:c r="C918" t="str">
        <x:v>053160</x:v>
      </x:c>
      <x:c r="D918" t="str">
        <x:v>프리엠스</x:v>
      </x:c>
      <x:c r="E918" t="str">
        <x:v>KOSDAQ</x:v>
      </x:c>
      <x:c r="F918" t="str">
        <x:v>SMALL</x:v>
      </x:c>
      <x:c r="G918" t="str">
        <x:v>DCF_SCREENING_EXCLUSION</x:v>
      </x:c>
      <x:c r="H918" t="str">
        <x:v>NON_POSITIVE_ENTERPRISE_VALUE|NON_POSITIVE_TERMINAL_FCF</x:v>
      </x:c>
      <x:c r="I918" s="54" t="n">
        <x:v>44469</x:v>
      </x:c>
      <x:c r="J918" s="55" t="n">
        <x:v>15750</x:v>
      </x:c>
      <x:c r="K918" s="55" t="n">
        <x:v>94500000000</x:v>
      </x:c>
      <x:c r="L918" s="55" t="n">
        <x:v>6000000</x:v>
      </x:c>
      <x:c r="M918" t="str">
        <x:v>20210318000333</x:v>
      </x:c>
      <x:c r="N918" t="n">
        <x:v>44273.624999988424</x:v>
      </x:c>
      <x:c r="O918" s="54" t="n">
        <x:v>44196</x:v>
      </x:c>
      <x:c r="P918" t="str">
        <x:v>False</x:v>
      </x:c>
      <x:c r="Q918" t="str">
        <x:v>b4a0ad8f9fbc20989c6ce23324e39d807a3fce1a4ccdc7f31f6eaab83bcb1a23</x:v>
      </x:c>
      <x:c r="R918" t="str">
        <x:v>41e1a00bc59d917a22c9ee50e347e46b117ec6fa8dbe672beaa2c41a25d6a9bb</x:v>
      </x:c>
      <x:c r="S918" t="n">
        <x:v>7</x:v>
      </x:c>
      <x:c r="T918" t="str">
        <x:v>2018-12-31|2019-12-31|2020-12-31</x:v>
      </x:c>
      <x:c r="U918" s="57" t="n">
        <x:v>316.0971325401637</x:v>
      </x:c>
      <x:c r="V918" s="57" t="n">
        <x:v>-0.9799303407911008</x:v>
      </x:c>
      <x:c r="W918"/>
      <x:c r="X918"/>
      <x:c r="Y918" s="38" t="n">
        <x:v>0.6409090909090909</x:v>
      </x:c>
      <x:c r="Z918" s="38" t="n">
        <x:v>0.779709708489777</x:v>
      </x:c>
      <x:c r="AA918" t="str">
        <x:v>NON_POSITIVE_ENTERPRISE_VALUE|NON_POSITIVE_TERMINAL_FCF</x:v>
      </x:c>
    </x:row>
    <x:row r="919">
      <x:c r="A919" s="54" t="n">
        <x:v>44469</x:v>
      </x:c>
      <x:c r="B919" t="n">
        <x:v>44469.624999988424</x:v>
      </x:c>
      <x:c r="C919" t="str">
        <x:v>038620</x:v>
      </x:c>
      <x:c r="D919" t="str">
        <x:v>위즈코프</x:v>
      </x:c>
      <x:c r="E919" t="str">
        <x:v>KOSDAQ</x:v>
      </x:c>
      <x:c r="F919" t="str">
        <x:v>SMALL</x:v>
      </x:c>
      <x:c r="G919" t="str">
        <x:v>ELIGIBLE</x:v>
      </x:c>
      <x:c r="H919"/>
      <x:c r="I919" s="54" t="n">
        <x:v>44469</x:v>
      </x:c>
      <x:c r="J919" s="55" t="n">
        <x:v>2190</x:v>
      </x:c>
      <x:c r="K919" s="55" t="n">
        <x:v>131474869530</x:v>
      </x:c>
      <x:c r="L919" s="55" t="n">
        <x:v>60034187</x:v>
      </x:c>
      <x:c r="M919" t="str">
        <x:v>20210317001103</x:v>
      </x:c>
      <x:c r="N919" t="n">
        <x:v>44272.624999988424</x:v>
      </x:c>
      <x:c r="O919" s="54" t="n">
        <x:v>44196</x:v>
      </x:c>
      <x:c r="P919" t="str">
        <x:v>False</x:v>
      </x:c>
      <x:c r="Q919" t="str">
        <x:v>309ebd31cbd4e7c81c95aa5ef1f64b10cd60c14ea177e58841997373c9018659</x:v>
      </x:c>
      <x:c r="R919" t="str">
        <x:v>3b1385a91693a6dc001937e4e3c2b8c2db757cdce3e923778696cf18d12651f3</x:v>
      </x:c>
      <x:c r="S919" t="n">
        <x:v>6</x:v>
      </x:c>
      <x:c r="T919" t="str">
        <x:v>2018-12-31|2019-12-31|2020-12-31</x:v>
      </x:c>
      <x:c r="U919" s="57" t="n">
        <x:v>179.0816390278371</x:v>
      </x:c>
      <x:c r="V919" s="57" t="n">
        <x:v>-0.9182275620877456</x:v>
      </x:c>
      <x:c r="W919" t="n">
        <x:v>56</x:v>
      </x:c>
      <x:c r="X919" t="n">
        <x:v>5</x:v>
      </x:c>
      <x:c r="Y919" s="38" t="n">
        <x:v>0.6409090909090909</x:v>
      </x:c>
      <x:c r="Z919" s="38" t="n">
        <x:v>0.5998432973034096</x:v>
      </x:c>
      <x:c r="AA919"/>
    </x:row>
    <x:row r="920">
      <x:c r="A920" s="54" t="n">
        <x:v>44469</x:v>
      </x:c>
      <x:c r="B920" t="n">
        <x:v>44469.624999988424</x:v>
      </x:c>
      <x:c r="C920" t="str">
        <x:v>313760</x:v>
      </x:c>
      <x:c r="D920" t="str">
        <x:v>캐리</x:v>
      </x:c>
      <x:c r="E920" t="str">
        <x:v>KOSDAQ</x:v>
      </x:c>
      <x:c r="F920" t="str">
        <x:v>SMALL</x:v>
      </x:c>
      <x:c r="G920" t="str">
        <x:v>DCF_SCREENING_EXCLUSION</x:v>
      </x:c>
      <x:c r="H920" t="str">
        <x:v>UNRELIABLE_TERMINAL_VALUE_SHARE</x:v>
      </x:c>
      <x:c r="I920" s="54" t="n">
        <x:v>44469</x:v>
      </x:c>
      <x:c r="J920" s="55" t="n">
        <x:v>23950</x:v>
      </x:c>
      <x:c r="K920" s="55" t="n">
        <x:v>116444900000</x:v>
      </x:c>
      <x:c r="L920" s="55" t="n">
        <x:v>4862000</x:v>
      </x:c>
      <x:c r="M920" t="str">
        <x:v>20210318000686</x:v>
      </x:c>
      <x:c r="N920" t="n">
        <x:v>44273.624999988424</x:v>
      </x:c>
      <x:c r="O920" s="54" t="n">
        <x:v>44196</x:v>
      </x:c>
      <x:c r="P920" t="str">
        <x:v>False</x:v>
      </x:c>
      <x:c r="Q920" t="str">
        <x:v>804576bd15d64ec35c6bf019d2e23e3c9e1edcfa683d9cad2b367f8994c13dfc</x:v>
      </x:c>
      <x:c r="R920" t="str">
        <x:v>d85d0ce3685c46f62b52d2126678ceafd641a1fc3d9f82829a119e0806cd51fc</x:v>
      </x:c>
      <x:c r="S920" t="n">
        <x:v>5</x:v>
      </x:c>
      <x:c r="T920" t="str">
        <x:v>2019-12-31|2020-12-31</x:v>
      </x:c>
      <x:c r="U920" s="57" t="n">
        <x:v>1207.7666181905286</x:v>
      </x:c>
      <x:c r="V920" s="57" t="n">
        <x:v>-0.9495713311820239</x:v>
      </x:c>
      <x:c r="W920"/>
      <x:c r="X920"/>
      <x:c r="Y920" s="38" t="n">
        <x:v>0.6409090909090909</x:v>
      </x:c>
      <x:c r="Z920" s="38" t="n">
        <x:v>2.6865882303611563</x:v>
      </x:c>
      <x:c r="AA920" t="str">
        <x:v>UNRELIABLE_TERMINAL_VALUE_SHARE</x:v>
      </x:c>
    </x:row>
    <x:row r="921">
      <x:c r="A921" s="54" t="n">
        <x:v>44469</x:v>
      </x:c>
      <x:c r="B921" t="n">
        <x:v>44469.624999988424</x:v>
      </x:c>
      <x:c r="C921" t="str">
        <x:v>372800</x:v>
      </x:c>
      <x:c r="D921" t="str">
        <x:v>아이티아이즈</x:v>
      </x:c>
      <x:c r="E921" t="str">
        <x:v>KOSDAQ</x:v>
      </x:c>
      <x:c r="F921" t="str">
        <x:v>SMALL</x:v>
      </x:c>
      <x:c r="G921" t="str">
        <x:v>NOT_LISTED_OR_NO_PRICE</x:v>
      </x:c>
      <x:c r="H921"/>
      <x:c r="I921" s="54"/>
      <x:c r="J921" s="55"/>
      <x:c r="K921" s="55"/>
      <x:c r="L921" s="55"/>
      <x:c r="M921"/>
      <x:c r="N921"/>
      <x:c r="O921" s="54"/>
      <x:c r="P921"/>
      <x:c r="Q921"/>
      <x:c r="R921"/>
      <x:c r="S921"/>
      <x:c r="T921"/>
      <x:c r="U921" s="57"/>
      <x:c r="V921" s="57"/>
      <x:c r="W921"/>
      <x:c r="X921"/>
      <x:c r="Y921" s="38"/>
      <x:c r="Z921" s="38"/>
      <x:c r="AA921"/>
    </x:row>
    <x:row r="922">
      <x:c r="A922" s="54" t="n">
        <x:v>44469</x:v>
      </x:c>
      <x:c r="B922" t="n">
        <x:v>44469.624999988424</x:v>
      </x:c>
      <x:c r="C922" t="str">
        <x:v>332290</x:v>
      </x:c>
      <x:c r="D922" t="str">
        <x:v>누보</x:v>
      </x:c>
      <x:c r="E922" t="str">
        <x:v>KOSDAQ</x:v>
      </x:c>
      <x:c r="F922" t="str">
        <x:v>SMALL</x:v>
      </x:c>
      <x:c r="G922" t="str">
        <x:v>NO_PIT_FINANCIALS</x:v>
      </x:c>
      <x:c r="H922"/>
      <x:c r="I922" s="54" t="n">
        <x:v>44469</x:v>
      </x:c>
      <x:c r="J922" s="55" t="n">
        <x:v>2400</x:v>
      </x:c>
      <x:c r="K922" s="55" t="n">
        <x:v>12492000000</x:v>
      </x:c>
      <x:c r="L922" s="55" t="n">
        <x:v>5205000</x:v>
      </x:c>
      <x:c r="M922"/>
      <x:c r="N922"/>
      <x:c r="O922" s="54"/>
      <x:c r="P922"/>
      <x:c r="Q922"/>
      <x:c r="R922"/>
      <x:c r="S922"/>
      <x:c r="T922"/>
      <x:c r="U922" s="57"/>
      <x:c r="V922" s="57"/>
      <x:c r="W922"/>
      <x:c r="X922"/>
      <x:c r="Y922" s="38"/>
      <x:c r="Z922" s="38"/>
      <x:c r="AA922"/>
    </x:row>
    <x:row r="923">
      <x:c r="A923" s="54" t="n">
        <x:v>44469</x:v>
      </x:c>
      <x:c r="B923" t="n">
        <x:v>44469.624999988424</x:v>
      </x:c>
      <x:c r="C923" t="str">
        <x:v>059100</x:v>
      </x:c>
      <x:c r="D923" t="str">
        <x:v>아이컴포넌트</x:v>
      </x:c>
      <x:c r="E923" t="str">
        <x:v>KOSDAQ</x:v>
      </x:c>
      <x:c r="F923" t="str">
        <x:v>SMALL</x:v>
      </x:c>
      <x:c r="G923" t="str">
        <x:v>ELIGIBLE</x:v>
      </x:c>
      <x:c r="H923"/>
      <x:c r="I923" s="54" t="n">
        <x:v>44469</x:v>
      </x:c>
      <x:c r="J923" s="55" t="n">
        <x:v>7450</x:v>
      </x:c>
      <x:c r="K923" s="55" t="n">
        <x:v>52677907000</x:v>
      </x:c>
      <x:c r="L923" s="55" t="n">
        <x:v>7070860</x:v>
      </x:c>
      <x:c r="M923" t="str">
        <x:v>20210311000765</x:v>
      </x:c>
      <x:c r="N923" t="n">
        <x:v>44266.624999988424</x:v>
      </x:c>
      <x:c r="O923" s="54" t="n">
        <x:v>44196</x:v>
      </x:c>
      <x:c r="P923" t="str">
        <x:v>False</x:v>
      </x:c>
      <x:c r="Q923" t="str">
        <x:v>e8cc72608f865813347d3ac3b67e881eac226f73bcd56829c110b23f06258cce</x:v>
      </x:c>
      <x:c r="R923" t="str">
        <x:v>48be34b909c118c536d5c159d6264871b4cac2eae463f91fc1446ad07beca7f1</x:v>
      </x:c>
      <x:c r="S923" t="n">
        <x:v>7</x:v>
      </x:c>
      <x:c r="T923" t="str">
        <x:v>2018-12-31|2019-12-31|2020-12-31</x:v>
      </x:c>
      <x:c r="U923" s="57" t="n">
        <x:v>1452.886955925407</x:v>
      </x:c>
      <x:c r="V923" s="57" t="n">
        <x:v>-0.8049816166543078</x:v>
      </x:c>
      <x:c r="W923" t="n">
        <x:v>49</x:v>
      </x:c>
      <x:c r="X923" t="n">
        <x:v>5</x:v>
      </x:c>
      <x:c r="Y923" s="38" t="n">
        <x:v>0.6409090909090909</x:v>
      </x:c>
      <x:c r="Z923" s="38" t="n">
        <x:v>0.4521477467865818</x:v>
      </x:c>
      <x:c r="AA923"/>
    </x:row>
    <x:row r="924">
      <x:c r="A924" s="54" t="n">
        <x:v>44469</x:v>
      </x:c>
      <x:c r="B924" t="n">
        <x:v>44469.624999988424</x:v>
      </x:c>
      <x:c r="C924" t="str">
        <x:v>060900</x:v>
      </x:c>
      <x:c r="D924" t="str">
        <x:v>DGP</x:v>
      </x:c>
      <x:c r="E924" t="str">
        <x:v>KOSDAQ</x:v>
      </x:c>
      <x:c r="F924" t="str">
        <x:v>SMALL</x:v>
      </x:c>
      <x:c r="G924" t="str">
        <x:v>DCF_SCREENING_EXCLUSION</x:v>
      </x:c>
      <x:c r="H924" t="str">
        <x:v>NON_POSITIVE_ENTERPRISE_VALUE|NON_POSITIVE_EQUITY_VALUE|NON_POSITIVE_TERMINAL_FCF</x:v>
      </x:c>
      <x:c r="I924" s="54" t="n">
        <x:v>44469</x:v>
      </x:c>
      <x:c r="J924" s="55" t="n">
        <x:v>1280</x:v>
      </x:c>
      <x:c r="K924" s="55" t="n">
        <x:v>203783335680</x:v>
      </x:c>
      <x:c r="L924" s="55" t="n">
        <x:v>159205731</x:v>
      </x:c>
      <x:c r="M924" t="str">
        <x:v>20200331002242</x:v>
      </x:c>
      <x:c r="N924" t="n">
        <x:v>43921.624999988424</x:v>
      </x:c>
      <x:c r="O924" s="54" t="n">
        <x:v>43830</x:v>
      </x:c>
      <x:c r="P924" t="str">
        <x:v>True</x:v>
      </x:c>
      <x:c r="Q924" t="str">
        <x:v>ac50e7e79003451d6c3ef8f2db1976662fecb89d432a540a13b72785abeff2ae</x:v>
      </x:c>
      <x:c r="R924" t="str">
        <x:v>ebc1ff8d1acc2ff5dec2c6a71422731b5ff8f9eab544b1cf7d4333ee990e85a4</x:v>
      </x:c>
      <x:c r="S924" t="n">
        <x:v>5</x:v>
      </x:c>
      <x:c r="T924" t="str">
        <x:v>2018-12-31|2019-12-31</x:v>
      </x:c>
      <x:c r="U924" s="57" t="n">
        <x:v>-204.58258892442558</x:v>
      </x:c>
      <x:c r="V924" s="57" t="n">
        <x:v>-1.1598301475972075</x:v>
      </x:c>
      <x:c r="W924"/>
      <x:c r="X924"/>
      <x:c r="Y924" s="38" t="n">
        <x:v>0.6409090909090909</x:v>
      </x:c>
      <x:c r="Z924" s="38" t="n">
        <x:v>0.6282819266558984</x:v>
      </x:c>
      <x:c r="AA924" t="str">
        <x:v>NON_POSITIVE_ENTERPRISE_VALUE|NON_POSITIVE_EQUITY_VALUE|NON_POSITIVE_TERMINAL_FCF</x:v>
      </x:c>
    </x:row>
    <x:row r="925">
      <x:c r="A925" s="54" t="n">
        <x:v>44469</x:v>
      </x:c>
      <x:c r="B925" t="n">
        <x:v>44469.624999988424</x:v>
      </x:c>
      <x:c r="C925" t="str">
        <x:v>232830</x:v>
      </x:c>
      <x:c r="D925" t="str">
        <x:v>아이티센피엔에스</x:v>
      </x:c>
      <x:c r="E925" t="str">
        <x:v>KOSDAQ</x:v>
      </x:c>
      <x:c r="F925" t="str">
        <x:v>SMALL</x:v>
      </x:c>
      <x:c r="G925" t="str">
        <x:v>NO_PIT_FINANCIALS</x:v>
      </x:c>
      <x:c r="H925"/>
      <x:c r="I925" s="54" t="n">
        <x:v>44469</x:v>
      </x:c>
      <x:c r="J925" s="55" t="n">
        <x:v>3490</x:v>
      </x:c>
      <x:c r="K925" s="55" t="n">
        <x:v>33186521680</x:v>
      </x:c>
      <x:c r="L925" s="55" t="n">
        <x:v>9509032</x:v>
      </x:c>
      <x:c r="M925"/>
      <x:c r="N925"/>
      <x:c r="O925" s="54"/>
      <x:c r="P925"/>
      <x:c r="Q925"/>
      <x:c r="R925"/>
      <x:c r="S925"/>
      <x:c r="T925"/>
      <x:c r="U925" s="57"/>
      <x:c r="V925" s="57"/>
      <x:c r="W925"/>
      <x:c r="X925"/>
      <x:c r="Y925" s="38"/>
      <x:c r="Z925" s="38"/>
      <x:c r="AA925"/>
    </x:row>
    <x:row r="926">
      <x:c r="A926" s="54" t="n">
        <x:v>44469</x:v>
      </x:c>
      <x:c r="B926" t="n">
        <x:v>44469.624999988424</x:v>
      </x:c>
      <x:c r="C926" t="str">
        <x:v>070590</x:v>
      </x:c>
      <x:c r="D926" t="str">
        <x:v>한솔인티큐브</x:v>
      </x:c>
      <x:c r="E926" t="str">
        <x:v>KOSDAQ</x:v>
      </x:c>
      <x:c r="F926" t="str">
        <x:v>SMALL</x:v>
      </x:c>
      <x:c r="G926" t="str">
        <x:v>DCF_SCREENING_EXCLUSION</x:v>
      </x:c>
      <x:c r="H926" t="str">
        <x:v>NON_POSITIVE_ENTERPRISE_VALUE|NON_POSITIVE_TERMINAL_FCF</x:v>
      </x:c>
      <x:c r="I926" s="54" t="n">
        <x:v>44469</x:v>
      </x:c>
      <x:c r="J926" s="55" t="n">
        <x:v>3340</x:v>
      </x:c>
      <x:c r="K926" s="55" t="n">
        <x:v>46357600140</x:v>
      </x:c>
      <x:c r="L926" s="55" t="n">
        <x:v>13879521</x:v>
      </x:c>
      <x:c r="M926" t="str">
        <x:v>20210324000748</x:v>
      </x:c>
      <x:c r="N926" t="n">
        <x:v>44279.624999988424</x:v>
      </x:c>
      <x:c r="O926" s="54" t="n">
        <x:v>44196</x:v>
      </x:c>
      <x:c r="P926" t="str">
        <x:v>True</x:v>
      </x:c>
      <x:c r="Q926" t="str">
        <x:v>dfa3780e4437c8885beecb0e4a6500139dafb9959c6c3d2e500e3fb4c1a430cd</x:v>
      </x:c>
      <x:c r="R926" t="str">
        <x:v>eff4d268488a35cbdc032eea9891367baeb650ad8e2dfcdb02709b589d77b61c</x:v>
      </x:c>
      <x:c r="S926" t="n">
        <x:v>6</x:v>
      </x:c>
      <x:c r="T926" t="str">
        <x:v>2018-12-31|2019-12-31|2020-12-31</x:v>
      </x:c>
      <x:c r="U926" s="57" t="n">
        <x:v>325.13457471873176</x:v>
      </x:c>
      <x:c r="V926" s="57" t="n">
        <x:v>-0.9026543189464875</x:v>
      </x:c>
      <x:c r="W926"/>
      <x:c r="X926"/>
      <x:c r="Y926" s="38" t="n">
        <x:v>0.6409090909090909</x:v>
      </x:c>
      <x:c r="Z926" s="38" t="n">
        <x:v>0.38507863592467434</x:v>
      </x:c>
      <x:c r="AA926" t="str">
        <x:v>NON_POSITIVE_ENTERPRISE_VALUE|NON_POSITIVE_TERMINAL_FCF</x:v>
      </x:c>
    </x:row>
    <x:row r="927">
      <x:c r="A927" s="54" t="n">
        <x:v>44469</x:v>
      </x:c>
      <x:c r="B927" t="n">
        <x:v>44469.624999988424</x:v>
      </x:c>
      <x:c r="C927" t="str">
        <x:v>163560</x:v>
      </x:c>
      <x:c r="D927" t="str">
        <x:v>동일고무벨트</x:v>
      </x:c>
      <x:c r="E927" t="str">
        <x:v>KOSPI</x:v>
      </x:c>
      <x:c r="F927" t="str">
        <x:v>SMALL</x:v>
      </x:c>
      <x:c r="G927" t="str">
        <x:v>ELIGIBLE</x:v>
      </x:c>
      <x:c r="H927"/>
      <x:c r="I927" s="54" t="n">
        <x:v>44469</x:v>
      </x:c>
      <x:c r="J927" s="55" t="n">
        <x:v>8390</x:v>
      </x:c>
      <x:c r="K927" s="55" t="n">
        <x:v>116621000000</x:v>
      </x:c>
      <x:c r="L927" s="55" t="n">
        <x:v>13900000</x:v>
      </x:c>
      <x:c r="M927" t="str">
        <x:v>20210315000958</x:v>
      </x:c>
      <x:c r="N927" t="n">
        <x:v>44270.624999988424</x:v>
      </x:c>
      <x:c r="O927" s="54" t="n">
        <x:v>44196</x:v>
      </x:c>
      <x:c r="P927" t="str">
        <x:v>False</x:v>
      </x:c>
      <x:c r="Q927" t="str">
        <x:v>baef3f3b4fd2cd0561db58dee801c4b1083a7eab3be7089842215efc57393a0f</x:v>
      </x:c>
      <x:c r="R927" t="str">
        <x:v>58f62cbe7203fe035b5c136891b5d43d1a5b5498301e4f4ae449c65b96ffd31e</x:v>
      </x:c>
      <x:c r="S927" t="n">
        <x:v>5</x:v>
      </x:c>
      <x:c r="T927" t="str">
        <x:v>2018-12-31|2019-12-31|2020-12-31</x:v>
      </x:c>
      <x:c r="U927" s="57" t="n">
        <x:v>7136.684095856287</x:v>
      </x:c>
      <x:c r="V927" s="57" t="n">
        <x:v>-0.14938211014823752</x:v>
      </x:c>
      <x:c r="W927" t="n">
        <x:v>17</x:v>
      </x:c>
      <x:c r="X927" t="n">
        <x:v>2</x:v>
      </x:c>
      <x:c r="Y927" s="38" t="n">
        <x:v>0.6409090909090909</x:v>
      </x:c>
      <x:c r="Z927" s="38" t="n">
        <x:v>0.5969551920077337</x:v>
      </x:c>
      <x:c r="AA927"/>
    </x:row>
    <x:row r="928">
      <x:c r="A928" s="54" t="n">
        <x:v>44469</x:v>
      </x:c>
      <x:c r="B928" t="n">
        <x:v>44469.624999988424</x:v>
      </x:c>
      <x:c r="C928" t="str">
        <x:v>004830</x:v>
      </x:c>
      <x:c r="D928" t="str">
        <x:v>덕성</x:v>
      </x:c>
      <x:c r="E928" t="str">
        <x:v>KOSPI</x:v>
      </x:c>
      <x:c r="F928" t="str">
        <x:v>SMALL</x:v>
      </x:c>
      <x:c r="G928" t="str">
        <x:v>DCF_SCREENING_EXCLUSION</x:v>
      </x:c>
      <x:c r="H928" t="str">
        <x:v>NON_POSITIVE_EQUITY_VALUE</x:v>
      </x:c>
      <x:c r="I928" s="54" t="n">
        <x:v>44469</x:v>
      </x:c>
      <x:c r="J928" s="55" t="n">
        <x:v>15900</x:v>
      </x:c>
      <x:c r="K928" s="55" t="n">
        <x:v>249312000000</x:v>
      </x:c>
      <x:c r="L928" s="55" t="n">
        <x:v>15680000</x:v>
      </x:c>
      <x:c r="M928" t="str">
        <x:v>20210319000522</x:v>
      </x:c>
      <x:c r="N928" t="n">
        <x:v>44274.624999988424</x:v>
      </x:c>
      <x:c r="O928" s="54" t="n">
        <x:v>44196</x:v>
      </x:c>
      <x:c r="P928" t="str">
        <x:v>False</x:v>
      </x:c>
      <x:c r="Q928" t="str">
        <x:v>42ee1e84d81634c21d6976fba98c4b5bca4d9df00c8a43afcf479eca2a3931d5</x:v>
      </x:c>
      <x:c r="R928" t="str">
        <x:v>1e77d4b7fd914b609a8404cdc068c6f747e4dcae104cca6760ea2cea87b7c693</x:v>
      </x:c>
      <x:c r="S928" t="n">
        <x:v>7</x:v>
      </x:c>
      <x:c r="T928" t="str">
        <x:v>2018-12-31|2019-12-31|2020-12-31</x:v>
      </x:c>
      <x:c r="U928" s="57" t="n">
        <x:v>-515.0099349836735</x:v>
      </x:c>
      <x:c r="V928" s="57" t="n">
        <x:v>-1.0323905619486586</x:v>
      </x:c>
      <x:c r="W928"/>
      <x:c r="X928"/>
      <x:c r="Y928" s="38" t="n">
        <x:v>0.6409090909090909</x:v>
      </x:c>
      <x:c r="Z928" s="38" t="n">
        <x:v>0.5348293753544032</x:v>
      </x:c>
      <x:c r="AA928" t="str">
        <x:v>NON_POSITIVE_EQUITY_VALUE</x:v>
      </x:c>
    </x:row>
    <x:row r="929">
      <x:c r="A929" s="54" t="n">
        <x:v>44469</x:v>
      </x:c>
      <x:c r="B929" t="n">
        <x:v>44469.624999988424</x:v>
      </x:c>
      <x:c r="C929" t="str">
        <x:v>014440</x:v>
      </x:c>
      <x:c r="D929" t="str">
        <x:v>영보화학</x:v>
      </x:c>
      <x:c r="E929" t="str">
        <x:v>KOSPI</x:v>
      </x:c>
      <x:c r="F929" t="str">
        <x:v>SMALL</x:v>
      </x:c>
      <x:c r="G929" t="str">
        <x:v>ELIGIBLE</x:v>
      </x:c>
      <x:c r="H929"/>
      <x:c r="I929" s="54" t="n">
        <x:v>44469</x:v>
      </x:c>
      <x:c r="J929" s="55" t="n">
        <x:v>4430</x:v>
      </x:c>
      <x:c r="K929" s="55" t="n">
        <x:v>88600000000</x:v>
      </x:c>
      <x:c r="L929" s="55" t="n">
        <x:v>20000000</x:v>
      </x:c>
      <x:c r="M929" t="str">
        <x:v>20210316000221</x:v>
      </x:c>
      <x:c r="N929" t="n">
        <x:v>44271.624999988424</x:v>
      </x:c>
      <x:c r="O929" s="54" t="n">
        <x:v>44196</x:v>
      </x:c>
      <x:c r="P929" t="str">
        <x:v>False</x:v>
      </x:c>
      <x:c r="Q929" t="str">
        <x:v>f0de45c57636ab96dbf1b7817b17503dafe80a609e11e7a88c8cecfb9010a072</x:v>
      </x:c>
      <x:c r="R929" t="str">
        <x:v>6e00c4edc0a60b1f6905bc60922501009c3ca8c1d98c3fa4190ab12b5fa4b69e</x:v>
      </x:c>
      <x:c r="S929" t="n">
        <x:v>6</x:v>
      </x:c>
      <x:c r="T929" t="str">
        <x:v>2018-12-31|2019-12-31|2020-12-31</x:v>
      </x:c>
      <x:c r="U929" s="57" t="n">
        <x:v>1677.1958772264159</x:v>
      </x:c>
      <x:c r="V929" s="57" t="n">
        <x:v>-0.621400479181396</x:v>
      </x:c>
      <x:c r="W929" t="n">
        <x:v>35</x:v>
      </x:c>
      <x:c r="X929" t="n">
        <x:v>3</x:v>
      </x:c>
      <x:c r="Y929" s="38" t="n">
        <x:v>0.6409090909090909</x:v>
      </x:c>
      <x:c r="Z929" s="38" t="n">
        <x:v>0.4237287308061816</x:v>
      </x:c>
      <x:c r="AA929"/>
    </x:row>
    <x:row r="930">
      <x:c r="A930" s="54" t="n">
        <x:v>44469</x:v>
      </x:c>
      <x:c r="B930" t="n">
        <x:v>44469.624999988424</x:v>
      </x:c>
      <x:c r="C930" t="str">
        <x:v>009180</x:v>
      </x:c>
      <x:c r="D930" t="str">
        <x:v>한솔로지스틱스</x:v>
      </x:c>
      <x:c r="E930" t="str">
        <x:v>KOSPI</x:v>
      </x:c>
      <x:c r="F930" t="str">
        <x:v>SMALL</x:v>
      </x:c>
      <x:c r="G930" t="str">
        <x:v>ELIGIBLE</x:v>
      </x:c>
      <x:c r="H930"/>
      <x:c r="I930" s="54" t="n">
        <x:v>44469</x:v>
      </x:c>
      <x:c r="J930" s="55" t="n">
        <x:v>4585</x:v>
      </x:c>
      <x:c r="K930" s="55" t="n">
        <x:v>125983993625</x:v>
      </x:c>
      <x:c r="L930" s="55" t="n">
        <x:v>27477425</x:v>
      </x:c>
      <x:c r="M930" t="str">
        <x:v>20210316000126</x:v>
      </x:c>
      <x:c r="N930" t="n">
        <x:v>44271.624999988424</x:v>
      </x:c>
      <x:c r="O930" s="54" t="n">
        <x:v>44196</x:v>
      </x:c>
      <x:c r="P930" t="str">
        <x:v>False</x:v>
      </x:c>
      <x:c r="Q930" t="str">
        <x:v>90358983e6569ad1d37fec52c0d95d31983184295b716229d09300a8c1f981f8</x:v>
      </x:c>
      <x:c r="R930" t="str">
        <x:v>0425530dda02ff62a3f50e81c446cd2767797c01c2fd7b16c3ff06b61662092b</x:v>
      </x:c>
      <x:c r="S930" t="n">
        <x:v>6</x:v>
      </x:c>
      <x:c r="T930" t="str">
        <x:v>2018-12-31|2019-12-31|2020-12-31</x:v>
      </x:c>
      <x:c r="U930" s="57" t="n">
        <x:v>1545.9505137720944</x:v>
      </x:c>
      <x:c r="V930" s="57" t="n">
        <x:v>-0.6628243154259337</x:v>
      </x:c>
      <x:c r="W930" t="n">
        <x:v>39</x:v>
      </x:c>
      <x:c r="X930" t="n">
        <x:v>4</x:v>
      </x:c>
      <x:c r="Y930" s="38" t="n">
        <x:v>0.6409090909090909</x:v>
      </x:c>
      <x:c r="Z930" s="38" t="n">
        <x:v>0.6173210181480715</x:v>
      </x:c>
      <x:c r="AA930"/>
    </x:row>
    <x:row r="931">
      <x:c r="A931" s="54" t="n">
        <x:v>44469</x:v>
      </x:c>
      <x:c r="B931" t="n">
        <x:v>44469.624999988424</x:v>
      </x:c>
      <x:c r="C931" t="str">
        <x:v>004910</x:v>
      </x:c>
      <x:c r="D931" t="str">
        <x:v>조광페인트</x:v>
      </x:c>
      <x:c r="E931" t="str">
        <x:v>KOSPI</x:v>
      </x:c>
      <x:c r="F931" t="str">
        <x:v>SMALL</x:v>
      </x:c>
      <x:c r="G931" t="str">
        <x:v>DCF_SCREENING_EXCLUSION</x:v>
      </x:c>
      <x:c r="H931" t="str">
        <x:v>NON_POSITIVE_ENTERPRISE_VALUE|NON_POSITIVE_EQUITY_VALUE|NON_POSITIVE_TERMINAL_FCF</x:v>
      </x:c>
      <x:c r="I931" s="54" t="n">
        <x:v>44469</x:v>
      </x:c>
      <x:c r="J931" s="55" t="n">
        <x:v>8180</x:v>
      </x:c>
      <x:c r="K931" s="55" t="n">
        <x:v>104704000000</x:v>
      </x:c>
      <x:c r="L931" s="55" t="n">
        <x:v>12800000</x:v>
      </x:c>
      <x:c r="M931" t="str">
        <x:v>20210419000042</x:v>
      </x:c>
      <x:c r="N931" t="n">
        <x:v>44305.624999988424</x:v>
      </x:c>
      <x:c r="O931" s="54" t="n">
        <x:v>44196</x:v>
      </x:c>
      <x:c r="P931" t="str">
        <x:v>True</x:v>
      </x:c>
      <x:c r="Q931" t="str">
        <x:v>31371b53e6968f0c727be36f621b75a0325fb63257f7a6cf4f6fcde45b9b8ca9</x:v>
      </x:c>
      <x:c r="R931" t="str">
        <x:v>f09edd0f60787c0ce79550e680d73af72e2ed75233d33e6d2afc27c291748506</x:v>
      </x:c>
      <x:c r="S931" t="n">
        <x:v>6</x:v>
      </x:c>
      <x:c r="T931" t="str">
        <x:v>2018-12-31|2019-12-31|2020-12-31</x:v>
      </x:c>
      <x:c r="U931" s="57" t="n">
        <x:v>-8516.353403523093</x:v>
      </x:c>
      <x:c r="V931" s="57" t="n">
        <x:v>-2.0411189979857083</x:v>
      </x:c>
      <x:c r="W931"/>
      <x:c r="X931"/>
      <x:c r="Y931" s="38" t="n">
        <x:v>0.6409090909090909</x:v>
      </x:c>
      <x:c r="Z931" s="38" t="n">
        <x:v>0.5597063952745717</x:v>
      </x:c>
      <x:c r="AA931" t="str">
        <x:v>NON_POSITIVE_ENTERPRISE_VALUE|NON_POSITIVE_EQUITY_VALUE|NON_POSITIVE_TERMINAL_FCF</x:v>
      </x:c>
    </x:row>
    <x:row r="932">
      <x:c r="A932" s="54" t="n">
        <x:v>44469</x:v>
      </x:c>
      <x:c r="B932" t="n">
        <x:v>44469.624999988424</x:v>
      </x:c>
      <x:c r="C932" t="str">
        <x:v>004870</x:v>
      </x:c>
      <x:c r="D932" t="str">
        <x:v>티웨이홀딩스</x:v>
      </x:c>
      <x:c r="E932" t="str">
        <x:v>KOSPI</x:v>
      </x:c>
      <x:c r="F932" t="str">
        <x:v>SMALL</x:v>
      </x:c>
      <x:c r="G932" t="str">
        <x:v>EXCLUDED_ARCHETYPE</x:v>
      </x:c>
      <x:c r="H932" t="str">
        <x:v>FCFF_NOT_COMPARABLE_FOR_FINANCE_OR_HOLDING_HINT</x:v>
      </x:c>
      <x:c r="I932" s="54"/>
      <x:c r="J932" s="55"/>
      <x:c r="K932" s="55"/>
      <x:c r="L932" s="55"/>
      <x:c r="M932"/>
      <x:c r="N932"/>
      <x:c r="O932" s="54"/>
      <x:c r="P932"/>
      <x:c r="Q932"/>
      <x:c r="R932"/>
      <x:c r="S932"/>
      <x:c r="T932"/>
      <x:c r="U932" s="57"/>
      <x:c r="V932" s="57"/>
      <x:c r="W932"/>
      <x:c r="X932"/>
      <x:c r="Y932" s="38"/>
      <x:c r="Z932" s="38"/>
      <x:c r="AA932"/>
    </x:row>
    <x:row r="933">
      <x:c r="A933" s="54" t="n">
        <x:v>44469</x:v>
      </x:c>
      <x:c r="B933" t="n">
        <x:v>44469.624999988424</x:v>
      </x:c>
      <x:c r="C933" t="str">
        <x:v>010770</x:v>
      </x:c>
      <x:c r="D933" t="str">
        <x:v>평화홀딩스</x:v>
      </x:c>
      <x:c r="E933" t="str">
        <x:v>KOSPI</x:v>
      </x:c>
      <x:c r="F933" t="str">
        <x:v>SMALL</x:v>
      </x:c>
      <x:c r="G933" t="str">
        <x:v>EXCLUDED_ARCHETYPE</x:v>
      </x:c>
      <x:c r="H933" t="str">
        <x:v>FCFF_NOT_COMPARABLE_FOR_FINANCE_OR_HOLDING_HINT</x:v>
      </x:c>
      <x:c r="I933" s="54"/>
      <x:c r="J933" s="55"/>
      <x:c r="K933" s="55"/>
      <x:c r="L933" s="55"/>
      <x:c r="M933"/>
      <x:c r="N933"/>
      <x:c r="O933" s="54"/>
      <x:c r="P933"/>
      <x:c r="Q933"/>
      <x:c r="R933"/>
      <x:c r="S933"/>
      <x:c r="T933"/>
      <x:c r="U933" s="57"/>
      <x:c r="V933" s="57"/>
      <x:c r="W933"/>
      <x:c r="X933"/>
      <x:c r="Y933" s="38"/>
      <x:c r="Z933" s="38"/>
      <x:c r="AA933"/>
    </x:row>
    <x:row r="934">
      <x:c r="A934" s="54" t="n">
        <x:v>44469</x:v>
      </x:c>
      <x:c r="B934" t="n">
        <x:v>44469.624999988424</x:v>
      </x:c>
      <x:c r="C934" t="str">
        <x:v>001290</x:v>
      </x:c>
      <x:c r="D934" t="str">
        <x:v>상상인증권</x:v>
      </x:c>
      <x:c r="E934" t="str">
        <x:v>KOSPI</x:v>
      </x:c>
      <x:c r="F934" t="str">
        <x:v>SMALL</x:v>
      </x:c>
      <x:c r="G934" t="str">
        <x:v>EXCLUDED_ARCHETYPE</x:v>
      </x:c>
      <x:c r="H934" t="str">
        <x:v>FCFF_NOT_COMPARABLE_FOR_FINANCE_OR_HOLDING_HINT</x:v>
      </x:c>
      <x:c r="I934" s="54"/>
      <x:c r="J934" s="55"/>
      <x:c r="K934" s="55"/>
      <x:c r="L934" s="55"/>
      <x:c r="M934"/>
      <x:c r="N934"/>
      <x:c r="O934" s="54"/>
      <x:c r="P934"/>
      <x:c r="Q934"/>
      <x:c r="R934"/>
      <x:c r="S934"/>
      <x:c r="T934"/>
      <x:c r="U934" s="57"/>
      <x:c r="V934" s="57"/>
      <x:c r="W934"/>
      <x:c r="X934"/>
      <x:c r="Y934" s="38"/>
      <x:c r="Z934" s="38"/>
      <x:c r="AA934"/>
    </x:row>
    <x:row r="935">
      <x:c r="A935" s="54" t="n">
        <x:v>44469</x:v>
      </x:c>
      <x:c r="B935" t="n">
        <x:v>44469.624999988424</x:v>
      </x:c>
      <x:c r="C935" t="str">
        <x:v>047400</x:v>
      </x:c>
      <x:c r="D935" t="str">
        <x:v>유니온머티리얼</x:v>
      </x:c>
      <x:c r="E935" t="str">
        <x:v>KOSPI</x:v>
      </x:c>
      <x:c r="F935" t="str">
        <x:v>SMALL</x:v>
      </x:c>
      <x:c r="G935" t="str">
        <x:v>DCF_SCREENING_EXCLUSION</x:v>
      </x:c>
      <x:c r="H935" t="str">
        <x:v>NON_POSITIVE_ENTERPRISE_VALUE|NON_POSITIVE_EQUITY_VALUE|NON_POSITIVE_TERMINAL_FCF</x:v>
      </x:c>
      <x:c r="I935" s="54" t="n">
        <x:v>44469</x:v>
      </x:c>
      <x:c r="J935" s="55" t="n">
        <x:v>2975</x:v>
      </x:c>
      <x:c r="K935" s="55" t="n">
        <x:v>124950000000</x:v>
      </x:c>
      <x:c r="L935" s="55" t="n">
        <x:v>42000000</x:v>
      </x:c>
      <x:c r="M935" t="str">
        <x:v>20210324000592</x:v>
      </x:c>
      <x:c r="N935" t="n">
        <x:v>44279.624999988424</x:v>
      </x:c>
      <x:c r="O935" s="54" t="n">
        <x:v>44196</x:v>
      </x:c>
      <x:c r="P935" t="str">
        <x:v>True</x:v>
      </x:c>
      <x:c r="Q935" t="str">
        <x:v>2faed762bece4efe260acd74c17d74346c8ef6aa6f53afdefa1b978c7dc7d052</x:v>
      </x:c>
      <x:c r="R935" t="str">
        <x:v>31d12ab9f9e271f68ae744302cac793c6f69bc826b0d79a0a29618eb0857f543</x:v>
      </x:c>
      <x:c r="S935" t="n">
        <x:v>7</x:v>
      </x:c>
      <x:c r="T935" t="str">
        <x:v>2018-12-31|2019-12-31|2020-12-31</x:v>
      </x:c>
      <x:c r="U935" s="57" t="n">
        <x:v>-2229.2135837385426</x:v>
      </x:c>
      <x:c r="V935" s="57" t="n">
        <x:v>-1.7493154903322832</x:v>
      </x:c>
      <x:c r="W935"/>
      <x:c r="X935"/>
      <x:c r="Y935" s="38" t="n">
        <x:v>0.6409090909090909</x:v>
      </x:c>
      <x:c r="Z935" s="38" t="n">
        <x:v>0.6735834371960262</x:v>
      </x:c>
      <x:c r="AA935" t="str">
        <x:v>NON_POSITIVE_ENTERPRISE_VALUE|NON_POSITIVE_EQUITY_VALUE|NON_POSITIVE_TERMINAL_FCF</x:v>
      </x:c>
    </x:row>
    <x:row r="936">
      <x:c r="A936" s="54" t="n">
        <x:v>44469</x:v>
      </x:c>
      <x:c r="B936" t="n">
        <x:v>44469.624999988424</x:v>
      </x:c>
      <x:c r="C936" t="str">
        <x:v>011300</x:v>
      </x:c>
      <x:c r="D936" t="str">
        <x:v>성안머티리얼스</x:v>
      </x:c>
      <x:c r="E936" t="str">
        <x:v>KOSPI</x:v>
      </x:c>
      <x:c r="F936" t="str">
        <x:v>SMALL</x:v>
      </x:c>
      <x:c r="G936" t="str">
        <x:v>DCF_SCREENING_EXCLUSION</x:v>
      </x:c>
      <x:c r="H936" t="str">
        <x:v>NON_POSITIVE_ENTERPRISE_VALUE|NON_POSITIVE_EQUITY_VALUE|NON_POSITIVE_TERMINAL_FCF</x:v>
      </x:c>
      <x:c r="I936" s="54" t="n">
        <x:v>44469</x:v>
      </x:c>
      <x:c r="J936" s="55" t="n">
        <x:v>787</x:v>
      </x:c>
      <x:c r="K936" s="55" t="n">
        <x:v>44747135820</x:v>
      </x:c>
      <x:c r="L936" s="55" t="n">
        <x:v>56857860</x:v>
      </x:c>
      <x:c r="M936" t="str">
        <x:v>20210322001033</x:v>
      </x:c>
      <x:c r="N936" t="n">
        <x:v>44277.624999988424</x:v>
      </x:c>
      <x:c r="O936" s="54" t="n">
        <x:v>44196</x:v>
      </x:c>
      <x:c r="P936" t="str">
        <x:v>False</x:v>
      </x:c>
      <x:c r="Q936" t="str">
        <x:v>2106ea223b55759e99c628e42f0aa4dd1146510d88b1409612128df1eff9bb36</x:v>
      </x:c>
      <x:c r="R936" t="str">
        <x:v>1bd0848bc249c4a18db15bd306d437f4d88fa539be03604db1eecc8b9aa8505f</x:v>
      </x:c>
      <x:c r="S936" t="n">
        <x:v>7</x:v>
      </x:c>
      <x:c r="T936" t="str">
        <x:v>2018-12-31|2019-12-31|2020-12-31</x:v>
      </x:c>
      <x:c r="U936" s="57" t="n">
        <x:v>-553.6379200498221</x:v>
      </x:c>
      <x:c r="V936" s="57" t="n">
        <x:v>-1.7034789327189608</x:v>
      </x:c>
      <x:c r="W936"/>
      <x:c r="X936"/>
      <x:c r="Y936" s="38" t="n">
        <x:v>0.6409090909090909</x:v>
      </x:c>
      <x:c r="Z936" s="38" t="n">
        <x:v>0.5433432522394165</x:v>
      </x:c>
      <x:c r="AA936" t="str">
        <x:v>NON_POSITIVE_ENTERPRISE_VALUE|NON_POSITIVE_EQUITY_VALUE|NON_POSITIVE_TERMINAL_FCF</x:v>
      </x:c>
    </x:row>
    <x:row r="937">
      <x:c r="A937" s="54" t="n">
        <x:v>44469</x:v>
      </x:c>
      <x:c r="B937" t="n">
        <x:v>44469.624999988424</x:v>
      </x:c>
      <x:c r="C937" t="str">
        <x:v>018500</x:v>
      </x:c>
      <x:c r="D937" t="str">
        <x:v>동원금속</x:v>
      </x:c>
      <x:c r="E937" t="str">
        <x:v>KOSPI</x:v>
      </x:c>
      <x:c r="F937" t="str">
        <x:v>SMALL</x:v>
      </x:c>
      <x:c r="G937" t="str">
        <x:v>DCF_SCREENING_EXCLUSION</x:v>
      </x:c>
      <x:c r="H937" t="str">
        <x:v>NON_POSITIVE_ENTERPRISE_VALUE|NON_POSITIVE_EQUITY_VALUE|NON_POSITIVE_TERMINAL_FCF</x:v>
      </x:c>
      <x:c r="I937" s="54" t="n">
        <x:v>44469</x:v>
      </x:c>
      <x:c r="J937" s="55" t="n">
        <x:v>1030</x:v>
      </x:c>
      <x:c r="K937" s="55" t="n">
        <x:v>48157580990</x:v>
      </x:c>
      <x:c r="L937" s="55" t="n">
        <x:v>46754933</x:v>
      </x:c>
      <x:c r="M937" t="str">
        <x:v>20210706000358</x:v>
      </x:c>
      <x:c r="N937" t="n">
        <x:v>44383.624999988424</x:v>
      </x:c>
      <x:c r="O937" s="54" t="n">
        <x:v>44286</x:v>
      </x:c>
      <x:c r="P937" t="str">
        <x:v>True</x:v>
      </x:c>
      <x:c r="Q937" t="str">
        <x:v>34acd4b6c3c90f671df7c2ff4fbad14dcf4b042bba48e36d00996832fd2d94e8</x:v>
      </x:c>
      <x:c r="R937" t="str">
        <x:v>f45dcfeb5d3acbf32f6ffb4ab54abf9ce874566c82fd293e98007c31f788c248</x:v>
      </x:c>
      <x:c r="S937" t="n">
        <x:v>6</x:v>
      </x:c>
      <x:c r="T937" t="str">
        <x:v>2019-03-31|2020-03-31|2021-03-31</x:v>
      </x:c>
      <x:c r="U937" s="57" t="n">
        <x:v>-5809.189378425994</x:v>
      </x:c>
      <x:c r="V937" s="57" t="n">
        <x:v>-6.6399896877922275</x:v>
      </x:c>
      <x:c r="W937"/>
      <x:c r="X937"/>
      <x:c r="Y937" s="38" t="n">
        <x:v>0.6409090909090909</x:v>
      </x:c>
      <x:c r="Z937" s="38" t="n">
        <x:v>0.6275845905541696</x:v>
      </x:c>
      <x:c r="AA937" t="str">
        <x:v>NON_POSITIVE_ENTERPRISE_VALUE|NON_POSITIVE_EQUITY_VALUE|NON_POSITIVE_TERMINAL_FCF</x:v>
      </x:c>
    </x:row>
    <x:row r="938">
      <x:c r="A938" s="54" t="n">
        <x:v>44469</x:v>
      </x:c>
      <x:c r="B938" t="n">
        <x:v>44469.624999988424</x:v>
      </x:c>
      <x:c r="C938" t="str">
        <x:v>004770</x:v>
      </x:c>
      <x:c r="D938" t="str">
        <x:v>써니전자</x:v>
      </x:c>
      <x:c r="E938" t="str">
        <x:v>KOSPI</x:v>
      </x:c>
      <x:c r="F938" t="str">
        <x:v>SMALL</x:v>
      </x:c>
      <x:c r="G938" t="str">
        <x:v>ELIGIBLE</x:v>
      </x:c>
      <x:c r="H938"/>
      <x:c r="I938" s="54" t="n">
        <x:v>44469</x:v>
      </x:c>
      <x:c r="J938" s="55" t="n">
        <x:v>3370</x:v>
      </x:c>
      <x:c r="K938" s="55" t="n">
        <x:v>117427687070</x:v>
      </x:c>
      <x:c r="L938" s="55" t="n">
        <x:v>34845011</x:v>
      </x:c>
      <x:c r="M938" t="str">
        <x:v>20210318001127</x:v>
      </x:c>
      <x:c r="N938" t="n">
        <x:v>44273.624999988424</x:v>
      </x:c>
      <x:c r="O938" s="54" t="n">
        <x:v>44196</x:v>
      </x:c>
      <x:c r="P938" t="str">
        <x:v>False</x:v>
      </x:c>
      <x:c r="Q938" t="str">
        <x:v>8b46655e02d4d6df87342d4e9f3beed4234a02867bf3c0cc2acaf8a4b4b8ceff</x:v>
      </x:c>
      <x:c r="R938" t="str">
        <x:v>2d64983843eedd99a29c8a305de0e6225eef28cdaaf42e87f829e3e2ae667fae</x:v>
      </x:c>
      <x:c r="S938" t="n">
        <x:v>7</x:v>
      </x:c>
      <x:c r="T938" t="str">
        <x:v>2018-12-31|2019-12-31|2020-12-31</x:v>
      </x:c>
      <x:c r="U938" s="57" t="n">
        <x:v>377.3620034860074</x:v>
      </x:c>
      <x:c r="V938" s="57" t="n">
        <x:v>-0.8880231443661699</x:v>
      </x:c>
      <x:c r="W938" t="n">
        <x:v>54</x:v>
      </x:c>
      <x:c r="X938" t="n">
        <x:v>5</x:v>
      </x:c>
      <x:c r="Y938" s="38" t="n">
        <x:v>0.6409090909090909</x:v>
      </x:c>
      <x:c r="Z938" s="38" t="n">
        <x:v>0.6197720007781818</x:v>
      </x:c>
      <x:c r="AA938"/>
    </x:row>
    <x:row r="939">
      <x:c r="A939" s="54" t="n">
        <x:v>44469</x:v>
      </x:c>
      <x:c r="B939" t="n">
        <x:v>44469.624999988424</x:v>
      </x:c>
      <x:c r="C939" t="str">
        <x:v>000890</x:v>
      </x:c>
      <x:c r="D939" t="str">
        <x:v>보해양조</x:v>
      </x:c>
      <x:c r="E939" t="str">
        <x:v>KOSPI</x:v>
      </x:c>
      <x:c r="F939" t="str">
        <x:v>SMALL</x:v>
      </x:c>
      <x:c r="G939" t="str">
        <x:v>DCF_SCREENING_EXCLUSION</x:v>
      </x:c>
      <x:c r="H939" t="str">
        <x:v>NON_POSITIVE_ENTERPRISE_VALUE|NON_POSITIVE_EQUITY_VALUE|NON_POSITIVE_TERMINAL_FCF</x:v>
      </x:c>
      <x:c r="I939" s="54" t="n">
        <x:v>44469</x:v>
      </x:c>
      <x:c r="J939" s="55" t="n">
        <x:v>999</x:v>
      </x:c>
      <x:c r="K939" s="55" t="n">
        <x:v>136649193021</x:v>
      </x:c>
      <x:c r="L939" s="55" t="n">
        <x:v>136785979</x:v>
      </x:c>
      <x:c r="M939" t="str">
        <x:v>20210319001392</x:v>
      </x:c>
      <x:c r="N939" t="n">
        <x:v>44274.624999988424</x:v>
      </x:c>
      <x:c r="O939" s="54" t="n">
        <x:v>44196</x:v>
      </x:c>
      <x:c r="P939" t="str">
        <x:v>False</x:v>
      </x:c>
      <x:c r="Q939" t="str">
        <x:v>3ebd0ea485dc0545ca2c22786df39759939993a7fe3ad4d4e499c45ece23d6af</x:v>
      </x:c>
      <x:c r="R939" t="str">
        <x:v>3d3a12bbb7c7aba20832505d64161e571ecfdd76d0d3491c6f35c84ea3ed6531</x:v>
      </x:c>
      <x:c r="S939" t="n">
        <x:v>6</x:v>
      </x:c>
      <x:c r="T939" t="str">
        <x:v>2018-12-31|2019-12-31|2020-12-31</x:v>
      </x:c>
      <x:c r="U939" s="57" t="n">
        <x:v>-639.2960277060148</x:v>
      </x:c>
      <x:c r="V939" s="57" t="n">
        <x:v>-1.6399359636696844</x:v>
      </x:c>
      <x:c r="W939"/>
      <x:c r="X939"/>
      <x:c r="Y939" s="38" t="n">
        <x:v>0.6409090909090909</x:v>
      </x:c>
      <x:c r="Z939" s="38" t="n">
        <x:v>0.8074010878060912</x:v>
      </x:c>
      <x:c r="AA939" t="str">
        <x:v>NON_POSITIVE_ENTERPRISE_VALUE|NON_POSITIVE_EQUITY_VALUE|NON_POSITIVE_TERMINAL_FCF</x:v>
      </x:c>
    </x:row>
    <x:row r="940">
      <x:c r="A940" s="54" t="n">
        <x:v>44469</x:v>
      </x:c>
      <x:c r="B940" t="n">
        <x:v>44469.624999988424</x:v>
      </x:c>
      <x:c r="C940" t="str">
        <x:v>021050</x:v>
      </x:c>
      <x:c r="D940" t="str">
        <x:v>서원</x:v>
      </x:c>
      <x:c r="E940" t="str">
        <x:v>KOSPI</x:v>
      </x:c>
      <x:c r="F940" t="str">
        <x:v>SMALL</x:v>
      </x:c>
      <x:c r="G940" t="str">
        <x:v>DCF_SCREENING_EXCLUSION</x:v>
      </x:c>
      <x:c r="H940" t="str">
        <x:v>NON_POSITIVE_EQUITY_VALUE</x:v>
      </x:c>
      <x:c r="I940" s="54" t="n">
        <x:v>44469</x:v>
      </x:c>
      <x:c r="J940" s="55" t="n">
        <x:v>2315</x:v>
      </x:c>
      <x:c r="K940" s="55" t="n">
        <x:v>109903675850</x:v>
      </x:c>
      <x:c r="L940" s="55" t="n">
        <x:v>47474590</x:v>
      </x:c>
      <x:c r="M940" t="str">
        <x:v>20210316000275</x:v>
      </x:c>
      <x:c r="N940" t="n">
        <x:v>44271.624999988424</x:v>
      </x:c>
      <x:c r="O940" s="54" t="n">
        <x:v>44196</x:v>
      </x:c>
      <x:c r="P940" t="str">
        <x:v>True</x:v>
      </x:c>
      <x:c r="Q940" t="str">
        <x:v>73efdb882c6dbec046e0a85be6bef5efcbde2e790f362d5f982aa2fa5d60c28d</x:v>
      </x:c>
      <x:c r="R940" t="str">
        <x:v>d801b90908bf67fc81182c96dfe87d2f4a696a641f898a93e9a55fc352c3b288</x:v>
      </x:c>
      <x:c r="S940" t="n">
        <x:v>6</x:v>
      </x:c>
      <x:c r="T940" t="str">
        <x:v>2018-12-31|2019-12-31|2020-12-31</x:v>
      </x:c>
      <x:c r="U940" s="57" t="n">
        <x:v>-702.0651112505049</x:v>
      </x:c>
      <x:c r="V940" s="57" t="n">
        <x:v>-1.3032678666308877</x:v>
      </x:c>
      <x:c r="W940"/>
      <x:c r="X940"/>
      <x:c r="Y940" s="38" t="n">
        <x:v>0.6409090909090909</x:v>
      </x:c>
      <x:c r="Z940" s="38" t="n">
        <x:v>0.4852218699058834</x:v>
      </x:c>
      <x:c r="AA940" t="str">
        <x:v>NON_POSITIVE_EQUITY_VALUE</x:v>
      </x:c>
    </x:row>
    <x:row r="941">
      <x:c r="A941" s="54" t="n">
        <x:v>44469</x:v>
      </x:c>
      <x:c r="B941" t="n">
        <x:v>44469.624999988424</x:v>
      </x:c>
      <x:c r="C941" t="str">
        <x:v>134790</x:v>
      </x:c>
      <x:c r="D941" t="str">
        <x:v>시디즈</x:v>
      </x:c>
      <x:c r="E941" t="str">
        <x:v>KOSPI</x:v>
      </x:c>
      <x:c r="F941" t="str">
        <x:v>SMALL</x:v>
      </x:c>
      <x:c r="G941" t="str">
        <x:v>ELIGIBLE</x:v>
      </x:c>
      <x:c r="H941"/>
      <x:c r="I941" s="54" t="n">
        <x:v>44469</x:v>
      </x:c>
      <x:c r="J941" s="55" t="n">
        <x:v>70000</x:v>
      </x:c>
      <x:c r="K941" s="55" t="n">
        <x:v>140000000000</x:v>
      </x:c>
      <x:c r="L941" s="55" t="n">
        <x:v>2000000</x:v>
      </x:c>
      <x:c r="M941" t="str">
        <x:v>20210318001352</x:v>
      </x:c>
      <x:c r="N941" t="n">
        <x:v>44273.624999988424</x:v>
      </x:c>
      <x:c r="O941" s="54" t="n">
        <x:v>44196</x:v>
      </x:c>
      <x:c r="P941" t="str">
        <x:v>False</x:v>
      </x:c>
      <x:c r="Q941" t="str">
        <x:v>bbec5051fd7d2963b05c2d67dd553210910a0744b4b4b13709d57f8439cfb581</x:v>
      </x:c>
      <x:c r="R941" t="str">
        <x:v>333f706df33904358aee96356488abe24966bbf4f443d47f133e4e13da34c87f</x:v>
      </x:c>
      <x:c r="S941" t="n">
        <x:v>5</x:v>
      </x:c>
      <x:c r="T941" t="str">
        <x:v>2018-12-31|2019-12-31|2020-12-31</x:v>
      </x:c>
      <x:c r="U941" s="57" t="n">
        <x:v>65913.62002204965</x:v>
      </x:c>
      <x:c r="V941" s="57" t="n">
        <x:v>-0.058376856827862166</x:v>
      </x:c>
      <x:c r="W941" t="n">
        <x:v>16</x:v>
      </x:c>
      <x:c r="X941" t="n">
        <x:v>2</x:v>
      </x:c>
      <x:c r="Y941" s="38" t="n">
        <x:v>0.6409090909090909</x:v>
      </x:c>
      <x:c r="Z941" s="38" t="n">
        <x:v>0.5427113498275224</x:v>
      </x:c>
      <x:c r="AA941"/>
    </x:row>
    <x:row r="942">
      <x:c r="A942" s="54" t="n">
        <x:v>44469</x:v>
      </x:c>
      <x:c r="B942" t="n">
        <x:v>44469.624999988424</x:v>
      </x:c>
      <x:c r="C942" t="str">
        <x:v>004920</x:v>
      </x:c>
      <x:c r="D942" t="str">
        <x:v>씨아이테크</x:v>
      </x:c>
      <x:c r="E942" t="str">
        <x:v>KOSPI</x:v>
      </x:c>
      <x:c r="F942" t="str">
        <x:v>SMALL</x:v>
      </x:c>
      <x:c r="G942" t="str">
        <x:v>DCF_SCREENING_EXCLUSION</x:v>
      </x:c>
      <x:c r="H942" t="str">
        <x:v>NON_POSITIVE_ENTERPRISE_VALUE|NON_POSITIVE_EQUITY_VALUE|NON_POSITIVE_TERMINAL_FCF</x:v>
      </x:c>
      <x:c r="I942" s="54" t="n">
        <x:v>44469</x:v>
      </x:c>
      <x:c r="J942" s="55" t="n">
        <x:v>1120</x:v>
      </x:c>
      <x:c r="K942" s="55" t="n">
        <x:v>44745925280</x:v>
      </x:c>
      <x:c r="L942" s="55" t="n">
        <x:v>39951719</x:v>
      </x:c>
      <x:c r="M942" t="str">
        <x:v>20210517001174</x:v>
      </x:c>
      <x:c r="N942" t="n">
        <x:v>44333.624999988424</x:v>
      </x:c>
      <x:c r="O942" s="54" t="n">
        <x:v>44196</x:v>
      </x:c>
      <x:c r="P942" t="str">
        <x:v>True</x:v>
      </x:c>
      <x:c r="Q942" t="str">
        <x:v>66e8d18c70a6324482b58b5b75526fe2324b78ec82bb3ca7dc4551e741147840</x:v>
      </x:c>
      <x:c r="R942" t="str">
        <x:v>5c8e319f2a8f315cf510b2d1e565b645c500fdf05714c6435f217b28c907a455</x:v>
      </x:c>
      <x:c r="S942" t="n">
        <x:v>6</x:v>
      </x:c>
      <x:c r="T942" t="str">
        <x:v>2018-12-31|2019-12-31|2020-12-31</x:v>
      </x:c>
      <x:c r="U942" s="57" t="n">
        <x:v>-1237.1042599933216</x:v>
      </x:c>
      <x:c r="V942" s="57" t="n">
        <x:v>-2.104557374994037</x:v>
      </x:c>
      <x:c r="W942"/>
      <x:c r="X942"/>
      <x:c r="Y942" s="38" t="n">
        <x:v>0.6409090909090909</x:v>
      </x:c>
      <x:c r="Z942" s="38" t="n">
        <x:v>0.6486341432306945</x:v>
      </x:c>
      <x:c r="AA942" t="str">
        <x:v>NON_POSITIVE_ENTERPRISE_VALUE|NON_POSITIVE_EQUITY_VALUE|NON_POSITIVE_TERMINAL_FCF</x:v>
      </x:c>
    </x:row>
    <x:row r="943">
      <x:c r="A943" s="54" t="n">
        <x:v>44469</x:v>
      </x:c>
      <x:c r="B943" t="n">
        <x:v>44469.624999988424</x:v>
      </x:c>
      <x:c r="C943" t="str">
        <x:v>058730</x:v>
      </x:c>
      <x:c r="D943" t="str">
        <x:v>다스코</x:v>
      </x:c>
      <x:c r="E943" t="str">
        <x:v>KOSPI</x:v>
      </x:c>
      <x:c r="F943" t="str">
        <x:v>SMALL</x:v>
      </x:c>
      <x:c r="G943" t="str">
        <x:v>DCF_SCREENING_EXCLUSION</x:v>
      </x:c>
      <x:c r="H943" t="str">
        <x:v>NON_POSITIVE_ENTERPRISE_VALUE|NON_POSITIVE_EQUITY_VALUE|NON_POSITIVE_TERMINAL_FCF</x:v>
      </x:c>
      <x:c r="I943" s="54" t="n">
        <x:v>44469</x:v>
      </x:c>
      <x:c r="J943" s="55" t="n">
        <x:v>5520</x:v>
      </x:c>
      <x:c r="K943" s="55" t="n">
        <x:v>92413140720</x:v>
      </x:c>
      <x:c r="L943" s="55" t="n">
        <x:v>16741511</x:v>
      </x:c>
      <x:c r="M943" t="str">
        <x:v>20210316001150</x:v>
      </x:c>
      <x:c r="N943" t="n">
        <x:v>44271.624999988424</x:v>
      </x:c>
      <x:c r="O943" s="54" t="n">
        <x:v>44196</x:v>
      </x:c>
      <x:c r="P943" t="str">
        <x:v>False</x:v>
      </x:c>
      <x:c r="Q943" t="str">
        <x:v>8dfc70c6b5993aec2efab81d35934041997bfd958270fd3a3d944e267a7efbba</x:v>
      </x:c>
      <x:c r="R943" t="str">
        <x:v>010b4042ec3eefbdf97231545d2680dde64fc7665586c51d7e217cd2b1fccaa4</x:v>
      </x:c>
      <x:c r="S943" t="n">
        <x:v>7</x:v>
      </x:c>
      <x:c r="T943" t="str">
        <x:v>2019-12-31|2020-12-31</x:v>
      </x:c>
      <x:c r="U943" s="57" t="n">
        <x:v>-13892.390998289538</x:v>
      </x:c>
      <x:c r="V943" s="57" t="n">
        <x:v>-3.5167374996901337</x:v>
      </x:c>
      <x:c r="W943"/>
      <x:c r="X943"/>
      <x:c r="Y943" s="38" t="n">
        <x:v>0.6409090909090909</x:v>
      </x:c>
      <x:c r="Z943" s="38" t="n">
        <x:v>0.5914021055729185</x:v>
      </x:c>
      <x:c r="AA943" t="str">
        <x:v>NON_POSITIVE_ENTERPRISE_VALUE|NON_POSITIVE_EQUITY_VALUE|NON_POSITIVE_TERMINAL_FCF</x:v>
      </x:c>
    </x:row>
    <x:row r="944">
      <x:c r="A944" s="54" t="n">
        <x:v>44469</x:v>
      </x:c>
      <x:c r="B944" t="n">
        <x:v>44469.624999988424</x:v>
      </x:c>
      <x:c r="C944" t="str">
        <x:v>465770</x:v>
      </x:c>
      <x:c r="D944" t="str">
        <x:v>STX그린로지스</x:v>
      </x:c>
      <x:c r="E944" t="str">
        <x:v>KOSPI</x:v>
      </x:c>
      <x:c r="F944" t="str">
        <x:v>SMALL</x:v>
      </x:c>
      <x:c r="G944" t="str">
        <x:v>NOT_LISTED_OR_NO_PRICE</x:v>
      </x:c>
      <x:c r="H944"/>
      <x:c r="I944" s="54"/>
      <x:c r="J944" s="55"/>
      <x:c r="K944" s="55"/>
      <x:c r="L944" s="55"/>
      <x:c r="M944"/>
      <x:c r="N944"/>
      <x:c r="O944" s="54"/>
      <x:c r="P944"/>
      <x:c r="Q944"/>
      <x:c r="R944"/>
      <x:c r="S944"/>
      <x:c r="T944"/>
      <x:c r="U944" s="57"/>
      <x:c r="V944" s="57"/>
      <x:c r="W944"/>
      <x:c r="X944"/>
      <x:c r="Y944" s="38"/>
      <x:c r="Z944" s="38"/>
      <x:c r="AA944"/>
    </x:row>
    <x:row r="945">
      <x:c r="A945" s="54" t="n">
        <x:v>44469</x:v>
      </x:c>
      <x:c r="B945" t="n">
        <x:v>44469.624999988424</x:v>
      </x:c>
      <x:c r="C945" t="str">
        <x:v>000950</x:v>
      </x:c>
      <x:c r="D945" t="str">
        <x:v>전방</x:v>
      </x:c>
      <x:c r="E945" t="str">
        <x:v>KOSPI</x:v>
      </x:c>
      <x:c r="F945" t="str">
        <x:v>SMALL</x:v>
      </x:c>
      <x:c r="G945" t="str">
        <x:v>DCF_SCREENING_EXCLUSION</x:v>
      </x:c>
      <x:c r="H945" t="str">
        <x:v>NON_POSITIVE_ENTERPRISE_VALUE|NON_POSITIVE_EQUITY_VALUE|NON_POSITIVE_TERMINAL_FCF</x:v>
      </x:c>
      <x:c r="I945" s="54" t="n">
        <x:v>44469</x:v>
      </x:c>
      <x:c r="J945" s="55" t="n">
        <x:v>41600</x:v>
      </x:c>
      <x:c r="K945" s="55" t="n">
        <x:v>69888000000</x:v>
      </x:c>
      <x:c r="L945" s="55" t="n">
        <x:v>1680000</x:v>
      </x:c>
      <x:c r="M945" t="str">
        <x:v>20210318001043</x:v>
      </x:c>
      <x:c r="N945" t="n">
        <x:v>44273.624999988424</x:v>
      </x:c>
      <x:c r="O945" s="54" t="n">
        <x:v>44196</x:v>
      </x:c>
      <x:c r="P945" t="str">
        <x:v>True</x:v>
      </x:c>
      <x:c r="Q945" t="str">
        <x:v>b9fce772dc76b7ae2389c35c5f42b15687248a14ec4558001dc0b3fd7b82c14f</x:v>
      </x:c>
      <x:c r="R945" t="str">
        <x:v>b2af0a79a767b6ea71178f9d2c455f0dc00e1e9c048e495347b3014fccc714b3</x:v>
      </x:c>
      <x:c r="S945" t="n">
        <x:v>6</x:v>
      </x:c>
      <x:c r="T945" t="str">
        <x:v>2018-12-31|2019-12-31|2020-12-31</x:v>
      </x:c>
      <x:c r="U945" s="57" t="n">
        <x:v>-162503.159462934</x:v>
      </x:c>
      <x:c r="V945" s="57" t="n">
        <x:v>-4.906325948628222</x:v>
      </x:c>
      <x:c r="W945"/>
      <x:c r="X945"/>
      <x:c r="Y945" s="38" t="n">
        <x:v>0.6409090909090909</x:v>
      </x:c>
      <x:c r="Z945" s="38" t="n">
        <x:v>0.6472126296725118</x:v>
      </x:c>
      <x:c r="AA945" t="str">
        <x:v>NON_POSITIVE_ENTERPRISE_VALUE|NON_POSITIVE_EQUITY_VALUE|NON_POSITIVE_TERMINAL_FCF</x:v>
      </x:c>
    </x:row>
    <x:row r="946">
      <x:c r="A946" s="54" t="n">
        <x:v>44469</x:v>
      </x:c>
      <x:c r="B946" t="n">
        <x:v>44469.624999988424</x:v>
      </x:c>
      <x:c r="C946" t="str">
        <x:v>019180</x:v>
      </x:c>
      <x:c r="D946" t="str">
        <x:v>티에이치엔</x:v>
      </x:c>
      <x:c r="E946" t="str">
        <x:v>KOSPI</x:v>
      </x:c>
      <x:c r="F946" t="str">
        <x:v>SMALL</x:v>
      </x:c>
      <x:c r="G946" t="str">
        <x:v>DCF_SCREENING_EXCLUSION</x:v>
      </x:c>
      <x:c r="H946" t="str">
        <x:v>NON_POSITIVE_EQUITY_VALUE</x:v>
      </x:c>
      <x:c r="I946" s="54" t="n">
        <x:v>44469</x:v>
      </x:c>
      <x:c r="J946" s="55" t="n">
        <x:v>3625</x:v>
      </x:c>
      <x:c r="K946" s="55" t="n">
        <x:v>65250000000</x:v>
      </x:c>
      <x:c r="L946" s="55" t="n">
        <x:v>18000000</x:v>
      </x:c>
      <x:c r="M946" t="str">
        <x:v>20210322000959</x:v>
      </x:c>
      <x:c r="N946" t="n">
        <x:v>44277.624999988424</x:v>
      </x:c>
      <x:c r="O946" s="54" t="n">
        <x:v>44196</x:v>
      </x:c>
      <x:c r="P946" t="str">
        <x:v>False</x:v>
      </x:c>
      <x:c r="Q946" t="str">
        <x:v>dcc2eb809f089d8f0282266cd53a4e0a7dffd3144c6f92583d2a74e829b95a88</x:v>
      </x:c>
      <x:c r="R946" t="str">
        <x:v>45f16c0a252fa9b1dfc1521848f4f7956a7b81d8e6aca21436581ee34fc2bd09</x:v>
      </x:c>
      <x:c r="S946" t="n">
        <x:v>6</x:v>
      </x:c>
      <x:c r="T946" t="str">
        <x:v>2018-12-31|2019-12-31|2020-12-31</x:v>
      </x:c>
      <x:c r="U946" s="57" t="n">
        <x:v>-406.0032717832165</x:v>
      </x:c>
      <x:c r="V946" s="57" t="n">
        <x:v>-1.1120009025608872</x:v>
      </x:c>
      <x:c r="W946"/>
      <x:c r="X946"/>
      <x:c r="Y946" s="38" t="n">
        <x:v>0.6409090909090909</x:v>
      </x:c>
      <x:c r="Z946" s="38" t="n">
        <x:v>0.6691391429386849</x:v>
      </x:c>
      <x:c r="AA946" t="str">
        <x:v>NON_POSITIVE_EQUITY_VALUE</x:v>
      </x:c>
    </x:row>
    <x:row r="947">
      <x:c r="A947" s="54" t="n">
        <x:v>44469</x:v>
      </x:c>
      <x:c r="B947" t="n">
        <x:v>44469.624999988424</x:v>
      </x:c>
      <x:c r="C947" t="str">
        <x:v>020760</x:v>
      </x:c>
      <x:c r="D947" t="str">
        <x:v>일진디스플</x:v>
      </x:c>
      <x:c r="E947" t="str">
        <x:v>KOSPI</x:v>
      </x:c>
      <x:c r="F947" t="str">
        <x:v>SMALL</x:v>
      </x:c>
      <x:c r="G947" t="str">
        <x:v>DCF_SCREENING_EXCLUSION</x:v>
      </x:c>
      <x:c r="H947" t="str">
        <x:v>NON_POSITIVE_ENTERPRISE_VALUE|NON_POSITIVE_EQUITY_VALUE|NON_POSITIVE_TERMINAL_FCF</x:v>
      </x:c>
      <x:c r="I947" s="54" t="n">
        <x:v>44469</x:v>
      </x:c>
      <x:c r="J947" s="55" t="n">
        <x:v>3795</x:v>
      </x:c>
      <x:c r="K947" s="55" t="n">
        <x:v>130807145370</x:v>
      </x:c>
      <x:c r="L947" s="55" t="n">
        <x:v>34468286</x:v>
      </x:c>
      <x:c r="M947" t="str">
        <x:v>20210322000864</x:v>
      </x:c>
      <x:c r="N947" t="n">
        <x:v>44277.624999988424</x:v>
      </x:c>
      <x:c r="O947" s="54" t="n">
        <x:v>44196</x:v>
      </x:c>
      <x:c r="P947" t="str">
        <x:v>False</x:v>
      </x:c>
      <x:c r="Q947" t="str">
        <x:v>e9f4664126663cbf637197aa770940321f9f688bdb470a5399e39067f4e252f2</x:v>
      </x:c>
      <x:c r="R947" t="str">
        <x:v>6950d488aab80f446aa4eb46a2b5e0821eb5f2f08677512a5cd21decf601d04c</x:v>
      </x:c>
      <x:c r="S947" t="n">
        <x:v>6</x:v>
      </x:c>
      <x:c r="T947" t="str">
        <x:v>2018-12-31|2019-12-31|2020-12-31</x:v>
      </x:c>
      <x:c r="U947" s="57" t="n">
        <x:v>-4177.04498744415</x:v>
      </x:c>
      <x:c r="V947" s="57" t="n">
        <x:v>-2.1006706159273123</x:v>
      </x:c>
      <x:c r="W947"/>
      <x:c r="X947"/>
      <x:c r="Y947" s="38" t="n">
        <x:v>0.6409090909090909</x:v>
      </x:c>
      <x:c r="Z947" s="38" t="n">
        <x:v>0.6150493354495464</x:v>
      </x:c>
      <x:c r="AA947" t="str">
        <x:v>NON_POSITIVE_ENTERPRISE_VALUE|NON_POSITIVE_EQUITY_VALUE|NON_POSITIVE_TERMINAL_FCF</x:v>
      </x:c>
    </x:row>
    <x:row r="948">
      <x:c r="A948" s="54" t="n">
        <x:v>44469</x:v>
      </x:c>
      <x:c r="B948" t="n">
        <x:v>44469.624999988424</x:v>
      </x:c>
      <x:c r="C948" t="str">
        <x:v>069640</x:v>
      </x:c>
      <x:c r="D948" t="str">
        <x:v>한세엠케이</x:v>
      </x:c>
      <x:c r="E948" t="str">
        <x:v>KOSPI</x:v>
      </x:c>
      <x:c r="F948" t="str">
        <x:v>SMALL</x:v>
      </x:c>
      <x:c r="G948" t="str">
        <x:v>DCF_SCREENING_EXCLUSION</x:v>
      </x:c>
      <x:c r="H948" t="str">
        <x:v>NON_POSITIVE_ENTERPRISE_VALUE|NON_POSITIVE_EQUITY_VALUE|NON_POSITIVE_TERMINAL_FCF</x:v>
      </x:c>
      <x:c r="I948" s="54" t="n">
        <x:v>44469</x:v>
      </x:c>
      <x:c r="J948" s="55" t="n">
        <x:v>5220</x:v>
      </x:c>
      <x:c r="K948" s="55" t="n">
        <x:v>67386660840</x:v>
      </x:c>
      <x:c r="L948" s="55" t="n">
        <x:v>12909322</x:v>
      </x:c>
      <x:c r="M948" t="str">
        <x:v>20210317000840</x:v>
      </x:c>
      <x:c r="N948" t="n">
        <x:v>44272.624999988424</x:v>
      </x:c>
      <x:c r="O948" s="54" t="n">
        <x:v>44196</x:v>
      </x:c>
      <x:c r="P948" t="str">
        <x:v>False</x:v>
      </x:c>
      <x:c r="Q948" t="str">
        <x:v>30070d2f86e7097f4ab06bbd9e803616ed683652123719f330f3ffd5fd22061f</x:v>
      </x:c>
      <x:c r="R948" t="str">
        <x:v>1a287fbe09384b59e5d44ee21b46541e4adcd34e611491cf8692e82320de6d79</x:v>
      </x:c>
      <x:c r="S948" t="n">
        <x:v>6</x:v>
      </x:c>
      <x:c r="T948" t="str">
        <x:v>2018-12-31|2019-12-31|2020-12-31</x:v>
      </x:c>
      <x:c r="U948" s="57" t="n">
        <x:v>-10888.3580812113</x:v>
      </x:c>
      <x:c r="V948" s="57" t="n">
        <x:v>-3.085892352722471</x:v>
      </x:c>
      <x:c r="W948"/>
      <x:c r="X948"/>
      <x:c r="Y948" s="38" t="n">
        <x:v>0.6409090909090909</x:v>
      </x:c>
      <x:c r="Z948" s="38" t="n">
        <x:v>0.6903042520738043</x:v>
      </x:c>
      <x:c r="AA948" t="str">
        <x:v>NON_POSITIVE_ENTERPRISE_VALUE|NON_POSITIVE_EQUITY_VALUE|NON_POSITIVE_TERMINAL_FCF</x:v>
      </x:c>
    </x:row>
    <x:row r="949">
      <x:c r="A949" s="54" t="n">
        <x:v>44469</x:v>
      </x:c>
      <x:c r="B949" t="n">
        <x:v>44469.624999988424</x:v>
      </x:c>
      <x:c r="C949" t="str">
        <x:v>000040</x:v>
      </x:c>
      <x:c r="D949" t="str">
        <x:v>KR모터스</x:v>
      </x:c>
      <x:c r="E949" t="str">
        <x:v>KOSPI</x:v>
      </x:c>
      <x:c r="F949" t="str">
        <x:v>SMALL</x:v>
      </x:c>
      <x:c r="G949" t="str">
        <x:v>DCF_SCREENING_EXCLUSION</x:v>
      </x:c>
      <x:c r="H949" t="str">
        <x:v>NON_POSITIVE_ENTERPRISE_VALUE|NON_POSITIVE_EQUITY_VALUE|NON_POSITIVE_TERMINAL_FCF</x:v>
      </x:c>
      <x:c r="I949" s="54" t="n">
        <x:v>44469</x:v>
      </x:c>
      <x:c r="J949" s="55" t="n">
        <x:v>1015</x:v>
      </x:c>
      <x:c r="K949" s="55" t="n">
        <x:v>97579428520</x:v>
      </x:c>
      <x:c r="L949" s="55" t="n">
        <x:v>96137368</x:v>
      </x:c>
      <x:c r="M949" t="str">
        <x:v>20210322000894</x:v>
      </x:c>
      <x:c r="N949" t="n">
        <x:v>44277.624999988424</x:v>
      </x:c>
      <x:c r="O949" s="54" t="n">
        <x:v>44196</x:v>
      </x:c>
      <x:c r="P949" t="str">
        <x:v>False</x:v>
      </x:c>
      <x:c r="Q949" t="str">
        <x:v>32730308c1179d81214edd84bb6f3c6bd7008b5c3e9b979f9c1d09ea04f35077</x:v>
      </x:c>
      <x:c r="R949" t="str">
        <x:v>968b10afb418bce0ef16d9259e23e33f1bb845c955763eed1aac3733bcf42acf</x:v>
      </x:c>
      <x:c r="S949" t="n">
        <x:v>5</x:v>
      </x:c>
      <x:c r="T949" t="str">
        <x:v>2018-12-31|2019-12-31|2020-12-31</x:v>
      </x:c>
      <x:c r="U949" s="57" t="n">
        <x:v>-1947.480309538163</x:v>
      </x:c>
      <x:c r="V949" s="57" t="n">
        <x:v>-2.91869981235287</x:v>
      </x:c>
      <x:c r="W949"/>
      <x:c r="X949"/>
      <x:c r="Y949" s="38" t="n">
        <x:v>0.6409090909090909</x:v>
      </x:c>
      <x:c r="Z949" s="38" t="n">
        <x:v>0.7887537334802602</x:v>
      </x:c>
      <x:c r="AA949" t="str">
        <x:v>NON_POSITIVE_ENTERPRISE_VALUE|NON_POSITIVE_EQUITY_VALUE|NON_POSITIVE_TERMINAL_FCF</x:v>
      </x:c>
    </x:row>
    <x:row r="950">
      <x:c r="A950" s="54" t="n">
        <x:v>44469</x:v>
      </x:c>
      <x:c r="B950" t="n">
        <x:v>44469.624999988424</x:v>
      </x:c>
      <x:c r="C950" t="str">
        <x:v>003680</x:v>
      </x:c>
      <x:c r="D950" t="str">
        <x:v>한성기업</x:v>
      </x:c>
      <x:c r="E950" t="str">
        <x:v>KOSPI</x:v>
      </x:c>
      <x:c r="F950" t="str">
        <x:v>SMALL</x:v>
      </x:c>
      <x:c r="G950" t="str">
        <x:v>DCF_SCREENING_EXCLUSION</x:v>
      </x:c>
      <x:c r="H950" t="str">
        <x:v>NON_POSITIVE_EQUITY_VALUE</x:v>
      </x:c>
      <x:c r="I950" s="54" t="n">
        <x:v>44469</x:v>
      </x:c>
      <x:c r="J950" s="55" t="n">
        <x:v>6890</x:v>
      </x:c>
      <x:c r="K950" s="55" t="n">
        <x:v>42783558350</x:v>
      </x:c>
      <x:c r="L950" s="55" t="n">
        <x:v>6209515</x:v>
      </x:c>
      <x:c r="M950" t="str">
        <x:v>20210322000152</x:v>
      </x:c>
      <x:c r="N950" t="n">
        <x:v>44277.624999988424</x:v>
      </x:c>
      <x:c r="O950" s="54" t="n">
        <x:v>44196</x:v>
      </x:c>
      <x:c r="P950" t="str">
        <x:v>True</x:v>
      </x:c>
      <x:c r="Q950" t="str">
        <x:v>efeec4d3b38f9274eedc700cd2807e8ed15ade31c6742205682368ca66029143</x:v>
      </x:c>
      <x:c r="R950" t="str">
        <x:v>bad2421615f0e13c16eb4371712d3e4dd68882d593259d2a94207c9534a038fd</x:v>
      </x:c>
      <x:c r="S950" t="n">
        <x:v>7</x:v>
      </x:c>
      <x:c r="T950" t="str">
        <x:v>2018-12-31|2019-12-31|2020-12-31</x:v>
      </x:c>
      <x:c r="U950" s="57" t="n">
        <x:v>-11051.577569534671</x:v>
      </x:c>
      <x:c r="V950" s="57" t="n">
        <x:v>-2.604002550005032</x:v>
      </x:c>
      <x:c r="W950"/>
      <x:c r="X950"/>
      <x:c r="Y950" s="38" t="n">
        <x:v>0.6409090909090909</x:v>
      </x:c>
      <x:c r="Z950" s="38" t="n">
        <x:v>0.19687524560489636</x:v>
      </x:c>
      <x:c r="AA950" t="str">
        <x:v>NON_POSITIVE_EQUITY_VALUE</x:v>
      </x:c>
    </x:row>
    <x:row r="951">
      <x:c r="A951" s="54" t="n">
        <x:v>44469</x:v>
      </x:c>
      <x:c r="B951" t="n">
        <x:v>44469.624999988424</x:v>
      </x:c>
      <x:c r="C951" t="str">
        <x:v>008600</x:v>
      </x:c>
      <x:c r="D951" t="str">
        <x:v>윌비스</x:v>
      </x:c>
      <x:c r="E951" t="str">
        <x:v>KOSPI</x:v>
      </x:c>
      <x:c r="F951" t="str">
        <x:v>SMALL</x:v>
      </x:c>
      <x:c r="G951" t="str">
        <x:v>DCF_SCREENING_EXCLUSION</x:v>
      </x:c>
      <x:c r="H951" t="str">
        <x:v>NON_POSITIVE_EQUITY_VALUE|NON_POSITIVE_TERMINAL_FCF|UNRELIABLE_TERMINAL_VALUE_SHARE</x:v>
      </x:c>
      <x:c r="I951" s="54" t="n">
        <x:v>44469</x:v>
      </x:c>
      <x:c r="J951" s="55" t="n">
        <x:v>2055</x:v>
      </x:c>
      <x:c r="K951" s="55" t="n">
        <x:v>135161279160</x:v>
      </x:c>
      <x:c r="L951" s="55" t="n">
        <x:v>65771912</x:v>
      </x:c>
      <x:c r="M951" t="str">
        <x:v>20210323000575</x:v>
      </x:c>
      <x:c r="N951" t="n">
        <x:v>44278.624999988424</x:v>
      </x:c>
      <x:c r="O951" s="54" t="n">
        <x:v>44196</x:v>
      </x:c>
      <x:c r="P951" t="str">
        <x:v>False</x:v>
      </x:c>
      <x:c r="Q951" t="str">
        <x:v>b719febfb263d74f5c1a95f9e34a3677e22a09d5a6b7a4fc66ff5c11becddb8f</x:v>
      </x:c>
      <x:c r="R951" t="str">
        <x:v>8965383f39a54d1e7c95ea3cb7e0d32a5909d20f877ae176394fcf3133590f04</x:v>
      </x:c>
      <x:c r="S951" t="n">
        <x:v>6</x:v>
      </x:c>
      <x:c r="T951" t="str">
        <x:v>2018-12-31|2019-12-31|2020-12-31</x:v>
      </x:c>
      <x:c r="U951" s="57" t="n">
        <x:v>-1915.9158885555178</x:v>
      </x:c>
      <x:c r="V951" s="57" t="n">
        <x:v>-1.9323191671803006</x:v>
      </x:c>
      <x:c r="W951"/>
      <x:c r="X951"/>
      <x:c r="Y951" s="38" t="n">
        <x:v>0.6409090909090909</x:v>
      </x:c>
      <x:c r="Z951" s="38" t="n">
        <x:v>-2.2264923648105195</x:v>
      </x:c>
      <x:c r="AA951" t="str">
        <x:v>NON_POSITIVE_EQUITY_VALUE|NON_POSITIVE_TERMINAL_FCF|UNRELIABLE_TERMINAL_VALUE_SHARE</x:v>
      </x:c>
    </x:row>
    <x:row r="952">
      <x:c r="A952" s="54" t="n">
        <x:v>44469</x:v>
      </x:c>
      <x:c r="B952" t="n">
        <x:v>44469.624999988424</x:v>
      </x:c>
      <x:c r="C952" t="str">
        <x:v>018310</x:v>
      </x:c>
      <x:c r="D952" t="str">
        <x:v>삼목에스폼</x:v>
      </x:c>
      <x:c r="E952" t="str">
        <x:v>KOSDAQ</x:v>
      </x:c>
      <x:c r="F952" t="str">
        <x:v>MID</x:v>
      </x:c>
      <x:c r="G952" t="str">
        <x:v>DCF_SCREENING_EXCLUSION</x:v>
      </x:c>
      <x:c r="H952" t="str">
        <x:v>NON_POSITIVE_ENTERPRISE_VALUE|UNRELIABLE_TERMINAL_VALUE_SHARE</x:v>
      </x:c>
      <x:c r="I952" s="54" t="n">
        <x:v>44469</x:v>
      </x:c>
      <x:c r="J952" s="55" t="n">
        <x:v>15350</x:v>
      </x:c>
      <x:c r="K952" s="55" t="n">
        <x:v>225645000000</x:v>
      </x:c>
      <x:c r="L952" s="55" t="n">
        <x:v>14700000</x:v>
      </x:c>
      <x:c r="M952" t="str">
        <x:v>20210318000660</x:v>
      </x:c>
      <x:c r="N952" t="n">
        <x:v>44273.624999988424</x:v>
      </x:c>
      <x:c r="O952" s="54" t="n">
        <x:v>44196</x:v>
      </x:c>
      <x:c r="P952" t="str">
        <x:v>False</x:v>
      </x:c>
      <x:c r="Q952" t="str">
        <x:v>0968ddf45c46f5b5ece0fa3f55863f8d70775ef917e4fe3a6b1f4cd41ceb84fd</x:v>
      </x:c>
      <x:c r="R952" t="str">
        <x:v>cf8157956af728228c6ed8ddd84096cf915b8edfe6efd9d2602309f87029c94e</x:v>
      </x:c>
      <x:c r="S952" t="n">
        <x:v>5</x:v>
      </x:c>
      <x:c r="T952" t="str">
        <x:v>2018-12-31|2019-12-31|2020-12-31</x:v>
      </x:c>
      <x:c r="U952" s="57" t="n">
        <x:v>2791.2134406764662</x:v>
      </x:c>
      <x:c r="V952" s="57" t="n">
        <x:v>-0.8181619908354094</x:v>
      </x:c>
      <x:c r="W952"/>
      <x:c r="X952"/>
      <x:c r="Y952" s="38" t="n">
        <x:v>0.6409090909090909</x:v>
      </x:c>
      <x:c r="Z952" s="38" t="n">
        <x:v>-0.7585311035244523</x:v>
      </x:c>
      <x:c r="AA952" t="str">
        <x:v>NON_POSITIVE_ENTERPRISE_VALUE|UNRELIABLE_TERMINAL_VALUE_SHARE</x:v>
      </x:c>
    </x:row>
    <x:row r="953">
      <x:c r="A953" s="54" t="n">
        <x:v>44469</x:v>
      </x:c>
      <x:c r="B953" t="n">
        <x:v>44469.624999988424</x:v>
      </x:c>
      <x:c r="C953" t="str">
        <x:v>090360</x:v>
      </x:c>
      <x:c r="D953" t="str">
        <x:v>로보스타</x:v>
      </x:c>
      <x:c r="E953" t="str">
        <x:v>KOSDAQ</x:v>
      </x:c>
      <x:c r="F953" t="str">
        <x:v>MID</x:v>
      </x:c>
      <x:c r="G953" t="str">
        <x:v>DCF_SCREENING_EXCLUSION</x:v>
      </x:c>
      <x:c r="H953" t="str">
        <x:v>NON_POSITIVE_ENTERPRISE_VALUE|NON_POSITIVE_EQUITY_VALUE|NON_POSITIVE_TERMINAL_FCF</x:v>
      </x:c>
      <x:c r="I953" s="54" t="n">
        <x:v>44469</x:v>
      </x:c>
      <x:c r="J953" s="55" t="n">
        <x:v>22000</x:v>
      </x:c>
      <x:c r="K953" s="55" t="n">
        <x:v>214500000000</x:v>
      </x:c>
      <x:c r="L953" s="55" t="n">
        <x:v>9750000</x:v>
      </x:c>
      <x:c r="M953" t="str">
        <x:v>20210318001032</x:v>
      </x:c>
      <x:c r="N953" t="n">
        <x:v>44273.624999988424</x:v>
      </x:c>
      <x:c r="O953" s="54" t="n">
        <x:v>44196</x:v>
      </x:c>
      <x:c r="P953" t="str">
        <x:v>False</x:v>
      </x:c>
      <x:c r="Q953" t="str">
        <x:v>88cb4cf0a36d9a74f35d1e6787172797f475075497b17a9d6c93468881b8ad59</x:v>
      </x:c>
      <x:c r="R953" t="str">
        <x:v>393cd3fc96dccdfcdecb18a4d5c483279ff025dd456a302734e96c47758e5d19</x:v>
      </x:c>
      <x:c r="S953" t="n">
        <x:v>5</x:v>
      </x:c>
      <x:c r="T953" t="str">
        <x:v>2018-12-31|2019-12-31|2020-12-31</x:v>
      </x:c>
      <x:c r="U953" s="57" t="n">
        <x:v>-3238.2249346541503</x:v>
      </x:c>
      <x:c r="V953" s="57" t="n">
        <x:v>-1.1471920424842796</x:v>
      </x:c>
      <x:c r="W953"/>
      <x:c r="X953"/>
      <x:c r="Y953" s="38" t="n">
        <x:v>0.6409090909090909</x:v>
      </x:c>
      <x:c r="Z953" s="38" t="n">
        <x:v>0.5481038802902851</x:v>
      </x:c>
      <x:c r="AA953" t="str">
        <x:v>NON_POSITIVE_ENTERPRISE_VALUE|NON_POSITIVE_EQUITY_VALUE|NON_POSITIVE_TERMINAL_FCF</x:v>
      </x:c>
    </x:row>
    <x:row r="954">
      <x:c r="A954" s="54" t="n">
        <x:v>44469</x:v>
      </x:c>
      <x:c r="B954" t="n">
        <x:v>44469.624999988424</x:v>
      </x:c>
      <x:c r="C954" t="str">
        <x:v>144960</x:v>
      </x:c>
      <x:c r="D954" t="str">
        <x:v>뉴파워프라즈마</x:v>
      </x:c>
      <x:c r="E954" t="str">
        <x:v>KOSDAQ</x:v>
      </x:c>
      <x:c r="F954" t="str">
        <x:v>MID</x:v>
      </x:c>
      <x:c r="G954" t="str">
        <x:v>DCF_SCREENING_EXCLUSION</x:v>
      </x:c>
      <x:c r="H954" t="str">
        <x:v>UNRELIABLE_TERMINAL_VALUE_SHARE</x:v>
      </x:c>
      <x:c r="I954" s="54" t="n">
        <x:v>44469</x:v>
      </x:c>
      <x:c r="J954" s="55" t="n">
        <x:v>8520</x:v>
      </x:c>
      <x:c r="K954" s="55" t="n">
        <x:v>372261156480</x:v>
      </x:c>
      <x:c r="L954" s="55" t="n">
        <x:v>43692624</x:v>
      </x:c>
      <x:c r="M954" t="str">
        <x:v>20210611000411</x:v>
      </x:c>
      <x:c r="N954" t="n">
        <x:v>44358.624999988424</x:v>
      </x:c>
      <x:c r="O954" s="54" t="n">
        <x:v>44196</x:v>
      </x:c>
      <x:c r="P954" t="str">
        <x:v>True</x:v>
      </x:c>
      <x:c r="Q954" t="str">
        <x:v>312f539d97d3aa1c7bb047898fcb4c436c8d81715df9c311126d80bdeb64d385</x:v>
      </x:c>
      <x:c r="R954" t="str">
        <x:v>56f6828f4ed58323e599f54630ea5479bac4b4b4597a629e367bba3d04c95997</x:v>
      </x:c>
      <x:c r="S954" t="n">
        <x:v>6</x:v>
      </x:c>
      <x:c r="T954" t="str">
        <x:v>2018-12-31|2019-12-31|2020-12-31</x:v>
      </x:c>
      <x:c r="U954" s="57" t="n">
        <x:v>324.0689461379253</x:v>
      </x:c>
      <x:c r="V954" s="57" t="n">
        <x:v>-0.961963738716206</x:v>
      </x:c>
      <x:c r="W954"/>
      <x:c r="X954"/>
      <x:c r="Y954" s="38" t="n">
        <x:v>0.6409090909090909</x:v>
      </x:c>
      <x:c r="Z954" s="38" t="n">
        <x:v>0.9251796654018068</x:v>
      </x:c>
      <x:c r="AA954" t="str">
        <x:v>UNRELIABLE_TERMINAL_VALUE_SHARE</x:v>
      </x:c>
    </x:row>
    <x:row r="955">
      <x:c r="A955" s="54" t="n">
        <x:v>44469</x:v>
      </x:c>
      <x:c r="B955" t="n">
        <x:v>44469.624999988424</x:v>
      </x:c>
      <x:c r="C955" t="str">
        <x:v>065660</x:v>
      </x:c>
      <x:c r="D955" t="str">
        <x:v>안트로젠</x:v>
      </x:c>
      <x:c r="E955" t="str">
        <x:v>KOSDAQ</x:v>
      </x:c>
      <x:c r="F955" t="str">
        <x:v>MID</x:v>
      </x:c>
      <x:c r="G955" t="str">
        <x:v>DCF_SCREENING_EXCLUSION</x:v>
      </x:c>
      <x:c r="H955" t="str">
        <x:v>NON_POSITIVE_ENTERPRISE_VALUE|NON_POSITIVE_TERMINAL_FCF</x:v>
      </x:c>
      <x:c r="I955" s="54" t="n">
        <x:v>44469</x:v>
      </x:c>
      <x:c r="J955" s="55" t="n">
        <x:v>74000</x:v>
      </x:c>
      <x:c r="K955" s="55" t="n">
        <x:v>697216530000</x:v>
      </x:c>
      <x:c r="L955" s="55" t="n">
        <x:v>9421845</x:v>
      </x:c>
      <x:c r="M955" t="str">
        <x:v>20210610000235</x:v>
      </x:c>
      <x:c r="N955" t="n">
        <x:v>44357.624999988424</x:v>
      </x:c>
      <x:c r="O955" s="54" t="n">
        <x:v>44196</x:v>
      </x:c>
      <x:c r="P955" t="str">
        <x:v>True</x:v>
      </x:c>
      <x:c r="Q955" t="str">
        <x:v>6f61c0b1c0f9eaf34014e4a6f8dc099bb923dffcc9617963bb7066c9dcfd58eb</x:v>
      </x:c>
      <x:c r="R955" t="str">
        <x:v>9386ad6bf394bfdb870c609ce14ffd97e0eb668971e5d930b0515105d4b80aac</x:v>
      </x:c>
      <x:c r="S955" t="n">
        <x:v>7</x:v>
      </x:c>
      <x:c r="T955" t="str">
        <x:v>2018-12-31|2019-12-31|2020-12-31</x:v>
      </x:c>
      <x:c r="U955" s="57" t="n">
        <x:v>2127.6830208748315</x:v>
      </x:c>
      <x:c r="V955" s="57" t="n">
        <x:v>-0.9712475267449348</x:v>
      </x:c>
      <x:c r="W955"/>
      <x:c r="X955"/>
      <x:c r="Y955" s="38" t="n">
        <x:v>0.6409090909090909</x:v>
      </x:c>
      <x:c r="Z955" s="38" t="n">
        <x:v>0.6658765171775003</x:v>
      </x:c>
      <x:c r="AA955" t="str">
        <x:v>NON_POSITIVE_ENTERPRISE_VALUE|NON_POSITIVE_TERMINAL_FCF</x:v>
      </x:c>
    </x:row>
    <x:row r="956">
      <x:c r="A956" s="54" t="n">
        <x:v>44469</x:v>
      </x:c>
      <x:c r="B956" t="n">
        <x:v>44469.624999988424</x:v>
      </x:c>
      <x:c r="C956" t="str">
        <x:v>255220</x:v>
      </x:c>
      <x:c r="D956" t="str">
        <x:v>SG</x:v>
      </x:c>
      <x:c r="E956" t="str">
        <x:v>KOSDAQ</x:v>
      </x:c>
      <x:c r="F956" t="str">
        <x:v>MID</x:v>
      </x:c>
      <x:c r="G956" t="str">
        <x:v>DCF_SCREENING_EXCLUSION</x:v>
      </x:c>
      <x:c r="H956" t="str">
        <x:v>NON_POSITIVE_EQUITY_VALUE</x:v>
      </x:c>
      <x:c r="I956" s="54" t="n">
        <x:v>44469</x:v>
      </x:c>
      <x:c r="J956" s="55" t="n">
        <x:v>1985</x:v>
      </x:c>
      <x:c r="K956" s="55" t="n">
        <x:v>82060429995</x:v>
      </x:c>
      <x:c r="L956" s="55" t="n">
        <x:v>41340267</x:v>
      </x:c>
      <x:c r="M956" t="str">
        <x:v>20210324000133</x:v>
      </x:c>
      <x:c r="N956" t="n">
        <x:v>44279.624999988424</x:v>
      </x:c>
      <x:c r="O956" s="54" t="n">
        <x:v>44196</x:v>
      </x:c>
      <x:c r="P956" t="str">
        <x:v>False</x:v>
      </x:c>
      <x:c r="Q956" t="str">
        <x:v>0adef5a32b3a0bad9fad2d959acb393808bf778b0d2a2bfb31934aa6f5c7d6f0</x:v>
      </x:c>
      <x:c r="R956" t="str">
        <x:v>49184b327f54bf68f48deaae6b1eb6f1331aa67243bace168e6de38dee8216bb</x:v>
      </x:c>
      <x:c r="S956" t="n">
        <x:v>6</x:v>
      </x:c>
      <x:c r="T956" t="str">
        <x:v>2018-12-31|2019-12-31|2020-12-31</x:v>
      </x:c>
      <x:c r="U956" s="57" t="n">
        <x:v>-92.01946465378829</x:v>
      </x:c>
      <x:c r="V956" s="57" t="n">
        <x:v>-1.046357412923823</x:v>
      </x:c>
      <x:c r="W956"/>
      <x:c r="X956"/>
      <x:c r="Y956" s="38" t="n">
        <x:v>0.6409090909090909</x:v>
      </x:c>
      <x:c r="Z956" s="38" t="n">
        <x:v>0.7805488705122708</x:v>
      </x:c>
      <x:c r="AA956" t="str">
        <x:v>NON_POSITIVE_EQUITY_VALUE</x:v>
      </x:c>
    </x:row>
    <x:row r="957">
      <x:c r="A957" s="54" t="n">
        <x:v>44469</x:v>
      </x:c>
      <x:c r="B957" t="n">
        <x:v>44469.624999988424</x:v>
      </x:c>
      <x:c r="C957" t="str">
        <x:v>356680</x:v>
      </x:c>
      <x:c r="D957" t="str">
        <x:v>엑스게이트</x:v>
      </x:c>
      <x:c r="E957" t="str">
        <x:v>KOSDAQ</x:v>
      </x:c>
      <x:c r="F957" t="str">
        <x:v>MID</x:v>
      </x:c>
      <x:c r="G957" t="str">
        <x:v>NOT_LISTED_OR_NO_PRICE</x:v>
      </x:c>
      <x:c r="H957"/>
      <x:c r="I957" s="54"/>
      <x:c r="J957" s="55"/>
      <x:c r="K957" s="55"/>
      <x:c r="L957" s="55"/>
      <x:c r="M957"/>
      <x:c r="N957"/>
      <x:c r="O957" s="54"/>
      <x:c r="P957"/>
      <x:c r="Q957"/>
      <x:c r="R957"/>
      <x:c r="S957"/>
      <x:c r="T957"/>
      <x:c r="U957" s="57"/>
      <x:c r="V957" s="57"/>
      <x:c r="W957"/>
      <x:c r="X957"/>
      <x:c r="Y957" s="38"/>
      <x:c r="Z957" s="38"/>
      <x:c r="AA957"/>
    </x:row>
    <x:row r="958">
      <x:c r="A958" s="54" t="n">
        <x:v>44469</x:v>
      </x:c>
      <x:c r="B958" t="n">
        <x:v>44469.624999988424</x:v>
      </x:c>
      <x:c r="C958" t="str">
        <x:v>038390</x:v>
      </x:c>
      <x:c r="D958" t="str">
        <x:v>레드캡투어</x:v>
      </x:c>
      <x:c r="E958" t="str">
        <x:v>KOSDAQ</x:v>
      </x:c>
      <x:c r="F958" t="str">
        <x:v>MID</x:v>
      </x:c>
      <x:c r="G958" t="str">
        <x:v>ELIGIBLE</x:v>
      </x:c>
      <x:c r="H958"/>
      <x:c r="I958" s="54" t="n">
        <x:v>44469</x:v>
      </x:c>
      <x:c r="J958" s="55" t="n">
        <x:v>25850</x:v>
      </x:c>
      <x:c r="K958" s="55" t="n">
        <x:v>222038058000</x:v>
      </x:c>
      <x:c r="L958" s="55" t="n">
        <x:v>8589480</x:v>
      </x:c>
      <x:c r="M958" t="str">
        <x:v>20210318001299</x:v>
      </x:c>
      <x:c r="N958" t="n">
        <x:v>44273.624999988424</x:v>
      </x:c>
      <x:c r="O958" s="54" t="n">
        <x:v>44196</x:v>
      </x:c>
      <x:c r="P958" t="str">
        <x:v>False</x:v>
      </x:c>
      <x:c r="Q958" t="str">
        <x:v>0bf69fd5dec939dd06f6f73c0024ab60f9eaf64a5a97f5e73cc09d30ce7a890c</x:v>
      </x:c>
      <x:c r="R958" t="str">
        <x:v>6080d7aab75c6070a2111ef6b1ac4f598f81c0a72dc5f88bc23b9d3a002435cd</x:v>
      </x:c>
      <x:c r="S958" t="n">
        <x:v>6</x:v>
      </x:c>
      <x:c r="T958" t="str">
        <x:v>2018-12-31|2019-12-31|2020-12-31</x:v>
      </x:c>
      <x:c r="U958" s="57" t="n">
        <x:v>6114.21914518699</x:v>
      </x:c>
      <x:c r="V958" s="57" t="n">
        <x:v>-0.7634731471881242</x:v>
      </x:c>
      <x:c r="W958" t="n">
        <x:v>45</x:v>
      </x:c>
      <x:c r="X958" t="n">
        <x:v>4</x:v>
      </x:c>
      <x:c r="Y958" s="38" t="n">
        <x:v>0.6409090909090909</x:v>
      </x:c>
      <x:c r="Z958" s="38" t="n">
        <x:v>0.6791804570932898</x:v>
      </x:c>
      <x:c r="AA958"/>
    </x:row>
    <x:row r="959">
      <x:c r="A959" s="54" t="n">
        <x:v>44469</x:v>
      </x:c>
      <x:c r="B959" t="n">
        <x:v>44469.624999988424</x:v>
      </x:c>
      <x:c r="C959" t="str">
        <x:v>083930</x:v>
      </x:c>
      <x:c r="D959" t="str">
        <x:v>아바코</x:v>
      </x:c>
      <x:c r="E959" t="str">
        <x:v>KOSDAQ</x:v>
      </x:c>
      <x:c r="F959" t="str">
        <x:v>MID</x:v>
      </x:c>
      <x:c r="G959" t="str">
        <x:v>ELIGIBLE</x:v>
      </x:c>
      <x:c r="H959"/>
      <x:c r="I959" s="54" t="n">
        <x:v>44469</x:v>
      </x:c>
      <x:c r="J959" s="55" t="n">
        <x:v>12800</x:v>
      </x:c>
      <x:c r="K959" s="55" t="n">
        <x:v>197283814400</x:v>
      </x:c>
      <x:c r="L959" s="55" t="n">
        <x:v>15412798</x:v>
      </x:c>
      <x:c r="M959" t="str">
        <x:v>20210318000989</x:v>
      </x:c>
      <x:c r="N959" t="n">
        <x:v>44273.624999988424</x:v>
      </x:c>
      <x:c r="O959" s="54" t="n">
        <x:v>44196</x:v>
      </x:c>
      <x:c r="P959" t="str">
        <x:v>False</x:v>
      </x:c>
      <x:c r="Q959" t="str">
        <x:v>60114731225ef8baae3792179fcf8d5016125a34b9cfd17e01cf872e573ee700</x:v>
      </x:c>
      <x:c r="R959" t="str">
        <x:v>a0f109d304fa19e95828c08a23b1aee8249cf1a937fd4863f9ce9941f9933507</x:v>
      </x:c>
      <x:c r="S959" t="n">
        <x:v>7</x:v>
      </x:c>
      <x:c r="T959" t="str">
        <x:v>2018-12-31|2019-12-31|2020-12-31</x:v>
      </x:c>
      <x:c r="U959" s="57" t="n">
        <x:v>13240.200501887175</x:v>
      </x:c>
      <x:c r="V959" s="57" t="n">
        <x:v>0.034390664209935515</x:v>
      </x:c>
      <x:c r="W959" t="n">
        <x:v>12</x:v>
      </x:c>
      <x:c r="X959" t="n">
        <x:v>1</x:v>
      </x:c>
      <x:c r="Y959" s="38" t="n">
        <x:v>0.6409090909090909</x:v>
      </x:c>
      <x:c r="Z959" s="38" t="n">
        <x:v>0.6094073877623714</x:v>
      </x:c>
      <x:c r="AA959"/>
    </x:row>
    <x:row r="960">
      <x:c r="A960" s="54" t="n">
        <x:v>44469</x:v>
      </x:c>
      <x:c r="B960" t="n">
        <x:v>44469.624999988424</x:v>
      </x:c>
      <x:c r="C960" t="str">
        <x:v>089600</x:v>
      </x:c>
      <x:c r="D960" t="str">
        <x:v>KT나스미디어</x:v>
      </x:c>
      <x:c r="E960" t="str">
        <x:v>KOSDAQ</x:v>
      </x:c>
      <x:c r="F960" t="str">
        <x:v>MID</x:v>
      </x:c>
      <x:c r="G960" t="str">
        <x:v>ELIGIBLE</x:v>
      </x:c>
      <x:c r="H960"/>
      <x:c r="I960" s="54" t="n">
        <x:v>44469</x:v>
      </x:c>
      <x:c r="J960" s="55" t="n">
        <x:v>34800</x:v>
      </x:c>
      <x:c r="K960" s="55" t="n">
        <x:v>334250868000</x:v>
      </x:c>
      <x:c r="L960" s="55" t="n">
        <x:v>9604910</x:v>
      </x:c>
      <x:c r="M960" t="str">
        <x:v>20210318000067</x:v>
      </x:c>
      <x:c r="N960" t="n">
        <x:v>44273.624999988424</x:v>
      </x:c>
      <x:c r="O960" s="54" t="n">
        <x:v>44196</x:v>
      </x:c>
      <x:c r="P960" t="str">
        <x:v>False</x:v>
      </x:c>
      <x:c r="Q960" t="str">
        <x:v>a1d9cdb9d1d9dc819cad4ac6c72f63c836e1aaee9bb46d49d938ba4926b89490</x:v>
      </x:c>
      <x:c r="R960" t="str">
        <x:v>d55d1de10b3562401f9b34a7663dbde29db72f781cfb628758459f0e16a60fee</x:v>
      </x:c>
      <x:c r="S960" t="n">
        <x:v>6</x:v>
      </x:c>
      <x:c r="T960" t="str">
        <x:v>2019-12-31|2020-12-31</x:v>
      </x:c>
      <x:c r="U960" s="57" t="n">
        <x:v>27176.156461939605</x:v>
      </x:c>
      <x:c r="V960" s="57" t="n">
        <x:v>-0.2190759637373677</x:v>
      </x:c>
      <x:c r="W960" t="n">
        <x:v>19</x:v>
      </x:c>
      <x:c r="X960" t="n">
        <x:v>2</x:v>
      </x:c>
      <x:c r="Y960" s="38" t="n">
        <x:v>0.6409090909090909</x:v>
      </x:c>
      <x:c r="Z960" s="38" t="n">
        <x:v>0.65385479783506</x:v>
      </x:c>
      <x:c r="AA960"/>
    </x:row>
    <x:row r="961">
      <x:c r="A961" s="54" t="n">
        <x:v>44469</x:v>
      </x:c>
      <x:c r="B961" t="n">
        <x:v>44469.624999988424</x:v>
      </x:c>
      <x:c r="C961" t="str">
        <x:v>091120</x:v>
      </x:c>
      <x:c r="D961" t="str">
        <x:v>이엠텍</x:v>
      </x:c>
      <x:c r="E961" t="str">
        <x:v>KOSDAQ</x:v>
      </x:c>
      <x:c r="F961" t="str">
        <x:v>MID</x:v>
      </x:c>
      <x:c r="G961" t="str">
        <x:v>DCF_SCREENING_EXCLUSION</x:v>
      </x:c>
      <x:c r="H961" t="str">
        <x:v>NON_POSITIVE_ENTERPRISE_VALUE|NON_POSITIVE_EQUITY_VALUE|NON_POSITIVE_TERMINAL_FCF</x:v>
      </x:c>
      <x:c r="I961" s="54" t="n">
        <x:v>44469</x:v>
      </x:c>
      <x:c r="J961" s="55" t="n">
        <x:v>23500</x:v>
      </x:c>
      <x:c r="K961" s="55" t="n">
        <x:v>373366496000</x:v>
      </x:c>
      <x:c r="L961" s="55" t="n">
        <x:v>15887936</x:v>
      </x:c>
      <x:c r="M961" t="str">
        <x:v>20210311000658</x:v>
      </x:c>
      <x:c r="N961" t="n">
        <x:v>44266.624999988424</x:v>
      </x:c>
      <x:c r="O961" s="54" t="n">
        <x:v>44196</x:v>
      </x:c>
      <x:c r="P961" t="str">
        <x:v>False</x:v>
      </x:c>
      <x:c r="Q961" t="str">
        <x:v>f69ed2abd476d2428711fd8f06bfe7c437a376e7a6f71c3438b39539c7d2f1a5</x:v>
      </x:c>
      <x:c r="R961" t="str">
        <x:v>f95f08942ff33b316ef5567d3919c0b3c241c98bfbf6f6c9873e5a0f80818c9f</x:v>
      </x:c>
      <x:c r="S961" t="n">
        <x:v>6</x:v>
      </x:c>
      <x:c r="T961" t="str">
        <x:v>2018-12-31|2019-12-31|2020-12-31</x:v>
      </x:c>
      <x:c r="U961" s="57" t="n">
        <x:v>-3124.546134909282</x:v>
      </x:c>
      <x:c r="V961" s="57" t="n">
        <x:v>-1.1329594099961398</x:v>
      </x:c>
      <x:c r="W961"/>
      <x:c r="X961"/>
      <x:c r="Y961" s="38" t="n">
        <x:v>0.6409090909090909</x:v>
      </x:c>
      <x:c r="Z961" s="38" t="n">
        <x:v>0.6813005067848964</x:v>
      </x:c>
      <x:c r="AA961" t="str">
        <x:v>NON_POSITIVE_ENTERPRISE_VALUE|NON_POSITIVE_EQUITY_VALUE|NON_POSITIVE_TERMINAL_FCF</x:v>
      </x:c>
    </x:row>
    <x:row r="962">
      <x:c r="A962" s="54" t="n">
        <x:v>44469</x:v>
      </x:c>
      <x:c r="B962" t="n">
        <x:v>44469.624999988424</x:v>
      </x:c>
      <x:c r="C962" t="str">
        <x:v>353810</x:v>
      </x:c>
      <x:c r="D962" t="str">
        <x:v>이지바이오</x:v>
      </x:c>
      <x:c r="E962" t="str">
        <x:v>KOSDAQ</x:v>
      </x:c>
      <x:c r="F962" t="str">
        <x:v>MID</x:v>
      </x:c>
      <x:c r="G962" t="str">
        <x:v>NO_PIT_FINANCIALS</x:v>
      </x:c>
      <x:c r="H962"/>
      <x:c r="I962" s="54" t="n">
        <x:v>44469</x:v>
      </x:c>
      <x:c r="J962" s="55" t="n">
        <x:v>5400</x:v>
      </x:c>
      <x:c r="K962" s="55" t="n">
        <x:v>184635288000</x:v>
      </x:c>
      <x:c r="L962" s="55" t="n">
        <x:v>34191720</x:v>
      </x:c>
      <x:c r="M962"/>
      <x:c r="N962"/>
      <x:c r="O962" s="54"/>
      <x:c r="P962"/>
      <x:c r="Q962"/>
      <x:c r="R962"/>
      <x:c r="S962"/>
      <x:c r="T962"/>
      <x:c r="U962" s="57"/>
      <x:c r="V962" s="57"/>
      <x:c r="W962"/>
      <x:c r="X962"/>
      <x:c r="Y962" s="38"/>
      <x:c r="Z962" s="38"/>
      <x:c r="AA962"/>
    </x:row>
    <x:row r="963">
      <x:c r="A963" s="54" t="n">
        <x:v>44469</x:v>
      </x:c>
      <x:c r="B963" t="n">
        <x:v>44469.624999988424</x:v>
      </x:c>
      <x:c r="C963" t="str">
        <x:v>203650</x:v>
      </x:c>
      <x:c r="D963" t="str">
        <x:v>드림시큐리티</x:v>
      </x:c>
      <x:c r="E963" t="str">
        <x:v>KOSDAQ</x:v>
      </x:c>
      <x:c r="F963" t="str">
        <x:v>MID</x:v>
      </x:c>
      <x:c r="G963" t="str">
        <x:v>ELIGIBLE</x:v>
      </x:c>
      <x:c r="H963"/>
      <x:c r="I963" s="54" t="n">
        <x:v>44469</x:v>
      </x:c>
      <x:c r="J963" s="55" t="n">
        <x:v>4870</x:v>
      </x:c>
      <x:c r="K963" s="55" t="n">
        <x:v>246450021980</x:v>
      </x:c>
      <x:c r="L963" s="55" t="n">
        <x:v>50605754</x:v>
      </x:c>
      <x:c r="M963" t="str">
        <x:v>20210319000618</x:v>
      </x:c>
      <x:c r="N963" t="n">
        <x:v>44274.624999988424</x:v>
      </x:c>
      <x:c r="O963" s="54" t="n">
        <x:v>44196</x:v>
      </x:c>
      <x:c r="P963" t="str">
        <x:v>False</x:v>
      </x:c>
      <x:c r="Q963" t="str">
        <x:v>5838df72d63cdf786042f815fde6255c8dbcd77782553756c9cdf9bd4987059d</x:v>
      </x:c>
      <x:c r="R963" t="str">
        <x:v>874a0191811b79512899b68cde668ed439a05e6c7703340b07c6d3c99580beba</x:v>
      </x:c>
      <x:c r="S963" t="n">
        <x:v>6</x:v>
      </x:c>
      <x:c r="T963" t="str">
        <x:v>2018-12-31|2019-12-31|2020-12-31</x:v>
      </x:c>
      <x:c r="U963" s="57" t="n">
        <x:v>1651.8549785795835</x:v>
      </x:c>
      <x:c r="V963" s="57" t="n">
        <x:v>-0.6608100660000855</x:v>
      </x:c>
      <x:c r="W963" t="n">
        <x:v>38</x:v>
      </x:c>
      <x:c r="X963" t="n">
        <x:v>4</x:v>
      </x:c>
      <x:c r="Y963" s="38" t="n">
        <x:v>0.6409090909090909</x:v>
      </x:c>
      <x:c r="Z963" s="38" t="n">
        <x:v>0.6847587029208964</x:v>
      </x:c>
      <x:c r="AA963"/>
    </x:row>
    <x:row r="964">
      <x:c r="A964" s="54" t="n">
        <x:v>44469</x:v>
      </x:c>
      <x:c r="B964" t="n">
        <x:v>44469.624999988424</x:v>
      </x:c>
      <x:c r="C964" t="str">
        <x:v>251120</x:v>
      </x:c>
      <x:c r="D964" t="str">
        <x:v>바이오에프디엔씨</x:v>
      </x:c>
      <x:c r="E964" t="str">
        <x:v>KOSDAQ</x:v>
      </x:c>
      <x:c r="F964" t="str">
        <x:v>MID</x:v>
      </x:c>
      <x:c r="G964" t="str">
        <x:v>NOT_LISTED_OR_NO_PRICE</x:v>
      </x:c>
      <x:c r="H964"/>
      <x:c r="I964" s="54"/>
      <x:c r="J964" s="55"/>
      <x:c r="K964" s="55"/>
      <x:c r="L964" s="55"/>
      <x:c r="M964"/>
      <x:c r="N964"/>
      <x:c r="O964" s="54"/>
      <x:c r="P964"/>
      <x:c r="Q964"/>
      <x:c r="R964"/>
      <x:c r="S964"/>
      <x:c r="T964"/>
      <x:c r="U964" s="57"/>
      <x:c r="V964" s="57"/>
      <x:c r="W964"/>
      <x:c r="X964"/>
      <x:c r="Y964" s="38"/>
      <x:c r="Z964" s="38"/>
      <x:c r="AA964"/>
    </x:row>
    <x:row r="965">
      <x:c r="A965" s="54" t="n">
        <x:v>44469</x:v>
      </x:c>
      <x:c r="B965" t="n">
        <x:v>44469.624999988424</x:v>
      </x:c>
      <x:c r="C965" t="str">
        <x:v>094820</x:v>
      </x:c>
      <x:c r="D965" t="str">
        <x:v>일진파워</x:v>
      </x:c>
      <x:c r="E965" t="str">
        <x:v>KOSDAQ</x:v>
      </x:c>
      <x:c r="F965" t="str">
        <x:v>MID</x:v>
      </x:c>
      <x:c r="G965" t="str">
        <x:v>ELIGIBLE</x:v>
      </x:c>
      <x:c r="H965"/>
      <x:c r="I965" s="54" t="n">
        <x:v>44469</x:v>
      </x:c>
      <x:c r="J965" s="55" t="n">
        <x:v>11450</x:v>
      </x:c>
      <x:c r="K965" s="55" t="n">
        <x:v>172651218050</x:v>
      </x:c>
      <x:c r="L965" s="55" t="n">
        <x:v>15078709</x:v>
      </x:c>
      <x:c r="M965" t="str">
        <x:v>20210318001274</x:v>
      </x:c>
      <x:c r="N965" t="n">
        <x:v>44273.624999988424</x:v>
      </x:c>
      <x:c r="O965" s="54" t="n">
        <x:v>44196</x:v>
      </x:c>
      <x:c r="P965" t="str">
        <x:v>False</x:v>
      </x:c>
      <x:c r="Q965" t="str">
        <x:v>876dfbe83ccde173bd7ce6620f972be12ab815292f2628b9efad7390810a78aa</x:v>
      </x:c>
      <x:c r="R965" t="str">
        <x:v>735ef39d51ec5f034ed98a1d8b748f5b100ea140a77ba94ff42c5c2693c842c9</x:v>
      </x:c>
      <x:c r="S965" t="n">
        <x:v>6</x:v>
      </x:c>
      <x:c r="T965" t="str">
        <x:v>2018-12-31|2019-12-31|2020-12-31</x:v>
      </x:c>
      <x:c r="U965" s="57" t="n">
        <x:v>10884.899548397261</x:v>
      </x:c>
      <x:c r="V965" s="57" t="n">
        <x:v>-0.04935375123168019</x:v>
      </x:c>
      <x:c r="W965" t="n">
        <x:v>15</x:v>
      </x:c>
      <x:c r="X965" t="n">
        <x:v>2</x:v>
      </x:c>
      <x:c r="Y965" s="38" t="n">
        <x:v>0.6409090909090909</x:v>
      </x:c>
      <x:c r="Z965" s="38" t="n">
        <x:v>0.6755436623710693</x:v>
      </x:c>
      <x:c r="AA965"/>
    </x:row>
    <x:row r="966">
      <x:c r="A966" s="54" t="n">
        <x:v>44469</x:v>
      </x:c>
      <x:c r="B966" t="n">
        <x:v>44469.624999988424</x:v>
      </x:c>
      <x:c r="C966" t="str">
        <x:v>333430</x:v>
      </x:c>
      <x:c r="D966" t="str">
        <x:v>일승</x:v>
      </x:c>
      <x:c r="E966" t="str">
        <x:v>KOSDAQ</x:v>
      </x:c>
      <x:c r="F966" t="str">
        <x:v>MID</x:v>
      </x:c>
      <x:c r="G966" t="str">
        <x:v>NO_PIT_FINANCIALS</x:v>
      </x:c>
      <x:c r="H966"/>
      <x:c r="I966" s="54" t="n">
        <x:v>44469</x:v>
      </x:c>
      <x:c r="J966" s="55" t="n">
        <x:v>2900</x:v>
      </x:c>
      <x:c r="K966" s="55" t="n">
        <x:v>89107566300</x:v>
      </x:c>
      <x:c r="L966" s="55" t="n">
        <x:v>30726747</x:v>
      </x:c>
      <x:c r="M966"/>
      <x:c r="N966"/>
      <x:c r="O966" s="54"/>
      <x:c r="P966"/>
      <x:c r="Q966"/>
      <x:c r="R966"/>
      <x:c r="S966"/>
      <x:c r="T966"/>
      <x:c r="U966" s="57"/>
      <x:c r="V966" s="57"/>
      <x:c r="W966"/>
      <x:c r="X966"/>
      <x:c r="Y966" s="38"/>
      <x:c r="Z966" s="38"/>
      <x:c r="AA966"/>
    </x:row>
    <x:row r="967">
      <x:c r="A967" s="54" t="n">
        <x:v>44469</x:v>
      </x:c>
      <x:c r="B967" t="n">
        <x:v>44469.624999988424</x:v>
      </x:c>
      <x:c r="C967" t="str">
        <x:v>041440</x:v>
      </x:c>
      <x:c r="D967" t="str">
        <x:v>현대에버다임</x:v>
      </x:c>
      <x:c r="E967" t="str">
        <x:v>KOSDAQ</x:v>
      </x:c>
      <x:c r="F967" t="str">
        <x:v>MID</x:v>
      </x:c>
      <x:c r="G967" t="str">
        <x:v>ELIGIBLE</x:v>
      </x:c>
      <x:c r="H967"/>
      <x:c r="I967" s="54" t="n">
        <x:v>44469</x:v>
      </x:c>
      <x:c r="J967" s="55" t="n">
        <x:v>6050</x:v>
      </x:c>
      <x:c r="K967" s="55" t="n">
        <x:v>108391461200</x:v>
      </x:c>
      <x:c r="L967" s="55" t="n">
        <x:v>17915944</x:v>
      </x:c>
      <x:c r="M967" t="str">
        <x:v>20210316001261</x:v>
      </x:c>
      <x:c r="N967" t="n">
        <x:v>44272.624999988424</x:v>
      </x:c>
      <x:c r="O967" s="54" t="n">
        <x:v>44196</x:v>
      </x:c>
      <x:c r="P967" t="str">
        <x:v>False</x:v>
      </x:c>
      <x:c r="Q967" t="str">
        <x:v>6f08b3f9f69113807f297444c8ce16eabb23af4da8e344ef1f527c9fcbc98da9</x:v>
      </x:c>
      <x:c r="R967" t="str">
        <x:v>3ad7a8ff31596a0244abff37b8d648f521f5d20687c5ab7c00c5e69dfae506f6</x:v>
      </x:c>
      <x:c r="S967" t="n">
        <x:v>7</x:v>
      </x:c>
      <x:c r="T967" t="str">
        <x:v>2018-12-31|2019-12-31|2020-12-31</x:v>
      </x:c>
      <x:c r="U967" s="57" t="n">
        <x:v>2775.8404516907763</x:v>
      </x:c>
      <x:c r="V967" s="57" t="n">
        <x:v>-0.5411833964147477</x:v>
      </x:c>
      <x:c r="W967" t="n">
        <x:v>30</x:v>
      </x:c>
      <x:c r="X967" t="n">
        <x:v>3</x:v>
      </x:c>
      <x:c r="Y967" s="38" t="n">
        <x:v>0.6409090909090909</x:v>
      </x:c>
      <x:c r="Z967" s="38" t="n">
        <x:v>0.4858903805076907</x:v>
      </x:c>
      <x:c r="AA967"/>
    </x:row>
    <x:row r="968">
      <x:c r="A968" s="54" t="n">
        <x:v>44469</x:v>
      </x:c>
      <x:c r="B968" t="n">
        <x:v>44469.624999988424</x:v>
      </x:c>
      <x:c r="C968" t="str">
        <x:v>067990</x:v>
      </x:c>
      <x:c r="D968" t="str">
        <x:v>도이치모터스</x:v>
      </x:c>
      <x:c r="E968" t="str">
        <x:v>KOSDAQ</x:v>
      </x:c>
      <x:c r="F968" t="str">
        <x:v>MID</x:v>
      </x:c>
      <x:c r="G968" t="str">
        <x:v>DCF_SCREENING_EXCLUSION</x:v>
      </x:c>
      <x:c r="H968" t="str">
        <x:v>NON_POSITIVE_EQUITY_VALUE|UNRELIABLE_TERMINAL_VALUE_SHARE</x:v>
      </x:c>
      <x:c r="I968" s="54" t="n">
        <x:v>44469</x:v>
      </x:c>
      <x:c r="J968" s="55" t="n">
        <x:v>7290</x:v>
      </x:c>
      <x:c r="K968" s="55" t="n">
        <x:v>215956816740</x:v>
      </x:c>
      <x:c r="L968" s="55" t="n">
        <x:v>29623706</x:v>
      </x:c>
      <x:c r="M968" t="str">
        <x:v>20210319000917</x:v>
      </x:c>
      <x:c r="N968" t="n">
        <x:v>44274.624999988424</x:v>
      </x:c>
      <x:c r="O968" s="54" t="n">
        <x:v>44196</x:v>
      </x:c>
      <x:c r="P968" t="str">
        <x:v>False</x:v>
      </x:c>
      <x:c r="Q968" t="str">
        <x:v>10c9b73d81d91b44f4c1ba26758c80f8e8f8f165fcc8cbc218727c8d84fa0d64</x:v>
      </x:c>
      <x:c r="R968" t="str">
        <x:v>51cc63cef37e912d19933c774d0e8b5d25c22e3894b2d141035ea06ec1d84a1a</x:v>
      </x:c>
      <x:c r="S968" t="n">
        <x:v>6</x:v>
      </x:c>
      <x:c r="T968" t="str">
        <x:v>2016-12-31|2018-12-31|2019-12-31|2020-12-31</x:v>
      </x:c>
      <x:c r="U968" s="57" t="n">
        <x:v>-14091.55512075233</x:v>
      </x:c>
      <x:c r="V968" s="57" t="n">
        <x:v>-2.9329979589509367</x:v>
      </x:c>
      <x:c r="W968"/>
      <x:c r="X968"/>
      <x:c r="Y968" s="38" t="n">
        <x:v>0.6409090909090909</x:v>
      </x:c>
      <x:c r="Z968" s="38" t="n">
        <x:v>0.9672534740739068</x:v>
      </x:c>
      <x:c r="AA968" t="str">
        <x:v>NON_POSITIVE_EQUITY_VALUE|UNRELIABLE_TERMINAL_VALUE_SHARE</x:v>
      </x:c>
    </x:row>
    <x:row r="969">
      <x:c r="A969" s="54" t="n">
        <x:v>44469</x:v>
      </x:c>
      <x:c r="B969" t="n">
        <x:v>44469.624999988424</x:v>
      </x:c>
      <x:c r="C969" t="str">
        <x:v>037070</x:v>
      </x:c>
      <x:c r="D969" t="str">
        <x:v>파세코</x:v>
      </x:c>
      <x:c r="E969" t="str">
        <x:v>KOSDAQ</x:v>
      </x:c>
      <x:c r="F969" t="str">
        <x:v>MID</x:v>
      </x:c>
      <x:c r="G969" t="str">
        <x:v>ELIGIBLE</x:v>
      </x:c>
      <x:c r="H969"/>
      <x:c r="I969" s="54" t="n">
        <x:v>44469</x:v>
      </x:c>
      <x:c r="J969" s="55" t="n">
        <x:v>19850</x:v>
      </x:c>
      <x:c r="K969" s="55" t="n">
        <x:v>277900000000</x:v>
      </x:c>
      <x:c r="L969" s="55" t="n">
        <x:v>14000000</x:v>
      </x:c>
      <x:c r="M969" t="str">
        <x:v>20210323000525</x:v>
      </x:c>
      <x:c r="N969" t="n">
        <x:v>44278.624999988424</x:v>
      </x:c>
      <x:c r="O969" s="54" t="n">
        <x:v>44196</x:v>
      </x:c>
      <x:c r="P969" t="str">
        <x:v>False</x:v>
      </x:c>
      <x:c r="Q969" t="str">
        <x:v>288ade85d77bdcb6715ad38831629f03378fc7c949c950410ef529b27ca026ca</x:v>
      </x:c>
      <x:c r="R969" t="str">
        <x:v>d47890457c3ba235de3e72b5dd35b3903fac66df1f32064164ee92ff8abb4066</x:v>
      </x:c>
      <x:c r="S969" t="n">
        <x:v>7</x:v>
      </x:c>
      <x:c r="T969" t="str">
        <x:v>2018-12-31|2019-12-31|2020-12-31</x:v>
      </x:c>
      <x:c r="U969" s="57" t="n">
        <x:v>8702.574407152382</x:v>
      </x:c>
      <x:c r="V969" s="57" t="n">
        <x:v>-0.5615831532920714</x:v>
      </x:c>
      <x:c r="W969" t="n">
        <x:v>34</x:v>
      </x:c>
      <x:c r="X969" t="n">
        <x:v>3</x:v>
      </x:c>
      <x:c r="Y969" s="38" t="n">
        <x:v>0.6409090909090909</x:v>
      </x:c>
      <x:c r="Z969" s="38" t="n">
        <x:v>0.6657247163665023</x:v>
      </x:c>
      <x:c r="AA969"/>
    </x:row>
    <x:row r="970">
      <x:c r="A970" s="54" t="n">
        <x:v>44469</x:v>
      </x:c>
      <x:c r="B970" t="n">
        <x:v>44469.624999988424</x:v>
      </x:c>
      <x:c r="C970" t="str">
        <x:v>365330</x:v>
      </x:c>
      <x:c r="D970" t="str">
        <x:v>에스와이스틸텍</x:v>
      </x:c>
      <x:c r="E970" t="str">
        <x:v>KOSDAQ</x:v>
      </x:c>
      <x:c r="F970" t="str">
        <x:v>MID</x:v>
      </x:c>
      <x:c r="G970" t="str">
        <x:v>NOT_LISTED_OR_NO_PRICE</x:v>
      </x:c>
      <x:c r="H970"/>
      <x:c r="I970" s="54"/>
      <x:c r="J970" s="55"/>
      <x:c r="K970" s="55"/>
      <x:c r="L970" s="55"/>
      <x:c r="M970"/>
      <x:c r="N970"/>
      <x:c r="O970" s="54"/>
      <x:c r="P970"/>
      <x:c r="Q970"/>
      <x:c r="R970"/>
      <x:c r="S970"/>
      <x:c r="T970"/>
      <x:c r="U970" s="57"/>
      <x:c r="V970" s="57"/>
      <x:c r="W970"/>
      <x:c r="X970"/>
      <x:c r="Y970" s="38"/>
      <x:c r="Z970" s="38"/>
      <x:c r="AA970"/>
    </x:row>
    <x:row r="971">
      <x:c r="A971" s="54" t="n">
        <x:v>44469</x:v>
      </x:c>
      <x:c r="B971" t="n">
        <x:v>44469.624999988424</x:v>
      </x:c>
      <x:c r="C971" t="str">
        <x:v>086960</x:v>
      </x:c>
      <x:c r="D971" t="str">
        <x:v>MDS테크</x:v>
      </x:c>
      <x:c r="E971" t="str">
        <x:v>KOSDAQ</x:v>
      </x:c>
      <x:c r="F971" t="str">
        <x:v>MID</x:v>
      </x:c>
      <x:c r="G971" t="str">
        <x:v>ELIGIBLE</x:v>
      </x:c>
      <x:c r="H971"/>
      <x:c r="I971" s="54" t="n">
        <x:v>44469</x:v>
      </x:c>
      <x:c r="J971" s="55" t="n">
        <x:v>18800</x:v>
      </x:c>
      <x:c r="K971" s="55" t="n">
        <x:v>166353830400</x:v>
      </x:c>
      <x:c r="L971" s="55" t="n">
        <x:v>8848608</x:v>
      </x:c>
      <x:c r="M971" t="str">
        <x:v>20210316001071</x:v>
      </x:c>
      <x:c r="N971" t="n">
        <x:v>44271.624999988424</x:v>
      </x:c>
      <x:c r="O971" s="54" t="n">
        <x:v>44196</x:v>
      </x:c>
      <x:c r="P971" t="str">
        <x:v>False</x:v>
      </x:c>
      <x:c r="Q971" t="str">
        <x:v>449b4e59d025de1d7d5a9ecb405a5bc4112be82940e8bc7805131bac9040560e</x:v>
      </x:c>
      <x:c r="R971" t="str">
        <x:v>0f0ce7f0414bfa51af4275551ce10741690be6847f9395f847a202ff0ada0b86</x:v>
      </x:c>
      <x:c r="S971" t="n">
        <x:v>6</x:v>
      </x:c>
      <x:c r="T971" t="str">
        <x:v>2018-12-31|2019-12-31|2020-12-31</x:v>
      </x:c>
      <x:c r="U971" s="57" t="n">
        <x:v>6470.800110451912</x:v>
      </x:c>
      <x:c r="V971" s="57" t="n">
        <x:v>-0.6558085047631962</x:v>
      </x:c>
      <x:c r="W971" t="n">
        <x:v>37</x:v>
      </x:c>
      <x:c r="X971" t="n">
        <x:v>4</x:v>
      </x:c>
      <x:c r="Y971" s="38" t="n">
        <x:v>0.6409090909090909</x:v>
      </x:c>
      <x:c r="Z971" s="38" t="n">
        <x:v>0.583251547314125</x:v>
      </x:c>
      <x:c r="AA971"/>
    </x:row>
    <x:row r="972">
      <x:c r="A972" s="54" t="n">
        <x:v>44469</x:v>
      </x:c>
      <x:c r="B972" t="n">
        <x:v>44469.624999988424</x:v>
      </x:c>
      <x:c r="C972" t="str">
        <x:v>014970</x:v>
      </x:c>
      <x:c r="D972" t="str">
        <x:v>삼륭물산</x:v>
      </x:c>
      <x:c r="E972" t="str">
        <x:v>KOSDAQ</x:v>
      </x:c>
      <x:c r="F972" t="str">
        <x:v>MID</x:v>
      </x:c>
      <x:c r="G972" t="str">
        <x:v>DCF_SCREENING_EXCLUSION</x:v>
      </x:c>
      <x:c r="H972" t="str">
        <x:v>NON_POSITIVE_ENTERPRISE_VALUE|NON_POSITIVE_EQUITY_VALUE|NON_POSITIVE_TERMINAL_FCF|UNRELIABLE_TERMINAL_VALUE_SHARE</x:v>
      </x:c>
      <x:c r="I972" s="54" t="n">
        <x:v>44469</x:v>
      </x:c>
      <x:c r="J972" s="55" t="n">
        <x:v>8390</x:v>
      </x:c>
      <x:c r="K972" s="55" t="n">
        <x:v>126898750000</x:v>
      </x:c>
      <x:c r="L972" s="55" t="n">
        <x:v>15125000</x:v>
      </x:c>
      <x:c r="M972" t="str">
        <x:v>20210330000019</x:v>
      </x:c>
      <x:c r="N972" t="n">
        <x:v>44285.624999988424</x:v>
      </x:c>
      <x:c r="O972" s="54" t="n">
        <x:v>44196</x:v>
      </x:c>
      <x:c r="P972" t="str">
        <x:v>False</x:v>
      </x:c>
      <x:c r="Q972" t="str">
        <x:v>db7fb8289834e170187de7d60202bd28289217460c9f69f69b7fa2a5f7ba5a44</x:v>
      </x:c>
      <x:c r="R972" t="str">
        <x:v>e2cea05971f07b11304f196f6480539ccc7b9ec2c5304a966d8bc1e0b3850142</x:v>
      </x:c>
      <x:c r="S972" t="n">
        <x:v>6</x:v>
      </x:c>
      <x:c r="T972" t="str">
        <x:v>2018-12-31|2019-12-31|2020-12-31</x:v>
      </x:c>
      <x:c r="U972" s="57" t="n">
        <x:v>-514.9984660024672</x:v>
      </x:c>
      <x:c r="V972" s="57" t="n">
        <x:v>-1.0613824154949305</x:v>
      </x:c>
      <x:c r="W972"/>
      <x:c r="X972"/>
      <x:c r="Y972" s="38" t="n">
        <x:v>0.6409090909090909</x:v>
      </x:c>
      <x:c r="Z972" s="38" t="n">
        <x:v>1.4185819358560103</x:v>
      </x:c>
      <x:c r="AA972" t="str">
        <x:v>NON_POSITIVE_ENTERPRISE_VALUE|NON_POSITIVE_EQUITY_VALUE|NON_POSITIVE_TERMINAL_FCF|UNRELIABLE_TERMINAL_VALUE_SHARE</x:v>
      </x:c>
    </x:row>
    <x:row r="973">
      <x:c r="A973" s="54" t="n">
        <x:v>44469</x:v>
      </x:c>
      <x:c r="B973" t="n">
        <x:v>44469.624999988424</x:v>
      </x:c>
      <x:c r="C973" t="str">
        <x:v>088390</x:v>
      </x:c>
      <x:c r="D973" t="str">
        <x:v>이녹스</x:v>
      </x:c>
      <x:c r="E973" t="str">
        <x:v>KOSDAQ</x:v>
      </x:c>
      <x:c r="F973" t="str">
        <x:v>MID</x:v>
      </x:c>
      <x:c r="G973" t="str">
        <x:v>ELIGIBLE</x:v>
      </x:c>
      <x:c r="H973"/>
      <x:c r="I973" s="54" t="n">
        <x:v>44469</x:v>
      </x:c>
      <x:c r="J973" s="55" t="n">
        <x:v>29450</x:v>
      </x:c>
      <x:c r="K973" s="55" t="n">
        <x:v>275382355800</x:v>
      </x:c>
      <x:c r="L973" s="55" t="n">
        <x:v>9350844</x:v>
      </x:c>
      <x:c r="M973" t="str">
        <x:v>20210318001318</x:v>
      </x:c>
      <x:c r="N973" t="n">
        <x:v>44273.624999988424</x:v>
      </x:c>
      <x:c r="O973" s="54" t="n">
        <x:v>44196</x:v>
      </x:c>
      <x:c r="P973" t="str">
        <x:v>False</x:v>
      </x:c>
      <x:c r="Q973" t="str">
        <x:v>78742b2d914e26f09250a3fd201ef069394f8986dff3d51832183c4eaf52b18c</x:v>
      </x:c>
      <x:c r="R973" t="str">
        <x:v>719a4e5b763bbedbc38452bf1788cbfb6ff51d8070e44e3b99ffdb9082646b27</x:v>
      </x:c>
      <x:c r="S973" t="n">
        <x:v>6</x:v>
      </x:c>
      <x:c r="T973" t="str">
        <x:v>2018-12-31|2019-12-31|2020-12-31</x:v>
      </x:c>
      <x:c r="U973" s="57" t="n">
        <x:v>4438.298471090707</x:v>
      </x:c>
      <x:c r="V973" s="57" t="n">
        <x:v>-0.8492937700818096</x:v>
      </x:c>
      <x:c r="W973" t="n">
        <x:v>52</x:v>
      </x:c>
      <x:c r="X973" t="n">
        <x:v>5</x:v>
      </x:c>
      <x:c r="Y973" s="38" t="n">
        <x:v>0.6409090909090909</x:v>
      </x:c>
      <x:c r="Z973" s="38" t="n">
        <x:v>0.46128834611293384</x:v>
      </x:c>
      <x:c r="AA973"/>
    </x:row>
    <x:row r="974">
      <x:c r="A974" s="54" t="n">
        <x:v>44469</x:v>
      </x:c>
      <x:c r="B974" t="n">
        <x:v>44469.624999988424</x:v>
      </x:c>
      <x:c r="C974" t="str">
        <x:v>170920</x:v>
      </x:c>
      <x:c r="D974" t="str">
        <x:v>엘티씨</x:v>
      </x:c>
      <x:c r="E974" t="str">
        <x:v>KOSDAQ</x:v>
      </x:c>
      <x:c r="F974" t="str">
        <x:v>MID</x:v>
      </x:c>
      <x:c r="G974" t="str">
        <x:v>DCF_SCREENING_EXCLUSION</x:v>
      </x:c>
      <x:c r="H974" t="str">
        <x:v>NON_POSITIVE_EQUITY_VALUE</x:v>
      </x:c>
      <x:c r="I974" s="54" t="n">
        <x:v>44469</x:v>
      </x:c>
      <x:c r="J974" s="55" t="n">
        <x:v>11500</x:v>
      </x:c>
      <x:c r="K974" s="55" t="n">
        <x:v>92222674500</x:v>
      </x:c>
      <x:c r="L974" s="55" t="n">
        <x:v>8019363</x:v>
      </x:c>
      <x:c r="M974" t="str">
        <x:v>20210317000881</x:v>
      </x:c>
      <x:c r="N974" t="n">
        <x:v>44272.624999988424</x:v>
      </x:c>
      <x:c r="O974" s="54" t="n">
        <x:v>44196</x:v>
      </x:c>
      <x:c r="P974" t="str">
        <x:v>False</x:v>
      </x:c>
      <x:c r="Q974" t="str">
        <x:v>8b37977f7e8946e919791090e3b7cef2344bd6904a0c156d385d0e36090a3962</x:v>
      </x:c>
      <x:c r="R974" t="str">
        <x:v>77d324f908a67f3c7389a72ba15f1781057da40e5bda11e730b362ede96f2780</x:v>
      </x:c>
      <x:c r="S974" t="n">
        <x:v>6</x:v>
      </x:c>
      <x:c r="T974" t="str">
        <x:v>2018-12-31|2019-12-31|2020-12-31</x:v>
      </x:c>
      <x:c r="U974" s="57" t="n">
        <x:v>-1.660878872603791</x:v>
      </x:c>
      <x:c r="V974" s="57" t="n">
        <x:v>-1.0001444242497917</x:v>
      </x:c>
      <x:c r="W974"/>
      <x:c r="X974"/>
      <x:c r="Y974" s="38" t="n">
        <x:v>0.6409090909090909</x:v>
      </x:c>
      <x:c r="Z974" s="38" t="n">
        <x:v>0.6218942210664877</x:v>
      </x:c>
      <x:c r="AA974" t="str">
        <x:v>NON_POSITIVE_EQUITY_VALUE</x:v>
      </x:c>
    </x:row>
    <x:row r="975">
      <x:c r="A975" s="54" t="n">
        <x:v>44469</x:v>
      </x:c>
      <x:c r="B975" t="n">
        <x:v>44469.624999988424</x:v>
      </x:c>
      <x:c r="C975" t="str">
        <x:v>021080</x:v>
      </x:c>
      <x:c r="D975" t="str">
        <x:v>에이티넘인베스트</x:v>
      </x:c>
      <x:c r="E975" t="str">
        <x:v>KOSDAQ</x:v>
      </x:c>
      <x:c r="F975" t="str">
        <x:v>MID</x:v>
      </x:c>
      <x:c r="G975" t="str">
        <x:v>ELIGIBLE</x:v>
      </x:c>
      <x:c r="H975"/>
      <x:c r="I975" s="54" t="n">
        <x:v>44469</x:v>
      </x:c>
      <x:c r="J975" s="55" t="n">
        <x:v>4345</x:v>
      </x:c>
      <x:c r="K975" s="55" t="n">
        <x:v>208560000000</x:v>
      </x:c>
      <x:c r="L975" s="55" t="n">
        <x:v>48000000</x:v>
      </x:c>
      <x:c r="M975" t="str">
        <x:v>20210316000584</x:v>
      </x:c>
      <x:c r="N975" t="n">
        <x:v>44271.624999988424</x:v>
      </x:c>
      <x:c r="O975" s="54" t="n">
        <x:v>44196</x:v>
      </x:c>
      <x:c r="P975" t="str">
        <x:v>False</x:v>
      </x:c>
      <x:c r="Q975" t="str">
        <x:v>55a37992fbde8e6d83b4745264fc16998a98544419186a4f9de0b42f1caceef0</x:v>
      </x:c>
      <x:c r="R975" t="str">
        <x:v>7745f524b3c0f5ad009800896f13fd804e8e005edcaddeaa544c11625b0472c8</x:v>
      </x:c>
      <x:c r="S975" t="n">
        <x:v>5</x:v>
      </x:c>
      <x:c r="T975" t="str">
        <x:v>2018-12-31|2019-12-31|2020-12-31</x:v>
      </x:c>
      <x:c r="U975" s="57" t="n">
        <x:v>3347.712238143814</x:v>
      </x:c>
      <x:c r="V975" s="57" t="n">
        <x:v>-0.22952537672179193</x:v>
      </x:c>
      <x:c r="W975" t="n">
        <x:v>20</x:v>
      </x:c>
      <x:c r="X975" t="n">
        <x:v>2</x:v>
      </x:c>
      <x:c r="Y975" s="38" t="n">
        <x:v>0.6409090909090909</x:v>
      </x:c>
      <x:c r="Z975" s="38" t="n">
        <x:v>0.6847587029208964</x:v>
      </x:c>
      <x:c r="AA975"/>
    </x:row>
    <x:row r="976">
      <x:c r="A976" s="54" t="n">
        <x:v>44469</x:v>
      </x:c>
      <x:c r="B976" t="n">
        <x:v>44469.624999988424</x:v>
      </x:c>
      <x:c r="C976" t="str">
        <x:v>302550</x:v>
      </x:c>
      <x:c r="D976" t="str">
        <x:v>리메드</x:v>
      </x:c>
      <x:c r="E976" t="str">
        <x:v>KOSDAQ</x:v>
      </x:c>
      <x:c r="F976" t="str">
        <x:v>MID</x:v>
      </x:c>
      <x:c r="G976" t="str">
        <x:v>ELIGIBLE</x:v>
      </x:c>
      <x:c r="H976"/>
      <x:c r="I976" s="54" t="n">
        <x:v>44469</x:v>
      </x:c>
      <x:c r="J976" s="55" t="n">
        <x:v>31050</x:v>
      </x:c>
      <x:c r="K976" s="55" t="n">
        <x:v>189858826800</x:v>
      </x:c>
      <x:c r="L976" s="55" t="n">
        <x:v>6114616</x:v>
      </x:c>
      <x:c r="M976" t="str">
        <x:v>20210322000679</x:v>
      </x:c>
      <x:c r="N976" t="n">
        <x:v>44277.624999988424</x:v>
      </x:c>
      <x:c r="O976" s="54" t="n">
        <x:v>44196</x:v>
      </x:c>
      <x:c r="P976" t="str">
        <x:v>False</x:v>
      </x:c>
      <x:c r="Q976" t="str">
        <x:v>1e639ed22abca5e497e8d1fb6e0e98e947dcf9cd388522a1c37f3ec1dc13d829</x:v>
      </x:c>
      <x:c r="R976" t="str">
        <x:v>2383eb7b5dddea424096886da74c8322f4f6a110c52b643834c9d484ea7d8e6c</x:v>
      </x:c>
      <x:c r="S976" t="n">
        <x:v>6</x:v>
      </x:c>
      <x:c r="T976" t="str">
        <x:v>2019-12-31|2020-12-31</x:v>
      </x:c>
      <x:c r="U976" s="57" t="n">
        <x:v>2657.491576674311</x:v>
      </x:c>
      <x:c r="V976" s="57" t="n">
        <x:v>-0.9144125096079126</x:v>
      </x:c>
      <x:c r="W976" t="n">
        <x:v>55</x:v>
      </x:c>
      <x:c r="X976" t="n">
        <x:v>5</x:v>
      </x:c>
      <x:c r="Y976" s="38" t="n">
        <x:v>0.6409090909090909</x:v>
      </x:c>
      <x:c r="Z976" s="38" t="n">
        <x:v>0.7012694220738431</x:v>
      </x:c>
      <x:c r="AA976"/>
    </x:row>
    <x:row r="977">
      <x:c r="A977" s="54" t="n">
        <x:v>44469</x:v>
      </x:c>
      <x:c r="B977" t="n">
        <x:v>44469.624999988424</x:v>
      </x:c>
      <x:c r="C977" t="str">
        <x:v>011760</x:v>
      </x:c>
      <x:c r="D977" t="str">
        <x:v>현대코퍼레이션</x:v>
      </x:c>
      <x:c r="E977" t="str">
        <x:v>KOSPI</x:v>
      </x:c>
      <x:c r="F977" t="str">
        <x:v>MID</x:v>
      </x:c>
      <x:c r="G977" t="str">
        <x:v>ELIGIBLE</x:v>
      </x:c>
      <x:c r="H977"/>
      <x:c r="I977" s="54" t="n">
        <x:v>44469</x:v>
      </x:c>
      <x:c r="J977" s="55" t="n">
        <x:v>19050</x:v>
      </x:c>
      <x:c r="K977" s="55" t="n">
        <x:v>252011802300</x:v>
      </x:c>
      <x:c r="L977" s="55" t="n">
        <x:v>13228966</x:v>
      </x:c>
      <x:c r="M977" t="str">
        <x:v>20210316000887</x:v>
      </x:c>
      <x:c r="N977" t="n">
        <x:v>44271.624999988424</x:v>
      </x:c>
      <x:c r="O977" s="54" t="n">
        <x:v>44196</x:v>
      </x:c>
      <x:c r="P977" t="str">
        <x:v>False</x:v>
      </x:c>
      <x:c r="Q977" t="str">
        <x:v>278ee78f0a27176a2018ffaad516b599eaf70ba9580db1bc71f8fb92c05598e4</x:v>
      </x:c>
      <x:c r="R977" t="str">
        <x:v>a57c1d91ac06dca8334078344d08773f484c9199efaec07d1393489503253d10</x:v>
      </x:c>
      <x:c r="S977" t="n">
        <x:v>6</x:v>
      </x:c>
      <x:c r="T977" t="str">
        <x:v>2018-12-31|2019-12-31|2020-12-31</x:v>
      </x:c>
      <x:c r="U977" s="57" t="n">
        <x:v>13014.620111364917</x:v>
      </x:c>
      <x:c r="V977" s="57" t="n">
        <x:v>-0.31681784192310153</x:v>
      </x:c>
      <x:c r="W977" t="n">
        <x:v>22</x:v>
      </x:c>
      <x:c r="X977" t="n">
        <x:v>2</x:v>
      </x:c>
      <x:c r="Y977" s="38" t="n">
        <x:v>0.6409090909090909</x:v>
      </x:c>
      <x:c r="Z977" s="38" t="n">
        <x:v>0.6392017842916052</x:v>
      </x:c>
      <x:c r="AA977"/>
    </x:row>
    <x:row r="978">
      <x:c r="A978" s="54" t="n">
        <x:v>44469</x:v>
      </x:c>
      <x:c r="B978" t="n">
        <x:v>44469.624999988424</x:v>
      </x:c>
      <x:c r="C978" t="str">
        <x:v>010690</x:v>
      </x:c>
      <x:c r="D978" t="str">
        <x:v>화신</x:v>
      </x:c>
      <x:c r="E978" t="str">
        <x:v>KOSPI</x:v>
      </x:c>
      <x:c r="F978" t="str">
        <x:v>MID</x:v>
      </x:c>
      <x:c r="G978" t="str">
        <x:v>DCF_SCREENING_EXCLUSION</x:v>
      </x:c>
      <x:c r="H978" t="str">
        <x:v>NON_POSITIVE_ENTERPRISE_VALUE|NON_POSITIVE_EQUITY_VALUE|NON_POSITIVE_TERMINAL_FCF</x:v>
      </x:c>
      <x:c r="I978" s="54" t="n">
        <x:v>44469</x:v>
      </x:c>
      <x:c r="J978" s="55" t="n">
        <x:v>8620</x:v>
      </x:c>
      <x:c r="K978" s="55" t="n">
        <x:v>301013934200</x:v>
      </x:c>
      <x:c r="L978" s="55" t="n">
        <x:v>34920410</x:v>
      </x:c>
      <x:c r="M978" t="str">
        <x:v>20210322000570</x:v>
      </x:c>
      <x:c r="N978" t="n">
        <x:v>44277.624999988424</x:v>
      </x:c>
      <x:c r="O978" s="54" t="n">
        <x:v>44196</x:v>
      </x:c>
      <x:c r="P978" t="str">
        <x:v>False</x:v>
      </x:c>
      <x:c r="Q978" t="str">
        <x:v>2c40177bebdb79af787fdbbbe7b2fb1961c7e34aff8c723bffa7969be0d2c81a</x:v>
      </x:c>
      <x:c r="R978" t="str">
        <x:v>648b337d596595f7fa419e14405bf4a6cc9b965de9c5fe7ae81f9018c5994503</x:v>
      </x:c>
      <x:c r="S978" t="n">
        <x:v>6</x:v>
      </x:c>
      <x:c r="T978" t="str">
        <x:v>2018-12-31|2019-12-31|2020-12-31</x:v>
      </x:c>
      <x:c r="U978" s="57" t="n">
        <x:v>-16153.5769382895</x:v>
      </x:c>
      <x:c r="V978" s="57" t="n">
        <x:v>-2.8739648420289443</x:v>
      </x:c>
      <x:c r="W978"/>
      <x:c r="X978"/>
      <x:c r="Y978" s="38" t="n">
        <x:v>0.6409090909090909</x:v>
      </x:c>
      <x:c r="Z978" s="38" t="n">
        <x:v>0.676334784928983</x:v>
      </x:c>
      <x:c r="AA978" t="str">
        <x:v>NON_POSITIVE_ENTERPRISE_VALUE|NON_POSITIVE_EQUITY_VALUE|NON_POSITIVE_TERMINAL_FCF</x:v>
      </x:c>
    </x:row>
    <x:row r="979">
      <x:c r="A979" s="54" t="n">
        <x:v>44469</x:v>
      </x:c>
      <x:c r="B979" t="n">
        <x:v>44469.624999988424</x:v>
      </x:c>
      <x:c r="C979" t="str">
        <x:v>029460</x:v>
      </x:c>
      <x:c r="D979" t="str">
        <x:v>케이씨</x:v>
      </x:c>
      <x:c r="E979" t="str">
        <x:v>KOSPI</x:v>
      </x:c>
      <x:c r="F979" t="str">
        <x:v>MID</x:v>
      </x:c>
      <x:c r="G979" t="str">
        <x:v>ELIGIBLE</x:v>
      </x:c>
      <x:c r="H979"/>
      <x:c r="I979" s="54" t="n">
        <x:v>44469</x:v>
      </x:c>
      <x:c r="J979" s="55" t="n">
        <x:v>22200</x:v>
      </x:c>
      <x:c r="K979" s="55" t="n">
        <x:v>300899776800</x:v>
      </x:c>
      <x:c r="L979" s="55" t="n">
        <x:v>13554044</x:v>
      </x:c>
      <x:c r="M979" t="str">
        <x:v>20210316000993</x:v>
      </x:c>
      <x:c r="N979" t="n">
        <x:v>44271.624999988424</x:v>
      </x:c>
      <x:c r="O979" s="54" t="n">
        <x:v>44196</x:v>
      </x:c>
      <x:c r="P979" t="str">
        <x:v>False</x:v>
      </x:c>
      <x:c r="Q979" t="str">
        <x:v>b4098d53fa6c9821544b19624f9e3b95c7efb07ed65dd730ca2d013f17f0f149</x:v>
      </x:c>
      <x:c r="R979" t="str">
        <x:v>bdbc2e70dba69343ad2b40ebf43c406cfee3642881bca2327498ab7f2557dc61</x:v>
      </x:c>
      <x:c r="S979" t="n">
        <x:v>7</x:v>
      </x:c>
      <x:c r="T979" t="str">
        <x:v>2018-12-31|2019-12-31|2020-12-31</x:v>
      </x:c>
      <x:c r="U979" s="57" t="n">
        <x:v>48747.66235572782</x:v>
      </x:c>
      <x:c r="V979" s="57" t="n">
        <x:v>1.1958406466544063</x:v>
      </x:c>
      <x:c r="W979" t="n">
        <x:v>5</x:v>
      </x:c>
      <x:c r="X979" t="n">
        <x:v>1</x:v>
      </x:c>
      <x:c r="Y979" s="38" t="n">
        <x:v>0.6409090909090909</x:v>
      </x:c>
      <x:c r="Z979" s="38" t="n">
        <x:v>0.6736961444810375</x:v>
      </x:c>
      <x:c r="AA979"/>
    </x:row>
    <x:row r="980">
      <x:c r="A980" s="54" t="n">
        <x:v>44469</x:v>
      </x:c>
      <x:c r="B980" t="n">
        <x:v>44469.624999988424</x:v>
      </x:c>
      <x:c r="C980" t="str">
        <x:v>122900</x:v>
      </x:c>
      <x:c r="D980" t="str">
        <x:v>아이마켓코리아</x:v>
      </x:c>
      <x:c r="E980" t="str">
        <x:v>KOSPI</x:v>
      </x:c>
      <x:c r="F980" t="str">
        <x:v>MID</x:v>
      </x:c>
      <x:c r="G980" t="str">
        <x:v>ELIGIBLE</x:v>
      </x:c>
      <x:c r="H980"/>
      <x:c r="I980" s="54" t="n">
        <x:v>44469</x:v>
      </x:c>
      <x:c r="J980" s="55" t="n">
        <x:v>11850</x:v>
      </x:c>
      <x:c r="K980" s="55" t="n">
        <x:v>396131754000</x:v>
      </x:c>
      <x:c r="L980" s="55" t="n">
        <x:v>33428840</x:v>
      </x:c>
      <x:c r="M980" t="str">
        <x:v>20210322000664</x:v>
      </x:c>
      <x:c r="N980" t="n">
        <x:v>44277.624999988424</x:v>
      </x:c>
      <x:c r="O980" s="54" t="n">
        <x:v>44196</x:v>
      </x:c>
      <x:c r="P980" t="str">
        <x:v>False</x:v>
      </x:c>
      <x:c r="Q980" t="str">
        <x:v>b92939c81e354aaff71090566e3693253c1752bd6d081c88b85c8203cdcf44f4</x:v>
      </x:c>
      <x:c r="R980" t="str">
        <x:v>2f99c90467b5d1ba95e082e3d4cbf7a890d1b59929860f56e1b76261c8b1a50c</x:v>
      </x:c>
      <x:c r="S980" t="n">
        <x:v>7</x:v>
      </x:c>
      <x:c r="T980" t="str">
        <x:v>2018-12-31|2019-12-31|2020-12-31</x:v>
      </x:c>
      <x:c r="U980" s="57" t="n">
        <x:v>7534.48271490816</x:v>
      </x:c>
      <x:c r="V980" s="57" t="n">
        <x:v>-0.3641786738474126</x:v>
      </x:c>
      <x:c r="W980" t="n">
        <x:v>23</x:v>
      </x:c>
      <x:c r="X980" t="n">
        <x:v>2</x:v>
      </x:c>
      <x:c r="Y980" s="38" t="n">
        <x:v>0.6409090909090909</x:v>
      </x:c>
      <x:c r="Z980" s="38" t="n">
        <x:v>0.6656486310336687</x:v>
      </x:c>
      <x:c r="AA980"/>
    </x:row>
    <x:row r="981">
      <x:c r="A981" s="54" t="n">
        <x:v>44469</x:v>
      </x:c>
      <x:c r="B981" t="n">
        <x:v>44469.624999988424</x:v>
      </x:c>
      <x:c r="C981" t="str">
        <x:v>001820</x:v>
      </x:c>
      <x:c r="D981" t="str">
        <x:v>삼화콘덴서</x:v>
      </x:c>
      <x:c r="E981" t="str">
        <x:v>KOSPI</x:v>
      </x:c>
      <x:c r="F981" t="str">
        <x:v>MID</x:v>
      </x:c>
      <x:c r="G981" t="str">
        <x:v>ELIGIBLE</x:v>
      </x:c>
      <x:c r="H981"/>
      <x:c r="I981" s="54" t="n">
        <x:v>44469</x:v>
      </x:c>
      <x:c r="J981" s="55" t="n">
        <x:v>59100</x:v>
      </x:c>
      <x:c r="K981" s="55" t="n">
        <x:v>614344500000</x:v>
      </x:c>
      <x:c r="L981" s="55" t="n">
        <x:v>10395000</x:v>
      </x:c>
      <x:c r="M981" t="str">
        <x:v>20210318000813</x:v>
      </x:c>
      <x:c r="N981" t="n">
        <x:v>44273.624999988424</x:v>
      </x:c>
      <x:c r="O981" s="54" t="n">
        <x:v>44196</x:v>
      </x:c>
      <x:c r="P981" t="str">
        <x:v>False</x:v>
      </x:c>
      <x:c r="Q981" t="str">
        <x:v>62af25af3ee9d675da0f9a28a9d429b856f6716ee8ccde02bf6bb2659a309d7d</x:v>
      </x:c>
      <x:c r="R981" t="str">
        <x:v>377ca5e06ffa671a6e44038c8c5ed1f0add6921eecb130f7781f3365ed119d4a</x:v>
      </x:c>
      <x:c r="S981" t="n">
        <x:v>6</x:v>
      </x:c>
      <x:c r="T981" t="str">
        <x:v>2018-12-31|2019-12-31|2020-12-31</x:v>
      </x:c>
      <x:c r="U981" s="57" t="n">
        <x:v>19903.907995886217</x:v>
      </x:c>
      <x:c r="V981" s="57" t="n">
        <x:v>-0.6632164467701148</x:v>
      </x:c>
      <x:c r="W981" t="n">
        <x:v>40</x:v>
      </x:c>
      <x:c r="X981" t="n">
        <x:v>4</x:v>
      </x:c>
      <x:c r="Y981" s="38" t="n">
        <x:v>0.6409090909090909</x:v>
      </x:c>
      <x:c r="Z981" s="38" t="n">
        <x:v>0.7024781145767918</x:v>
      </x:c>
      <x:c r="AA981"/>
    </x:row>
    <x:row r="982">
      <x:c r="A982" s="54" t="n">
        <x:v>44469</x:v>
      </x:c>
      <x:c r="B982" t="n">
        <x:v>44469.624999988424</x:v>
      </x:c>
      <x:c r="C982" t="str">
        <x:v>001790</x:v>
      </x:c>
      <x:c r="D982" t="str">
        <x:v>대한제당</x:v>
      </x:c>
      <x:c r="E982" t="str">
        <x:v>KOSPI</x:v>
      </x:c>
      <x:c r="F982" t="str">
        <x:v>MID</x:v>
      </x:c>
      <x:c r="G982" t="str">
        <x:v>ELIGIBLE</x:v>
      </x:c>
      <x:c r="H982"/>
      <x:c r="I982" s="54" t="n">
        <x:v>44469</x:v>
      </x:c>
      <x:c r="J982" s="55" t="n">
        <x:v>3260</x:v>
      </x:c>
      <x:c r="K982" s="55" t="n">
        <x:v>292410850800</x:v>
      </x:c>
      <x:c r="L982" s="55" t="n">
        <x:v>89696580</x:v>
      </x:c>
      <x:c r="M982" t="str">
        <x:v>20210419000297</x:v>
      </x:c>
      <x:c r="N982" t="n">
        <x:v>44305.624999988424</x:v>
      </x:c>
      <x:c r="O982" s="54" t="n">
        <x:v>44196</x:v>
      </x:c>
      <x:c r="P982" t="str">
        <x:v>True</x:v>
      </x:c>
      <x:c r="Q982" t="str">
        <x:v>7386d6b7f498bee97055913795870feb3dd802720df714a650ee71d84745f789</x:v>
      </x:c>
      <x:c r="R982" t="str">
        <x:v>94740bf63be73c4dac11b62e160d72258565c0a2cb42b25e32354159b5b309cd</x:v>
      </x:c>
      <x:c r="S982" t="n">
        <x:v>6</x:v>
      </x:c>
      <x:c r="T982" t="str">
        <x:v>2018-12-31|2019-12-31|2020-12-31</x:v>
      </x:c>
      <x:c r="U982" s="57" t="n">
        <x:v>1160.3339311700863</x:v>
      </x:c>
      <x:c r="V982" s="57" t="n">
        <x:v>-0.6440693462668446</x:v>
      </x:c>
      <x:c r="W982" t="n">
        <x:v>36</x:v>
      </x:c>
      <x:c r="X982" t="n">
        <x:v>3</x:v>
      </x:c>
      <x:c r="Y982" s="38" t="n">
        <x:v>0.6409090909090909</x:v>
      </x:c>
      <x:c r="Z982" s="38" t="n">
        <x:v>0.5698434338896153</x:v>
      </x:c>
      <x:c r="AA982"/>
    </x:row>
    <x:row r="983">
      <x:c r="A983" s="54" t="n">
        <x:v>44469</x:v>
      </x:c>
      <x:c r="B983" t="n">
        <x:v>44469.624999988424</x:v>
      </x:c>
      <x:c r="C983" t="str">
        <x:v>001340</x:v>
      </x:c>
      <x:c r="D983" t="str">
        <x:v>PKC</x:v>
      </x:c>
      <x:c r="E983" t="str">
        <x:v>KOSPI</x:v>
      </x:c>
      <x:c r="F983" t="str">
        <x:v>MID</x:v>
      </x:c>
      <x:c r="G983" t="str">
        <x:v>ELIGIBLE</x:v>
      </x:c>
      <x:c r="H983"/>
      <x:c r="I983" s="54" t="n">
        <x:v>44469</x:v>
      </x:c>
      <x:c r="J983" s="55" t="n">
        <x:v>6770</x:v>
      </x:c>
      <x:c r="K983" s="55" t="n">
        <x:v>304097615390</x:v>
      </x:c>
      <x:c r="L983" s="55" t="n">
        <x:v>44918407</x:v>
      </x:c>
      <x:c r="M983" t="str">
        <x:v>20210317000563</x:v>
      </x:c>
      <x:c r="N983" t="n">
        <x:v>44272.624999988424</x:v>
      </x:c>
      <x:c r="O983" s="54" t="n">
        <x:v>44196</x:v>
      </x:c>
      <x:c r="P983" t="str">
        <x:v>False</x:v>
      </x:c>
      <x:c r="Q983" t="str">
        <x:v>81adfca52825bdd115d27da3b41cb6c3439abb61b538de345fb74e37891da0b1</x:v>
      </x:c>
      <x:c r="R983" t="str">
        <x:v>2e28e834dc1fb990f4d5415cd14d168e467ed9142c468c9f6da7138ee5fe5af3</x:v>
      </x:c>
      <x:c r="S983" t="n">
        <x:v>6</x:v>
      </x:c>
      <x:c r="T983" t="str">
        <x:v>2016-12-31|2017-12-31|2018-12-31|2019-12-31|2020-12-31</x:v>
      </x:c>
      <x:c r="U983" s="57" t="n">
        <x:v>65.60697834095828</x:v>
      </x:c>
      <x:c r="V983" s="57" t="n">
        <x:v>-0.9903091612494892</x:v>
      </x:c>
      <x:c r="W983" t="n">
        <x:v>59</x:v>
      </x:c>
      <x:c r="X983" t="n">
        <x:v>5</x:v>
      </x:c>
      <x:c r="Y983" s="38" t="n">
        <x:v>0.6409090909090909</x:v>
      </x:c>
      <x:c r="Z983" s="38" t="n">
        <x:v>0.6734078515422923</x:v>
      </x:c>
      <x:c r="AA983"/>
    </x:row>
    <x:row r="984">
      <x:c r="A984" s="54" t="n">
        <x:v>44469</x:v>
      </x:c>
      <x:c r="B984" t="n">
        <x:v>44469.624999988424</x:v>
      </x:c>
      <x:c r="C984" t="str">
        <x:v>096760</x:v>
      </x:c>
      <x:c r="D984" t="str">
        <x:v>JW홀딩스</x:v>
      </x:c>
      <x:c r="E984" t="str">
        <x:v>KOSPI</x:v>
      </x:c>
      <x:c r="F984" t="str">
        <x:v>MID</x:v>
      </x:c>
      <x:c r="G984" t="str">
        <x:v>EXCLUDED_ARCHETYPE</x:v>
      </x:c>
      <x:c r="H984" t="str">
        <x:v>FCFF_NOT_COMPARABLE_FOR_FINANCE_OR_HOLDING_HINT</x:v>
      </x:c>
      <x:c r="I984" s="54"/>
      <x:c r="J984" s="55"/>
      <x:c r="K984" s="55"/>
      <x:c r="L984" s="55"/>
      <x:c r="M984"/>
      <x:c r="N984"/>
      <x:c r="O984" s="54"/>
      <x:c r="P984"/>
      <x:c r="Q984"/>
      <x:c r="R984"/>
      <x:c r="S984"/>
      <x:c r="T984"/>
      <x:c r="U984" s="57"/>
      <x:c r="V984" s="57"/>
      <x:c r="W984"/>
      <x:c r="X984"/>
      <x:c r="Y984" s="38"/>
      <x:c r="Z984" s="38"/>
      <x:c r="AA984"/>
    </x:row>
    <x:row r="985">
      <x:c r="A985" s="54" t="n">
        <x:v>44469</x:v>
      </x:c>
      <x:c r="B985" t="n">
        <x:v>44469.624999988424</x:v>
      </x:c>
      <x:c r="C985" t="str">
        <x:v>005010</x:v>
      </x:c>
      <x:c r="D985" t="str">
        <x:v>휴스틸</x:v>
      </x:c>
      <x:c r="E985" t="str">
        <x:v>KOSPI</x:v>
      </x:c>
      <x:c r="F985" t="str">
        <x:v>MID</x:v>
      </x:c>
      <x:c r="G985" t="str">
        <x:v>ELIGIBLE</x:v>
      </x:c>
      <x:c r="H985"/>
      <x:c r="I985" s="54" t="n">
        <x:v>44469</x:v>
      </x:c>
      <x:c r="J985" s="55" t="n">
        <x:v>17200</x:v>
      </x:c>
      <x:c r="K985" s="55" t="n">
        <x:v>132461104400</x:v>
      </x:c>
      <x:c r="L985" s="55" t="n">
        <x:v>7701227</x:v>
      </x:c>
      <x:c r="M985" t="str">
        <x:v>20210323001094</x:v>
      </x:c>
      <x:c r="N985" t="n">
        <x:v>44278.624999988424</x:v>
      </x:c>
      <x:c r="O985" s="54" t="n">
        <x:v>44196</x:v>
      </x:c>
      <x:c r="P985" t="str">
        <x:v>False</x:v>
      </x:c>
      <x:c r="Q985" t="str">
        <x:v>358c99bbd3908de4511666e01e6de1624292a0d2e52d26017dbc07b20987a606</x:v>
      </x:c>
      <x:c r="R985" t="str">
        <x:v>b22c5cf1055628239a9b026a80fc3913c3040d0df837fed18104e6bc98dc4d00</x:v>
      </x:c>
      <x:c r="S985" t="n">
        <x:v>7</x:v>
      </x:c>
      <x:c r="T985" t="str">
        <x:v>2018-12-31|2019-12-31|2020-12-31</x:v>
      </x:c>
      <x:c r="U985" s="57" t="n">
        <x:v>7745.567493044447</x:v>
      </x:c>
      <x:c r="V985" s="57" t="n">
        <x:v>-0.5496763085439276</x:v>
      </x:c>
      <x:c r="W985" t="n">
        <x:v>32</x:v>
      </x:c>
      <x:c r="X985" t="n">
        <x:v>3</x:v>
      </x:c>
      <x:c r="Y985" s="38" t="n">
        <x:v>0.6409090909090909</x:v>
      </x:c>
      <x:c r="Z985" s="38" t="n">
        <x:v>0.471667152477003</x:v>
      </x:c>
      <x:c r="AA985"/>
    </x:row>
    <x:row r="986">
      <x:c r="A986" s="54" t="n">
        <x:v>44469</x:v>
      </x:c>
      <x:c r="B986" t="n">
        <x:v>44469.624999988424</x:v>
      </x:c>
      <x:c r="C986" t="str">
        <x:v>001630</x:v>
      </x:c>
      <x:c r="D986" t="str">
        <x:v>종근당홀딩스</x:v>
      </x:c>
      <x:c r="E986" t="str">
        <x:v>KOSPI</x:v>
      </x:c>
      <x:c r="F986" t="str">
        <x:v>MID</x:v>
      </x:c>
      <x:c r="G986" t="str">
        <x:v>EXCLUDED_ARCHETYPE</x:v>
      </x:c>
      <x:c r="H986" t="str">
        <x:v>FCFF_NOT_COMPARABLE_FOR_FINANCE_OR_HOLDING_HINT</x:v>
      </x:c>
      <x:c r="I986" s="54"/>
      <x:c r="J986" s="55"/>
      <x:c r="K986" s="55"/>
      <x:c r="L986" s="55"/>
      <x:c r="M986"/>
      <x:c r="N986"/>
      <x:c r="O986" s="54"/>
      <x:c r="P986"/>
      <x:c r="Q986"/>
      <x:c r="R986"/>
      <x:c r="S986"/>
      <x:c r="T986"/>
      <x:c r="U986" s="57"/>
      <x:c r="V986" s="57"/>
      <x:c r="W986"/>
      <x:c r="X986"/>
      <x:c r="Y986" s="38"/>
      <x:c r="Z986" s="38"/>
      <x:c r="AA986"/>
    </x:row>
    <x:row r="987">
      <x:c r="A987" s="54" t="n">
        <x:v>44469</x:v>
      </x:c>
      <x:c r="B987" t="n">
        <x:v>44469.624999988424</x:v>
      </x:c>
      <x:c r="C987" t="str">
        <x:v>005680</x:v>
      </x:c>
      <x:c r="D987" t="str">
        <x:v>삼영전자</x:v>
      </x:c>
      <x:c r="E987" t="str">
        <x:v>KOSPI</x:v>
      </x:c>
      <x:c r="F987" t="str">
        <x:v>MID</x:v>
      </x:c>
      <x:c r="G987" t="str">
        <x:v>ELIGIBLE</x:v>
      </x:c>
      <x:c r="H987"/>
      <x:c r="I987" s="54" t="n">
        <x:v>44469</x:v>
      </x:c>
      <x:c r="J987" s="55" t="n">
        <x:v>12350</x:v>
      </x:c>
      <x:c r="K987" s="55" t="n">
        <x:v>247000000000</x:v>
      </x:c>
      <x:c r="L987" s="55" t="n">
        <x:v>20000000</x:v>
      </x:c>
      <x:c r="M987" t="str">
        <x:v>20210311000178</x:v>
      </x:c>
      <x:c r="N987" t="n">
        <x:v>44266.624999988424</x:v>
      </x:c>
      <x:c r="O987" s="54" t="n">
        <x:v>44196</x:v>
      </x:c>
      <x:c r="P987" t="str">
        <x:v>False</x:v>
      </x:c>
      <x:c r="Q987" t="str">
        <x:v>dde14fa80372da4de99c1b031ada4ede564fe680bd7b1decb0a4ae7d0ff72d41</x:v>
      </x:c>
      <x:c r="R987" t="str">
        <x:v>39c89dac47e1d12411df59d521e88eca256c5297f13e434da2910061f9732c40</x:v>
      </x:c>
      <x:c r="S987" t="n">
        <x:v>6</x:v>
      </x:c>
      <x:c r="T987" t="str">
        <x:v>2018-12-31|2019-12-31|2020-12-31</x:v>
      </x:c>
      <x:c r="U987" s="57" t="n">
        <x:v>3668.246287265243</x:v>
      </x:c>
      <x:c r="V987" s="57" t="n">
        <x:v>-0.7029760091283204</x:v>
      </x:c>
      <x:c r="W987" t="n">
        <x:v>43</x:v>
      </x:c>
      <x:c r="X987" t="n">
        <x:v>4</x:v>
      </x:c>
      <x:c r="Y987" s="38" t="n">
        <x:v>0.6409090909090909</x:v>
      </x:c>
      <x:c r="Z987" s="38" t="n">
        <x:v>0.4816152124920987</x:v>
      </x:c>
      <x:c r="AA987"/>
    </x:row>
    <x:row r="988">
      <x:c r="A988" s="54" t="n">
        <x:v>44469</x:v>
      </x:c>
      <x:c r="B988" t="n">
        <x:v>44469.624999988424</x:v>
      </x:c>
      <x:c r="C988" t="str">
        <x:v>028100</x:v>
      </x:c>
      <x:c r="D988" t="str">
        <x:v>동아지질</x:v>
      </x:c>
      <x:c r="E988" t="str">
        <x:v>KOSPI</x:v>
      </x:c>
      <x:c r="F988" t="str">
        <x:v>MID</x:v>
      </x:c>
      <x:c r="G988" t="str">
        <x:v>ELIGIBLE</x:v>
      </x:c>
      <x:c r="H988"/>
      <x:c r="I988" s="54" t="n">
        <x:v>44469</x:v>
      </x:c>
      <x:c r="J988" s="55" t="n">
        <x:v>19550</x:v>
      </x:c>
      <x:c r="K988" s="55" t="n">
        <x:v>224825000000</x:v>
      </x:c>
      <x:c r="L988" s="55" t="n">
        <x:v>11500000</x:v>
      </x:c>
      <x:c r="M988" t="str">
        <x:v>20210317000479</x:v>
      </x:c>
      <x:c r="N988" t="n">
        <x:v>44272.624999988424</x:v>
      </x:c>
      <x:c r="O988" s="54" t="n">
        <x:v>44196</x:v>
      </x:c>
      <x:c r="P988" t="str">
        <x:v>False</x:v>
      </x:c>
      <x:c r="Q988" t="str">
        <x:v>bc2d1caa964a2ab24387413d73b3d76e86ffc1bf831ba20155c556d6c0d445b4</x:v>
      </x:c>
      <x:c r="R988" t="str">
        <x:v>ed58f112ca210e521489ef5cb877a8950f25699d8d3c5b406b93f360e560ce8f</x:v>
      </x:c>
      <x:c r="S988" t="n">
        <x:v>7</x:v>
      </x:c>
      <x:c r="T988" t="str">
        <x:v>2018-12-31|2019-12-31|2020-12-31</x:v>
      </x:c>
      <x:c r="U988" s="57" t="n">
        <x:v>26722.030644503473</x:v>
      </x:c>
      <x:c r="V988" s="57" t="n">
        <x:v>0.3668557874426328</x:v>
      </x:c>
      <x:c r="W988" t="n">
        <x:v>8</x:v>
      </x:c>
      <x:c r="X988" t="n">
        <x:v>1</x:v>
      </x:c>
      <x:c r="Y988" s="38" t="n">
        <x:v>0.6409090909090909</x:v>
      </x:c>
      <x:c r="Z988" s="38" t="n">
        <x:v>0.7103235894476889</x:v>
      </x:c>
      <x:c r="AA988"/>
    </x:row>
    <x:row r="989">
      <x:c r="A989" s="54" t="n">
        <x:v>44469</x:v>
      </x:c>
      <x:c r="B989" t="n">
        <x:v>44469.624999988424</x:v>
      </x:c>
      <x:c r="C989" t="str">
        <x:v>001750</x:v>
      </x:c>
      <x:c r="D989" t="str">
        <x:v>한양증권</x:v>
      </x:c>
      <x:c r="E989" t="str">
        <x:v>KOSPI</x:v>
      </x:c>
      <x:c r="F989" t="str">
        <x:v>MID</x:v>
      </x:c>
      <x:c r="G989" t="str">
        <x:v>EXCLUDED_ARCHETYPE</x:v>
      </x:c>
      <x:c r="H989" t="str">
        <x:v>FCFF_NOT_COMPARABLE_FOR_FINANCE_OR_HOLDING_HINT</x:v>
      </x:c>
      <x:c r="I989" s="54"/>
      <x:c r="J989" s="55"/>
      <x:c r="K989" s="55"/>
      <x:c r="L989" s="55"/>
      <x:c r="M989"/>
      <x:c r="N989"/>
      <x:c r="O989" s="54"/>
      <x:c r="P989"/>
      <x:c r="Q989"/>
      <x:c r="R989"/>
      <x:c r="S989"/>
      <x:c r="T989"/>
      <x:c r="U989" s="57"/>
      <x:c r="V989" s="57"/>
      <x:c r="W989"/>
      <x:c r="X989"/>
      <x:c r="Y989" s="38"/>
      <x:c r="Z989" s="38"/>
      <x:c r="AA989"/>
    </x:row>
    <x:row r="990">
      <x:c r="A990" s="54" t="n">
        <x:v>44469</x:v>
      </x:c>
      <x:c r="B990" t="n">
        <x:v>44469.624999988424</x:v>
      </x:c>
      <x:c r="C990" t="str">
        <x:v>102460</x:v>
      </x:c>
      <x:c r="D990" t="str">
        <x:v>이연제약</x:v>
      </x:c>
      <x:c r="E990" t="str">
        <x:v>KOSPI</x:v>
      </x:c>
      <x:c r="F990" t="str">
        <x:v>MID</x:v>
      </x:c>
      <x:c r="G990" t="str">
        <x:v>ELIGIBLE</x:v>
      </x:c>
      <x:c r="H990"/>
      <x:c r="I990" s="54" t="n">
        <x:v>44469</x:v>
      </x:c>
      <x:c r="J990" s="55" t="n">
        <x:v>52700</x:v>
      </x:c>
      <x:c r="K990" s="55" t="n">
        <x:v>948525007900</x:v>
      </x:c>
      <x:c r="L990" s="55" t="n">
        <x:v>17998577</x:v>
      </x:c>
      <x:c r="M990" t="str">
        <x:v>20210318000279</x:v>
      </x:c>
      <x:c r="N990" t="n">
        <x:v>44273.624999988424</x:v>
      </x:c>
      <x:c r="O990" s="54" t="n">
        <x:v>44196</x:v>
      </x:c>
      <x:c r="P990" t="str">
        <x:v>False</x:v>
      </x:c>
      <x:c r="Q990" t="str">
        <x:v>bafa27ff7a8f0c2cc105ff079f8634cb91e99101fddf8fe16ed747692f943381</x:v>
      </x:c>
      <x:c r="R990" t="str">
        <x:v>7ab3717ffefb5b466b6c6284aa66ff1f75d6201cbed0dd7623fb983f6e7e880b</x:v>
      </x:c>
      <x:c r="S990" t="n">
        <x:v>4</x:v>
      </x:c>
      <x:c r="T990" t="str">
        <x:v>2018-12-31|2019-12-31|2020-12-31</x:v>
      </x:c>
      <x:c r="U990" s="57" t="n">
        <x:v>1678.3327852134746</x:v>
      </x:c>
      <x:c r="V990" s="57" t="n">
        <x:v>-0.9681530780794407</x:v>
      </x:c>
      <x:c r="W990" t="n">
        <x:v>58</x:v>
      </x:c>
      <x:c r="X990" t="n">
        <x:v>5</x:v>
      </x:c>
      <x:c r="Y990" s="38" t="n">
        <x:v>0.6409090909090909</x:v>
      </x:c>
      <x:c r="Z990" s="38" t="n">
        <x:v>0.6881824883488759</x:v>
      </x:c>
      <x:c r="AA990"/>
    </x:row>
    <x:row r="991">
      <x:c r="A991" s="54" t="n">
        <x:v>44469</x:v>
      </x:c>
      <x:c r="B991" t="n">
        <x:v>44469.624999988424</x:v>
      </x:c>
      <x:c r="C991" t="str">
        <x:v>053690</x:v>
      </x:c>
      <x:c r="D991" t="str">
        <x:v>한미글로벌</x:v>
      </x:c>
      <x:c r="E991" t="str">
        <x:v>KOSPI</x:v>
      </x:c>
      <x:c r="F991" t="str">
        <x:v>MID</x:v>
      </x:c>
      <x:c r="G991" t="str">
        <x:v>ELIGIBLE</x:v>
      </x:c>
      <x:c r="H991"/>
      <x:c r="I991" s="54" t="n">
        <x:v>44469</x:v>
      </x:c>
      <x:c r="J991" s="55" t="n">
        <x:v>10800</x:v>
      </x:c>
      <x:c r="K991" s="55" t="n">
        <x:v>118341540000</x:v>
      </x:c>
      <x:c r="L991" s="55" t="n">
        <x:v>10957550</x:v>
      </x:c>
      <x:c r="M991" t="str">
        <x:v>20210326001219</x:v>
      </x:c>
      <x:c r="N991" t="n">
        <x:v>44281.624999988424</x:v>
      </x:c>
      <x:c r="O991" s="54" t="n">
        <x:v>44196</x:v>
      </x:c>
      <x:c r="P991" t="str">
        <x:v>True</x:v>
      </x:c>
      <x:c r="Q991" t="str">
        <x:v>e941839f60714374267fa53fec0758cc41c633a07fb2a702fbbee19bbfd8deb7</x:v>
      </x:c>
      <x:c r="R991" t="str">
        <x:v>934955606a112d859a0ce14e27a56a79ebcff494f5ee54caaecf4cb0b75c9b26</x:v>
      </x:c>
      <x:c r="S991" t="n">
        <x:v>6</x:v>
      </x:c>
      <x:c r="T991" t="str">
        <x:v>2018-12-31|2019-12-31|2020-12-31</x:v>
      </x:c>
      <x:c r="U991" s="57" t="n">
        <x:v>14615.232013631028</x:v>
      </x:c>
      <x:c r="V991" s="57" t="n">
        <x:v>0.35326222348435443</x:v>
      </x:c>
      <x:c r="W991" t="n">
        <x:v>9</x:v>
      </x:c>
      <x:c r="X991" t="n">
        <x:v>1</x:v>
      </x:c>
      <x:c r="Y991" s="38" t="n">
        <x:v>0.6409090909090909</x:v>
      </x:c>
      <x:c r="Z991" s="38" t="n">
        <x:v>0.6899242333766348</x:v>
      </x:c>
      <x:c r="AA991"/>
    </x:row>
    <x:row r="992">
      <x:c r="A992" s="54" t="n">
        <x:v>44469</x:v>
      </x:c>
      <x:c r="B992" t="n">
        <x:v>44469.624999988424</x:v>
      </x:c>
      <x:c r="C992" t="str">
        <x:v>213500</x:v>
      </x:c>
      <x:c r="D992" t="str">
        <x:v>한솔제지</x:v>
      </x:c>
      <x:c r="E992" t="str">
        <x:v>KOSPI</x:v>
      </x:c>
      <x:c r="F992" t="str">
        <x:v>MID</x:v>
      </x:c>
      <x:c r="G992" t="str">
        <x:v>ELIGIBLE</x:v>
      </x:c>
      <x:c r="H992"/>
      <x:c r="I992" s="54" t="n">
        <x:v>44469</x:v>
      </x:c>
      <x:c r="J992" s="55" t="n">
        <x:v>16250</x:v>
      </x:c>
      <x:c r="K992" s="55" t="n">
        <x:v>386759360000</x:v>
      </x:c>
      <x:c r="L992" s="55" t="n">
        <x:v>23800576</x:v>
      </x:c>
      <x:c r="M992" t="str">
        <x:v>20210317001248</x:v>
      </x:c>
      <x:c r="N992" t="n">
        <x:v>44272.624999988424</x:v>
      </x:c>
      <x:c r="O992" s="54" t="n">
        <x:v>44196</x:v>
      </x:c>
      <x:c r="P992" t="str">
        <x:v>True</x:v>
      </x:c>
      <x:c r="Q992" t="str">
        <x:v>8efbce3ee9b4e5be342d13640deb5660db4e1206c3c7f9d96ce1c37099bb3a70</x:v>
      </x:c>
      <x:c r="R992" t="str">
        <x:v>bdec2c9e28fec8b0cb98d00a31cab09a0c1959da47b6f2ecece8901870a4f4f8</x:v>
      </x:c>
      <x:c r="S992" t="n">
        <x:v>6</x:v>
      </x:c>
      <x:c r="T992" t="str">
        <x:v>2018-12-31|2019-12-31|2020-12-31</x:v>
      </x:c>
      <x:c r="U992" s="57" t="n">
        <x:v>8382.140797073778</x:v>
      </x:c>
      <x:c r="V992" s="57" t="n">
        <x:v>-0.48417595094930593</x:v>
      </x:c>
      <x:c r="W992" t="n">
        <x:v>26</x:v>
      </x:c>
      <x:c r="X992" t="n">
        <x:v>3</x:v>
      </x:c>
      <x:c r="Y992" s="38" t="n">
        <x:v>0.6409090909090909</x:v>
      </x:c>
      <x:c r="Z992" s="38" t="n">
        <x:v>0.6149835882195432</x:v>
      </x:c>
      <x:c r="AA992"/>
    </x:row>
    <x:row r="993">
      <x:c r="A993" s="54" t="n">
        <x:v>44469</x:v>
      </x:c>
      <x:c r="B993" t="n">
        <x:v>44469.624999988424</x:v>
      </x:c>
      <x:c r="C993" t="str">
        <x:v>005430</x:v>
      </x:c>
      <x:c r="D993" t="str">
        <x:v>한국공항</x:v>
      </x:c>
      <x:c r="E993" t="str">
        <x:v>KOSPI</x:v>
      </x:c>
      <x:c r="F993" t="str">
        <x:v>MID</x:v>
      </x:c>
      <x:c r="G993" t="str">
        <x:v>DCF_SCREENING_EXCLUSION</x:v>
      </x:c>
      <x:c r="H993" t="str">
        <x:v>UNRELIABLE_TERMINAL_VALUE_SHARE</x:v>
      </x:c>
      <x:c r="I993" s="54" t="n">
        <x:v>44469</x:v>
      </x:c>
      <x:c r="J993" s="55" t="n">
        <x:v>55300</x:v>
      </x:c>
      <x:c r="K993" s="55" t="n">
        <x:v>175099431500</x:v>
      </x:c>
      <x:c r="L993" s="55" t="n">
        <x:v>3166355</x:v>
      </x:c>
      <x:c r="M993" t="str">
        <x:v>20210318001204</x:v>
      </x:c>
      <x:c r="N993" t="n">
        <x:v>44273.624999988424</x:v>
      </x:c>
      <x:c r="O993" s="54" t="n">
        <x:v>44196</x:v>
      </x:c>
      <x:c r="P993" t="str">
        <x:v>False</x:v>
      </x:c>
      <x:c r="Q993" t="str">
        <x:v>0d39e979f1c33d350281bec900a7d13ad08ca5a63340b7c00b73f9412208d65e</x:v>
      </x:c>
      <x:c r="R993" t="str">
        <x:v>eb32c26607eae35c127601fc1bfa293ae7e44bc65bad03d2d6206715c05bacd4</x:v>
      </x:c>
      <x:c r="S993" t="n">
        <x:v>7</x:v>
      </x:c>
      <x:c r="T993" t="str">
        <x:v>2018-12-31|2019-12-31|2020-12-31</x:v>
      </x:c>
      <x:c r="U993" s="57" t="n">
        <x:v>44990.34699553746</x:v>
      </x:c>
      <x:c r="V993" s="57" t="n">
        <x:v>-0.18643133823621233</x:v>
      </x:c>
      <x:c r="W993"/>
      <x:c r="X993"/>
      <x:c r="Y993" s="38" t="n">
        <x:v>0.6409090909090909</x:v>
      </x:c>
      <x:c r="Z993" s="38" t="n">
        <x:v>1.3916929697875668</x:v>
      </x:c>
      <x:c r="AA993" t="str">
        <x:v>UNRELIABLE_TERMINAL_VALUE_SHARE</x:v>
      </x:c>
    </x:row>
    <x:row r="994">
      <x:c r="A994" s="54" t="n">
        <x:v>44469</x:v>
      </x:c>
      <x:c r="B994" t="n">
        <x:v>44469.624999988424</x:v>
      </x:c>
      <x:c r="C994" t="str">
        <x:v>003460</x:v>
      </x:c>
      <x:c r="D994" t="str">
        <x:v>유화증권</x:v>
      </x:c>
      <x:c r="E994" t="str">
        <x:v>KOSPI</x:v>
      </x:c>
      <x:c r="F994" t="str">
        <x:v>MID</x:v>
      </x:c>
      <x:c r="G994" t="str">
        <x:v>EXCLUDED_ARCHETYPE</x:v>
      </x:c>
      <x:c r="H994" t="str">
        <x:v>FCFF_NOT_COMPARABLE_FOR_FINANCE_OR_HOLDING_HINT</x:v>
      </x:c>
      <x:c r="I994" s="54"/>
      <x:c r="J994" s="55"/>
      <x:c r="K994" s="55"/>
      <x:c r="L994" s="55"/>
      <x:c r="M994"/>
      <x:c r="N994"/>
      <x:c r="O994" s="54"/>
      <x:c r="P994"/>
      <x:c r="Q994"/>
      <x:c r="R994"/>
      <x:c r="S994"/>
      <x:c r="T994"/>
      <x:c r="U994" s="57"/>
      <x:c r="V994" s="57"/>
      <x:c r="W994"/>
      <x:c r="X994"/>
      <x:c r="Y994" s="38"/>
      <x:c r="Z994" s="38"/>
      <x:c r="AA994"/>
    </x:row>
    <x:row r="995">
      <x:c r="A995" s="54" t="n">
        <x:v>44469</x:v>
      </x:c>
      <x:c r="B995" t="n">
        <x:v>44469.624999988424</x:v>
      </x:c>
      <x:c r="C995" t="str">
        <x:v>004140</x:v>
      </x:c>
      <x:c r="D995" t="str">
        <x:v>동방</x:v>
      </x:c>
      <x:c r="E995" t="str">
        <x:v>KOSPI</x:v>
      </x:c>
      <x:c r="F995" t="str">
        <x:v>MID</x:v>
      </x:c>
      <x:c r="G995" t="str">
        <x:v>DCF_SCREENING_EXCLUSION</x:v>
      </x:c>
      <x:c r="H995" t="str">
        <x:v>NON_POSITIVE_EQUITY_VALUE</x:v>
      </x:c>
      <x:c r="I995" s="54" t="n">
        <x:v>44469</x:v>
      </x:c>
      <x:c r="J995" s="55" t="n">
        <x:v>4040</x:v>
      </x:c>
      <x:c r="K995" s="55" t="n">
        <x:v>161485934640</x:v>
      </x:c>
      <x:c r="L995" s="55" t="n">
        <x:v>39971766</x:v>
      </x:c>
      <x:c r="M995" t="str">
        <x:v>20210707000184</x:v>
      </x:c>
      <x:c r="N995" t="n">
        <x:v>44384.624999988424</x:v>
      </x:c>
      <x:c r="O995" s="54" t="n">
        <x:v>44196</x:v>
      </x:c>
      <x:c r="P995" t="str">
        <x:v>True</x:v>
      </x:c>
      <x:c r="Q995" t="str">
        <x:v>f0b51278807f30f3ff68a85f01255f0e610179901fd43cfaeda160aba35ce20b</x:v>
      </x:c>
      <x:c r="R995" t="str">
        <x:v>b732737d82565a2cb4daabd1a627b4391d6636c84160eb547291a38d57153fdc</x:v>
      </x:c>
      <x:c r="S995" t="n">
        <x:v>7</x:v>
      </x:c>
      <x:c r="T995" t="str">
        <x:v>2013-12-31|2014-12-31|2015-12-31|2016-12-31|2018-12-31|2019-12-31|2020-12-31</x:v>
      </x:c>
      <x:c r="U995" s="57" t="n">
        <x:v>-858.7915088019612</x:v>
      </x:c>
      <x:c r="V995" s="57" t="n">
        <x:v>-1.2125721556440499</x:v>
      </x:c>
      <x:c r="W995"/>
      <x:c r="X995"/>
      <x:c r="Y995" s="38" t="n">
        <x:v>0.6409090909090909</x:v>
      </x:c>
      <x:c r="Z995" s="38" t="n">
        <x:v>0.6137171502310707</x:v>
      </x:c>
      <x:c r="AA995" t="str">
        <x:v>NON_POSITIVE_EQUITY_VALUE</x:v>
      </x:c>
    </x:row>
    <x:row r="996">
      <x:c r="A996" s="54" t="n">
        <x:v>44469</x:v>
      </x:c>
      <x:c r="B996" t="n">
        <x:v>44469.624999988424</x:v>
      </x:c>
      <x:c r="C996" t="str">
        <x:v>317400</x:v>
      </x:c>
      <x:c r="D996" t="str">
        <x:v>자이에스앤디</x:v>
      </x:c>
      <x:c r="E996" t="str">
        <x:v>KOSPI</x:v>
      </x:c>
      <x:c r="F996" t="str">
        <x:v>MID</x:v>
      </x:c>
      <x:c r="G996" t="str">
        <x:v>ELIGIBLE</x:v>
      </x:c>
      <x:c r="H996"/>
      <x:c r="I996" s="54" t="n">
        <x:v>44469</x:v>
      </x:c>
      <x:c r="J996" s="55" t="n">
        <x:v>9420</x:v>
      </x:c>
      <x:c r="K996" s="55" t="n">
        <x:v>365331338400</x:v>
      </x:c>
      <x:c r="L996" s="55" t="n">
        <x:v>38782520</x:v>
      </x:c>
      <x:c r="M996" t="str">
        <x:v>20210318000575</x:v>
      </x:c>
      <x:c r="N996" t="n">
        <x:v>44273.624999988424</x:v>
      </x:c>
      <x:c r="O996" s="54" t="n">
        <x:v>44196</x:v>
      </x:c>
      <x:c r="P996" t="str">
        <x:v>False</x:v>
      </x:c>
      <x:c r="Q996" t="str">
        <x:v>972d3a642af3619808d682902738953c9555278604c118a76ff87e207ed26808</x:v>
      </x:c>
      <x:c r="R996" t="str">
        <x:v>ef1ddccd1b3a53bd2d8cdfd2488576185c9b52dcf56116da62a2f5aa543acf63</x:v>
      </x:c>
      <x:c r="S996" t="n">
        <x:v>6</x:v>
      </x:c>
      <x:c r="T996" t="str">
        <x:v>2019-12-31|2020-12-31</x:v>
      </x:c>
      <x:c r="U996" s="57" t="n">
        <x:v>4374.302478907729</x:v>
      </x:c>
      <x:c r="V996" s="57" t="n">
        <x:v>-0.5356366795214724</x:v>
      </x:c>
      <x:c r="W996" t="n">
        <x:v>28</x:v>
      </x:c>
      <x:c r="X996" t="n">
        <x:v>3</x:v>
      </x:c>
      <x:c r="Y996" s="38" t="n">
        <x:v>0.6409090909090909</x:v>
      </x:c>
      <x:c r="Z996" s="38" t="n">
        <x:v>0.7139082035114958</x:v>
      </x:c>
      <x:c r="AA996"/>
    </x:row>
    <x:row r="997">
      <x:c r="A997" s="54" t="n">
        <x:v>44469</x:v>
      </x:c>
      <x:c r="B997" t="n">
        <x:v>44469.624999988424</x:v>
      </x:c>
      <x:c r="C997" t="str">
        <x:v>077500</x:v>
      </x:c>
      <x:c r="D997" t="str">
        <x:v>유니퀘스트</x:v>
      </x:c>
      <x:c r="E997" t="str">
        <x:v>KOSPI</x:v>
      </x:c>
      <x:c r="F997" t="str">
        <x:v>MID</x:v>
      </x:c>
      <x:c r="G997" t="str">
        <x:v>ELIGIBLE</x:v>
      </x:c>
      <x:c r="H997"/>
      <x:c r="I997" s="54" t="n">
        <x:v>44469</x:v>
      </x:c>
      <x:c r="J997" s="55" t="n">
        <x:v>10100</x:v>
      </x:c>
      <x:c r="K997" s="55" t="n">
        <x:v>276088297500</x:v>
      </x:c>
      <x:c r="L997" s="55" t="n">
        <x:v>27335475</x:v>
      </x:c>
      <x:c r="M997" t="str">
        <x:v>20210318000454</x:v>
      </x:c>
      <x:c r="N997" t="n">
        <x:v>44273.624999988424</x:v>
      </x:c>
      <x:c r="O997" s="54" t="n">
        <x:v>44196</x:v>
      </x:c>
      <x:c r="P997" t="str">
        <x:v>False</x:v>
      </x:c>
      <x:c r="Q997" t="str">
        <x:v>a7dcf0cd97b67f36277f7912422e20d08b38408b0ee61022a89fa576309001d3</x:v>
      </x:c>
      <x:c r="R997" t="str">
        <x:v>e39ed4292dbdb8f45e1d48663c9e445f3a550dc01f4177cc1ba51136e7e4cdda</x:v>
      </x:c>
      <x:c r="S997" t="n">
        <x:v>6</x:v>
      </x:c>
      <x:c r="T997" t="str">
        <x:v>2011-12-31|2012-12-31|2013-12-31|2014-12-31|2015-12-31|2016-12-31|2017-12-31|2018-12-31|2019-12-31|2020-12-31</x:v>
      </x:c>
      <x:c r="U997" s="57" t="n">
        <x:v>3266.4702681776853</x:v>
      </x:c>
      <x:c r="V997" s="57" t="n">
        <x:v>-0.6765871021606252</x:v>
      </x:c>
      <x:c r="W997" t="n">
        <x:v>41</x:v>
      </x:c>
      <x:c r="X997" t="n">
        <x:v>4</x:v>
      </x:c>
      <x:c r="Y997" s="38" t="n">
        <x:v>0.6409090909090909</x:v>
      </x:c>
      <x:c r="Z997" s="38" t="n">
        <x:v>0.7102171216326743</x:v>
      </x:c>
      <x:c r="AA997"/>
    </x:row>
    <x:row r="998">
      <x:c r="A998" s="54" t="n">
        <x:v>44469</x:v>
      </x:c>
      <x:c r="B998" t="n">
        <x:v>44469.624999988424</x:v>
      </x:c>
      <x:c r="C998" t="str">
        <x:v>012800</x:v>
      </x:c>
      <x:c r="D998" t="str">
        <x:v>대창</x:v>
      </x:c>
      <x:c r="E998" t="str">
        <x:v>KOSPI</x:v>
      </x:c>
      <x:c r="F998" t="str">
        <x:v>MID</x:v>
      </x:c>
      <x:c r="G998" t="str">
        <x:v>DCF_SCREENING_EXCLUSION</x:v>
      </x:c>
      <x:c r="H998" t="str">
        <x:v>NON_POSITIVE_EQUITY_VALUE</x:v>
      </x:c>
      <x:c r="I998" s="54" t="n">
        <x:v>44469</x:v>
      </x:c>
      <x:c r="J998" s="55" t="n">
        <x:v>2110</x:v>
      </x:c>
      <x:c r="K998" s="55" t="n">
        <x:v>192306452890</x:v>
      </x:c>
      <x:c r="L998" s="55" t="n">
        <x:v>91140499</x:v>
      </x:c>
      <x:c r="M998" t="str">
        <x:v>20210316000786</x:v>
      </x:c>
      <x:c r="N998" t="n">
        <x:v>44271.624999988424</x:v>
      </x:c>
      <x:c r="O998" s="54" t="n">
        <x:v>44196</x:v>
      </x:c>
      <x:c r="P998" t="str">
        <x:v>False</x:v>
      </x:c>
      <x:c r="Q998" t="str">
        <x:v>288fe04d382aeada273aa123db82dda005a9ba84d4be0bdc1555e67746224fb5</x:v>
      </x:c>
      <x:c r="R998" t="str">
        <x:v>48e7b410feb392de5e03ac9d89c1be7d66a37c0cc44dbbeedb6030482a136dc1</x:v>
      </x:c>
      <x:c r="S998" t="n">
        <x:v>6</x:v>
      </x:c>
      <x:c r="T998" t="str">
        <x:v>2018-12-31|2019-12-31|2020-12-31</x:v>
      </x:c>
      <x:c r="U998" s="57" t="n">
        <x:v>-1273.7759667062403</x:v>
      </x:c>
      <x:c r="V998" s="57" t="n">
        <x:v>-1.603685292277839</x:v>
      </x:c>
      <x:c r="W998"/>
      <x:c r="X998"/>
      <x:c r="Y998" s="38" t="n">
        <x:v>0.6409090909090909</x:v>
      </x:c>
      <x:c r="Z998" s="38" t="n">
        <x:v>0.5720876278257565</x:v>
      </x:c>
      <x:c r="AA998" t="str">
        <x:v>NON_POSITIVE_EQUITY_VALUE</x:v>
      </x:c>
    </x:row>
    <x:row r="999">
      <x:c r="A999" s="54" t="n">
        <x:v>44469</x:v>
      </x:c>
      <x:c r="B999" t="n">
        <x:v>44469.624999988424</x:v>
      </x:c>
      <x:c r="C999" t="str">
        <x:v>063160</x:v>
      </x:c>
      <x:c r="D999" t="str">
        <x:v>종근당바이오</x:v>
      </x:c>
      <x:c r="E999" t="str">
        <x:v>KOSPI</x:v>
      </x:c>
      <x:c r="F999" t="str">
        <x:v>MID</x:v>
      </x:c>
      <x:c r="G999" t="str">
        <x:v>DCF_SCREENING_EXCLUSION</x:v>
      </x:c>
      <x:c r="H999" t="str">
        <x:v>NON_POSITIVE_ENTERPRISE_VALUE|NON_POSITIVE_EQUITY_VALUE|NON_POSITIVE_TERMINAL_FCF</x:v>
      </x:c>
      <x:c r="I999" s="54" t="n">
        <x:v>44469</x:v>
      </x:c>
      <x:c r="J999" s="55" t="n">
        <x:v>45300</x:v>
      </x:c>
      <x:c r="K999" s="55" t="n">
        <x:v>248514078600</x:v>
      </x:c>
      <x:c r="L999" s="55" t="n">
        <x:v>5485962</x:v>
      </x:c>
      <x:c r="M999" t="str">
        <x:v>20210318000155</x:v>
      </x:c>
      <x:c r="N999" t="n">
        <x:v>44273.624999988424</x:v>
      </x:c>
      <x:c r="O999" s="54" t="n">
        <x:v>44196</x:v>
      </x:c>
      <x:c r="P999" t="str">
        <x:v>False</x:v>
      </x:c>
      <x:c r="Q999" t="str">
        <x:v>12a42858c216018c3f0f1b14b5ee17c39d18a1bb52df0e2c279fa5d11fb87884</x:v>
      </x:c>
      <x:c r="R999" t="str">
        <x:v>59ae91f70b0051a643ac98ab54ac94176214907bf89d0c8d5859d9c634888ba7</x:v>
      </x:c>
      <x:c r="S999" t="n">
        <x:v>6</x:v>
      </x:c>
      <x:c r="T999" t="str">
        <x:v>2018-12-31|2019-12-31|2020-12-31</x:v>
      </x:c>
      <x:c r="U999" s="57" t="n">
        <x:v>-4693.968948135113</x:v>
      </x:c>
      <x:c r="V999" s="57" t="n">
        <x:v>-1.1036196235791416</x:v>
      </x:c>
      <x:c r="W999"/>
      <x:c r="X999"/>
      <x:c r="Y999" s="38" t="n">
        <x:v>0.6409090909090909</x:v>
      </x:c>
      <x:c r="Z999" s="38" t="n">
        <x:v>0.8031267951001957</x:v>
      </x:c>
      <x:c r="AA999" t="str">
        <x:v>NON_POSITIVE_ENTERPRISE_VALUE|NON_POSITIVE_EQUITY_VALUE|NON_POSITIVE_TERMINAL_FCF</x:v>
      </x:c>
    </x:row>
    <x:row r="1000">
      <x:c r="A1000" s="54" t="n">
        <x:v>44469</x:v>
      </x:c>
      <x:c r="B1000" t="n">
        <x:v>44469.624999988424</x:v>
      </x:c>
      <x:c r="C1000" t="str">
        <x:v>013570</x:v>
      </x:c>
      <x:c r="D1000" t="str">
        <x:v>디와이</x:v>
      </x:c>
      <x:c r="E1000" t="str">
        <x:v>KOSPI</x:v>
      </x:c>
      <x:c r="F1000" t="str">
        <x:v>MID</x:v>
      </x:c>
      <x:c r="G1000" t="str">
        <x:v>ELIGIBLE</x:v>
      </x:c>
      <x:c r="H1000"/>
      <x:c r="I1000" s="54" t="n">
        <x:v>44469</x:v>
      </x:c>
      <x:c r="J1000" s="55" t="n">
        <x:v>5270</x:v>
      </x:c>
      <x:c r="K1000" s="55" t="n">
        <x:v>138704465910</x:v>
      </x:c>
      <x:c r="L1000" s="55" t="n">
        <x:v>26319633</x:v>
      </x:c>
      <x:c r="M1000" t="str">
        <x:v>20210317000774</x:v>
      </x:c>
      <x:c r="N1000" t="n">
        <x:v>44272.624999988424</x:v>
      </x:c>
      <x:c r="O1000" s="54" t="n">
        <x:v>44196</x:v>
      </x:c>
      <x:c r="P1000" t="str">
        <x:v>False</x:v>
      </x:c>
      <x:c r="Q1000" t="str">
        <x:v>026eb57a723d5ffc9d1d0ceb5b5954dd368c42a7508240f6f6c97c0766b2139e</x:v>
      </x:c>
      <x:c r="R1000" t="str">
        <x:v>10f2bed39b38be0c665affc123279ad0909fa5b0f00dddf578a1c9893c86b681</x:v>
      </x:c>
      <x:c r="S1000" t="n">
        <x:v>6</x:v>
      </x:c>
      <x:c r="T1000" t="str">
        <x:v>2018-12-31|2019-12-31|2020-12-31</x:v>
      </x:c>
      <x:c r="U1000" s="57" t="n">
        <x:v>6956.82440349549</x:v>
      </x:c>
      <x:c r="V1000" s="57" t="n">
        <x:v>0.32008053197257874</x:v>
      </x:c>
      <x:c r="W1000" t="n">
        <x:v>10</x:v>
      </x:c>
      <x:c r="X1000" t="n">
        <x:v>1</x:v>
      </x:c>
      <x:c r="Y1000" s="38" t="n">
        <x:v>0.6409090909090909</x:v>
      </x:c>
      <x:c r="Z1000" s="38" t="n">
        <x:v>0.5573266821696645</x:v>
      </x:c>
      <x:c r="AA1000"/>
    </x:row>
    <x:row r="1001">
      <x:c r="A1001" s="54" t="n">
        <x:v>44469</x:v>
      </x:c>
      <x:c r="B1001" t="n">
        <x:v>44469.624999988424</x:v>
      </x:c>
      <x:c r="C1001" t="str">
        <x:v>227840</x:v>
      </x:c>
      <x:c r="D1001" t="str">
        <x:v>현대코퍼레이션홀딩스</x:v>
      </x:c>
      <x:c r="E1001" t="str">
        <x:v>KOSPI</x:v>
      </x:c>
      <x:c r="F1001" t="str">
        <x:v>MID</x:v>
      </x:c>
      <x:c r="G1001" t="str">
        <x:v>EXCLUDED_ARCHETYPE</x:v>
      </x:c>
      <x:c r="H1001" t="str">
        <x:v>FCFF_NOT_COMPARABLE_FOR_FINANCE_OR_HOLDING_HINT</x:v>
      </x:c>
      <x:c r="I1001" s="54"/>
      <x:c r="J1001" s="55"/>
      <x:c r="K1001" s="55"/>
      <x:c r="L1001" s="55"/>
      <x:c r="M1001"/>
      <x:c r="N1001"/>
      <x:c r="O1001" s="54"/>
      <x:c r="P1001"/>
      <x:c r="Q1001"/>
      <x:c r="R1001"/>
      <x:c r="S1001"/>
      <x:c r="T1001"/>
      <x:c r="U1001" s="57"/>
      <x:c r="V1001" s="57"/>
      <x:c r="W1001"/>
      <x:c r="X1001"/>
      <x:c r="Y1001" s="38"/>
      <x:c r="Z1001" s="38"/>
      <x:c r="AA1001"/>
    </x:row>
    <x:row r="1002">
      <x:c r="A1002" s="54" t="n">
        <x:v>44469</x:v>
      </x:c>
      <x:c r="B1002" t="n">
        <x:v>44469.624999988424</x:v>
      </x:c>
      <x:c r="C1002" t="str">
        <x:v>247540</x:v>
      </x:c>
      <x:c r="D1002" t="str">
        <x:v>에코프로비엠</x:v>
      </x:c>
      <x:c r="E1002" t="str">
        <x:v>KOSDAQ</x:v>
      </x:c>
      <x:c r="F1002" t="str">
        <x:v>LARGE</x:v>
      </x:c>
      <x:c r="G1002" t="str">
        <x:v>DCF_SCREENING_EXCLUSION</x:v>
      </x:c>
      <x:c r="H1002" t="str">
        <x:v>NON_POSITIVE_ENTERPRISE_VALUE|NON_POSITIVE_EQUITY_VALUE|UNRELIABLE_TERMINAL_VALUE_SHARE</x:v>
      </x:c>
      <x:c r="I1002" s="54" t="n">
        <x:v>44469</x:v>
      </x:c>
      <x:c r="J1002" s="55" t="n">
        <x:v>467000</x:v>
      </x:c>
      <x:c r="K1002" s="55" t="n">
        <x:v>10236390622000</x:v>
      </x:c>
      <x:c r="L1002" s="55" t="n">
        <x:v>21919466</x:v>
      </x:c>
      <x:c r="M1002" t="str">
        <x:v>20210319000143</x:v>
      </x:c>
      <x:c r="N1002" t="n">
        <x:v>44274.624999988424</x:v>
      </x:c>
      <x:c r="O1002" s="54" t="n">
        <x:v>44196</x:v>
      </x:c>
      <x:c r="P1002" t="str">
        <x:v>False</x:v>
      </x:c>
      <x:c r="Q1002" t="str">
        <x:v>fa53eb6416e576ead7e0b664625c9075f7fdeb4c7640710afe2a3435950c614d</x:v>
      </x:c>
      <x:c r="R1002" t="str">
        <x:v>196ebcb6be7e465873e32e42c727482fdce4f4a7c6f6cad821f0c0e774909bec</x:v>
      </x:c>
      <x:c r="S1002" t="n">
        <x:v>5</x:v>
      </x:c>
      <x:c r="T1002" t="str">
        <x:v>2018-12-31|2019-12-31|2020-12-31</x:v>
      </x:c>
      <x:c r="U1002" s="57" t="n">
        <x:v>-644.8357541311481</x:v>
      </x:c>
      <x:c r="V1002" s="57" t="n">
        <x:v>-1.0013808046127006</x:v>
      </x:c>
      <x:c r="W1002"/>
      <x:c r="X1002"/>
      <x:c r="Y1002" s="38" t="n">
        <x:v>0.6409090909090909</x:v>
      </x:c>
      <x:c r="Z1002" s="38" t="n">
        <x:v>-30.366184346138358</x:v>
      </x:c>
      <x:c r="AA1002" t="str">
        <x:v>NON_POSITIVE_ENTERPRISE_VALUE|NON_POSITIVE_EQUITY_VALUE|UNRELIABLE_TERMINAL_VALUE_SHARE</x:v>
      </x:c>
    </x:row>
    <x:row r="1003">
      <x:c r="A1003" s="54" t="n">
        <x:v>44469</x:v>
      </x:c>
      <x:c r="B1003" t="n">
        <x:v>44469.624999988424</x:v>
      </x:c>
      <x:c r="C1003" t="str">
        <x:v>086520</x:v>
      </x:c>
      <x:c r="D1003" t="str">
        <x:v>에코프로</x:v>
      </x:c>
      <x:c r="E1003" t="str">
        <x:v>KOSDAQ</x:v>
      </x:c>
      <x:c r="F1003" t="str">
        <x:v>LARGE</x:v>
      </x:c>
      <x:c r="G1003" t="str">
        <x:v>DCF_SCREENING_EXCLUSION</x:v>
      </x:c>
      <x:c r="H1003" t="str">
        <x:v>UNRELIABLE_TERMINAL_VALUE_SHARE</x:v>
      </x:c>
      <x:c r="I1003" s="54" t="n">
        <x:v>44469</x:v>
      </x:c>
      <x:c r="J1003" s="55" t="n">
        <x:v>98800</x:v>
      </x:c>
      <x:c r="K1003" s="55" t="n">
        <x:v>1847697035600</x:v>
      </x:c>
      <x:c r="L1003" s="55" t="n">
        <x:v>18701387</x:v>
      </x:c>
      <x:c r="M1003" t="str">
        <x:v>20210318001384</x:v>
      </x:c>
      <x:c r="N1003" t="n">
        <x:v>44273.624999988424</x:v>
      </x:c>
      <x:c r="O1003" s="54" t="n">
        <x:v>44196</x:v>
      </x:c>
      <x:c r="P1003" t="str">
        <x:v>False</x:v>
      </x:c>
      <x:c r="Q1003" t="str">
        <x:v>a687a00cece70ad7db7c3ecbfb971411e84ec258ecf00b6f04ab05f4dc52774f</x:v>
      </x:c>
      <x:c r="R1003" t="str">
        <x:v>563fb827c7e598361ec3848851227e273b0ff0d7a4b37e27051a7594f0ca10c3</x:v>
      </x:c>
      <x:c r="S1003" t="n">
        <x:v>5</x:v>
      </x:c>
      <x:c r="T1003" t="str">
        <x:v>2018-12-31|2019-12-31|2020-12-31</x:v>
      </x:c>
      <x:c r="U1003" s="57" t="n">
        <x:v>19583.78623653523</x:v>
      </x:c>
      <x:c r="V1003" s="57" t="n">
        <x:v>-0.8017835401160402</x:v>
      </x:c>
      <x:c r="W1003"/>
      <x:c r="X1003"/>
      <x:c r="Y1003" s="38" t="n">
        <x:v>0.6409090909090909</x:v>
      </x:c>
      <x:c r="Z1003" s="38" t="n">
        <x:v>0.8989847001381003</x:v>
      </x:c>
      <x:c r="AA1003" t="str">
        <x:v>UNRELIABLE_TERMINAL_VALUE_SHARE</x:v>
      </x:c>
    </x:row>
    <x:row r="1004">
      <x:c r="A1004" s="54" t="n">
        <x:v>44469</x:v>
      </x:c>
      <x:c r="B1004" t="n">
        <x:v>44469.624999988424</x:v>
      </x:c>
      <x:c r="C1004" t="str">
        <x:v>214450</x:v>
      </x:c>
      <x:c r="D1004" t="str">
        <x:v>파마리서치</x:v>
      </x:c>
      <x:c r="E1004" t="str">
        <x:v>KOSDAQ</x:v>
      </x:c>
      <x:c r="F1004" t="str">
        <x:v>LARGE</x:v>
      </x:c>
      <x:c r="G1004" t="str">
        <x:v>ELIGIBLE</x:v>
      </x:c>
      <x:c r="H1004"/>
      <x:c r="I1004" s="54" t="n">
        <x:v>44469</x:v>
      </x:c>
      <x:c r="J1004" s="55" t="n">
        <x:v>84700</x:v>
      </x:c>
      <x:c r="K1004" s="55" t="n">
        <x:v>856480471000</x:v>
      </x:c>
      <x:c r="L1004" s="55" t="n">
        <x:v>10111930</x:v>
      </x:c>
      <x:c r="M1004" t="str">
        <x:v>20210318001093</x:v>
      </x:c>
      <x:c r="N1004" t="n">
        <x:v>44273.624999988424</x:v>
      </x:c>
      <x:c r="O1004" s="54" t="n">
        <x:v>44196</x:v>
      </x:c>
      <x:c r="P1004" t="str">
        <x:v>False</x:v>
      </x:c>
      <x:c r="Q1004" t="str">
        <x:v>3e332a9f4ec106a2211472bb71f03ad861892600b83b1d1b5b01ad83841bfd65</x:v>
      </x:c>
      <x:c r="R1004" t="str">
        <x:v>ce82779cbd26ca8913e36b32b438b11f0c3dbde3a74d5fdc850344ef948d3d94</x:v>
      </x:c>
      <x:c r="S1004" t="n">
        <x:v>6</x:v>
      </x:c>
      <x:c r="T1004" t="str">
        <x:v>2018-12-31|2019-12-31|2020-12-31</x:v>
      </x:c>
      <x:c r="U1004" s="57" t="n">
        <x:v>26209.6971471413</x:v>
      </x:c>
      <x:c r="V1004" s="57" t="n">
        <x:v>-0.6905584752403624</x:v>
      </x:c>
      <x:c r="W1004" t="n">
        <x:v>42</x:v>
      </x:c>
      <x:c r="X1004" t="n">
        <x:v>4</x:v>
      </x:c>
      <x:c r="Y1004" s="38" t="n">
        <x:v>0.6409090909090909</x:v>
      </x:c>
      <x:c r="Z1004" s="38" t="n">
        <x:v>0.6815994734709864</x:v>
      </x:c>
      <x:c r="AA1004"/>
    </x:row>
    <x:row r="1005">
      <x:c r="A1005" s="54" t="n">
        <x:v>44469</x:v>
      </x:c>
      <x:c r="B1005" t="n">
        <x:v>44469.624999988424</x:v>
      </x:c>
      <x:c r="C1005" t="str">
        <x:v>277810</x:v>
      </x:c>
      <x:c r="D1005" t="str">
        <x:v>레인보우로보틱스</x:v>
      </x:c>
      <x:c r="E1005" t="str">
        <x:v>KOSDAQ</x:v>
      </x:c>
      <x:c r="F1005" t="str">
        <x:v>LARGE</x:v>
      </x:c>
      <x:c r="G1005" t="str">
        <x:v>DCF_SCREENING_EXCLUSION</x:v>
      </x:c>
      <x:c r="H1005" t="str">
        <x:v>NON_POSITIVE_ENTERPRISE_VALUE|NON_POSITIVE_EQUITY_VALUE|NON_POSITIVE_TERMINAL_FCF</x:v>
      </x:c>
      <x:c r="I1005" s="54" t="n">
        <x:v>44469</x:v>
      </x:c>
      <x:c r="J1005" s="55" t="n">
        <x:v>20500</x:v>
      </x:c>
      <x:c r="K1005" s="55" t="n">
        <x:v>330771887000</x:v>
      </x:c>
      <x:c r="L1005" s="55" t="n">
        <x:v>16135214</x:v>
      </x:c>
      <x:c r="M1005" t="str">
        <x:v>20210608000437</x:v>
      </x:c>
      <x:c r="N1005" t="n">
        <x:v>44355.624999988424</x:v>
      </x:c>
      <x:c r="O1005" s="54" t="n">
        <x:v>44196</x:v>
      </x:c>
      <x:c r="P1005" t="str">
        <x:v>True</x:v>
      </x:c>
      <x:c r="Q1005" t="str">
        <x:v>c89a3ca105328f51266a1f37cccdfec02049104d2a72ff28fa17f02891265999</x:v>
      </x:c>
      <x:c r="R1005" t="str">
        <x:v>6fc86da4be33ed7a76870c0f845fedd615c50bd512fe5c1739fe99a1bb7e5af5</x:v>
      </x:c>
      <x:c r="S1005" t="n">
        <x:v>6</x:v>
      </x:c>
      <x:c r="T1005" t="str">
        <x:v>2020-12-31</x:v>
      </x:c>
      <x:c r="U1005" s="57" t="n">
        <x:v>-667.1673938712847</x:v>
      </x:c>
      <x:c r="V1005" s="57" t="n">
        <x:v>-1.0325447509205505</x:v>
      </x:c>
      <x:c r="W1005"/>
      <x:c r="X1005"/>
      <x:c r="Y1005" s="38" t="n">
        <x:v>0.6409090909090909</x:v>
      </x:c>
      <x:c r="Z1005" s="38" t="n">
        <x:v>0.7013426708992583</x:v>
      </x:c>
      <x:c r="AA1005" t="str">
        <x:v>NON_POSITIVE_ENTERPRISE_VALUE|NON_POSITIVE_EQUITY_VALUE|NON_POSITIVE_TERMINAL_FCF</x:v>
      </x:c>
    </x:row>
    <x:row r="1006">
      <x:c r="A1006" s="54" t="n">
        <x:v>44469</x:v>
      </x:c>
      <x:c r="B1006" t="n">
        <x:v>44469.624999988424</x:v>
      </x:c>
      <x:c r="C1006" t="str">
        <x:v>310210</x:v>
      </x:c>
      <x:c r="D1006" t="str">
        <x:v>보로노이</x:v>
      </x:c>
      <x:c r="E1006" t="str">
        <x:v>KOSDAQ</x:v>
      </x:c>
      <x:c r="F1006" t="str">
        <x:v>LARGE</x:v>
      </x:c>
      <x:c r="G1006" t="str">
        <x:v>NOT_LISTED_OR_NO_PRICE</x:v>
      </x:c>
      <x:c r="H1006"/>
      <x:c r="I1006" s="54"/>
      <x:c r="J1006" s="55"/>
      <x:c r="K1006" s="55"/>
      <x:c r="L1006" s="55"/>
      <x:c r="M1006"/>
      <x:c r="N1006"/>
      <x:c r="O1006" s="54"/>
      <x:c r="P1006"/>
      <x:c r="Q1006"/>
      <x:c r="R1006"/>
      <x:c r="S1006"/>
      <x:c r="T1006"/>
      <x:c r="U1006" s="57"/>
      <x:c r="V1006" s="57"/>
      <x:c r="W1006"/>
      <x:c r="X1006"/>
      <x:c r="Y1006" s="38"/>
      <x:c r="Z1006" s="38"/>
      <x:c r="AA1006"/>
    </x:row>
    <x:row r="1007">
      <x:c r="A1007" s="54" t="n">
        <x:v>44469</x:v>
      </x:c>
      <x:c r="B1007" t="n">
        <x:v>44469.624999988424</x:v>
      </x:c>
      <x:c r="C1007" t="str">
        <x:v>195940</x:v>
      </x:c>
      <x:c r="D1007" t="str">
        <x:v>HK이노엔</x:v>
      </x:c>
      <x:c r="E1007" t="str">
        <x:v>KOSDAQ</x:v>
      </x:c>
      <x:c r="F1007" t="str">
        <x:v>LARGE</x:v>
      </x:c>
      <x:c r="G1007" t="str">
        <x:v>NO_PIT_FINANCIALS</x:v>
      </x:c>
      <x:c r="H1007"/>
      <x:c r="I1007" s="54" t="n">
        <x:v>44469</x:v>
      </x:c>
      <x:c r="J1007" s="55" t="n">
        <x:v>52300</x:v>
      </x:c>
      <x:c r="K1007" s="55" t="n">
        <x:v>1511705297700</x:v>
      </x:c>
      <x:c r="L1007" s="55" t="n">
        <x:v>28904499</x:v>
      </x:c>
      <x:c r="M1007"/>
      <x:c r="N1007"/>
      <x:c r="O1007" s="54"/>
      <x:c r="P1007"/>
      <x:c r="Q1007"/>
      <x:c r="R1007"/>
      <x:c r="S1007"/>
      <x:c r="T1007"/>
      <x:c r="U1007" s="57"/>
      <x:c r="V1007" s="57"/>
      <x:c r="W1007"/>
      <x:c r="X1007"/>
      <x:c r="Y1007" s="38"/>
      <x:c r="Z1007" s="38"/>
      <x:c r="AA1007"/>
    </x:row>
    <x:row r="1008">
      <x:c r="A1008" s="54" t="n">
        <x:v>44469</x:v>
      </x:c>
      <x:c r="B1008" t="n">
        <x:v>44469.624999988424</x:v>
      </x:c>
      <x:c r="C1008" t="str">
        <x:v>039200</x:v>
      </x:c>
      <x:c r="D1008" t="str">
        <x:v>오스코텍</x:v>
      </x:c>
      <x:c r="E1008" t="str">
        <x:v>KOSDAQ</x:v>
      </x:c>
      <x:c r="F1008" t="str">
        <x:v>LARGE</x:v>
      </x:c>
      <x:c r="G1008" t="str">
        <x:v>DCF_SCREENING_EXCLUSION</x:v>
      </x:c>
      <x:c r="H1008" t="str">
        <x:v>UNRELIABLE_TERMINAL_VALUE_SHARE</x:v>
      </x:c>
      <x:c r="I1008" s="54" t="n">
        <x:v>44469</x:v>
      </x:c>
      <x:c r="J1008" s="55" t="n">
        <x:v>32800</x:v>
      </x:c>
      <x:c r="K1008" s="55" t="n">
        <x:v>990774020000</x:v>
      </x:c>
      <x:c r="L1008" s="55" t="n">
        <x:v>30206525</x:v>
      </x:c>
      <x:c r="M1008" t="str">
        <x:v>20210309000649</x:v>
      </x:c>
      <x:c r="N1008" t="n">
        <x:v>44264.624999988424</x:v>
      </x:c>
      <x:c r="O1008" s="54" t="n">
        <x:v>44196</x:v>
      </x:c>
      <x:c r="P1008" t="str">
        <x:v>False</x:v>
      </x:c>
      <x:c r="Q1008" t="str">
        <x:v>5f66f9c8531173b988926df5b3dfe8e77c701088924b995e30a2c1e31825db20</x:v>
      </x:c>
      <x:c r="R1008" t="str">
        <x:v>cefaae42be57979bac03cc222629dc9f8db194b47a7b8e7358d033df0f605aa8</x:v>
      </x:c>
      <x:c r="S1008" t="n">
        <x:v>6</x:v>
      </x:c>
      <x:c r="T1008" t="str">
        <x:v>2018-12-31|2019-12-31|2020-12-31</x:v>
      </x:c>
      <x:c r="U1008" s="57" t="n">
        <x:v>257.9846887247384</x:v>
      </x:c>
      <x:c r="V1008" s="57" t="n">
        <x:v>-0.992134613148636</x:v>
      </x:c>
      <x:c r="W1008"/>
      <x:c r="X1008"/>
      <x:c r="Y1008" s="38" t="n">
        <x:v>0.6409090909090909</x:v>
      </x:c>
      <x:c r="Z1008" s="38" t="n">
        <x:v>2.281358639367685</x:v>
      </x:c>
      <x:c r="AA1008" t="str">
        <x:v>UNRELIABLE_TERMINAL_VALUE_SHARE</x:v>
      </x:c>
    </x:row>
    <x:row r="1009">
      <x:c r="A1009" s="54" t="n">
        <x:v>44469</x:v>
      </x:c>
      <x:c r="B1009" t="n">
        <x:v>44469.624999988424</x:v>
      </x:c>
      <x:c r="C1009" t="str">
        <x:v>084370</x:v>
      </x:c>
      <x:c r="D1009" t="str">
        <x:v>유진테크</x:v>
      </x:c>
      <x:c r="E1009" t="str">
        <x:v>KOSDAQ</x:v>
      </x:c>
      <x:c r="F1009" t="str">
        <x:v>LARGE</x:v>
      </x:c>
      <x:c r="G1009" t="str">
        <x:v>ELIGIBLE</x:v>
      </x:c>
      <x:c r="H1009"/>
      <x:c r="I1009" s="54" t="n">
        <x:v>44469</x:v>
      </x:c>
      <x:c r="J1009" s="55" t="n">
        <x:v>40050</x:v>
      </x:c>
      <x:c r="K1009" s="55" t="n">
        <x:v>917787482100</x:v>
      </x:c>
      <x:c r="L1009" s="55" t="n">
        <x:v>22916042</x:v>
      </x:c>
      <x:c r="M1009" t="str">
        <x:v>20210318000928</x:v>
      </x:c>
      <x:c r="N1009" t="n">
        <x:v>44273.624999988424</x:v>
      </x:c>
      <x:c r="O1009" s="54" t="n">
        <x:v>44196</x:v>
      </x:c>
      <x:c r="P1009" t="str">
        <x:v>False</x:v>
      </x:c>
      <x:c r="Q1009" t="str">
        <x:v>bf7e14182e15ec1b0a65f6a99dee0c252f90e2f4d19cfb12a4647e851ec5e5b7</x:v>
      </x:c>
      <x:c r="R1009" t="str">
        <x:v>8affe8a1dfb2a22feec01ae715557408d24e8c692b51407d0f4760c7027eeeac</x:v>
      </x:c>
      <x:c r="S1009" t="n">
        <x:v>5</x:v>
      </x:c>
      <x:c r="T1009" t="str">
        <x:v>2018-12-31|2019-12-31|2020-12-31</x:v>
      </x:c>
      <x:c r="U1009" s="57" t="n">
        <x:v>6690.003749659355</x:v>
      </x:c>
      <x:c r="V1009" s="57" t="n">
        <x:v>-0.832958707873674</x:v>
      </x:c>
      <x:c r="W1009" t="n">
        <x:v>51</x:v>
      </x:c>
      <x:c r="X1009" t="n">
        <x:v>5</x:v>
      </x:c>
      <x:c r="Y1009" s="38" t="n">
        <x:v>0.6409090909090909</x:v>
      </x:c>
      <x:c r="Z1009" s="38" t="n">
        <x:v>0.6720938958423033</x:v>
      </x:c>
      <x:c r="AA1009"/>
    </x:row>
    <x:row r="1010">
      <x:c r="A1010" s="54" t="n">
        <x:v>44469</x:v>
      </x:c>
      <x:c r="B1010" t="n">
        <x:v>44469.624999988424</x:v>
      </x:c>
      <x:c r="C1010" t="str">
        <x:v>160190</x:v>
      </x:c>
      <x:c r="D1010" t="str">
        <x:v>하이젠알앤엠</x:v>
      </x:c>
      <x:c r="E1010" t="str">
        <x:v>KOSDAQ</x:v>
      </x:c>
      <x:c r="F1010" t="str">
        <x:v>LARGE</x:v>
      </x:c>
      <x:c r="G1010" t="str">
        <x:v>NOT_LISTED_OR_NO_PRICE</x:v>
      </x:c>
      <x:c r="H1010"/>
      <x:c r="I1010" s="54"/>
      <x:c r="J1010" s="55"/>
      <x:c r="K1010" s="55"/>
      <x:c r="L1010" s="55"/>
      <x:c r="M1010"/>
      <x:c r="N1010"/>
      <x:c r="O1010" s="54"/>
      <x:c r="P1010"/>
      <x:c r="Q1010"/>
      <x:c r="R1010"/>
      <x:c r="S1010"/>
      <x:c r="T1010"/>
      <x:c r="U1010" s="57"/>
      <x:c r="V1010" s="57"/>
      <x:c r="W1010"/>
      <x:c r="X1010"/>
      <x:c r="Y1010" s="38"/>
      <x:c r="Z1010" s="38"/>
      <x:c r="AA1010"/>
    </x:row>
    <x:row r="1011">
      <x:c r="A1011" s="54" t="n">
        <x:v>44469</x:v>
      </x:c>
      <x:c r="B1011" t="n">
        <x:v>44469.624999988424</x:v>
      </x:c>
      <x:c r="C1011" t="str">
        <x:v>281740</x:v>
      </x:c>
      <x:c r="D1011" t="str">
        <x:v>레이크머티리얼즈</x:v>
      </x:c>
      <x:c r="E1011" t="str">
        <x:v>KOSDAQ</x:v>
      </x:c>
      <x:c r="F1011" t="str">
        <x:v>LARGE</x:v>
      </x:c>
      <x:c r="G1011" t="str">
        <x:v>DCF_SCREENING_EXCLUSION</x:v>
      </x:c>
      <x:c r="H1011" t="str">
        <x:v>NON_POSITIVE_EQUITY_VALUE</x:v>
      </x:c>
      <x:c r="I1011" s="54" t="n">
        <x:v>44469</x:v>
      </x:c>
      <x:c r="J1011" s="55" t="n">
        <x:v>4510</x:v>
      </x:c>
      <x:c r="K1011" s="55" t="n">
        <x:v>296444771480</x:v>
      </x:c>
      <x:c r="L1011" s="55" t="n">
        <x:v>65730548</x:v>
      </x:c>
      <x:c r="M1011" t="str">
        <x:v>20210319000669</x:v>
      </x:c>
      <x:c r="N1011" t="n">
        <x:v>44274.624999988424</x:v>
      </x:c>
      <x:c r="O1011" s="54" t="n">
        <x:v>44196</x:v>
      </x:c>
      <x:c r="P1011" t="str">
        <x:v>False</x:v>
      </x:c>
      <x:c r="Q1011" t="str">
        <x:v>0692d98dca920cc2bece4f710df372fb43593aa9b44e369a877f98c7608d0125</x:v>
      </x:c>
      <x:c r="R1011" t="str">
        <x:v>00fc48414330dcf13d290e98fb5aa238310d60bce3bd407cf7257beeb570c2c1</x:v>
      </x:c>
      <x:c r="S1011" t="n">
        <x:v>6</x:v>
      </x:c>
      <x:c r="T1011" t="str">
        <x:v>2020-12-31</x:v>
      </x:c>
      <x:c r="U1011" s="57" t="n">
        <x:v>-71.33934337373849</x:v>
      </x:c>
      <x:c r="V1011" s="57" t="n">
        <x:v>-1.0158180362247757</x:v>
      </x:c>
      <x:c r="W1011"/>
      <x:c r="X1011"/>
      <x:c r="Y1011" s="38" t="n">
        <x:v>0.6409090909090909</x:v>
      </x:c>
      <x:c r="Z1011" s="38" t="n">
        <x:v>0.7013426708992583</x:v>
      </x:c>
      <x:c r="AA1011" t="str">
        <x:v>NON_POSITIVE_EQUITY_VALUE</x:v>
      </x:c>
    </x:row>
    <x:row r="1012">
      <x:c r="A1012" s="54" t="n">
        <x:v>44469</x:v>
      </x:c>
      <x:c r="B1012" t="n">
        <x:v>44469.624999988424</x:v>
      </x:c>
      <x:c r="C1012" t="str">
        <x:v>078130</x:v>
      </x:c>
      <x:c r="D1012" t="str">
        <x:v>국일제지</x:v>
      </x:c>
      <x:c r="E1012" t="str">
        <x:v>KOSDAQ</x:v>
      </x:c>
      <x:c r="F1012" t="str">
        <x:v>LARGE</x:v>
      </x:c>
      <x:c r="G1012" t="str">
        <x:v>DCF_SCREENING_EXCLUSION</x:v>
      </x:c>
      <x:c r="H1012" t="str">
        <x:v>NON_POSITIVE_ENTERPRISE_VALUE|NON_POSITIVE_EQUITY_VALUE|NON_POSITIVE_TERMINAL_FCF</x:v>
      </x:c>
      <x:c r="I1012" s="54" t="n">
        <x:v>44469</x:v>
      </x:c>
      <x:c r="J1012" s="55" t="n">
        <x:v>5210</x:v>
      </x:c>
      <x:c r="K1012" s="55" t="n">
        <x:v>664887034330</x:v>
      </x:c>
      <x:c r="L1012" s="55" t="n">
        <x:v>127617473</x:v>
      </x:c>
      <x:c r="M1012" t="str">
        <x:v>20210317001032</x:v>
      </x:c>
      <x:c r="N1012" t="n">
        <x:v>44272.624999988424</x:v>
      </x:c>
      <x:c r="O1012" s="54" t="n">
        <x:v>44196</x:v>
      </x:c>
      <x:c r="P1012" t="str">
        <x:v>False</x:v>
      </x:c>
      <x:c r="Q1012" t="str">
        <x:v>a2d8f4275a7a909be23671d83b0f047b49d3101f99ceb97a2291f838d3741795</x:v>
      </x:c>
      <x:c r="R1012" t="str">
        <x:v>f04e49e0ee03a66e4e1f761c9bd1bb178b9bf15fb019dc6ad53f92c2e92e51cd</x:v>
      </x:c>
      <x:c r="S1012" t="n">
        <x:v>6</x:v>
      </x:c>
      <x:c r="T1012" t="str">
        <x:v>2018-12-31|2019-12-31|2020-12-31</x:v>
      </x:c>
      <x:c r="U1012" s="57" t="n">
        <x:v>-992.7630112705772</x:v>
      </x:c>
      <x:c r="V1012" s="57" t="n">
        <x:v>-1.1905495223168094</x:v>
      </x:c>
      <x:c r="W1012"/>
      <x:c r="X1012"/>
      <x:c r="Y1012" s="38" t="n">
        <x:v>0.6409090909090909</x:v>
      </x:c>
      <x:c r="Z1012" s="38" t="n">
        <x:v>0.6494465255095048</x:v>
      </x:c>
      <x:c r="AA1012" t="str">
        <x:v>NON_POSITIVE_ENTERPRISE_VALUE|NON_POSITIVE_EQUITY_VALUE|NON_POSITIVE_TERMINAL_FCF</x:v>
      </x:c>
    </x:row>
    <x:row r="1013">
      <x:c r="A1013" s="54" t="n">
        <x:v>44469</x:v>
      </x:c>
      <x:c r="B1013" t="n">
        <x:v>44469.624999988424</x:v>
      </x:c>
      <x:c r="C1013" t="str">
        <x:v>131970</x:v>
      </x:c>
      <x:c r="D1013" t="str">
        <x:v>두산테스나</x:v>
      </x:c>
      <x:c r="E1013" t="str">
        <x:v>KOSDAQ</x:v>
      </x:c>
      <x:c r="F1013" t="str">
        <x:v>LARGE</x:v>
      </x:c>
      <x:c r="G1013" t="str">
        <x:v>ELIGIBLE</x:v>
      </x:c>
      <x:c r="H1013"/>
      <x:c r="I1013" s="54" t="n">
        <x:v>44469</x:v>
      </x:c>
      <x:c r="J1013" s="55" t="n">
        <x:v>44650</x:v>
      </x:c>
      <x:c r="K1013" s="55" t="n">
        <x:v>659015113050</x:v>
      </x:c>
      <x:c r="L1013" s="55" t="n">
        <x:v>14759577</x:v>
      </x:c>
      <x:c r="M1013" t="str">
        <x:v>20210419000076</x:v>
      </x:c>
      <x:c r="N1013" t="n">
        <x:v>44305.624999988424</x:v>
      </x:c>
      <x:c r="O1013" s="54" t="n">
        <x:v>44196</x:v>
      </x:c>
      <x:c r="P1013" t="str">
        <x:v>True</x:v>
      </x:c>
      <x:c r="Q1013" t="str">
        <x:v>7830a97ece1a25a62017aa54229abe56b1e63b20643308ca53a4639968a972bb</x:v>
      </x:c>
      <x:c r="R1013" t="str">
        <x:v>257e76de79b54053ccb14f87e6416eee2b3f0d40a1cd1f8ac4c52d78814a5212</x:v>
      </x:c>
      <x:c r="S1013" t="n">
        <x:v>5</x:v>
      </x:c>
      <x:c r="T1013" t="str">
        <x:v>2018-12-31|2019-12-31|2020-12-31</x:v>
      </x:c>
      <x:c r="U1013" s="57" t="n">
        <x:v>20115.014823098634</x:v>
      </x:c>
      <x:c r="V1013" s="57" t="n">
        <x:v>-0.5494957486428077</x:v>
      </x:c>
      <x:c r="W1013" t="n">
        <x:v>31</x:v>
      </x:c>
      <x:c r="X1013" t="n">
        <x:v>3</x:v>
      </x:c>
      <x:c r="Y1013" s="38" t="n">
        <x:v>0.6409090909090909</x:v>
      </x:c>
      <x:c r="Z1013" s="38" t="n">
        <x:v>0.7256069356528623</x:v>
      </x:c>
      <x:c r="AA1013"/>
    </x:row>
    <x:row r="1014">
      <x:c r="A1014" s="54" t="n">
        <x:v>44469</x:v>
      </x:c>
      <x:c r="B1014" t="n">
        <x:v>44469.624999988424</x:v>
      </x:c>
      <x:c r="C1014" t="str">
        <x:v>025320</x:v>
      </x:c>
      <x:c r="D1014" t="str">
        <x:v>시노펙스</x:v>
      </x:c>
      <x:c r="E1014" t="str">
        <x:v>KOSDAQ</x:v>
      </x:c>
      <x:c r="F1014" t="str">
        <x:v>LARGE</x:v>
      </x:c>
      <x:c r="G1014" t="str">
        <x:v>DCF_SCREENING_EXCLUSION</x:v>
      </x:c>
      <x:c r="H1014" t="str">
        <x:v>NON_POSITIVE_ENTERPRISE_VALUE|NON_POSITIVE_EQUITY_VALUE|NON_POSITIVE_TERMINAL_FCF</x:v>
      </x:c>
      <x:c r="I1014" s="54" t="n">
        <x:v>44469</x:v>
      </x:c>
      <x:c r="J1014" s="55" t="n">
        <x:v>3025</x:v>
      </x:c>
      <x:c r="K1014" s="55" t="n">
        <x:v>221559947950</x:v>
      </x:c>
      <x:c r="L1014" s="55" t="n">
        <x:v>73242958</x:v>
      </x:c>
      <x:c r="M1014" t="str">
        <x:v>20210323000457</x:v>
      </x:c>
      <x:c r="N1014" t="n">
        <x:v>44278.624999988424</x:v>
      </x:c>
      <x:c r="O1014" s="54" t="n">
        <x:v>44196</x:v>
      </x:c>
      <x:c r="P1014" t="str">
        <x:v>False</x:v>
      </x:c>
      <x:c r="Q1014" t="str">
        <x:v>4ed010fb22700cc727461b09e40117faa4e69e3e52cc5fdb902efc9104877c42</x:v>
      </x:c>
      <x:c r="R1014" t="str">
        <x:v>b924ca165efae21f513feeb3a8be79f68b017f396ca98dc610dac49a44598330</x:v>
      </x:c>
      <x:c r="S1014" t="n">
        <x:v>6</x:v>
      </x:c>
      <x:c r="T1014" t="str">
        <x:v>2018-12-31|2019-12-31|2020-12-31</x:v>
      </x:c>
      <x:c r="U1014" s="57" t="n">
        <x:v>-1589.5402274427975</x:v>
      </x:c>
      <x:c r="V1014" s="57" t="n">
        <x:v>-1.525467843782743</x:v>
      </x:c>
      <x:c r="W1014"/>
      <x:c r="X1014"/>
      <x:c r="Y1014" s="38" t="n">
        <x:v>0.6409090909090909</x:v>
      </x:c>
      <x:c r="Z1014" s="38" t="n">
        <x:v>0.5650623118634555</x:v>
      </x:c>
      <x:c r="AA1014" t="str">
        <x:v>NON_POSITIVE_ENTERPRISE_VALUE|NON_POSITIVE_EQUITY_VALUE|NON_POSITIVE_TERMINAL_FCF</x:v>
      </x:c>
    </x:row>
    <x:row r="1015">
      <x:c r="A1015" s="54" t="n">
        <x:v>44469</x:v>
      </x:c>
      <x:c r="B1015" t="n">
        <x:v>44469.624999988424</x:v>
      </x:c>
      <x:c r="C1015" t="str">
        <x:v>347700</x:v>
      </x:c>
      <x:c r="D1015" t="str">
        <x:v>스피어</x:v>
      </x:c>
      <x:c r="E1015" t="str">
        <x:v>KOSDAQ</x:v>
      </x:c>
      <x:c r="F1015" t="str">
        <x:v>LARGE</x:v>
      </x:c>
      <x:c r="G1015" t="str">
        <x:v>DCF_SCREENING_EXCLUSION</x:v>
      </x:c>
      <x:c r="H1015" t="str">
        <x:v>NON_POSITIVE_ENTERPRISE_VALUE|NON_POSITIVE_TERMINAL_FCF</x:v>
      </x:c>
      <x:c r="I1015" s="54" t="n">
        <x:v>44469</x:v>
      </x:c>
      <x:c r="J1015" s="55" t="n">
        <x:v>11800</x:v>
      </x:c>
      <x:c r="K1015" s="55" t="n">
        <x:v>119413286000</x:v>
      </x:c>
      <x:c r="L1015" s="55" t="n">
        <x:v>10119770</x:v>
      </x:c>
      <x:c r="M1015" t="str">
        <x:v>20210607000174</x:v>
      </x:c>
      <x:c r="N1015" t="n">
        <x:v>44354.624999988424</x:v>
      </x:c>
      <x:c r="O1015" s="54" t="n">
        <x:v>44196</x:v>
      </x:c>
      <x:c r="P1015" t="str">
        <x:v>True</x:v>
      </x:c>
      <x:c r="Q1015" t="str">
        <x:v>c0520cdf6afb73decac60ef46ba45aedf738d0748abd8fb33394c8dee781acd9</x:v>
      </x:c>
      <x:c r="R1015" t="str">
        <x:v>13a13d8702b9454a08ba530844faf994b54de0456edf4a2defea173e9b3c9a78</x:v>
      </x:c>
      <x:c r="S1015" t="n">
        <x:v>6</x:v>
      </x:c>
      <x:c r="T1015" t="str">
        <x:v>2020-12-31</x:v>
      </x:c>
      <x:c r="U1015" s="57" t="n">
        <x:v>105.513405157469</x:v>
      </x:c>
      <x:c r="V1015" s="57" t="n">
        <x:v>-0.9910581860036043</x:v>
      </x:c>
      <x:c r="W1015"/>
      <x:c r="X1015"/>
      <x:c r="Y1015" s="38" t="n">
        <x:v>0.6409090909090909</x:v>
      </x:c>
      <x:c r="Z1015" s="38" t="n">
        <x:v>0.7013426708992583</x:v>
      </x:c>
      <x:c r="AA1015" t="str">
        <x:v>NON_POSITIVE_ENTERPRISE_VALUE|NON_POSITIVE_TERMINAL_FCF</x:v>
      </x:c>
    </x:row>
    <x:row r="1016">
      <x:c r="A1016" s="54" t="n">
        <x:v>44469</x:v>
      </x:c>
      <x:c r="B1016" t="n">
        <x:v>44469.624999988424</x:v>
      </x:c>
      <x:c r="C1016" t="str">
        <x:v>119850</x:v>
      </x:c>
      <x:c r="D1016" t="str">
        <x:v>지엔씨에너지</x:v>
      </x:c>
      <x:c r="E1016" t="str">
        <x:v>KOSDAQ</x:v>
      </x:c>
      <x:c r="F1016" t="str">
        <x:v>LARGE</x:v>
      </x:c>
      <x:c r="G1016" t="str">
        <x:v>ELIGIBLE</x:v>
      </x:c>
      <x:c r="H1016"/>
      <x:c r="I1016" s="54" t="n">
        <x:v>44469</x:v>
      </x:c>
      <x:c r="J1016" s="55" t="n">
        <x:v>4595</x:v>
      </x:c>
      <x:c r="K1016" s="55" t="n">
        <x:v>75582736855</x:v>
      </x:c>
      <x:c r="L1016" s="55" t="n">
        <x:v>16448909</x:v>
      </x:c>
      <x:c r="M1016" t="str">
        <x:v>20210318000663</x:v>
      </x:c>
      <x:c r="N1016" t="n">
        <x:v>44273.624999988424</x:v>
      </x:c>
      <x:c r="O1016" s="54" t="n">
        <x:v>44196</x:v>
      </x:c>
      <x:c r="P1016" t="str">
        <x:v>False</x:v>
      </x:c>
      <x:c r="Q1016" t="str">
        <x:v>653cb6ddd884358c126b2b72eab500c005242c43829e2e092de6d2c9e30c286a</x:v>
      </x:c>
      <x:c r="R1016" t="str">
        <x:v>b3725620b61f6398fb580fc894decfc40ce95155ca3c21938f10d0118493dd5c</x:v>
      </x:c>
      <x:c r="S1016" t="n">
        <x:v>6</x:v>
      </x:c>
      <x:c r="T1016" t="str">
        <x:v>2018-12-31|2019-12-31|2020-12-31</x:v>
      </x:c>
      <x:c r="U1016" s="57" t="n">
        <x:v>6956.039257826385</x:v>
      </x:c>
      <x:c r="V1016" s="57" t="n">
        <x:v>0.5138279124758184</x:v>
      </x:c>
      <x:c r="W1016" t="n">
        <x:v>6</x:v>
      </x:c>
      <x:c r="X1016" t="n">
        <x:v>1</x:v>
      </x:c>
      <x:c r="Y1016" s="38" t="n">
        <x:v>0.6409090909090909</x:v>
      </x:c>
      <x:c r="Z1016" s="38" t="n">
        <x:v>0.7372895800495701</x:v>
      </x:c>
      <x:c r="AA1016"/>
    </x:row>
    <x:row r="1017">
      <x:c r="A1017" s="54" t="n">
        <x:v>44469</x:v>
      </x:c>
      <x:c r="B1017" t="n">
        <x:v>44469.624999988424</x:v>
      </x:c>
      <x:c r="C1017" t="str">
        <x:v>084110</x:v>
      </x:c>
      <x:c r="D1017" t="str">
        <x:v>휴온스글로벌</x:v>
      </x:c>
      <x:c r="E1017" t="str">
        <x:v>KOSDAQ</x:v>
      </x:c>
      <x:c r="F1017" t="str">
        <x:v>LARGE</x:v>
      </x:c>
      <x:c r="G1017" t="str">
        <x:v>ELIGIBLE</x:v>
      </x:c>
      <x:c r="H1017"/>
      <x:c r="I1017" s="54" t="n">
        <x:v>44469</x:v>
      </x:c>
      <x:c r="J1017" s="55" t="n">
        <x:v>61400</x:v>
      </x:c>
      <x:c r="K1017" s="55" t="n">
        <x:v>738659744600</x:v>
      </x:c>
      <x:c r="L1017" s="55" t="n">
        <x:v>12030289</x:v>
      </x:c>
      <x:c r="M1017" t="str">
        <x:v>20210311001143</x:v>
      </x:c>
      <x:c r="N1017" t="n">
        <x:v>44266.624999988424</x:v>
      </x:c>
      <x:c r="O1017" s="54" t="n">
        <x:v>44196</x:v>
      </x:c>
      <x:c r="P1017" t="str">
        <x:v>False</x:v>
      </x:c>
      <x:c r="Q1017" t="str">
        <x:v>fa81c84f17329d7b4da199ca087127a31bb8895032b44094df209b2bcca991ae</x:v>
      </x:c>
      <x:c r="R1017" t="str">
        <x:v>51b01d395ba6e242ca6bc50955b5df968a7361f69faf87ac5902a92b48e44089</x:v>
      </x:c>
      <x:c r="S1017" t="n">
        <x:v>6</x:v>
      </x:c>
      <x:c r="T1017" t="str">
        <x:v>2018-12-31|2019-12-31|2020-12-31</x:v>
      </x:c>
      <x:c r="U1017" s="57" t="n">
        <x:v>62717.699944589345</x:v>
      </x:c>
      <x:c r="V1017" s="57" t="n">
        <x:v>0.021460911149663555</x:v>
      </x:c>
      <x:c r="W1017" t="n">
        <x:v>13</x:v>
      </x:c>
      <x:c r="X1017" t="n">
        <x:v>2</x:v>
      </x:c>
      <x:c r="Y1017" s="38" t="n">
        <x:v>0.6409090909090909</x:v>
      </x:c>
      <x:c r="Z1017" s="38" t="n">
        <x:v>0.7345335402673521</x:v>
      </x:c>
      <x:c r="AA1017"/>
    </x:row>
    <x:row r="1018">
      <x:c r="A1018" s="54" t="n">
        <x:v>44469</x:v>
      </x:c>
      <x:c r="B1018" t="n">
        <x:v>44469.624999988424</x:v>
      </x:c>
      <x:c r="C1018" t="str">
        <x:v>206650</x:v>
      </x:c>
      <x:c r="D1018" t="str">
        <x:v>유바이오로직스</x:v>
      </x:c>
      <x:c r="E1018" t="str">
        <x:v>KOSDAQ</x:v>
      </x:c>
      <x:c r="F1018" t="str">
        <x:v>LARGE</x:v>
      </x:c>
      <x:c r="G1018" t="str">
        <x:v>DCF_SCREENING_EXCLUSION</x:v>
      </x:c>
      <x:c r="H1018" t="str">
        <x:v>UNRELIABLE_TERMINAL_VALUE_SHARE</x:v>
      </x:c>
      <x:c r="I1018" s="54" t="n">
        <x:v>44469</x:v>
      </x:c>
      <x:c r="J1018" s="55" t="n">
        <x:v>56100</x:v>
      </x:c>
      <x:c r="K1018" s="55" t="n">
        <x:v>2032464122700</x:v>
      </x:c>
      <x:c r="L1018" s="55" t="n">
        <x:v>36229307</x:v>
      </x:c>
      <x:c r="M1018" t="str">
        <x:v>20210630000434</x:v>
      </x:c>
      <x:c r="N1018" t="n">
        <x:v>44377.624999988424</x:v>
      </x:c>
      <x:c r="O1018" s="54" t="n">
        <x:v>44196</x:v>
      </x:c>
      <x:c r="P1018" t="str">
        <x:v>True</x:v>
      </x:c>
      <x:c r="Q1018" t="str">
        <x:v>067460ec3ee877541a5caf31e6d54ee8107ff03c30ccabc175d5213fa89ac48c</x:v>
      </x:c>
      <x:c r="R1018" t="str">
        <x:v>81a2b4d8fac3c721e3762964d02710f0979f601bea0a9652244c2da652042693</x:v>
      </x:c>
      <x:c r="S1018" t="n">
        <x:v>5</x:v>
      </x:c>
      <x:c r="T1018" t="str">
        <x:v>2018-12-31|2019-12-31|2020-12-31</x:v>
      </x:c>
      <x:c r="U1018" s="57" t="n">
        <x:v>2555.6423540748424</x:v>
      </x:c>
      <x:c r="V1018" s="57" t="n">
        <x:v>-0.9544448778239779</x:v>
      </x:c>
      <x:c r="W1018"/>
      <x:c r="X1018"/>
      <x:c r="Y1018" s="38" t="n">
        <x:v>0.6409090909090909</x:v>
      </x:c>
      <x:c r="Z1018" s="38" t="n">
        <x:v>1.0855136145824282</x:v>
      </x:c>
      <x:c r="AA1018" t="str">
        <x:v>UNRELIABLE_TERMINAL_VALUE_SHARE</x:v>
      </x:c>
    </x:row>
    <x:row r="1019">
      <x:c r="A1019" s="54" t="n">
        <x:v>44469</x:v>
      </x:c>
      <x:c r="B1019" t="n">
        <x:v>44469.624999988424</x:v>
      </x:c>
      <x:c r="C1019" t="str">
        <x:v>365340</x:v>
      </x:c>
      <x:c r="D1019" t="str">
        <x:v>성일하이텍</x:v>
      </x:c>
      <x:c r="E1019" t="str">
        <x:v>KOSDAQ</x:v>
      </x:c>
      <x:c r="F1019" t="str">
        <x:v>LARGE</x:v>
      </x:c>
      <x:c r="G1019" t="str">
        <x:v>NOT_LISTED_OR_NO_PRICE</x:v>
      </x:c>
      <x:c r="H1019"/>
      <x:c r="I1019" s="54"/>
      <x:c r="J1019" s="55"/>
      <x:c r="K1019" s="55"/>
      <x:c r="L1019" s="55"/>
      <x:c r="M1019"/>
      <x:c r="N1019"/>
      <x:c r="O1019" s="54"/>
      <x:c r="P1019"/>
      <x:c r="Q1019"/>
      <x:c r="R1019"/>
      <x:c r="S1019"/>
      <x:c r="T1019"/>
      <x:c r="U1019" s="57"/>
      <x:c r="V1019" s="57"/>
      <x:c r="W1019"/>
      <x:c r="X1019"/>
      <x:c r="Y1019" s="38"/>
      <x:c r="Z1019" s="38"/>
      <x:c r="AA1019"/>
    </x:row>
    <x:row r="1020">
      <x:c r="A1020" s="54" t="n">
        <x:v>44469</x:v>
      </x:c>
      <x:c r="B1020" t="n">
        <x:v>44469.624999988424</x:v>
      </x:c>
      <x:c r="C1020" t="str">
        <x:v>030530</x:v>
      </x:c>
      <x:c r="D1020" t="str">
        <x:v>원익홀딩스</x:v>
      </x:c>
      <x:c r="E1020" t="str">
        <x:v>KOSDAQ</x:v>
      </x:c>
      <x:c r="F1020" t="str">
        <x:v>LARGE</x:v>
      </x:c>
      <x:c r="G1020" t="str">
        <x:v>EXCLUDED_ARCHETYPE</x:v>
      </x:c>
      <x:c r="H1020" t="str">
        <x:v>FCFF_NOT_COMPARABLE_FOR_FINANCE_OR_HOLDING_HINT</x:v>
      </x:c>
      <x:c r="I1020" s="54"/>
      <x:c r="J1020" s="55"/>
      <x:c r="K1020" s="55"/>
      <x:c r="L1020" s="55"/>
      <x:c r="M1020"/>
      <x:c r="N1020"/>
      <x:c r="O1020" s="54"/>
      <x:c r="P1020"/>
      <x:c r="Q1020"/>
      <x:c r="R1020"/>
      <x:c r="S1020"/>
      <x:c r="T1020"/>
      <x:c r="U1020" s="57"/>
      <x:c r="V1020" s="57"/>
      <x:c r="W1020"/>
      <x:c r="X1020"/>
      <x:c r="Y1020" s="38"/>
      <x:c r="Z1020" s="38"/>
      <x:c r="AA1020"/>
    </x:row>
    <x:row r="1021">
      <x:c r="A1021" s="54" t="n">
        <x:v>44469</x:v>
      </x:c>
      <x:c r="B1021" t="n">
        <x:v>44469.624999988424</x:v>
      </x:c>
      <x:c r="C1021" t="str">
        <x:v>220100</x:v>
      </x:c>
      <x:c r="D1021" t="str">
        <x:v>퓨쳐켐</x:v>
      </x:c>
      <x:c r="E1021" t="str">
        <x:v>KOSDAQ</x:v>
      </x:c>
      <x:c r="F1021" t="str">
        <x:v>LARGE</x:v>
      </x:c>
      <x:c r="G1021" t="str">
        <x:v>DCF_SCREENING_EXCLUSION</x:v>
      </x:c>
      <x:c r="H1021" t="str">
        <x:v>NON_POSITIVE_ENTERPRISE_VALUE|NON_POSITIVE_EQUITY_VALUE|NON_POSITIVE_TERMINAL_FCF</x:v>
      </x:c>
      <x:c r="I1021" s="54" t="n">
        <x:v>44469</x:v>
      </x:c>
      <x:c r="J1021" s="55" t="n">
        <x:v>17250</x:v>
      </x:c>
      <x:c r="K1021" s="55" t="n">
        <x:v>235392999750</x:v>
      </x:c>
      <x:c r="L1021" s="55" t="n">
        <x:v>13645971</x:v>
      </x:c>
      <x:c r="M1021" t="str">
        <x:v>20210615000215</x:v>
      </x:c>
      <x:c r="N1021" t="n">
        <x:v>44362.624999988424</x:v>
      </x:c>
      <x:c r="O1021" s="54" t="n">
        <x:v>44196</x:v>
      </x:c>
      <x:c r="P1021" t="str">
        <x:v>True</x:v>
      </x:c>
      <x:c r="Q1021" t="str">
        <x:v>774d33683e2a64cbd21cad6bd5b0d405abbbaecd776b82c7b5e5fc0933427b58</x:v>
      </x:c>
      <x:c r="R1021" t="str">
        <x:v>e7f9b0455266aaa977f205aaeaa90b0ee053bbe7b3e86135c44c9f7af8e39dad</x:v>
      </x:c>
      <x:c r="S1021" t="n">
        <x:v>5</x:v>
      </x:c>
      <x:c r="T1021" t="str">
        <x:v>2018-12-31|2019-12-31|2020-12-31</x:v>
      </x:c>
      <x:c r="U1021" s="57" t="n">
        <x:v>-2161.672272645734</x:v>
      </x:c>
      <x:c r="V1021" s="57" t="n">
        <x:v>-1.1253143346461296</x:v>
      </x:c>
      <x:c r="W1021"/>
      <x:c r="X1021"/>
      <x:c r="Y1021" s="38" t="n">
        <x:v>0.6409090909090909</x:v>
      </x:c>
      <x:c r="Z1021" s="38" t="n">
        <x:v>0.7048576618166811</x:v>
      </x:c>
      <x:c r="AA1021" t="str">
        <x:v>NON_POSITIVE_ENTERPRISE_VALUE|NON_POSITIVE_EQUITY_VALUE|NON_POSITIVE_TERMINAL_FCF</x:v>
      </x:c>
    </x:row>
    <x:row r="1022">
      <x:c r="A1022" s="54" t="n">
        <x:v>44469</x:v>
      </x:c>
      <x:c r="B1022" t="n">
        <x:v>44469.624999988424</x:v>
      </x:c>
      <x:c r="C1022" t="str">
        <x:v>416180</x:v>
      </x:c>
      <x:c r="D1022" t="str">
        <x:v>신성에스티</x:v>
      </x:c>
      <x:c r="E1022" t="str">
        <x:v>KOSDAQ</x:v>
      </x:c>
      <x:c r="F1022" t="str">
        <x:v>LARGE</x:v>
      </x:c>
      <x:c r="G1022" t="str">
        <x:v>NOT_LISTED_OR_NO_PRICE</x:v>
      </x:c>
      <x:c r="H1022"/>
      <x:c r="I1022" s="54"/>
      <x:c r="J1022" s="55"/>
      <x:c r="K1022" s="55"/>
      <x:c r="L1022" s="55"/>
      <x:c r="M1022"/>
      <x:c r="N1022"/>
      <x:c r="O1022" s="54"/>
      <x:c r="P1022"/>
      <x:c r="Q1022"/>
      <x:c r="R1022"/>
      <x:c r="S1022"/>
      <x:c r="T1022"/>
      <x:c r="U1022" s="57"/>
      <x:c r="V1022" s="57"/>
      <x:c r="W1022"/>
      <x:c r="X1022"/>
      <x:c r="Y1022" s="38"/>
      <x:c r="Z1022" s="38"/>
      <x:c r="AA1022"/>
    </x:row>
    <x:row r="1023">
      <x:c r="A1023" s="54" t="n">
        <x:v>44469</x:v>
      </x:c>
      <x:c r="B1023" t="n">
        <x:v>44469.624999988424</x:v>
      </x:c>
      <x:c r="C1023" t="str">
        <x:v>082800</x:v>
      </x:c>
      <x:c r="D1023" t="str">
        <x:v>비보존제약</x:v>
      </x:c>
      <x:c r="E1023" t="str">
        <x:v>KOSDAQ</x:v>
      </x:c>
      <x:c r="F1023" t="str">
        <x:v>LARGE</x:v>
      </x:c>
      <x:c r="G1023" t="str">
        <x:v>DCF_SCREENING_EXCLUSION</x:v>
      </x:c>
      <x:c r="H1023" t="str">
        <x:v>NON_POSITIVE_ENTERPRISE_VALUE|NON_POSITIVE_EQUITY_VALUE|NON_POSITIVE_TERMINAL_FCF</x:v>
      </x:c>
      <x:c r="I1023" s="54" t="n">
        <x:v>44469</x:v>
      </x:c>
      <x:c r="J1023" s="55" t="n">
        <x:v>1485</x:v>
      </x:c>
      <x:c r="K1023" s="55" t="n">
        <x:v>252311648490</x:v>
      </x:c>
      <x:c r="L1023" s="55" t="n">
        <x:v>169906834</x:v>
      </x:c>
      <x:c r="M1023" t="str">
        <x:v>20210812000470</x:v>
      </x:c>
      <x:c r="N1023" t="n">
        <x:v>44420.624999988424</x:v>
      </x:c>
      <x:c r="O1023" s="54" t="n">
        <x:v>44196</x:v>
      </x:c>
      <x:c r="P1023" t="str">
        <x:v>True</x:v>
      </x:c>
      <x:c r="Q1023" t="str">
        <x:v>4438f2e1e335077945586406882ba70e49bc1f9b5514bdbd728c6cae3372049b</x:v>
      </x:c>
      <x:c r="R1023" t="str">
        <x:v>f93ce9046b0970eadab2696f800adc8de077975fa0250197d0c6a0fc4c471be1</x:v>
      </x:c>
      <x:c r="S1023" t="n">
        <x:v>5</x:v>
      </x:c>
      <x:c r="T1023" t="str">
        <x:v>2018-12-31|2019-12-31|2020-12-31</x:v>
      </x:c>
      <x:c r="U1023" s="57" t="n">
        <x:v>-688.7318885796128</x:v>
      </x:c>
      <x:c r="V1023" s="57" t="n">
        <x:v>-1.4637925175620288</x:v>
      </x:c>
      <x:c r="W1023"/>
      <x:c r="X1023"/>
      <x:c r="Y1023" s="38" t="n">
        <x:v>0.6409090909090909</x:v>
      </x:c>
      <x:c r="Z1023" s="38" t="n">
        <x:v>0.7047682246707426</x:v>
      </x:c>
      <x:c r="AA1023" t="str">
        <x:v>NON_POSITIVE_ENTERPRISE_VALUE|NON_POSITIVE_EQUITY_VALUE|NON_POSITIVE_TERMINAL_FCF</x:v>
      </x:c>
    </x:row>
    <x:row r="1024">
      <x:c r="A1024" s="54" t="n">
        <x:v>44469</x:v>
      </x:c>
      <x:c r="B1024" t="n">
        <x:v>44469.624999988424</x:v>
      </x:c>
      <x:c r="C1024" t="str">
        <x:v>204620</x:v>
      </x:c>
      <x:c r="D1024" t="str">
        <x:v>글로벌텍스프리</x:v>
      </x:c>
      <x:c r="E1024" t="str">
        <x:v>KOSDAQ</x:v>
      </x:c>
      <x:c r="F1024" t="str">
        <x:v>LARGE</x:v>
      </x:c>
      <x:c r="G1024" t="str">
        <x:v>DCF_SCREENING_EXCLUSION</x:v>
      </x:c>
      <x:c r="H1024" t="str">
        <x:v>UNRELIABLE_TERMINAL_VALUE_SHARE</x:v>
      </x:c>
      <x:c r="I1024" s="54" t="n">
        <x:v>44469</x:v>
      </x:c>
      <x:c r="J1024" s="55" t="n">
        <x:v>3435</x:v>
      </x:c>
      <x:c r="K1024" s="55" t="n">
        <x:v>167410533585</x:v>
      </x:c>
      <x:c r="L1024" s="55" t="n">
        <x:v>48736691</x:v>
      </x:c>
      <x:c r="M1024" t="str">
        <x:v>20210322001155</x:v>
      </x:c>
      <x:c r="N1024" t="n">
        <x:v>44277.624999988424</x:v>
      </x:c>
      <x:c r="O1024" s="54" t="n">
        <x:v>44196</x:v>
      </x:c>
      <x:c r="P1024" t="str">
        <x:v>False</x:v>
      </x:c>
      <x:c r="Q1024" t="str">
        <x:v>63e285f34a7299143d8cfef21dff4eab139ba2d6da9068d43044e662192b9141</x:v>
      </x:c>
      <x:c r="R1024" t="str">
        <x:v>942d3112c880d8248b9474645454b62643e68b942d77b7486e4633785d250695</x:v>
      </x:c>
      <x:c r="S1024" t="n">
        <x:v>7</x:v>
      </x:c>
      <x:c r="T1024" t="str">
        <x:v>2018-12-31|2019-12-31|2020-12-31</x:v>
      </x:c>
      <x:c r="U1024" s="57" t="n">
        <x:v>899.8525927064413</x:v>
      </x:c>
      <x:c r="V1024" s="57" t="n">
        <x:v>-0.738034179707004</x:v>
      </x:c>
      <x:c r="W1024"/>
      <x:c r="X1024"/>
      <x:c r="Y1024" s="38" t="n">
        <x:v>0.6409090909090909</x:v>
      </x:c>
      <x:c r="Z1024" s="38" t="n">
        <x:v>0.9852227558467876</x:v>
      </x:c>
      <x:c r="AA1024" t="str">
        <x:v>UNRELIABLE_TERMINAL_VALUE_SHARE</x:v>
      </x:c>
    </x:row>
    <x:row r="1025">
      <x:c r="A1025" s="54" t="n">
        <x:v>44469</x:v>
      </x:c>
      <x:c r="B1025" t="n">
        <x:v>44469.624999988424</x:v>
      </x:c>
      <x:c r="C1025" t="str">
        <x:v>445090</x:v>
      </x:c>
      <x:c r="D1025" t="str">
        <x:v>에이직랜드</x:v>
      </x:c>
      <x:c r="E1025" t="str">
        <x:v>KOSDAQ</x:v>
      </x:c>
      <x:c r="F1025" t="str">
        <x:v>LARGE</x:v>
      </x:c>
      <x:c r="G1025" t="str">
        <x:v>NOT_LISTED_OR_NO_PRICE</x:v>
      </x:c>
      <x:c r="H1025"/>
      <x:c r="I1025" s="54"/>
      <x:c r="J1025" s="55"/>
      <x:c r="K1025" s="55"/>
      <x:c r="L1025" s="55"/>
      <x:c r="M1025"/>
      <x:c r="N1025"/>
      <x:c r="O1025" s="54"/>
      <x:c r="P1025"/>
      <x:c r="Q1025"/>
      <x:c r="R1025"/>
      <x:c r="S1025"/>
      <x:c r="T1025"/>
      <x:c r="U1025" s="57"/>
      <x:c r="V1025" s="57"/>
      <x:c r="W1025"/>
      <x:c r="X1025"/>
      <x:c r="Y1025" s="38"/>
      <x:c r="Z1025" s="38"/>
      <x:c r="AA1025"/>
    </x:row>
    <x:row r="1026">
      <x:c r="A1026" s="54" t="n">
        <x:v>44469</x:v>
      </x:c>
      <x:c r="B1026" t="n">
        <x:v>44469.624999988424</x:v>
      </x:c>
      <x:c r="C1026" t="str">
        <x:v>115450</x:v>
      </x:c>
      <x:c r="D1026" t="str">
        <x:v>HLB테라퓨틱스</x:v>
      </x:c>
      <x:c r="E1026" t="str">
        <x:v>KOSDAQ</x:v>
      </x:c>
      <x:c r="F1026" t="str">
        <x:v>LARGE</x:v>
      </x:c>
      <x:c r="G1026" t="str">
        <x:v>DCF_SCREENING_EXCLUSION</x:v>
      </x:c>
      <x:c r="H1026" t="str">
        <x:v>NON_POSITIVE_ENTERPRISE_VALUE|NON_POSITIVE_EQUITY_VALUE|NON_POSITIVE_TERMINAL_FCF</x:v>
      </x:c>
      <x:c r="I1026" s="54" t="n">
        <x:v>44469</x:v>
      </x:c>
      <x:c r="J1026" s="55" t="n">
        <x:v>16050</x:v>
      </x:c>
      <x:c r="K1026" s="55" t="n">
        <x:v>434762704950</x:v>
      </x:c>
      <x:c r="L1026" s="55" t="n">
        <x:v>27088019</x:v>
      </x:c>
      <x:c r="M1026" t="str">
        <x:v>20210322000267</x:v>
      </x:c>
      <x:c r="N1026" t="n">
        <x:v>44277.624999988424</x:v>
      </x:c>
      <x:c r="O1026" s="54" t="n">
        <x:v>44196</x:v>
      </x:c>
      <x:c r="P1026" t="str">
        <x:v>True</x:v>
      </x:c>
      <x:c r="Q1026" t="str">
        <x:v>9353d71566402711a7e944bd746b58f70992d4280153e7918d6d972ec9847f15</x:v>
      </x:c>
      <x:c r="R1026" t="str">
        <x:v>440c3108003fc6dd85b6abafd86205d83884fe967e098286fac2cc393031076c</x:v>
      </x:c>
      <x:c r="S1026" t="n">
        <x:v>6</x:v>
      </x:c>
      <x:c r="T1026" t="str">
        <x:v>2018-12-31|2019-12-31|2020-12-31</x:v>
      </x:c>
      <x:c r="U1026" s="57" t="n">
        <x:v>-3360.487745607768</x:v>
      </x:c>
      <x:c r="V1026" s="57" t="n">
        <x:v>-1.2093761835269636</x:v>
      </x:c>
      <x:c r="W1026"/>
      <x:c r="X1026"/>
      <x:c r="Y1026" s="38" t="n">
        <x:v>0.6409090909090909</x:v>
      </x:c>
      <x:c r="Z1026" s="38" t="n">
        <x:v>0.6727961565714479</x:v>
      </x:c>
      <x:c r="AA1026" t="str">
        <x:v>NON_POSITIVE_ENTERPRISE_VALUE|NON_POSITIVE_EQUITY_VALUE|NON_POSITIVE_TERMINAL_FCF</x:v>
      </x:c>
    </x:row>
    <x:row r="1027">
      <x:c r="A1027" s="54" t="n">
        <x:v>44469</x:v>
      </x:c>
      <x:c r="B1027" t="n">
        <x:v>44469.624999988424</x:v>
      </x:c>
      <x:c r="C1027" t="str">
        <x:v>035420</x:v>
      </x:c>
      <x:c r="D1027" t="str">
        <x:v>NAVER</x:v>
      </x:c>
      <x:c r="E1027" t="str">
        <x:v>KOSPI</x:v>
      </x:c>
      <x:c r="F1027" t="str">
        <x:v>LARGE</x:v>
      </x:c>
      <x:c r="G1027" t="str">
        <x:v>ELIGIBLE</x:v>
      </x:c>
      <x:c r="H1027"/>
      <x:c r="I1027" s="54" t="n">
        <x:v>44469</x:v>
      </x:c>
      <x:c r="J1027" s="55" t="n">
        <x:v>388000</x:v>
      </x:c>
      <x:c r="K1027" s="55" t="n">
        <x:v>63734197260000</x:v>
      </x:c>
      <x:c r="L1027" s="55" t="n">
        <x:v>164263395</x:v>
      </x:c>
      <x:c r="M1027" t="str">
        <x:v>20210316001214</x:v>
      </x:c>
      <x:c r="N1027" t="n">
        <x:v>44271.624999988424</x:v>
      </x:c>
      <x:c r="O1027" s="54" t="n">
        <x:v>44196</x:v>
      </x:c>
      <x:c r="P1027" t="str">
        <x:v>False</x:v>
      </x:c>
      <x:c r="Q1027" t="str">
        <x:v>68dc118fc30765c984117bc63ce97f43158503473a4b2cf6dc55888cc7a4f8c2</x:v>
      </x:c>
      <x:c r="R1027" t="str">
        <x:v>d6e2b5708b1e7fbdbe00ab991bbb242db3d72e567c47557b0ad1c27529b9273f</x:v>
      </x:c>
      <x:c r="S1027" t="n">
        <x:v>6</x:v>
      </x:c>
      <x:c r="T1027" t="str">
        <x:v>2018-12-31|2019-12-31|2020-12-31</x:v>
      </x:c>
      <x:c r="U1027" s="57" t="n">
        <x:v>48037.82319413707</x:v>
      </x:c>
      <x:c r="V1027" s="57" t="n">
        <x:v>-0.8761911773346983</x:v>
      </x:c>
      <x:c r="W1027" t="n">
        <x:v>53</x:v>
      </x:c>
      <x:c r="X1027" t="n">
        <x:v>5</x:v>
      </x:c>
      <x:c r="Y1027" s="38" t="n">
        <x:v>0.6409090909090909</x:v>
      </x:c>
      <x:c r="Z1027" s="38" t="n">
        <x:v>0.6459381047084306</x:v>
      </x:c>
      <x:c r="AA1027"/>
    </x:row>
    <x:row r="1028">
      <x:c r="A1028" s="54" t="n">
        <x:v>44469</x:v>
      </x:c>
      <x:c r="B1028" t="n">
        <x:v>44469.624999988424</x:v>
      </x:c>
      <x:c r="C1028" t="str">
        <x:v>030200</x:v>
      </x:c>
      <x:c r="D1028" t="str">
        <x:v>KT</x:v>
      </x:c>
      <x:c r="E1028" t="str">
        <x:v>KOSPI</x:v>
      </x:c>
      <x:c r="F1028" t="str">
        <x:v>LARGE</x:v>
      </x:c>
      <x:c r="G1028" t="str">
        <x:v>ELIGIBLE</x:v>
      </x:c>
      <x:c r="H1028"/>
      <x:c r="I1028" s="54" t="n">
        <x:v>44469</x:v>
      </x:c>
      <x:c r="J1028" s="55" t="n">
        <x:v>32600</x:v>
      </x:c>
      <x:c r="K1028" s="55" t="n">
        <x:v>8512244940800</x:v>
      </x:c>
      <x:c r="L1028" s="55" t="n">
        <x:v>261111808</x:v>
      </x:c>
      <x:c r="M1028" t="str">
        <x:v>20210319001235</x:v>
      </x:c>
      <x:c r="N1028" t="n">
        <x:v>44274.624999988424</x:v>
      </x:c>
      <x:c r="O1028" s="54" t="n">
        <x:v>44196</x:v>
      </x:c>
      <x:c r="P1028" t="str">
        <x:v>False</x:v>
      </x:c>
      <x:c r="Q1028" t="str">
        <x:v>d64d7a158d387dd550e1fae4d790e729d0c9d1d8b0cac7452fc112e47649dda4</x:v>
      </x:c>
      <x:c r="R1028" t="str">
        <x:v>9f4c1f28bbd6500760e6bd9819530619dfe207c0cc1188e35fcf4794fd02938a</x:v>
      </x:c>
      <x:c r="S1028" t="n">
        <x:v>6</x:v>
      </x:c>
      <x:c r="T1028" t="str">
        <x:v>2018-12-31|2019-12-31|2020-12-31</x:v>
      </x:c>
      <x:c r="U1028" s="57" t="n">
        <x:v>42508.529940105356</x:v>
      </x:c>
      <x:c r="V1028" s="57" t="n">
        <x:v>0.3039426361995507</x:v>
      </x:c>
      <x:c r="W1028" t="n">
        <x:v>11</x:v>
      </x:c>
      <x:c r="X1028" t="n">
        <x:v>1</x:v>
      </x:c>
      <x:c r="Y1028" s="38" t="n">
        <x:v>0.6409090909090909</x:v>
      </x:c>
      <x:c r="Z1028" s="38" t="n">
        <x:v>0.7002042252982207</x:v>
      </x:c>
      <x:c r="AA1028"/>
    </x:row>
    <x:row r="1029">
      <x:c r="A1029" s="54" t="n">
        <x:v>44469</x:v>
      </x:c>
      <x:c r="B1029" t="n">
        <x:v>44469.624999988424</x:v>
      </x:c>
      <x:c r="C1029" t="str">
        <x:v>018260</x:v>
      </x:c>
      <x:c r="D1029" t="str">
        <x:v>삼성에스디에스</x:v>
      </x:c>
      <x:c r="E1029" t="str">
        <x:v>KOSPI</x:v>
      </x:c>
      <x:c r="F1029" t="str">
        <x:v>LARGE</x:v>
      </x:c>
      <x:c r="G1029" t="str">
        <x:v>ELIGIBLE</x:v>
      </x:c>
      <x:c r="H1029"/>
      <x:c r="I1029" s="54" t="n">
        <x:v>44469</x:v>
      </x:c>
      <x:c r="J1029" s="55" t="n">
        <x:v>160500</x:v>
      </x:c>
      <x:c r="K1029" s="55" t="n">
        <x:v>12419136900000</x:v>
      </x:c>
      <x:c r="L1029" s="55" t="n">
        <x:v>77377800</x:v>
      </x:c>
      <x:c r="M1029" t="str">
        <x:v>20210309000603</x:v>
      </x:c>
      <x:c r="N1029" t="n">
        <x:v>44264.624999988424</x:v>
      </x:c>
      <x:c r="O1029" s="54" t="n">
        <x:v>44196</x:v>
      </x:c>
      <x:c r="P1029" t="str">
        <x:v>False</x:v>
      </x:c>
      <x:c r="Q1029" t="str">
        <x:v>edc177af043fcf418403e0860c191e7eb2aff41f6c969aac1a56c8246da7a635</x:v>
      </x:c>
      <x:c r="R1029" t="str">
        <x:v>97fc48826aebc55efc6036c432fae7c4d1f02450779c2cb47bad737bffdbe6f1</x:v>
      </x:c>
      <x:c r="S1029" t="n">
        <x:v>6</x:v>
      </x:c>
      <x:c r="T1029" t="str">
        <x:v>2018-12-31|2019-12-31|2020-12-31</x:v>
      </x:c>
      <x:c r="U1029" s="57" t="n">
        <x:v>128730.48947024481</x:v>
      </x:c>
      <x:c r="V1029" s="57" t="n">
        <x:v>-0.1979408755747987</x:v>
      </x:c>
      <x:c r="W1029" t="n">
        <x:v>18</x:v>
      </x:c>
      <x:c r="X1029" t="n">
        <x:v>2</x:v>
      </x:c>
      <x:c r="Y1029" s="38" t="n">
        <x:v>0.6409090909090909</x:v>
      </x:c>
      <x:c r="Z1029" s="38" t="n">
        <x:v>0.7166900971799662</x:v>
      </x:c>
      <x:c r="AA1029"/>
    </x:row>
    <x:row r="1030">
      <x:c r="A1030" s="54" t="n">
        <x:v>44469</x:v>
      </x:c>
      <x:c r="B1030" t="n">
        <x:v>44469.624999988424</x:v>
      </x:c>
      <x:c r="C1030" t="str">
        <x:v>090430</x:v>
      </x:c>
      <x:c r="D1030" t="str">
        <x:v>아모레퍼시픽</x:v>
      </x:c>
      <x:c r="E1030" t="str">
        <x:v>KOSPI</x:v>
      </x:c>
      <x:c r="F1030" t="str">
        <x:v>LARGE</x:v>
      </x:c>
      <x:c r="G1030" t="str">
        <x:v>ELIGIBLE</x:v>
      </x:c>
      <x:c r="H1030"/>
      <x:c r="I1030" s="54" t="n">
        <x:v>44469</x:v>
      </x:c>
      <x:c r="J1030" s="55" t="n">
        <x:v>178500</x:v>
      </x:c>
      <x:c r="K1030" s="55" t="n">
        <x:v>10440957481500</x:v>
      </x:c>
      <x:c r="L1030" s="55" t="n">
        <x:v>58492759</x:v>
      </x:c>
      <x:c r="M1030" t="str">
        <x:v>20210311000870</x:v>
      </x:c>
      <x:c r="N1030" t="n">
        <x:v>44266.624999988424</x:v>
      </x:c>
      <x:c r="O1030" s="54" t="n">
        <x:v>44196</x:v>
      </x:c>
      <x:c r="P1030" t="str">
        <x:v>False</x:v>
      </x:c>
      <x:c r="Q1030" t="str">
        <x:v>682836cd3aff088dd1bd023babd164c42c02b19fe8ab2fcca2b2f27afc639e1e</x:v>
      </x:c>
      <x:c r="R1030" t="str">
        <x:v>b63f75062ff6f7e7d2344776d997d81b161b773562eab38e5237692e4163d4d0</x:v>
      </x:c>
      <x:c r="S1030" t="n">
        <x:v>6</x:v>
      </x:c>
      <x:c r="T1030" t="str">
        <x:v>2018-12-31|2019-12-31|2020-12-31</x:v>
      </x:c>
      <x:c r="U1030" s="57" t="n">
        <x:v>37082.91866727118</x:v>
      </x:c>
      <x:c r="V1030" s="57" t="n">
        <x:v>-0.7922525564858758</x:v>
      </x:c>
      <x:c r="W1030" t="n">
        <x:v>48</x:v>
      </x:c>
      <x:c r="X1030" t="n">
        <x:v>4</x:v>
      </x:c>
      <x:c r="Y1030" s="38" t="n">
        <x:v>0.6409090909090909</x:v>
      </x:c>
      <x:c r="Z1030" s="38" t="n">
        <x:v>0.7858385578371689</x:v>
      </x:c>
      <x:c r="AA1030"/>
    </x:row>
    <x:row r="1031">
      <x:c r="A1031" s="54" t="n">
        <x:v>44469</x:v>
      </x:c>
      <x:c r="B1031" t="n">
        <x:v>44469.624999988424</x:v>
      </x:c>
      <x:c r="C1031" t="str">
        <x:v>278470</x:v>
      </x:c>
      <x:c r="D1031" t="str">
        <x:v>에이피알</x:v>
      </x:c>
      <x:c r="E1031" t="str">
        <x:v>KOSPI</x:v>
      </x:c>
      <x:c r="F1031" t="str">
        <x:v>LARGE</x:v>
      </x:c>
      <x:c r="G1031" t="str">
        <x:v>NOT_LISTED_OR_NO_PRICE</x:v>
      </x:c>
      <x:c r="H1031"/>
      <x:c r="I1031" s="54"/>
      <x:c r="J1031" s="55"/>
      <x:c r="K1031" s="55"/>
      <x:c r="L1031" s="55"/>
      <x:c r="M1031"/>
      <x:c r="N1031"/>
      <x:c r="O1031" s="54"/>
      <x:c r="P1031"/>
      <x:c r="Q1031"/>
      <x:c r="R1031"/>
      <x:c r="S1031"/>
      <x:c r="T1031"/>
      <x:c r="U1031" s="57"/>
      <x:c r="V1031" s="57"/>
      <x:c r="W1031"/>
      <x:c r="X1031"/>
      <x:c r="Y1031" s="38"/>
      <x:c r="Z1031" s="38"/>
      <x:c r="AA1031"/>
    </x:row>
    <x:row r="1032">
      <x:c r="A1032" s="54" t="n">
        <x:v>44469</x:v>
      </x:c>
      <x:c r="B1032" t="n">
        <x:v>44469.624999988424</x:v>
      </x:c>
      <x:c r="C1032" t="str">
        <x:v>006260</x:v>
      </x:c>
      <x:c r="D1032" t="str">
        <x:v>LS</x:v>
      </x:c>
      <x:c r="E1032" t="str">
        <x:v>KOSPI</x:v>
      </x:c>
      <x:c r="F1032" t="str">
        <x:v>LARGE</x:v>
      </x:c>
      <x:c r="G1032" t="str">
        <x:v>ELIGIBLE</x:v>
      </x:c>
      <x:c r="H1032"/>
      <x:c r="I1032" s="54" t="n">
        <x:v>44469</x:v>
      </x:c>
      <x:c r="J1032" s="55" t="n">
        <x:v>64200</x:v>
      </x:c>
      <x:c r="K1032" s="55" t="n">
        <x:v>2067240000000</x:v>
      </x:c>
      <x:c r="L1032" s="55" t="n">
        <x:v>32200000</x:v>
      </x:c>
      <x:c r="M1032" t="str">
        <x:v>20210831001912</x:v>
      </x:c>
      <x:c r="N1032" t="n">
        <x:v>44439.624999988424</x:v>
      </x:c>
      <x:c r="O1032" s="54" t="n">
        <x:v>44196</x:v>
      </x:c>
      <x:c r="P1032" t="str">
        <x:v>True</x:v>
      </x:c>
      <x:c r="Q1032" t="str">
        <x:v>abc82923eb427e607856e98929f46384f6f0ee4f6213219fa17630ba9337939f</x:v>
      </x:c>
      <x:c r="R1032" t="str">
        <x:v>fd094c126a5d7c0f446fe723e652c8589ed7cdfb7b4c4a5bb2fbed039c2d4249</x:v>
      </x:c>
      <x:c r="S1032" t="n">
        <x:v>6</x:v>
      </x:c>
      <x:c r="T1032" t="str">
        <x:v>2017-12-31|2018-12-31|2019-12-31|2020-12-31</x:v>
      </x:c>
      <x:c r="U1032" s="57" t="n">
        <x:v>93575.68968189276</x:v>
      </x:c>
      <x:c r="V1032" s="57" t="n">
        <x:v>0.4575652598425665</x:v>
      </x:c>
      <x:c r="W1032" t="n">
        <x:v>7</x:v>
      </x:c>
      <x:c r="X1032" t="n">
        <x:v>1</x:v>
      </x:c>
      <x:c r="Y1032" s="38" t="n">
        <x:v>0.6409090909090909</x:v>
      </x:c>
      <x:c r="Z1032" s="38" t="n">
        <x:v>0.7212794989213747</x:v>
      </x:c>
      <x:c r="AA1032"/>
    </x:row>
    <x:row r="1033">
      <x:c r="A1033" s="54" t="n">
        <x:v>44469</x:v>
      </x:c>
      <x:c r="B1033" t="n">
        <x:v>44469.624999988424</x:v>
      </x:c>
      <x:c r="C1033" t="str">
        <x:v>454910</x:v>
      </x:c>
      <x:c r="D1033" t="str">
        <x:v>두산로보틱스</x:v>
      </x:c>
      <x:c r="E1033" t="str">
        <x:v>KOSPI</x:v>
      </x:c>
      <x:c r="F1033" t="str">
        <x:v>LARGE</x:v>
      </x:c>
      <x:c r="G1033" t="str">
        <x:v>NOT_LISTED_OR_NO_PRICE</x:v>
      </x:c>
      <x:c r="H1033"/>
      <x:c r="I1033" s="54"/>
      <x:c r="J1033" s="55"/>
      <x:c r="K1033" s="55"/>
      <x:c r="L1033" s="55"/>
      <x:c r="M1033"/>
      <x:c r="N1033"/>
      <x:c r="O1033" s="54"/>
      <x:c r="P1033"/>
      <x:c r="Q1033"/>
      <x:c r="R1033"/>
      <x:c r="S1033"/>
      <x:c r="T1033"/>
      <x:c r="U1033" s="57"/>
      <x:c r="V1033" s="57"/>
      <x:c r="W1033"/>
      <x:c r="X1033"/>
      <x:c r="Y1033" s="38"/>
      <x:c r="Z1033" s="38"/>
      <x:c r="AA1033"/>
    </x:row>
    <x:row r="1034">
      <x:c r="A1034" s="54" t="n">
        <x:v>44469</x:v>
      </x:c>
      <x:c r="B1034" t="n">
        <x:v>44469.624999988424</x:v>
      </x:c>
      <x:c r="C1034" t="str">
        <x:v>012750</x:v>
      </x:c>
      <x:c r="D1034" t="str">
        <x:v>에스원</x:v>
      </x:c>
      <x:c r="E1034" t="str">
        <x:v>KOSPI</x:v>
      </x:c>
      <x:c r="F1034" t="str">
        <x:v>LARGE</x:v>
      </x:c>
      <x:c r="G1034" t="str">
        <x:v>ELIGIBLE</x:v>
      </x:c>
      <x:c r="H1034"/>
      <x:c r="I1034" s="54" t="n">
        <x:v>44469</x:v>
      </x:c>
      <x:c r="J1034" s="55" t="n">
        <x:v>83600</x:v>
      </x:c>
      <x:c r="K1034" s="55" t="n">
        <x:v>3176731280800</x:v>
      </x:c>
      <x:c r="L1034" s="55" t="n">
        <x:v>37999178</x:v>
      </x:c>
      <x:c r="M1034" t="str">
        <x:v>20210310001205</x:v>
      </x:c>
      <x:c r="N1034" t="n">
        <x:v>44265.624999988424</x:v>
      </x:c>
      <x:c r="O1034" s="54" t="n">
        <x:v>44196</x:v>
      </x:c>
      <x:c r="P1034" t="str">
        <x:v>False</x:v>
      </x:c>
      <x:c r="Q1034" t="str">
        <x:v>0a3ed71297759119003ee98a7805f72c1dc9fad49ec63ae5c48d4e2e56539dd5</x:v>
      </x:c>
      <x:c r="R1034" t="str">
        <x:v>b83c02c73209df95f78347c6ddf20eb81282366efc1db64f582c0f07c4cd9dc4</x:v>
      </x:c>
      <x:c r="S1034" t="n">
        <x:v>6</x:v>
      </x:c>
      <x:c r="T1034" t="str">
        <x:v>2018-12-31|2019-12-31|2020-12-31</x:v>
      </x:c>
      <x:c r="U1034" s="57" t="n">
        <x:v>48123.6319242491</x:v>
      </x:c>
      <x:c r="V1034" s="57" t="n">
        <x:v>-0.4243584698056328</x:v>
      </x:c>
      <x:c r="W1034" t="n">
        <x:v>24</x:v>
      </x:c>
      <x:c r="X1034" t="n">
        <x:v>2</x:v>
      </x:c>
      <x:c r="Y1034" s="38" t="n">
        <x:v>0.6409090909090909</x:v>
      </x:c>
      <x:c r="Z1034" s="38" t="n">
        <x:v>0.7046545925462127</x:v>
      </x:c>
      <x:c r="AA1034"/>
    </x:row>
    <x:row r="1035">
      <x:c r="A1035" s="54" t="n">
        <x:v>44469</x:v>
      </x:c>
      <x:c r="B1035" t="n">
        <x:v>44469.624999988424</x:v>
      </x:c>
      <x:c r="C1035" t="str">
        <x:v>081660</x:v>
      </x:c>
      <x:c r="D1035" t="str">
        <x:v>미스토홀딩스</x:v>
      </x:c>
      <x:c r="E1035" t="str">
        <x:v>KOSPI</x:v>
      </x:c>
      <x:c r="F1035" t="str">
        <x:v>LARGE</x:v>
      </x:c>
      <x:c r="G1035" t="str">
        <x:v>EXCLUDED_ARCHETYPE</x:v>
      </x:c>
      <x:c r="H1035" t="str">
        <x:v>FCFF_NOT_COMPARABLE_FOR_FINANCE_OR_HOLDING_HINT</x:v>
      </x:c>
      <x:c r="I1035" s="54"/>
      <x:c r="J1035" s="55"/>
      <x:c r="K1035" s="55"/>
      <x:c r="L1035" s="55"/>
      <x:c r="M1035"/>
      <x:c r="N1035"/>
      <x:c r="O1035" s="54"/>
      <x:c r="P1035"/>
      <x:c r="Q1035"/>
      <x:c r="R1035"/>
      <x:c r="S1035"/>
      <x:c r="T1035"/>
      <x:c r="U1035" s="57"/>
      <x:c r="V1035" s="57"/>
      <x:c r="W1035"/>
      <x:c r="X1035"/>
      <x:c r="Y1035" s="38"/>
      <x:c r="Z1035" s="38"/>
      <x:c r="AA1035"/>
    </x:row>
    <x:row r="1036">
      <x:c r="A1036" s="54" t="n">
        <x:v>44469</x:v>
      </x:c>
      <x:c r="B1036" t="n">
        <x:v>44469.624999988424</x:v>
      </x:c>
      <x:c r="C1036" t="str">
        <x:v>282330</x:v>
      </x:c>
      <x:c r="D1036" t="str">
        <x:v>BGF리테일</x:v>
      </x:c>
      <x:c r="E1036" t="str">
        <x:v>KOSPI</x:v>
      </x:c>
      <x:c r="F1036" t="str">
        <x:v>LARGE</x:v>
      </x:c>
      <x:c r="G1036" t="str">
        <x:v>ELIGIBLE</x:v>
      </x:c>
      <x:c r="H1036"/>
      <x:c r="I1036" s="54" t="n">
        <x:v>44469</x:v>
      </x:c>
      <x:c r="J1036" s="55" t="n">
        <x:v>170500</x:v>
      </x:c>
      <x:c r="K1036" s="55" t="n">
        <x:v>2946905973000</x:v>
      </x:c>
      <x:c r="L1036" s="55" t="n">
        <x:v>17283906</x:v>
      </x:c>
      <x:c r="M1036" t="str">
        <x:v>20210317000292</x:v>
      </x:c>
      <x:c r="N1036" t="n">
        <x:v>44272.624999988424</x:v>
      </x:c>
      <x:c r="O1036" s="54" t="n">
        <x:v>44196</x:v>
      </x:c>
      <x:c r="P1036" t="str">
        <x:v>False</x:v>
      </x:c>
      <x:c r="Q1036" t="str">
        <x:v>aa79bf7fd6660eb0490fcac8a96eb933e26e179d55cd9289bea9b829c313f623</x:v>
      </x:c>
      <x:c r="R1036" t="str">
        <x:v>e4d7c557bd7c15d8950d7cee60d1a08ea0333b53a5078601468e7d947ef98035</x:v>
      </x:c>
      <x:c r="S1036" t="n">
        <x:v>6</x:v>
      </x:c>
      <x:c r="T1036" t="str">
        <x:v>2018-12-31|2019-12-31|2020-12-31</x:v>
      </x:c>
      <x:c r="U1036" s="57" t="n">
        <x:v>78594.0466403678</x:v>
      </x:c>
      <x:c r="V1036" s="57" t="n">
        <x:v>-0.5390378496166112</x:v>
      </x:c>
      <x:c r="W1036" t="n">
        <x:v>29</x:v>
      </x:c>
      <x:c r="X1036" t="n">
        <x:v>3</x:v>
      </x:c>
      <x:c r="Y1036" s="38" t="n">
        <x:v>0.6409090909090909</x:v>
      </x:c>
      <x:c r="Z1036" s="38" t="n">
        <x:v>0.7388678392258508</x:v>
      </x:c>
      <x:c r="AA1036"/>
    </x:row>
    <x:row r="1037">
      <x:c r="A1037" s="54" t="n">
        <x:v>44469</x:v>
      </x:c>
      <x:c r="B1037" t="n">
        <x:v>44469.624999988424</x:v>
      </x:c>
      <x:c r="C1037" t="str">
        <x:v>023590</x:v>
      </x:c>
      <x:c r="D1037" t="str">
        <x:v>다우기술</x:v>
      </x:c>
      <x:c r="E1037" t="str">
        <x:v>KOSPI</x:v>
      </x:c>
      <x:c r="F1037" t="str">
        <x:v>LARGE</x:v>
      </x:c>
      <x:c r="G1037" t="str">
        <x:v>ELIGIBLE</x:v>
      </x:c>
      <x:c r="H1037"/>
      <x:c r="I1037" s="54" t="n">
        <x:v>44469</x:v>
      </x:c>
      <x:c r="J1037" s="55" t="n">
        <x:v>24500</x:v>
      </x:c>
      <x:c r="K1037" s="55" t="n">
        <x:v>1099232116500</x:v>
      </x:c>
      <x:c r="L1037" s="55" t="n">
        <x:v>44866617</x:v>
      </x:c>
      <x:c r="M1037" t="str">
        <x:v>20210324000853</x:v>
      </x:c>
      <x:c r="N1037" t="n">
        <x:v>44279.624999988424</x:v>
      </x:c>
      <x:c r="O1037" s="54" t="n">
        <x:v>44196</x:v>
      </x:c>
      <x:c r="P1037" t="str">
        <x:v>True</x:v>
      </x:c>
      <x:c r="Q1037" t="str">
        <x:v>c97c8cbfdcd3c8b3ac309f5a350b50c95d89530c369d35494facdf626e81b500</x:v>
      </x:c>
      <x:c r="R1037" t="str">
        <x:v>63fff4375277417fe0cda7a62c4cff709cc679465a152a16f9654ac939f99d83</x:v>
      </x:c>
      <x:c r="S1037" t="n">
        <x:v>7</x:v>
      </x:c>
      <x:c r="T1037" t="str">
        <x:v>2015-12-31|2016-12-31|2017-12-31|2018-12-31|2019-12-31|2020-12-31</x:v>
      </x:c>
      <x:c r="U1037" s="57" t="n">
        <x:v>71811.18974158533</x:v>
      </x:c>
      <x:c r="V1037" s="57" t="n">
        <x:v>1.931068969044299</x:v>
      </x:c>
      <x:c r="W1037" t="n">
        <x:v>3</x:v>
      </x:c>
      <x:c r="X1037" t="n">
        <x:v>1</x:v>
      </x:c>
      <x:c r="Y1037" s="38" t="n">
        <x:v>0.6409090909090909</x:v>
      </x:c>
      <x:c r="Z1037" s="38" t="n">
        <x:v>0.7162800487147283</x:v>
      </x:c>
      <x:c r="AA1037"/>
    </x:row>
    <x:row r="1038">
      <x:c r="A1038" s="54" t="n">
        <x:v>44469</x:v>
      </x:c>
      <x:c r="B1038" t="n">
        <x:v>44469.624999988424</x:v>
      </x:c>
      <x:c r="C1038" t="str">
        <x:v>300720</x:v>
      </x:c>
      <x:c r="D1038" t="str">
        <x:v>한일시멘트</x:v>
      </x:c>
      <x:c r="E1038" t="str">
        <x:v>KOSPI</x:v>
      </x:c>
      <x:c r="F1038" t="str">
        <x:v>LARGE</x:v>
      </x:c>
      <x:c r="G1038" t="str">
        <x:v>ELIGIBLE</x:v>
      </x:c>
      <x:c r="H1038"/>
      <x:c r="I1038" s="54" t="n">
        <x:v>44469</x:v>
      </x:c>
      <x:c r="J1038" s="55" t="n">
        <x:v>17800</x:v>
      </x:c>
      <x:c r="K1038" s="55" t="n">
        <x:v>1232855412000</x:v>
      </x:c>
      <x:c r="L1038" s="55" t="n">
        <x:v>69261540</x:v>
      </x:c>
      <x:c r="M1038" t="str">
        <x:v>20210317000869</x:v>
      </x:c>
      <x:c r="N1038" t="n">
        <x:v>44272.624999988424</x:v>
      </x:c>
      <x:c r="O1038" s="54" t="n">
        <x:v>44196</x:v>
      </x:c>
      <x:c r="P1038" t="str">
        <x:v>False</x:v>
      </x:c>
      <x:c r="Q1038" t="str">
        <x:v>57bb71e240b0add3acf1f7cbd662939dbed523efc96efbb684d025eac7893032</x:v>
      </x:c>
      <x:c r="R1038" t="str">
        <x:v>1190ba69398cb0aad725ff58fdb0bd969963273ae8263c0541894883a98e5116</x:v>
      </x:c>
      <x:c r="S1038" t="n">
        <x:v>6</x:v>
      </x:c>
      <x:c r="T1038" t="str">
        <x:v>2019-12-31|2020-12-31</x:v>
      </x:c>
      <x:c r="U1038" s="57" t="n">
        <x:v>9620.710775946585</x:v>
      </x:c>
      <x:c r="V1038" s="57" t="n">
        <x:v>-0.4595106305647986</x:v>
      </x:c>
      <x:c r="W1038" t="n">
        <x:v>25</x:v>
      </x:c>
      <x:c r="X1038" t="n">
        <x:v>3</x:v>
      </x:c>
      <x:c r="Y1038" s="38" t="n">
        <x:v>0.6409090909090909</x:v>
      </x:c>
      <x:c r="Z1038" s="38" t="n">
        <x:v>0.6567026117095043</x:v>
      </x:c>
      <x:c r="AA1038"/>
    </x:row>
    <x:row r="1039">
      <x:c r="A1039" s="54" t="n">
        <x:v>44469</x:v>
      </x:c>
      <x:c r="B1039" t="n">
        <x:v>44469.624999988424</x:v>
      </x:c>
      <x:c r="C1039" t="str">
        <x:v>007070</x:v>
      </x:c>
      <x:c r="D1039" t="str">
        <x:v>GS리테일</x:v>
      </x:c>
      <x:c r="E1039" t="str">
        <x:v>KOSPI</x:v>
      </x:c>
      <x:c r="F1039" t="str">
        <x:v>LARGE</x:v>
      </x:c>
      <x:c r="G1039" t="str">
        <x:v>DCF_SCREENING_EXCLUSION</x:v>
      </x:c>
      <x:c r="H1039" t="str">
        <x:v>NON_POSITIVE_EQUITY_VALUE</x:v>
      </x:c>
      <x:c r="I1039" s="54" t="n">
        <x:v>44469</x:v>
      </x:c>
      <x:c r="J1039" s="55" t="n">
        <x:v>32650</x:v>
      </x:c>
      <x:c r="K1039" s="55" t="n">
        <x:v>3419040153300</x:v>
      </x:c>
      <x:c r="L1039" s="55" t="n">
        <x:v>104717922</x:v>
      </x:c>
      <x:c r="M1039" t="str">
        <x:v>20210701000250</x:v>
      </x:c>
      <x:c r="N1039" t="n">
        <x:v>44378.624999988424</x:v>
      </x:c>
      <x:c r="O1039" s="54" t="n">
        <x:v>44196</x:v>
      </x:c>
      <x:c r="P1039" t="str">
        <x:v>True</x:v>
      </x:c>
      <x:c r="Q1039" t="str">
        <x:v>90996b560375337ceebe1357898ecd70345cd194a8f5c31bf23e251badb17c4b</x:v>
      </x:c>
      <x:c r="R1039" t="str">
        <x:v>b87f0bcf9fa6f4d26f7ed8dbb22b513ab2c1420a1efbb4fd691621680c6ae930</x:v>
      </x:c>
      <x:c r="S1039" t="n">
        <x:v>6</x:v>
      </x:c>
      <x:c r="T1039" t="str">
        <x:v>2018-12-31|2019-12-31|2020-12-31</x:v>
      </x:c>
      <x:c r="U1039" s="57" t="n">
        <x:v>-2906.216478951297</x:v>
      </x:c>
      <x:c r="V1039" s="57" t="n">
        <x:v>-1.0890112244701775</x:v>
      </x:c>
      <x:c r="W1039"/>
      <x:c r="X1039"/>
      <x:c r="Y1039" s="38" t="n">
        <x:v>0.6409090909090909</x:v>
      </x:c>
      <x:c r="Z1039" s="38" t="n">
        <x:v>0.6831830947112829</x:v>
      </x:c>
      <x:c r="AA1039" t="str">
        <x:v>NON_POSITIVE_EQUITY_VALUE</x:v>
      </x:c>
    </x:row>
    <x:row r="1040">
      <x:c r="A1040" s="54" t="n">
        <x:v>44469</x:v>
      </x:c>
      <x:c r="B1040" t="n">
        <x:v>44469.624999988424</x:v>
      </x:c>
      <x:c r="C1040" t="str">
        <x:v>280360</x:v>
      </x:c>
      <x:c r="D1040" t="str">
        <x:v>롯데웰푸드</x:v>
      </x:c>
      <x:c r="E1040" t="str">
        <x:v>KOSPI</x:v>
      </x:c>
      <x:c r="F1040" t="str">
        <x:v>LARGE</x:v>
      </x:c>
      <x:c r="G1040" t="str">
        <x:v>ELIGIBLE</x:v>
      </x:c>
      <x:c r="H1040"/>
      <x:c r="I1040" s="54" t="n">
        <x:v>44469</x:v>
      </x:c>
      <x:c r="J1040" s="55" t="n">
        <x:v>127000</x:v>
      </x:c>
      <x:c r="K1040" s="55" t="n">
        <x:v>814923059000</x:v>
      </x:c>
      <x:c r="L1040" s="55" t="n">
        <x:v>6416717</x:v>
      </x:c>
      <x:c r="M1040" t="str">
        <x:v>20210315000804</x:v>
      </x:c>
      <x:c r="N1040" t="n">
        <x:v>44270.624999988424</x:v>
      </x:c>
      <x:c r="O1040" s="54" t="n">
        <x:v>44196</x:v>
      </x:c>
      <x:c r="P1040" t="str">
        <x:v>False</x:v>
      </x:c>
      <x:c r="Q1040" t="str">
        <x:v>1ee0e549d7e0293ad58d7371d4b065fe8c672123b3d380ec66da7518417d260f</x:v>
      </x:c>
      <x:c r="R1040" t="str">
        <x:v>a3cb010a2f2971464a6cfa2b678b566fcbb8415c1fbfb3477c5019b6bb101b3c</x:v>
      </x:c>
      <x:c r="S1040" t="n">
        <x:v>5</x:v>
      </x:c>
      <x:c r="T1040" t="str">
        <x:v>2018-12-31|2019-12-31|2020-12-31</x:v>
      </x:c>
      <x:c r="U1040" s="57" t="n">
        <x:v>346646.34124681045</x:v>
      </x:c>
      <x:c r="V1040" s="57" t="n">
        <x:v>1.7294987499748853</x:v>
      </x:c>
      <x:c r="W1040" t="n">
        <x:v>4</x:v>
      </x:c>
      <x:c r="X1040" t="n">
        <x:v>1</x:v>
      </x:c>
      <x:c r="Y1040" s="38" t="n">
        <x:v>0.6409090909090909</x:v>
      </x:c>
      <x:c r="Z1040" s="38" t="n">
        <x:v>0.7225534519191731</x:v>
      </x:c>
      <x:c r="AA1040"/>
    </x:row>
    <x:row r="1041">
      <x:c r="A1041" s="54" t="n">
        <x:v>44469</x:v>
      </x:c>
      <x:c r="B1041" t="n">
        <x:v>44469.624999988424</x:v>
      </x:c>
      <x:c r="C1041" t="str">
        <x:v>039130</x:v>
      </x:c>
      <x:c r="D1041" t="str">
        <x:v>하나투어</x:v>
      </x:c>
      <x:c r="E1041" t="str">
        <x:v>KOSPI</x:v>
      </x:c>
      <x:c r="F1041" t="str">
        <x:v>LARGE</x:v>
      </x:c>
      <x:c r="G1041" t="str">
        <x:v>DCF_SCREENING_EXCLUSION</x:v>
      </x:c>
      <x:c r="H1041" t="str">
        <x:v>NON_POSITIVE_ENTERPRISE_VALUE|NON_POSITIVE_EQUITY_VALUE|NON_POSITIVE_TERMINAL_FCF</x:v>
      </x:c>
      <x:c r="I1041" s="54" t="n">
        <x:v>44469</x:v>
      </x:c>
      <x:c r="J1041" s="55" t="n">
        <x:v>87900</x:v>
      </x:c>
      <x:c r="K1041" s="55" t="n">
        <x:v>1225254361500</x:v>
      </x:c>
      <x:c r="L1041" s="55" t="n">
        <x:v>13939185</x:v>
      </x:c>
      <x:c r="M1041" t="str">
        <x:v>20210329000797</x:v>
      </x:c>
      <x:c r="N1041" t="n">
        <x:v>44284.624999988424</x:v>
      </x:c>
      <x:c r="O1041" s="54" t="n">
        <x:v>44196</x:v>
      </x:c>
      <x:c r="P1041" t="str">
        <x:v>True</x:v>
      </x:c>
      <x:c r="Q1041" t="str">
        <x:v>07a45aef6deb1a4c2c8168baa038feaf8c9e87827aa26ae89a51dd3b842899cb</x:v>
      </x:c>
      <x:c r="R1041" t="str">
        <x:v>8312128c6d8f7949feb4faefa11da36fe68a6b3bf928eab3d571b9fca280ebf5</x:v>
      </x:c>
      <x:c r="S1041" t="n">
        <x:v>5</x:v>
      </x:c>
      <x:c r="T1041" t="str">
        <x:v>2018-12-31|2019-12-31|2020-12-31</x:v>
      </x:c>
      <x:c r="U1041" s="57" t="n">
        <x:v>-30469.206001994222</x:v>
      </x:c>
      <x:c r="V1041" s="57" t="n">
        <x:v>-1.3466348805687625</x:v>
      </x:c>
      <x:c r="W1041"/>
      <x:c r="X1041"/>
      <x:c r="Y1041" s="38" t="n">
        <x:v>0.6409090909090909</x:v>
      </x:c>
      <x:c r="Z1041" s="38" t="n">
        <x:v>0.6865240790654953</x:v>
      </x:c>
      <x:c r="AA1041" t="str">
        <x:v>NON_POSITIVE_ENTERPRISE_VALUE|NON_POSITIVE_EQUITY_VALUE|NON_POSITIVE_TERMINAL_FCF</x:v>
      </x:c>
    </x:row>
    <x:row r="1042">
      <x:c r="A1042" s="54" t="n">
        <x:v>44469</x:v>
      </x:c>
      <x:c r="B1042" t="n">
        <x:v>44469.624999988424</x:v>
      </x:c>
      <x:c r="C1042" t="str">
        <x:v>005690</x:v>
      </x:c>
      <x:c r="D1042" t="str">
        <x:v>파미셀</x:v>
      </x:c>
      <x:c r="E1042" t="str">
        <x:v>KOSPI</x:v>
      </x:c>
      <x:c r="F1042" t="str">
        <x:v>LARGE</x:v>
      </x:c>
      <x:c r="G1042" t="str">
        <x:v>ELIGIBLE</x:v>
      </x:c>
      <x:c r="H1042"/>
      <x:c r="I1042" s="54" t="n">
        <x:v>44469</x:v>
      </x:c>
      <x:c r="J1042" s="55" t="n">
        <x:v>14850</x:v>
      </x:c>
      <x:c r="K1042" s="55" t="n">
        <x:v>890390407500</x:v>
      </x:c>
      <x:c r="L1042" s="55" t="n">
        <x:v>59958950</x:v>
      </x:c>
      <x:c r="M1042" t="str">
        <x:v>20210316000706</x:v>
      </x:c>
      <x:c r="N1042" t="n">
        <x:v>44271.624999988424</x:v>
      </x:c>
      <x:c r="O1042" s="54" t="n">
        <x:v>44196</x:v>
      </x:c>
      <x:c r="P1042" t="str">
        <x:v>False</x:v>
      </x:c>
      <x:c r="Q1042" t="str">
        <x:v>fa54012739fd618aa7535c4d17434bee1d46849d1ee4a643e5e2fc41ce75fdec</x:v>
      </x:c>
      <x:c r="R1042" t="str">
        <x:v>0e4d6e58bba3a2b71f8530a601fc6bbbeb1f7e571a298d85e723e46ed5670148</x:v>
      </x:c>
      <x:c r="S1042" t="n">
        <x:v>6</x:v>
      </x:c>
      <x:c r="T1042" t="str">
        <x:v>2018-12-31|2019-12-31|2020-12-31</x:v>
      </x:c>
      <x:c r="U1042" s="57" t="n">
        <x:v>667.61282697586</x:v>
      </x:c>
      <x:c r="V1042" s="57" t="n">
        <x:v>-0.9550429072743528</x:v>
      </x:c>
      <x:c r="W1042" t="n">
        <x:v>57</x:v>
      </x:c>
      <x:c r="X1042" t="n">
        <x:v>5</x:v>
      </x:c>
      <x:c r="Y1042" s="38" t="n">
        <x:v>0.6409090909090909</x:v>
      </x:c>
      <x:c r="Z1042" s="38" t="n">
        <x:v>0.5228483789302356</x:v>
      </x:c>
      <x:c r="AA1042"/>
    </x:row>
    <x:row r="1043">
      <x:c r="A1043" s="54" t="n">
        <x:v>44469</x:v>
      </x:c>
      <x:c r="B1043" t="n">
        <x:v>44469.624999988424</x:v>
      </x:c>
      <x:c r="C1043" t="str">
        <x:v>002030</x:v>
      </x:c>
      <x:c r="D1043" t="str">
        <x:v>아세아</x:v>
      </x:c>
      <x:c r="E1043" t="str">
        <x:v>KOSPI</x:v>
      </x:c>
      <x:c r="F1043" t="str">
        <x:v>LARGE</x:v>
      </x:c>
      <x:c r="G1043" t="str">
        <x:v>ELIGIBLE</x:v>
      </x:c>
      <x:c r="H1043"/>
      <x:c r="I1043" s="54" t="n">
        <x:v>44469</x:v>
      </x:c>
      <x:c r="J1043" s="55" t="n">
        <x:v>138500</x:v>
      </x:c>
      <x:c r="K1043" s="55" t="n">
        <x:v>303456824000</x:v>
      </x:c>
      <x:c r="L1043" s="55" t="n">
        <x:v>2191024</x:v>
      </x:c>
      <x:c r="M1043" t="str">
        <x:v>20210311001237</x:v>
      </x:c>
      <x:c r="N1043" t="n">
        <x:v>44267.624999988424</x:v>
      </x:c>
      <x:c r="O1043" s="54" t="n">
        <x:v>44196</x:v>
      </x:c>
      <x:c r="P1043" t="str">
        <x:v>False</x:v>
      </x:c>
      <x:c r="Q1043" t="str">
        <x:v>8b8cdfda137062b626c7f4debdbb542672b3179f003172447d4e662b9db19a67</x:v>
      </x:c>
      <x:c r="R1043" t="str">
        <x:v>ca20a5f9a559431cbb27b5a06ae60b06d965c13af31237646316781b9eb987f4</x:v>
      </x:c>
      <x:c r="S1043" t="n">
        <x:v>6</x:v>
      </x:c>
      <x:c r="T1043" t="str">
        <x:v>2018-12-31|2019-12-31|2020-12-31</x:v>
      </x:c>
      <x:c r="U1043" s="57" t="n">
        <x:v>478666.81222584867</x:v>
      </x:c>
      <x:c r="V1043" s="57" t="n">
        <x:v>2.4560780666126254</x:v>
      </x:c>
      <x:c r="W1043" t="n">
        <x:v>1</x:v>
      </x:c>
      <x:c r="X1043" t="n">
        <x:v>1</x:v>
      </x:c>
      <x:c r="Y1043" s="38" t="n">
        <x:v>0.6409090909090909</x:v>
      </x:c>
      <x:c r="Z1043" s="38" t="n">
        <x:v>0.6909807733775754</x:v>
      </x:c>
      <x:c r="AA1043"/>
    </x:row>
    <x:row r="1044">
      <x:c r="A1044" s="54" t="n">
        <x:v>44469</x:v>
      </x:c>
      <x:c r="B1044" t="n">
        <x:v>44469.624999988424</x:v>
      </x:c>
      <x:c r="C1044" t="str">
        <x:v>009410</x:v>
      </x:c>
      <x:c r="D1044" t="str">
        <x:v>태영건설</x:v>
      </x:c>
      <x:c r="E1044" t="str">
        <x:v>KOSPI</x:v>
      </x:c>
      <x:c r="F1044" t="str">
        <x:v>LARGE</x:v>
      </x:c>
      <x:c r="G1044" t="str">
        <x:v>ELIGIBLE</x:v>
      </x:c>
      <x:c r="H1044"/>
      <x:c r="I1044" s="54" t="n">
        <x:v>44469</x:v>
      </x:c>
      <x:c r="J1044" s="55" t="n">
        <x:v>11600</x:v>
      </x:c>
      <x:c r="K1044" s="55" t="n">
        <x:v>451229536800</x:v>
      </x:c>
      <x:c r="L1044" s="55" t="n">
        <x:v>38899098</x:v>
      </x:c>
      <x:c r="M1044" t="str">
        <x:v>20210311001176</x:v>
      </x:c>
      <x:c r="N1044" t="n">
        <x:v>44266.624999988424</x:v>
      </x:c>
      <x:c r="O1044" s="54" t="n">
        <x:v>44196</x:v>
      </x:c>
      <x:c r="P1044" t="str">
        <x:v>False</x:v>
      </x:c>
      <x:c r="Q1044" t="str">
        <x:v>78a85e2ef01142181919ef0732d24074a8415f99303f666cadc31a9be51f4661</x:v>
      </x:c>
      <x:c r="R1044" t="str">
        <x:v>86a71103d3998acf93c4458c6c2298d81ce1620be123364166119339e5e05a93</x:v>
      </x:c>
      <x:c r="S1044" t="n">
        <x:v>6</x:v>
      </x:c>
      <x:c r="T1044" t="str">
        <x:v>2018-12-31|2019-12-31|2020-12-31</x:v>
      </x:c>
      <x:c r="U1044" s="57" t="n">
        <x:v>35385.81482636989</x:v>
      </x:c>
      <x:c r="V1044" s="57" t="n">
        <x:v>2.050501278135336</x:v>
      </x:c>
      <x:c r="W1044" t="n">
        <x:v>2</x:v>
      </x:c>
      <x:c r="X1044" t="n">
        <x:v>1</x:v>
      </x:c>
      <x:c r="Y1044" s="38" t="n">
        <x:v>0.6409090909090909</x:v>
      </x:c>
      <x:c r="Z1044" s="38" t="n">
        <x:v>0.6178666138919248</x:v>
      </x:c>
      <x:c r="AA1044"/>
    </x:row>
    <x:row r="1045">
      <x:c r="A1045" s="54" t="n">
        <x:v>44469</x:v>
      </x:c>
      <x:c r="B1045" t="n">
        <x:v>44469.624999988424</x:v>
      </x:c>
      <x:c r="C1045" t="str">
        <x:v>010780</x:v>
      </x:c>
      <x:c r="D1045" t="str">
        <x:v>아이에스동서</x:v>
      </x:c>
      <x:c r="E1045" t="str">
        <x:v>KOSPI</x:v>
      </x:c>
      <x:c r="F1045" t="str">
        <x:v>LARGE</x:v>
      </x:c>
      <x:c r="G1045" t="str">
        <x:v>ELIGIBLE</x:v>
      </x:c>
      <x:c r="H1045"/>
      <x:c r="I1045" s="54" t="n">
        <x:v>44469</x:v>
      </x:c>
      <x:c r="J1045" s="55" t="n">
        <x:v>46450</x:v>
      </x:c>
      <x:c r="K1045" s="55" t="n">
        <x:v>1434961548700</x:v>
      </x:c>
      <x:c r="L1045" s="55" t="n">
        <x:v>30892606</x:v>
      </x:c>
      <x:c r="M1045" t="str">
        <x:v>20210318001311</x:v>
      </x:c>
      <x:c r="N1045" t="n">
        <x:v>44273.624999988424</x:v>
      </x:c>
      <x:c r="O1045" s="54" t="n">
        <x:v>44196</x:v>
      </x:c>
      <x:c r="P1045" t="str">
        <x:v>False</x:v>
      </x:c>
      <x:c r="Q1045" t="str">
        <x:v>094578780776951126cd16965b2594fc48196cf618e7aaa99e81f00c137d37cf</x:v>
      </x:c>
      <x:c r="R1045" t="str">
        <x:v>5664421574bf325e30481deeefea05624dcea9a782106a653e2191cc9b0e7f8f</x:v>
      </x:c>
      <x:c r="S1045" t="n">
        <x:v>6</x:v>
      </x:c>
      <x:c r="T1045" t="str">
        <x:v>2018-12-31|2019-12-31|2020-12-31</x:v>
      </x:c>
      <x:c r="U1045" s="57" t="n">
        <x:v>45884.41456404137</x:v>
      </x:c>
      <x:c r="V1045" s="57" t="n">
        <x:v>-0.012176220365094371</x:v>
      </x:c>
      <x:c r="W1045" t="n">
        <x:v>14</x:v>
      </x:c>
      <x:c r="X1045" t="n">
        <x:v>2</x:v>
      </x:c>
      <x:c r="Y1045" s="38" t="n">
        <x:v>0.6409090909090909</x:v>
      </x:c>
      <x:c r="Z1045" s="38" t="n">
        <x:v>0.6457198375624914</x:v>
      </x:c>
      <x:c r="AA1045"/>
    </x:row>
    <x:row r="1046">
      <x:c r="A1046" s="54" t="n">
        <x:v>44469</x:v>
      </x:c>
      <x:c r="B1046" t="n">
        <x:v>44469.624999988424</x:v>
      </x:c>
      <x:c r="C1046" t="str">
        <x:v>453340</x:v>
      </x:c>
      <x:c r="D1046" t="str">
        <x:v>현대그린푸드</x:v>
      </x:c>
      <x:c r="E1046" t="str">
        <x:v>KOSPI</x:v>
      </x:c>
      <x:c r="F1046" t="str">
        <x:v>LARGE</x:v>
      </x:c>
      <x:c r="G1046" t="str">
        <x:v>NOT_LISTED_OR_NO_PRICE</x:v>
      </x:c>
      <x:c r="H1046"/>
      <x:c r="I1046" s="54"/>
      <x:c r="J1046" s="55"/>
      <x:c r="K1046" s="55"/>
      <x:c r="L1046" s="55"/>
      <x:c r="M1046"/>
      <x:c r="N1046"/>
      <x:c r="O1046" s="54"/>
      <x:c r="P1046"/>
      <x:c r="Q1046"/>
      <x:c r="R1046"/>
      <x:c r="S1046"/>
      <x:c r="T1046"/>
      <x:c r="U1046" s="57"/>
      <x:c r="V1046" s="57"/>
      <x:c r="W1046"/>
      <x:c r="X1046"/>
      <x:c r="Y1046" s="38"/>
      <x:c r="Z1046" s="38"/>
      <x:c r="AA1046"/>
    </x:row>
    <x:row r="1047">
      <x:c r="A1047" s="54" t="n">
        <x:v>44469</x:v>
      </x:c>
      <x:c r="B1047" t="n">
        <x:v>44469.624999988424</x:v>
      </x:c>
      <x:c r="C1047" t="str">
        <x:v>006220</x:v>
      </x:c>
      <x:c r="D1047" t="str">
        <x:v>제주은행</x:v>
      </x:c>
      <x:c r="E1047" t="str">
        <x:v>KOSPI</x:v>
      </x:c>
      <x:c r="F1047" t="str">
        <x:v>LARGE</x:v>
      </x:c>
      <x:c r="G1047" t="str">
        <x:v>EXCLUDED_ARCHETYPE</x:v>
      </x:c>
      <x:c r="H1047" t="str">
        <x:v>FCFF_NOT_COMPARABLE_FOR_FINANCE_OR_HOLDING_HINT</x:v>
      </x:c>
      <x:c r="I1047" s="54"/>
      <x:c r="J1047" s="55"/>
      <x:c r="K1047" s="55"/>
      <x:c r="L1047" s="55"/>
      <x:c r="M1047"/>
      <x:c r="N1047"/>
      <x:c r="O1047" s="54"/>
      <x:c r="P1047"/>
      <x:c r="Q1047"/>
      <x:c r="R1047"/>
      <x:c r="S1047"/>
      <x:c r="T1047"/>
      <x:c r="U1047" s="57"/>
      <x:c r="V1047" s="57"/>
      <x:c r="W1047"/>
      <x:c r="X1047"/>
      <x:c r="Y1047" s="38"/>
      <x:c r="Z1047" s="38"/>
      <x:c r="AA1047"/>
    </x:row>
    <x:row r="1048">
      <x:c r="A1048" s="54" t="n">
        <x:v>44469</x:v>
      </x:c>
      <x:c r="B1048" t="n">
        <x:v>44469.624999988424</x:v>
      </x:c>
      <x:c r="C1048" t="str">
        <x:v>094800</x:v>
      </x:c>
      <x:c r="D1048" t="str">
        <x:v>맵스리얼티1</x:v>
      </x:c>
      <x:c r="E1048" t="str">
        <x:v>KOSPI</x:v>
      </x:c>
      <x:c r="F1048" t="str">
        <x:v>LARGE</x:v>
      </x:c>
      <x:c r="G1048" t="str">
        <x:v>NO_PIT_FINANCIALS</x:v>
      </x:c>
      <x:c r="H1048"/>
      <x:c r="I1048" s="54" t="n">
        <x:v>44469</x:v>
      </x:c>
      <x:c r="J1048" s="55" t="n">
        <x:v>4775</x:v>
      </x:c>
      <x:c r="K1048" s="55" t="n">
        <x:v>443283930525</x:v>
      </x:c>
      <x:c r="L1048" s="55" t="n">
        <x:v>92834331</x:v>
      </x:c>
      <x:c r="M1048"/>
      <x:c r="N1048"/>
      <x:c r="O1048" s="54"/>
      <x:c r="P1048"/>
      <x:c r="Q1048"/>
      <x:c r="R1048"/>
      <x:c r="S1048"/>
      <x:c r="T1048"/>
      <x:c r="U1048" s="57"/>
      <x:c r="V1048" s="57"/>
      <x:c r="W1048"/>
      <x:c r="X1048"/>
      <x:c r="Y1048" s="38"/>
      <x:c r="Z1048" s="38"/>
      <x:c r="AA1048"/>
    </x:row>
    <x:row r="1049">
      <x:c r="A1049" s="54" t="n">
        <x:v>44469</x:v>
      </x:c>
      <x:c r="B1049" t="n">
        <x:v>44469.624999988424</x:v>
      </x:c>
      <x:c r="C1049" t="str">
        <x:v>003160</x:v>
      </x:c>
      <x:c r="D1049" t="str">
        <x:v>디아이</x:v>
      </x:c>
      <x:c r="E1049" t="str">
        <x:v>KOSPI</x:v>
      </x:c>
      <x:c r="F1049" t="str">
        <x:v>LARGE</x:v>
      </x:c>
      <x:c r="G1049" t="str">
        <x:v>DCF_SCREENING_EXCLUSION</x:v>
      </x:c>
      <x:c r="H1049" t="str">
        <x:v>NON_POSITIVE_ENTERPRISE_VALUE|NON_POSITIVE_EQUITY_VALUE|NON_POSITIVE_TERMINAL_FCF</x:v>
      </x:c>
      <x:c r="I1049" s="54" t="n">
        <x:v>44469</x:v>
      </x:c>
      <x:c r="J1049" s="55" t="n">
        <x:v>7780</x:v>
      </x:c>
      <x:c r="K1049" s="55" t="n">
        <x:v>245044987300</x:v>
      </x:c>
      <x:c r="L1049" s="55" t="n">
        <x:v>31496785</x:v>
      </x:c>
      <x:c r="M1049" t="str">
        <x:v>20210318000533</x:v>
      </x:c>
      <x:c r="N1049" t="n">
        <x:v>44273.624999988424</x:v>
      </x:c>
      <x:c r="O1049" s="54" t="n">
        <x:v>44196</x:v>
      </x:c>
      <x:c r="P1049" t="str">
        <x:v>False</x:v>
      </x:c>
      <x:c r="Q1049" t="str">
        <x:v>03ab6e86f639e746b392cee66e420f6d6b9598de47129a3c9e526fb06a632676</x:v>
      </x:c>
      <x:c r="R1049" t="str">
        <x:v>5c34c9691d36a58038498c0fded1a54ded7428e84486acaaed05eb0d9fb9d071</x:v>
      </x:c>
      <x:c r="S1049" t="n">
        <x:v>6</x:v>
      </x:c>
      <x:c r="T1049" t="str">
        <x:v>2018-12-31|2019-12-31|2020-12-31</x:v>
      </x:c>
      <x:c r="U1049" s="57" t="n">
        <x:v>-85.67734326279664</x:v>
      </x:c>
      <x:c r="V1049" s="57" t="n">
        <x:v>-1.011012511987506</x:v>
      </x:c>
      <x:c r="W1049"/>
      <x:c r="X1049"/>
      <x:c r="Y1049" s="38" t="n">
        <x:v>0.6409090909090909</x:v>
      </x:c>
      <x:c r="Z1049" s="38" t="n">
        <x:v>0.7008659573285638</x:v>
      </x:c>
      <x:c r="AA1049" t="str">
        <x:v>NON_POSITIVE_ENTERPRISE_VALUE|NON_POSITIVE_EQUITY_VALUE|NON_POSITIVE_TERMINAL_FCF</x:v>
      </x:c>
    </x:row>
    <x:row r="1050">
      <x:c r="A1050" s="54" t="n">
        <x:v>44469</x:v>
      </x:c>
      <x:c r="B1050" t="n">
        <x:v>44469.624999988424</x:v>
      </x:c>
      <x:c r="C1050" t="str">
        <x:v>001940</x:v>
      </x:c>
      <x:c r="D1050" t="str">
        <x:v>KISCO홀딩스</x:v>
      </x:c>
      <x:c r="E1050" t="str">
        <x:v>KOSPI</x:v>
      </x:c>
      <x:c r="F1050" t="str">
        <x:v>LARGE</x:v>
      </x:c>
      <x:c r="G1050" t="str">
        <x:v>EXCLUDED_ARCHETYPE</x:v>
      </x:c>
      <x:c r="H1050" t="str">
        <x:v>FCFF_NOT_COMPARABLE_FOR_FINANCE_OR_HOLDING_HINT</x:v>
      </x:c>
      <x:c r="I1050" s="54"/>
      <x:c r="J1050" s="55"/>
      <x:c r="K1050" s="55"/>
      <x:c r="L1050" s="55"/>
      <x:c r="M1050"/>
      <x:c r="N1050"/>
      <x:c r="O1050" s="54"/>
      <x:c r="P1050"/>
      <x:c r="Q1050"/>
      <x:c r="R1050"/>
      <x:c r="S1050"/>
      <x:c r="T1050"/>
      <x:c r="U1050" s="57"/>
      <x:c r="V1050" s="57"/>
      <x:c r="W1050"/>
      <x:c r="X1050"/>
      <x:c r="Y1050" s="38"/>
      <x:c r="Z1050" s="38"/>
      <x:c r="AA1050"/>
    </x:row>
    <x:row r="1051">
      <x:c r="A1051" s="54" t="n">
        <x:v>44469</x:v>
      </x:c>
      <x:c r="B1051" t="n">
        <x:v>44469.624999988424</x:v>
      </x:c>
      <x:c r="C1051" t="str">
        <x:v>009290</x:v>
      </x:c>
      <x:c r="D1051" t="str">
        <x:v>광동제약</x:v>
      </x:c>
      <x:c r="E1051" t="str">
        <x:v>KOSPI</x:v>
      </x:c>
      <x:c r="F1051" t="str">
        <x:v>LARGE</x:v>
      </x:c>
      <x:c r="G1051" t="str">
        <x:v>ELIGIBLE</x:v>
      </x:c>
      <x:c r="H1051"/>
      <x:c r="I1051" s="54" t="n">
        <x:v>44469</x:v>
      </x:c>
      <x:c r="J1051" s="55" t="n">
        <x:v>8010</x:v>
      </x:c>
      <x:c r="K1051" s="55" t="n">
        <x:v>419891016510</x:v>
      </x:c>
      <x:c r="L1051" s="55" t="n">
        <x:v>52420851</x:v>
      </x:c>
      <x:c r="M1051" t="str">
        <x:v>20210405002921</x:v>
      </x:c>
      <x:c r="N1051" t="n">
        <x:v>44291.624999988424</x:v>
      </x:c>
      <x:c r="O1051" s="54" t="n">
        <x:v>44196</x:v>
      </x:c>
      <x:c r="P1051" t="str">
        <x:v>True</x:v>
      </x:c>
      <x:c r="Q1051" t="str">
        <x:v>878145efc93308cfe8dc700fe4afa827301bbc20c03d457077bdcabab123c6b2</x:v>
      </x:c>
      <x:c r="R1051" t="str">
        <x:v>699b0e5dc21366fc545a137defe104a7e7586c8b538e1c2d4e1b51b6eadae0de</x:v>
      </x:c>
      <x:c r="S1051" t="n">
        <x:v>6</x:v>
      </x:c>
      <x:c r="T1051" t="str">
        <x:v>2018-12-31|2019-12-31|2020-12-31</x:v>
      </x:c>
      <x:c r="U1051" s="57" t="n">
        <x:v>5478.922463171795</x:v>
      </x:c>
      <x:c r="V1051" s="57" t="n">
        <x:v>-0.3159897049723102</x:v>
      </x:c>
      <x:c r="W1051" t="n">
        <x:v>21</x:v>
      </x:c>
      <x:c r="X1051" t="n">
        <x:v>2</x:v>
      </x:c>
      <x:c r="Y1051" s="38" t="n">
        <x:v>0.6409090909090909</x:v>
      </x:c>
      <x:c r="Z1051" s="38" t="n">
        <x:v>0.6930680230726235</x:v>
      </x:c>
      <x:c r="AA1051"/>
    </x:row>
    <x:row r="1052">
      <x:c r="A1052" s="54" t="n">
        <x:v>44561</x:v>
      </x:c>
      <x:c r="B1052" t="n">
        <x:v>44561.624999988424</x:v>
      </x:c>
      <x:c r="C1052" t="str">
        <x:v>168330</x:v>
      </x:c>
      <x:c r="D1052" t="str">
        <x:v>내츄럴엔도텍</x:v>
      </x:c>
      <x:c r="E1052" t="str">
        <x:v>KOSDAQ</x:v>
      </x:c>
      <x:c r="F1052" t="str">
        <x:v>SMALL</x:v>
      </x:c>
      <x:c r="G1052" t="str">
        <x:v>DCF_SCREENING_EXCLUSION</x:v>
      </x:c>
      <x:c r="H1052" t="str">
        <x:v>NON_POSITIVE_ENTERPRISE_VALUE|NON_POSITIVE_EQUITY_VALUE|NON_POSITIVE_TERMINAL_FCF</x:v>
      </x:c>
      <x:c r="I1052" s="54" t="n">
        <x:v>44560</x:v>
      </x:c>
      <x:c r="J1052" s="55" t="n">
        <x:v>4530</x:v>
      </x:c>
      <x:c r="K1052" s="55" t="n">
        <x:v>141224992350</x:v>
      </x:c>
      <x:c r="L1052" s="55" t="n">
        <x:v>31175495</x:v>
      </x:c>
      <x:c r="M1052" t="str">
        <x:v>20210303000280</x:v>
      </x:c>
      <x:c r="N1052" t="n">
        <x:v>44258.624999988424</x:v>
      </x:c>
      <x:c r="O1052" s="54" t="n">
        <x:v>44196</x:v>
      </x:c>
      <x:c r="P1052" t="str">
        <x:v>False</x:v>
      </x:c>
      <x:c r="Q1052" t="str">
        <x:v>12f6d395c0e4b1b8f425dcaa44cdc4180e5de60af484fd89e630977f15ab3f94</x:v>
      </x:c>
      <x:c r="R1052" t="str">
        <x:v>ebe0fbf72d88fe7fc52cacc68d69c2d42eb3b0e9bd705b3702023f6c356cfeb3</x:v>
      </x:c>
      <x:c r="S1052" t="n">
        <x:v>6</x:v>
      </x:c>
      <x:c r="T1052" t="str">
        <x:v>2018-12-31|2019-12-31|2020-12-31</x:v>
      </x:c>
      <x:c r="U1052" s="57" t="n">
        <x:v>-1839.8859278163743</x:v>
      </x:c>
      <x:c r="V1052" s="57" t="n">
        <x:v>-1.4061558339550495</x:v>
      </x:c>
      <x:c r="W1052"/>
      <x:c r="X1052"/>
      <x:c r="Y1052" s="38" t="n">
        <x:v>0.6409090909090909</x:v>
      </x:c>
      <x:c r="Z1052" s="38" t="n">
        <x:v>0.7104871108598526</x:v>
      </x:c>
      <x:c r="AA1052" t="str">
        <x:v>NON_POSITIVE_ENTERPRISE_VALUE|NON_POSITIVE_EQUITY_VALUE|NON_POSITIVE_TERMINAL_FCF</x:v>
      </x:c>
    </x:row>
    <x:row r="1053">
      <x:c r="A1053" s="54" t="n">
        <x:v>44561</x:v>
      </x:c>
      <x:c r="B1053" t="n">
        <x:v>44561.624999988424</x:v>
      </x:c>
      <x:c r="C1053" t="str">
        <x:v>120240</x:v>
      </x:c>
      <x:c r="D1053" t="str">
        <x:v>대정화금</x:v>
      </x:c>
      <x:c r="E1053" t="str">
        <x:v>KOSDAQ</x:v>
      </x:c>
      <x:c r="F1053" t="str">
        <x:v>SMALL</x:v>
      </x:c>
      <x:c r="G1053" t="str">
        <x:v>ELIGIBLE</x:v>
      </x:c>
      <x:c r="H1053"/>
      <x:c r="I1053" s="54" t="n">
        <x:v>44560</x:v>
      </x:c>
      <x:c r="J1053" s="55" t="n">
        <x:v>21700</x:v>
      </x:c>
      <x:c r="K1053" s="55" t="n">
        <x:v>156031484700</x:v>
      </x:c>
      <x:c r="L1053" s="55" t="n">
        <x:v>7190391</x:v>
      </x:c>
      <x:c r="M1053" t="str">
        <x:v>20210317000302</x:v>
      </x:c>
      <x:c r="N1053" t="n">
        <x:v>44272.624999988424</x:v>
      </x:c>
      <x:c r="O1053" s="54" t="n">
        <x:v>44196</x:v>
      </x:c>
      <x:c r="P1053" t="str">
        <x:v>False</x:v>
      </x:c>
      <x:c r="Q1053" t="str">
        <x:v>79ea1097aa607227b98a7a32e6dd80c1d5fbd37a9488ebb72f6587a882384460</x:v>
      </x:c>
      <x:c r="R1053" t="str">
        <x:v>e8a0c6d1ef5fd661a02144f028419a8ba978bcafe2ce5c299aefae98596c795e</x:v>
      </x:c>
      <x:c r="S1053" t="n">
        <x:v>7</x:v>
      </x:c>
      <x:c r="T1053" t="str">
        <x:v>2018-12-31|2019-12-31|2020-12-31</x:v>
      </x:c>
      <x:c r="U1053" s="57" t="n">
        <x:v>5007.145691336183</x:v>
      </x:c>
      <x:c r="V1053" s="57" t="n">
        <x:v>-0.7692559589245999</x:v>
      </x:c>
      <x:c r="W1053" t="n">
        <x:v>47</x:v>
      </x:c>
      <x:c r="X1053" t="n">
        <x:v>4</x:v>
      </x:c>
      <x:c r="Y1053" s="38" t="n">
        <x:v>0.6409090909090909</x:v>
      </x:c>
      <x:c r="Z1053" s="38" t="n">
        <x:v>0.6314380977867342</x:v>
      </x:c>
      <x:c r="AA1053"/>
    </x:row>
    <x:row r="1054">
      <x:c r="A1054" s="54" t="n">
        <x:v>44561</x:v>
      </x:c>
      <x:c r="B1054" t="n">
        <x:v>44561.624999988424</x:v>
      </x:c>
      <x:c r="C1054" t="str">
        <x:v>348350</x:v>
      </x:c>
      <x:c r="D1054" t="str">
        <x:v>위드텍</x:v>
      </x:c>
      <x:c r="E1054" t="str">
        <x:v>KOSDAQ</x:v>
      </x:c>
      <x:c r="F1054" t="str">
        <x:v>SMALL</x:v>
      </x:c>
      <x:c r="G1054" t="str">
        <x:v>ELIGIBLE</x:v>
      </x:c>
      <x:c r="H1054"/>
      <x:c r="I1054" s="54" t="n">
        <x:v>44560</x:v>
      </x:c>
      <x:c r="J1054" s="55" t="n">
        <x:v>18700</x:v>
      </x:c>
      <x:c r="K1054" s="55" t="n">
        <x:v>190433320000</x:v>
      </x:c>
      <x:c r="L1054" s="55" t="n">
        <x:v>10183600</x:v>
      </x:c>
      <x:c r="M1054" t="str">
        <x:v>20210318000566</x:v>
      </x:c>
      <x:c r="N1054" t="n">
        <x:v>44273.624999988424</x:v>
      </x:c>
      <x:c r="O1054" s="54" t="n">
        <x:v>44196</x:v>
      </x:c>
      <x:c r="P1054" t="str">
        <x:v>False</x:v>
      </x:c>
      <x:c r="Q1054" t="str">
        <x:v>ef77d72fcd4a365e95b6be9846d366d11a2f9ee03c72d882691e5300ec03a056</x:v>
      </x:c>
      <x:c r="R1054" t="str">
        <x:v>35f1438d299f1113fe8669add4e885c78e17d05552fb887ce7f2635e77cbd3f0</x:v>
      </x:c>
      <x:c r="S1054" t="n">
        <x:v>5</x:v>
      </x:c>
      <x:c r="T1054" t="str">
        <x:v>2020-12-31</x:v>
      </x:c>
      <x:c r="U1054" s="57" t="n">
        <x:v>8969.877214211123</x:v>
      </x:c>
      <x:c r="V1054" s="57" t="n">
        <x:v>-0.52032742169994</x:v>
      </x:c>
      <x:c r="W1054" t="n">
        <x:v>30</x:v>
      </x:c>
      <x:c r="X1054" t="n">
        <x:v>3</x:v>
      </x:c>
      <x:c r="Y1054" s="38" t="n">
        <x:v>0.6409090909090909</x:v>
      </x:c>
      <x:c r="Z1054" s="38" t="n">
        <x:v>0.6264850986190418</x:v>
      </x:c>
      <x:c r="AA1054"/>
    </x:row>
    <x:row r="1055">
      <x:c r="A1055" s="54" t="n">
        <x:v>44561</x:v>
      </x:c>
      <x:c r="B1055" t="n">
        <x:v>44561.624999988424</x:v>
      </x:c>
      <x:c r="C1055" t="str">
        <x:v>226330</x:v>
      </x:c>
      <x:c r="D1055" t="str">
        <x:v>신테카바이오</x:v>
      </x:c>
      <x:c r="E1055" t="str">
        <x:v>KOSDAQ</x:v>
      </x:c>
      <x:c r="F1055" t="str">
        <x:v>SMALL</x:v>
      </x:c>
      <x:c r="G1055" t="str">
        <x:v>DCF_SCREENING_EXCLUSION</x:v>
      </x:c>
      <x:c r="H1055" t="str">
        <x:v>NON_POSITIVE_ENTERPRISE_VALUE|NON_POSITIVE_TERMINAL_FCF</x:v>
      </x:c>
      <x:c r="I1055" s="54" t="n">
        <x:v>44560</x:v>
      </x:c>
      <x:c r="J1055" s="55" t="n">
        <x:v>17900</x:v>
      </x:c>
      <x:c r="K1055" s="55" t="n">
        <x:v>241650286400</x:v>
      </x:c>
      <x:c r="L1055" s="55" t="n">
        <x:v>13500016</x:v>
      </x:c>
      <x:c r="M1055" t="str">
        <x:v>20210604000121</x:v>
      </x:c>
      <x:c r="N1055" t="n">
        <x:v>44351.624999988424</x:v>
      </x:c>
      <x:c r="O1055" s="54" t="n">
        <x:v>44196</x:v>
      </x:c>
      <x:c r="P1055" t="str">
        <x:v>True</x:v>
      </x:c>
      <x:c r="Q1055" t="str">
        <x:v>ba5a50c006f28d63d2d7f28107b10d3cc9c463db310a36808a71244b7f816013</x:v>
      </x:c>
      <x:c r="R1055" t="str">
        <x:v>e77c3870ccbb8a15d0e10c5e640bd49b5d34c510b162af51894caf35100caa59</x:v>
      </x:c>
      <x:c r="S1055" t="n">
        <x:v>5</x:v>
      </x:c>
      <x:c r="T1055" t="str">
        <x:v>2019-12-31|2020-12-31</x:v>
      </x:c>
      <x:c r="U1055" s="57" t="n">
        <x:v>76.31978169558231</x:v>
      </x:c>
      <x:c r="V1055" s="57" t="n">
        <x:v>-0.9957363250449396</x:v>
      </x:c>
      <x:c r="W1055"/>
      <x:c r="X1055"/>
      <x:c r="Y1055" s="38" t="n">
        <x:v>0.6409090909090909</x:v>
      </x:c>
      <x:c r="Z1055" s="38" t="n">
        <x:v>0.6422566574366064</x:v>
      </x:c>
      <x:c r="AA1055" t="str">
        <x:v>NON_POSITIVE_ENTERPRISE_VALUE|NON_POSITIVE_TERMINAL_FCF</x:v>
      </x:c>
    </x:row>
    <x:row r="1056">
      <x:c r="A1056" s="54" t="n">
        <x:v>44561</x:v>
      </x:c>
      <x:c r="B1056" t="n">
        <x:v>44561.624999988424</x:v>
      </x:c>
      <x:c r="C1056" t="str">
        <x:v>215090</x:v>
      </x:c>
      <x:c r="D1056" t="str">
        <x:v>솔디펜스</x:v>
      </x:c>
      <x:c r="E1056" t="str">
        <x:v>KOSDAQ</x:v>
      </x:c>
      <x:c r="F1056" t="str">
        <x:v>SMALL</x:v>
      </x:c>
      <x:c r="G1056" t="str">
        <x:v>DCF_SCREENING_EXCLUSION</x:v>
      </x:c>
      <x:c r="H1056" t="str">
        <x:v>NON_POSITIVE_ENTERPRISE_VALUE|NON_POSITIVE_TERMINAL_FCF|UNRELIABLE_TERMINAL_VALUE_SHARE</x:v>
      </x:c>
      <x:c r="I1056" s="54" t="n">
        <x:v>44560</x:v>
      </x:c>
      <x:c r="J1056" s="55" t="n">
        <x:v>2320</x:v>
      </x:c>
      <x:c r="K1056" s="55" t="n">
        <x:v>186283086880</x:v>
      </x:c>
      <x:c r="L1056" s="55" t="n">
        <x:v>80294434</x:v>
      </x:c>
      <x:c r="M1056" t="str">
        <x:v>20210326001138</x:v>
      </x:c>
      <x:c r="N1056" t="n">
        <x:v>44281.624999988424</x:v>
      </x:c>
      <x:c r="O1056" s="54" t="n">
        <x:v>44196</x:v>
      </x:c>
      <x:c r="P1056" t="str">
        <x:v>True</x:v>
      </x:c>
      <x:c r="Q1056" t="str">
        <x:v>feae0fd579199192f0805a0b1fb81bf61c479b6c9f75105a850686de5a88a707</x:v>
      </x:c>
      <x:c r="R1056" t="str">
        <x:v>f0f176e1fc63763432332de6850bd0b510a939831e8f177568a84756edefdb44</x:v>
      </x:c>
      <x:c r="S1056" t="n">
        <x:v>6</x:v>
      </x:c>
      <x:c r="T1056" t="str">
        <x:v>2018-12-31|2019-12-31|2020-12-31</x:v>
      </x:c>
      <x:c r="U1056" s="57" t="n">
        <x:v>61.495237399741804</x:v>
      </x:c>
      <x:c r="V1056" s="57" t="n">
        <x:v>-0.9734934321552837</x:v>
      </x:c>
      <x:c r="W1056"/>
      <x:c r="X1056"/>
      <x:c r="Y1056" s="38" t="n">
        <x:v>0.6409090909090909</x:v>
      </x:c>
      <x:c r="Z1056" s="38" t="n">
        <x:v>2.31170596304378</x:v>
      </x:c>
      <x:c r="AA1056" t="str">
        <x:v>NON_POSITIVE_ENTERPRISE_VALUE|NON_POSITIVE_TERMINAL_FCF|UNRELIABLE_TERMINAL_VALUE_SHARE</x:v>
      </x:c>
    </x:row>
    <x:row r="1057">
      <x:c r="A1057" s="54" t="n">
        <x:v>44561</x:v>
      </x:c>
      <x:c r="B1057" t="n">
        <x:v>44561.624999988424</x:v>
      </x:c>
      <x:c r="C1057" t="str">
        <x:v>185490</x:v>
      </x:c>
      <x:c r="D1057" t="str">
        <x:v>아이진</x:v>
      </x:c>
      <x:c r="E1057" t="str">
        <x:v>KOSDAQ</x:v>
      </x:c>
      <x:c r="F1057" t="str">
        <x:v>SMALL</x:v>
      </x:c>
      <x:c r="G1057" t="str">
        <x:v>DCF_SCREENING_EXCLUSION</x:v>
      </x:c>
      <x:c r="H1057" t="str">
        <x:v>NON_POSITIVE_ENTERPRISE_VALUE|NON_POSITIVE_EQUITY_VALUE|NON_POSITIVE_TERMINAL_FCF</x:v>
      </x:c>
      <x:c r="I1057" s="54" t="n">
        <x:v>44560</x:v>
      </x:c>
      <x:c r="J1057" s="55" t="n">
        <x:v>19100</x:v>
      </x:c>
      <x:c r="K1057" s="55" t="n">
        <x:v>408921029800</x:v>
      </x:c>
      <x:c r="L1057" s="55" t="n">
        <x:v>21409478</x:v>
      </x:c>
      <x:c r="M1057" t="str">
        <x:v>20210817002194</x:v>
      </x:c>
      <x:c r="N1057" t="n">
        <x:v>44425.624999988424</x:v>
      </x:c>
      <x:c r="O1057" s="54" t="n">
        <x:v>44196</x:v>
      </x:c>
      <x:c r="P1057" t="str">
        <x:v>True</x:v>
      </x:c>
      <x:c r="Q1057" t="str">
        <x:v>0e7d29a2941321b9942620f3f2efea1a0a65c1757502abd849111793c24ea147</x:v>
      </x:c>
      <x:c r="R1057" t="str">
        <x:v>1c918c3d0f400ada7d52d1517aa6223a927b7944a9d2189b5899c82bbbc6a946</x:v>
      </x:c>
      <x:c r="S1057" t="n">
        <x:v>5</x:v>
      </x:c>
      <x:c r="T1057" t="str">
        <x:v>2018-12-31|2019-12-31|2020-12-31</x:v>
      </x:c>
      <x:c r="U1057" s="57" t="n">
        <x:v>-475.8514470570536</x:v>
      </x:c>
      <x:c r="V1057" s="57" t="n">
        <x:v>-1.0249136883275944</x:v>
      </x:c>
      <x:c r="W1057"/>
      <x:c r="X1057"/>
      <x:c r="Y1057" s="38" t="n">
        <x:v>0.6409090909090909</x:v>
      </x:c>
      <x:c r="Z1057" s="38" t="n">
        <x:v>0.6422566574366064</x:v>
      </x:c>
      <x:c r="AA1057" t="str">
        <x:v>NON_POSITIVE_ENTERPRISE_VALUE|NON_POSITIVE_EQUITY_VALUE|NON_POSITIVE_TERMINAL_FCF</x:v>
      </x:c>
    </x:row>
    <x:row r="1058">
      <x:c r="A1058" s="54" t="n">
        <x:v>44561</x:v>
      </x:c>
      <x:c r="B1058" t="n">
        <x:v>44561.624999988424</x:v>
      </x:c>
      <x:c r="C1058" t="str">
        <x:v>333620</x:v>
      </x:c>
      <x:c r="D1058" t="str">
        <x:v>엔시스</x:v>
      </x:c>
      <x:c r="E1058" t="str">
        <x:v>KOSDAQ</x:v>
      </x:c>
      <x:c r="F1058" t="str">
        <x:v>SMALL</x:v>
      </x:c>
      <x:c r="G1058" t="str">
        <x:v>ELIGIBLE</x:v>
      </x:c>
      <x:c r="H1058"/>
      <x:c r="I1058" s="54" t="n">
        <x:v>44560</x:v>
      </x:c>
      <x:c r="J1058" s="55" t="n">
        <x:v>20350</x:v>
      </x:c>
      <x:c r="K1058" s="55" t="n">
        <x:v>214821600400</x:v>
      </x:c>
      <x:c r="L1058" s="55" t="n">
        <x:v>10556344</x:v>
      </x:c>
      <x:c r="M1058" t="str">
        <x:v>20210330001049</x:v>
      </x:c>
      <x:c r="N1058" t="n">
        <x:v>44285.624999988424</x:v>
      </x:c>
      <x:c r="O1058" s="54" t="n">
        <x:v>44196</x:v>
      </x:c>
      <x:c r="P1058" t="str">
        <x:v>False</x:v>
      </x:c>
      <x:c r="Q1058" t="str">
        <x:v>61f82ce73befc02902eea21758ca0e4b06f34fe04d325c2a6942b7bf6ae1f86f</x:v>
      </x:c>
      <x:c r="R1058" t="str">
        <x:v>d3d4373a7a43baa8f32a0875fa4f755fa4c492c5f350135252bcb7d2f7e42e76</x:v>
      </x:c>
      <x:c r="S1058" t="n">
        <x:v>6</x:v>
      </x:c>
      <x:c r="T1058" t="str">
        <x:v>2020-12-31</x:v>
      </x:c>
      <x:c r="U1058" s="57" t="n">
        <x:v>4955.7705005639455</x:v>
      </x:c>
      <x:c r="V1058" s="57" t="n">
        <x:v>-0.7564731940754819</x:v>
      </x:c>
      <x:c r="W1058" t="n">
        <x:v>46</x:v>
      </x:c>
      <x:c r="X1058" t="n">
        <x:v>4</x:v>
      </x:c>
      <x:c r="Y1058" s="38" t="n">
        <x:v>0.6409090909090909</x:v>
      </x:c>
      <x:c r="Z1058" s="38" t="n">
        <x:v>0.6264850986190418</x:v>
      </x:c>
      <x:c r="AA1058"/>
    </x:row>
    <x:row r="1059">
      <x:c r="A1059" s="54" t="n">
        <x:v>44561</x:v>
      </x:c>
      <x:c r="B1059" t="n">
        <x:v>44561.624999988424</x:v>
      </x:c>
      <x:c r="C1059" t="str">
        <x:v>036710</x:v>
      </x:c>
      <x:c r="D1059" t="str">
        <x:v>심텍홀딩스</x:v>
      </x:c>
      <x:c r="E1059" t="str">
        <x:v>KOSDAQ</x:v>
      </x:c>
      <x:c r="F1059" t="str">
        <x:v>SMALL</x:v>
      </x:c>
      <x:c r="G1059" t="str">
        <x:v>EXCLUDED_ARCHETYPE</x:v>
      </x:c>
      <x:c r="H1059" t="str">
        <x:v>FCFF_NOT_COMPARABLE_FOR_FINANCE_OR_HOLDING_HINT</x:v>
      </x:c>
      <x:c r="I1059" s="54"/>
      <x:c r="J1059" s="55"/>
      <x:c r="K1059" s="55"/>
      <x:c r="L1059" s="55"/>
      <x:c r="M1059"/>
      <x:c r="N1059"/>
      <x:c r="O1059" s="54"/>
      <x:c r="P1059"/>
      <x:c r="Q1059"/>
      <x:c r="R1059"/>
      <x:c r="S1059"/>
      <x:c r="T1059"/>
      <x:c r="U1059" s="57"/>
      <x:c r="V1059" s="57"/>
      <x:c r="W1059"/>
      <x:c r="X1059"/>
      <x:c r="Y1059" s="38"/>
      <x:c r="Z1059" s="38"/>
      <x:c r="AA1059"/>
    </x:row>
    <x:row r="1060">
      <x:c r="A1060" s="54" t="n">
        <x:v>44561</x:v>
      </x:c>
      <x:c r="B1060" t="n">
        <x:v>44561.624999988424</x:v>
      </x:c>
      <x:c r="C1060" t="str">
        <x:v>049480</x:v>
      </x:c>
      <x:c r="D1060" t="str">
        <x:v>오픈베이스</x:v>
      </x:c>
      <x:c r="E1060" t="str">
        <x:v>KOSDAQ</x:v>
      </x:c>
      <x:c r="F1060" t="str">
        <x:v>SMALL</x:v>
      </x:c>
      <x:c r="G1060" t="str">
        <x:v>ELIGIBLE</x:v>
      </x:c>
      <x:c r="H1060"/>
      <x:c r="I1060" s="54" t="n">
        <x:v>44560</x:v>
      </x:c>
      <x:c r="J1060" s="55" t="n">
        <x:v>3885</x:v>
      </x:c>
      <x:c r="K1060" s="55" t="n">
        <x:v>122075957955</x:v>
      </x:c>
      <x:c r="L1060" s="55" t="n">
        <x:v>31422383</x:v>
      </x:c>
      <x:c r="M1060" t="str">
        <x:v>20210331001149</x:v>
      </x:c>
      <x:c r="N1060" t="n">
        <x:v>44286.624999988424</x:v>
      </x:c>
      <x:c r="O1060" s="54" t="n">
        <x:v>44196</x:v>
      </x:c>
      <x:c r="P1060" t="str">
        <x:v>True</x:v>
      </x:c>
      <x:c r="Q1060" t="str">
        <x:v>642837c1645ce3c3a21febfa241576f44c38bfa76dc50686d810c45735e19039</x:v>
      </x:c>
      <x:c r="R1060" t="str">
        <x:v>f3b4dde16d7ed2994db5d44d2cf3850c1f1f822ad4d02bf68ab968341f6d0104</x:v>
      </x:c>
      <x:c r="S1060" t="n">
        <x:v>6</x:v>
      </x:c>
      <x:c r="T1060" t="str">
        <x:v>2018-12-31|2019-12-31|2020-12-31</x:v>
      </x:c>
      <x:c r="U1060" s="57" t="n">
        <x:v>672.2798367060648</x:v>
      </x:c>
      <x:c r="V1060" s="57" t="n">
        <x:v>-0.8269549969868559</x:v>
      </x:c>
      <x:c r="W1060" t="n">
        <x:v>50</x:v>
      </x:c>
      <x:c r="X1060" t="n">
        <x:v>5</x:v>
      </x:c>
      <x:c r="Y1060" s="38" t="n">
        <x:v>0.6409090909090909</x:v>
      </x:c>
      <x:c r="Z1060" s="38" t="n">
        <x:v>0.5204473624506991</x:v>
      </x:c>
      <x:c r="AA1060"/>
    </x:row>
    <x:row r="1061">
      <x:c r="A1061" s="54" t="n">
        <x:v>44561</x:v>
      </x:c>
      <x:c r="B1061" t="n">
        <x:v>44561.624999988424</x:v>
      </x:c>
      <x:c r="C1061" t="str">
        <x:v>302430</x:v>
      </x:c>
      <x:c r="D1061" t="str">
        <x:v>이노메트리</x:v>
      </x:c>
      <x:c r="E1061" t="str">
        <x:v>KOSDAQ</x:v>
      </x:c>
      <x:c r="F1061" t="str">
        <x:v>SMALL</x:v>
      </x:c>
      <x:c r="G1061" t="str">
        <x:v>DCF_SCREENING_EXCLUSION</x:v>
      </x:c>
      <x:c r="H1061" t="str">
        <x:v>UNRELIABLE_TERMINAL_VALUE_SHARE</x:v>
      </x:c>
      <x:c r="I1061" s="54" t="n">
        <x:v>44560</x:v>
      </x:c>
      <x:c r="J1061" s="55" t="n">
        <x:v>15450</x:v>
      </x:c>
      <x:c r="K1061" s="55" t="n">
        <x:v>151923063600</x:v>
      </x:c>
      <x:c r="L1061" s="55" t="n">
        <x:v>9833208</x:v>
      </x:c>
      <x:c r="M1061" t="str">
        <x:v>20210318000512</x:v>
      </x:c>
      <x:c r="N1061" t="n">
        <x:v>44273.624999988424</x:v>
      </x:c>
      <x:c r="O1061" s="54" t="n">
        <x:v>44196</x:v>
      </x:c>
      <x:c r="P1061" t="str">
        <x:v>False</x:v>
      </x:c>
      <x:c r="Q1061" t="str">
        <x:v>0e2c0a41f276dcb0dffcbb7a7feba201dca98557caab8278087c38ae6914e4fa</x:v>
      </x:c>
      <x:c r="R1061" t="str">
        <x:v>58a931fbbc9fcfc00ce69836b45ab49dee82d5069bc84e4fcbceb9c4a21c2d15</x:v>
      </x:c>
      <x:c r="S1061" t="n">
        <x:v>6</x:v>
      </x:c>
      <x:c r="T1061" t="str">
        <x:v>2018-12-31|2019-12-31|2020-12-31</x:v>
      </x:c>
      <x:c r="U1061" s="57" t="n">
        <x:v>1855.3234562116177</x:v>
      </x:c>
      <x:c r="V1061" s="57" t="n">
        <x:v>-0.8799143394037788</x:v>
      </x:c>
      <x:c r="W1061"/>
      <x:c r="X1061"/>
      <x:c r="Y1061" s="38" t="n">
        <x:v>0.6409090909090909</x:v>
      </x:c>
      <x:c r="Z1061" s="38" t="n">
        <x:v>2.5226489595750157</x:v>
      </x:c>
      <x:c r="AA1061" t="str">
        <x:v>UNRELIABLE_TERMINAL_VALUE_SHARE</x:v>
      </x:c>
    </x:row>
    <x:row r="1062">
      <x:c r="A1062" s="54" t="n">
        <x:v>44561</x:v>
      </x:c>
      <x:c r="B1062" t="n">
        <x:v>44561.624999988424</x:v>
      </x:c>
      <x:c r="C1062" t="str">
        <x:v>288620</x:v>
      </x:c>
      <x:c r="D1062" t="str">
        <x:v>에스퓨얼셀</x:v>
      </x:c>
      <x:c r="E1062" t="str">
        <x:v>KOSDAQ</x:v>
      </x:c>
      <x:c r="F1062" t="str">
        <x:v>SMALL</x:v>
      </x:c>
      <x:c r="G1062" t="str">
        <x:v>DCF_SCREENING_EXCLUSION</x:v>
      </x:c>
      <x:c r="H1062" t="str">
        <x:v>UNRELIABLE_TERMINAL_VALUE_SHARE</x:v>
      </x:c>
      <x:c r="I1062" s="54" t="n">
        <x:v>44560</x:v>
      </x:c>
      <x:c r="J1062" s="55" t="n">
        <x:v>27900</x:v>
      </x:c>
      <x:c r="K1062" s="55" t="n">
        <x:v>191793416400</x:v>
      </x:c>
      <x:c r="L1062" s="55" t="n">
        <x:v>6874316</x:v>
      </x:c>
      <x:c r="M1062" t="str">
        <x:v>20210322000950</x:v>
      </x:c>
      <x:c r="N1062" t="n">
        <x:v>44277.624999988424</x:v>
      </x:c>
      <x:c r="O1062" s="54" t="n">
        <x:v>44196</x:v>
      </x:c>
      <x:c r="P1062" t="str">
        <x:v>True</x:v>
      </x:c>
      <x:c r="Q1062" t="str">
        <x:v>b6e4d91695a9f0735eff6749b3213297590bd82820da324ce044ff958ad9ea61</x:v>
      </x:c>
      <x:c r="R1062" t="str">
        <x:v>a37de3dc4a80eb88b549c986771055707cdcc7e81bd7c3b009dd2f31f3b5c37a</x:v>
      </x:c>
      <x:c r="S1062" t="n">
        <x:v>6</x:v>
      </x:c>
      <x:c r="T1062" t="str">
        <x:v>2018-12-31|2019-12-31|2020-12-31</x:v>
      </x:c>
      <x:c r="U1062" s="57" t="n">
        <x:v>3270.0839499807116</x:v>
      </x:c>
      <x:c r="V1062" s="57" t="n">
        <x:v>-0.882792689964849</x:v>
      </x:c>
      <x:c r="W1062"/>
      <x:c r="X1062"/>
      <x:c r="Y1062" s="38" t="n">
        <x:v>0.6409090909090909</x:v>
      </x:c>
      <x:c r="Z1062" s="38" t="n">
        <x:v>1.2356011361536037</x:v>
      </x:c>
      <x:c r="AA1062" t="str">
        <x:v>UNRELIABLE_TERMINAL_VALUE_SHARE</x:v>
      </x:c>
    </x:row>
    <x:row r="1063">
      <x:c r="A1063" s="54" t="n">
        <x:v>44561</x:v>
      </x:c>
      <x:c r="B1063" t="n">
        <x:v>44561.624999988424</x:v>
      </x:c>
      <x:c r="C1063" t="str">
        <x:v>094840</x:v>
      </x:c>
      <x:c r="D1063" t="str">
        <x:v>슈프리마에이치큐</x:v>
      </x:c>
      <x:c r="E1063" t="str">
        <x:v>KOSDAQ</x:v>
      </x:c>
      <x:c r="F1063" t="str">
        <x:v>SMALL</x:v>
      </x:c>
      <x:c r="G1063" t="str">
        <x:v>ELIGIBLE</x:v>
      </x:c>
      <x:c r="H1063"/>
      <x:c r="I1063" s="54" t="n">
        <x:v>44560</x:v>
      </x:c>
      <x:c r="J1063" s="55" t="n">
        <x:v>7240</x:v>
      </x:c>
      <x:c r="K1063" s="55" t="n">
        <x:v>75816121600</x:v>
      </x:c>
      <x:c r="L1063" s="55" t="n">
        <x:v>10471840</x:v>
      </x:c>
      <x:c r="M1063" t="str">
        <x:v>20210315000815</x:v>
      </x:c>
      <x:c r="N1063" t="n">
        <x:v>44270.624999988424</x:v>
      </x:c>
      <x:c r="O1063" s="54" t="n">
        <x:v>44196</x:v>
      </x:c>
      <x:c r="P1063" t="str">
        <x:v>False</x:v>
      </x:c>
      <x:c r="Q1063" t="str">
        <x:v>edcb9acdb46347ad603be9d7e20150a84d21700a5df672987b045d3c629119be</x:v>
      </x:c>
      <x:c r="R1063" t="str">
        <x:v>47f745c4b7f953ba3135475be04bae6977c7fb05c197963522eabde4ffd14566</x:v>
      </x:c>
      <x:c r="S1063" t="n">
        <x:v>6</x:v>
      </x:c>
      <x:c r="T1063" t="str">
        <x:v>2018-12-31|2019-12-31|2020-12-31</x:v>
      </x:c>
      <x:c r="U1063" s="57" t="n">
        <x:v>3832.062991635382</x:v>
      </x:c>
      <x:c r="V1063" s="57" t="n">
        <x:v>-0.47070953154207434</x:v>
      </x:c>
      <x:c r="W1063" t="n">
        <x:v>28</x:v>
      </x:c>
      <x:c r="X1063" t="n">
        <x:v>3</x:v>
      </x:c>
      <x:c r="Y1063" s="38" t="n">
        <x:v>0.6409090909090909</x:v>
      </x:c>
      <x:c r="Z1063" s="38" t="n">
        <x:v>0.5990314888023098</x:v>
      </x:c>
      <x:c r="AA1063"/>
    </x:row>
    <x:row r="1064">
      <x:c r="A1064" s="54" t="n">
        <x:v>44561</x:v>
      </x:c>
      <x:c r="B1064" t="n">
        <x:v>44561.624999988424</x:v>
      </x:c>
      <x:c r="C1064" t="str">
        <x:v>019990</x:v>
      </x:c>
      <x:c r="D1064" t="str">
        <x:v>에너토크</x:v>
      </x:c>
      <x:c r="E1064" t="str">
        <x:v>KOSDAQ</x:v>
      </x:c>
      <x:c r="F1064" t="str">
        <x:v>SMALL</x:v>
      </x:c>
      <x:c r="G1064" t="str">
        <x:v>DCF_SCREENING_EXCLUSION</x:v>
      </x:c>
      <x:c r="H1064" t="str">
        <x:v>NON_POSITIVE_ENTERPRISE_VALUE|NON_POSITIVE_EQUITY_VALUE|NON_POSITIVE_TERMINAL_FCF</x:v>
      </x:c>
      <x:c r="I1064" s="54" t="n">
        <x:v>44560</x:v>
      </x:c>
      <x:c r="J1064" s="55" t="n">
        <x:v>10850</x:v>
      </x:c>
      <x:c r="K1064" s="55" t="n">
        <x:v>105853554800</x:v>
      </x:c>
      <x:c r="L1064" s="55" t="n">
        <x:v>9756088</x:v>
      </x:c>
      <x:c r="M1064" t="str">
        <x:v>20210318000261</x:v>
      </x:c>
      <x:c r="N1064" t="n">
        <x:v>44273.624999988424</x:v>
      </x:c>
      <x:c r="O1064" s="54" t="n">
        <x:v>44196</x:v>
      </x:c>
      <x:c r="P1064" t="str">
        <x:v>False</x:v>
      </x:c>
      <x:c r="Q1064" t="str">
        <x:v>4957a629f231b71448122773660771e123a8afe95cf17712e8a5790b3de5e388</x:v>
      </x:c>
      <x:c r="R1064" t="str">
        <x:v>83ba2cb7557a122716ec5a8f3de0e193cdc224d8740fbeb9bc856e79494d7737</x:v>
      </x:c>
      <x:c r="S1064" t="n">
        <x:v>7</x:v>
      </x:c>
      <x:c r="T1064" t="str">
        <x:v>2018-12-31|2019-12-31|2020-12-31</x:v>
      </x:c>
      <x:c r="U1064" s="57" t="n">
        <x:v>-415.5867008576264</x:v>
      </x:c>
      <x:c r="V1064" s="57" t="n">
        <x:v>-1.0383029217380302</x:v>
      </x:c>
      <x:c r="W1064"/>
      <x:c r="X1064"/>
      <x:c r="Y1064" s="38" t="n">
        <x:v>0.6409090909090909</x:v>
      </x:c>
      <x:c r="Z1064" s="38" t="n">
        <x:v>0.6465151672176482</x:v>
      </x:c>
      <x:c r="AA1064" t="str">
        <x:v>NON_POSITIVE_ENTERPRISE_VALUE|NON_POSITIVE_EQUITY_VALUE|NON_POSITIVE_TERMINAL_FCF</x:v>
      </x:c>
    </x:row>
    <x:row r="1065">
      <x:c r="A1065" s="54" t="n">
        <x:v>44561</x:v>
      </x:c>
      <x:c r="B1065" t="n">
        <x:v>44561.624999988424</x:v>
      </x:c>
      <x:c r="C1065" t="str">
        <x:v>024740</x:v>
      </x:c>
      <x:c r="D1065" t="str">
        <x:v>한일단조</x:v>
      </x:c>
      <x:c r="E1065" t="str">
        <x:v>KOSDAQ</x:v>
      </x:c>
      <x:c r="F1065" t="str">
        <x:v>SMALL</x:v>
      </x:c>
      <x:c r="G1065" t="str">
        <x:v>DCF_SCREENING_EXCLUSION</x:v>
      </x:c>
      <x:c r="H1065" t="str">
        <x:v>NON_POSITIVE_ENTERPRISE_VALUE|NON_POSITIVE_EQUITY_VALUE|NON_POSITIVE_TERMINAL_FCF</x:v>
      </x:c>
      <x:c r="I1065" s="54" t="n">
        <x:v>44560</x:v>
      </x:c>
      <x:c r="J1065" s="55" t="n">
        <x:v>2325</x:v>
      </x:c>
      <x:c r="K1065" s="55" t="n">
        <x:v>69497337600</x:v>
      </x:c>
      <x:c r="L1065" s="55" t="n">
        <x:v>29891328</x:v>
      </x:c>
      <x:c r="M1065" t="str">
        <x:v>20210316000434</x:v>
      </x:c>
      <x:c r="N1065" t="n">
        <x:v>44271.624999988424</x:v>
      </x:c>
      <x:c r="O1065" s="54" t="n">
        <x:v>44196</x:v>
      </x:c>
      <x:c r="P1065" t="str">
        <x:v>False</x:v>
      </x:c>
      <x:c r="Q1065" t="str">
        <x:v>bcddd53c6582ac5aaffca85a248593cbfc6066bb4e4098e0d065dd9f43d5e655</x:v>
      </x:c>
      <x:c r="R1065" t="str">
        <x:v>dbb560f48c3dd22007d5bb6c6b37c344d40acedb99d49577840c11f88daab7a1</x:v>
      </x:c>
      <x:c r="S1065" t="n">
        <x:v>7</x:v>
      </x:c>
      <x:c r="T1065" t="str">
        <x:v>2018-12-31|2019-12-31|2020-12-31</x:v>
      </x:c>
      <x:c r="U1065" s="57" t="n">
        <x:v>-2473.11609930987</x:v>
      </x:c>
      <x:c r="V1065" s="57" t="n">
        <x:v>-2.0637058491655353</x:v>
      </x:c>
      <x:c r="W1065"/>
      <x:c r="X1065"/>
      <x:c r="Y1065" s="38" t="n">
        <x:v>0.6409090909090909</x:v>
      </x:c>
      <x:c r="Z1065" s="38" t="n">
        <x:v>0.6171816933706179</x:v>
      </x:c>
      <x:c r="AA1065" t="str">
        <x:v>NON_POSITIVE_ENTERPRISE_VALUE|NON_POSITIVE_EQUITY_VALUE|NON_POSITIVE_TERMINAL_FCF</x:v>
      </x:c>
    </x:row>
    <x:row r="1066">
      <x:c r="A1066" s="54" t="n">
        <x:v>44561</x:v>
      </x:c>
      <x:c r="B1066" t="n">
        <x:v>44561.624999988424</x:v>
      </x:c>
      <x:c r="C1066" t="str">
        <x:v>340930</x:v>
      </x:c>
      <x:c r="D1066" t="str">
        <x:v>유일에너테크</x:v>
      </x:c>
      <x:c r="E1066" t="str">
        <x:v>KOSDAQ</x:v>
      </x:c>
      <x:c r="F1066" t="str">
        <x:v>SMALL</x:v>
      </x:c>
      <x:c r="G1066" t="str">
        <x:v>ELIGIBLE</x:v>
      </x:c>
      <x:c r="H1066"/>
      <x:c r="I1066" s="54" t="n">
        <x:v>44560</x:v>
      </x:c>
      <x:c r="J1066" s="55" t="n">
        <x:v>19150</x:v>
      </x:c>
      <x:c r="K1066" s="55" t="n">
        <x:v>204421347600</x:v>
      </x:c>
      <x:c r="L1066" s="55" t="n">
        <x:v>10674744</x:v>
      </x:c>
      <x:c r="M1066" t="str">
        <x:v>20210319000946</x:v>
      </x:c>
      <x:c r="N1066" t="n">
        <x:v>44274.624999988424</x:v>
      </x:c>
      <x:c r="O1066" s="54" t="n">
        <x:v>44196</x:v>
      </x:c>
      <x:c r="P1066" t="str">
        <x:v>False</x:v>
      </x:c>
      <x:c r="Q1066" t="str">
        <x:v>4edaceb7bd22fcf8da9909d7fdb96098f9415c438240d4e0f8e7bb0b5d5e8b03</x:v>
      </x:c>
      <x:c r="R1066" t="str">
        <x:v>0cf7d43db2fe6134461710bbb2a500dc2994af1861d6647b511395f0e1b4e0c8</x:v>
      </x:c>
      <x:c r="S1066" t="n">
        <x:v>7</x:v>
      </x:c>
      <x:c r="T1066" t="str">
        <x:v>2020-12-31</x:v>
      </x:c>
      <x:c r="U1066" s="57" t="n">
        <x:v>5234.974731632346</x:v>
      </x:c>
      <x:c r="V1066" s="57" t="n">
        <x:v>-0.7266331732829062</x:v>
      </x:c>
      <x:c r="W1066" t="n">
        <x:v>43</x:v>
      </x:c>
      <x:c r="X1066" t="n">
        <x:v>4</x:v>
      </x:c>
      <x:c r="Y1066" s="38" t="n">
        <x:v>0.6409090909090909</x:v>
      </x:c>
      <x:c r="Z1066" s="38" t="n">
        <x:v>0.6264850986190418</x:v>
      </x:c>
      <x:c r="AA1066"/>
    </x:row>
    <x:row r="1067">
      <x:c r="A1067" s="54" t="n">
        <x:v>44561</x:v>
      </x:c>
      <x:c r="B1067" t="n">
        <x:v>44561.624999988424</x:v>
      </x:c>
      <x:c r="C1067" t="str">
        <x:v>057030</x:v>
      </x:c>
      <x:c r="D1067" t="str">
        <x:v>YBM넷</x:v>
      </x:c>
      <x:c r="E1067" t="str">
        <x:v>KOSDAQ</x:v>
      </x:c>
      <x:c r="F1067" t="str">
        <x:v>SMALL</x:v>
      </x:c>
      <x:c r="G1067" t="str">
        <x:v>DCF_SCREENING_EXCLUSION</x:v>
      </x:c>
      <x:c r="H1067" t="str">
        <x:v>NON_POSITIVE_ENTERPRISE_VALUE|NON_POSITIVE_EQUITY_VALUE|UNRELIABLE_TERMINAL_VALUE_SHARE</x:v>
      </x:c>
      <x:c r="I1067" s="54" t="n">
        <x:v>44560</x:v>
      </x:c>
      <x:c r="J1067" s="55" t="n">
        <x:v>6980</x:v>
      </x:c>
      <x:c r="K1067" s="55" t="n">
        <x:v>113862625060</x:v>
      </x:c>
      <x:c r="L1067" s="55" t="n">
        <x:v>16312697</x:v>
      </x:c>
      <x:c r="M1067" t="str">
        <x:v>20210317001083</x:v>
      </x:c>
      <x:c r="N1067" t="n">
        <x:v>44272.624999988424</x:v>
      </x:c>
      <x:c r="O1067" s="54" t="n">
        <x:v>44196</x:v>
      </x:c>
      <x:c r="P1067" t="str">
        <x:v>False</x:v>
      </x:c>
      <x:c r="Q1067" t="str">
        <x:v>60475234d2620e0baa6d24996ee48c086941ccdd01a0698cccc5f9d626fd6bc6</x:v>
      </x:c>
      <x:c r="R1067" t="str">
        <x:v>ebc2348fcc4b8ac130bf6ace569664f1a494da159f4a3374e924e8a62f011377</x:v>
      </x:c>
      <x:c r="S1067" t="n">
        <x:v>6</x:v>
      </x:c>
      <x:c r="T1067" t="str">
        <x:v>2018-12-31|2019-12-31|2020-12-31</x:v>
      </x:c>
      <x:c r="U1067" s="57" t="n">
        <x:v>-12.62440454926056</x:v>
      </x:c>
      <x:c r="V1067" s="57" t="n">
        <x:v>-1.0018086539468856</x:v>
      </x:c>
      <x:c r="W1067"/>
      <x:c r="X1067"/>
      <x:c r="Y1067" s="38" t="n">
        <x:v>0.6409090909090909</x:v>
      </x:c>
      <x:c r="Z1067" s="38" t="n">
        <x:v>-1.0894625849005493</x:v>
      </x:c>
      <x:c r="AA1067" t="str">
        <x:v>NON_POSITIVE_ENTERPRISE_VALUE|NON_POSITIVE_EQUITY_VALUE|UNRELIABLE_TERMINAL_VALUE_SHARE</x:v>
      </x:c>
    </x:row>
    <x:row r="1068">
      <x:c r="A1068" s="54" t="n">
        <x:v>44561</x:v>
      </x:c>
      <x:c r="B1068" t="n">
        <x:v>44561.624999988424</x:v>
      </x:c>
      <x:c r="C1068" t="str">
        <x:v>053160</x:v>
      </x:c>
      <x:c r="D1068" t="str">
        <x:v>프리엠스</x:v>
      </x:c>
      <x:c r="E1068" t="str">
        <x:v>KOSDAQ</x:v>
      </x:c>
      <x:c r="F1068" t="str">
        <x:v>SMALL</x:v>
      </x:c>
      <x:c r="G1068" t="str">
        <x:v>DCF_SCREENING_EXCLUSION</x:v>
      </x:c>
      <x:c r="H1068" t="str">
        <x:v>NON_POSITIVE_ENTERPRISE_VALUE|NON_POSITIVE_TERMINAL_FCF</x:v>
      </x:c>
      <x:c r="I1068" s="54" t="n">
        <x:v>44560</x:v>
      </x:c>
      <x:c r="J1068" s="55" t="n">
        <x:v>19450</x:v>
      </x:c>
      <x:c r="K1068" s="55" t="n">
        <x:v>116700000000</x:v>
      </x:c>
      <x:c r="L1068" s="55" t="n">
        <x:v>6000000</x:v>
      </x:c>
      <x:c r="M1068" t="str">
        <x:v>20210318000333</x:v>
      </x:c>
      <x:c r="N1068" t="n">
        <x:v>44273.624999988424</x:v>
      </x:c>
      <x:c r="O1068" s="54" t="n">
        <x:v>44196</x:v>
      </x:c>
      <x:c r="P1068" t="str">
        <x:v>False</x:v>
      </x:c>
      <x:c r="Q1068" t="str">
        <x:v>b4a0ad8f9fbc20989c6ce23324e39d807a3fce1a4ccdc7f31f6eaab83bcb1a23</x:v>
      </x:c>
      <x:c r="R1068" t="str">
        <x:v>41e1a00bc59d917a22c9ee50e347e46b117ec6fa8dbe672beaa2c41a25d6a9bb</x:v>
      </x:c>
      <x:c r="S1068" t="n">
        <x:v>7</x:v>
      </x:c>
      <x:c r="T1068" t="str">
        <x:v>2018-12-31|2019-12-31|2020-12-31</x:v>
      </x:c>
      <x:c r="U1068" s="57" t="n">
        <x:v>316.0971325401637</x:v>
      </x:c>
      <x:c r="V1068" s="57" t="n">
        <x:v>-0.9837482194066753</x:v>
      </x:c>
      <x:c r="W1068"/>
      <x:c r="X1068"/>
      <x:c r="Y1068" s="38" t="n">
        <x:v>0.6409090909090909</x:v>
      </x:c>
      <x:c r="Z1068" s="38" t="n">
        <x:v>0.779709708489777</x:v>
      </x:c>
      <x:c r="AA1068" t="str">
        <x:v>NON_POSITIVE_ENTERPRISE_VALUE|NON_POSITIVE_TERMINAL_FCF</x:v>
      </x:c>
    </x:row>
    <x:row r="1069">
      <x:c r="A1069" s="54" t="n">
        <x:v>44561</x:v>
      </x:c>
      <x:c r="B1069" t="n">
        <x:v>44561.624999988424</x:v>
      </x:c>
      <x:c r="C1069" t="str">
        <x:v>038620</x:v>
      </x:c>
      <x:c r="D1069" t="str">
        <x:v>위즈코프</x:v>
      </x:c>
      <x:c r="E1069" t="str">
        <x:v>KOSDAQ</x:v>
      </x:c>
      <x:c r="F1069" t="str">
        <x:v>SMALL</x:v>
      </x:c>
      <x:c r="G1069" t="str">
        <x:v>ELIGIBLE</x:v>
      </x:c>
      <x:c r="H1069"/>
      <x:c r="I1069" s="54" t="n">
        <x:v>44560</x:v>
      </x:c>
      <x:c r="J1069" s="55" t="n">
        <x:v>2410</x:v>
      </x:c>
      <x:c r="K1069" s="55" t="n">
        <x:v>153163790400</x:v>
      </x:c>
      <x:c r="L1069" s="55" t="n">
        <x:v>63553440</x:v>
      </x:c>
      <x:c r="M1069" t="str">
        <x:v>20210317001103</x:v>
      </x:c>
      <x:c r="N1069" t="n">
        <x:v>44272.624999988424</x:v>
      </x:c>
      <x:c r="O1069" s="54" t="n">
        <x:v>44196</x:v>
      </x:c>
      <x:c r="P1069" t="str">
        <x:v>False</x:v>
      </x:c>
      <x:c r="Q1069" t="str">
        <x:v>309ebd31cbd4e7c81c95aa5ef1f64b10cd60c14ea177e58841997373c9018659</x:v>
      </x:c>
      <x:c r="R1069" t="str">
        <x:v>3b1385a91693a6dc001937e4e3c2b8c2db757cdce3e923778696cf18d12651f3</x:v>
      </x:c>
      <x:c r="S1069" t="n">
        <x:v>6</x:v>
      </x:c>
      <x:c r="T1069" t="str">
        <x:v>2018-12-31|2019-12-31|2020-12-31</x:v>
      </x:c>
      <x:c r="U1069" s="57" t="n">
        <x:v>169.1650460724655</x:v>
      </x:c>
      <x:c r="V1069" s="57" t="n">
        <x:v>-0.9298070348247032</x:v>
      </x:c>
      <x:c r="W1069" t="n">
        <x:v>56</x:v>
      </x:c>
      <x:c r="X1069" t="n">
        <x:v>5</x:v>
      </x:c>
      <x:c r="Y1069" s="38" t="n">
        <x:v>0.6409090909090909</x:v>
      </x:c>
      <x:c r="Z1069" s="38" t="n">
        <x:v>0.5998432973034096</x:v>
      </x:c>
      <x:c r="AA1069"/>
    </x:row>
    <x:row r="1070">
      <x:c r="A1070" s="54" t="n">
        <x:v>44561</x:v>
      </x:c>
      <x:c r="B1070" t="n">
        <x:v>44561.624999988424</x:v>
      </x:c>
      <x:c r="C1070" t="str">
        <x:v>313760</x:v>
      </x:c>
      <x:c r="D1070" t="str">
        <x:v>캐리</x:v>
      </x:c>
      <x:c r="E1070" t="str">
        <x:v>KOSDAQ</x:v>
      </x:c>
      <x:c r="F1070" t="str">
        <x:v>SMALL</x:v>
      </x:c>
      <x:c r="G1070" t="str">
        <x:v>DCF_SCREENING_EXCLUSION</x:v>
      </x:c>
      <x:c r="H1070" t="str">
        <x:v>UNRELIABLE_TERMINAL_VALUE_SHARE</x:v>
      </x:c>
      <x:c r="I1070" s="54" t="n">
        <x:v>44560</x:v>
      </x:c>
      <x:c r="J1070" s="55" t="n">
        <x:v>22900</x:v>
      </x:c>
      <x:c r="K1070" s="55" t="n">
        <x:v>111339800000</x:v>
      </x:c>
      <x:c r="L1070" s="55" t="n">
        <x:v>4862000</x:v>
      </x:c>
      <x:c r="M1070" t="str">
        <x:v>20210318000686</x:v>
      </x:c>
      <x:c r="N1070" t="n">
        <x:v>44273.624999988424</x:v>
      </x:c>
      <x:c r="O1070" s="54" t="n">
        <x:v>44196</x:v>
      </x:c>
      <x:c r="P1070" t="str">
        <x:v>False</x:v>
      </x:c>
      <x:c r="Q1070" t="str">
        <x:v>804576bd15d64ec35c6bf019d2e23e3c9e1edcfa683d9cad2b367f8994c13dfc</x:v>
      </x:c>
      <x:c r="R1070" t="str">
        <x:v>d85d0ce3685c46f62b52d2126678ceafd641a1fc3d9f82829a119e0806cd51fc</x:v>
      </x:c>
      <x:c r="S1070" t="n">
        <x:v>5</x:v>
      </x:c>
      <x:c r="T1070" t="str">
        <x:v>2019-12-31|2020-12-31</x:v>
      </x:c>
      <x:c r="U1070" s="57" t="n">
        <x:v>1207.7666181905286</x:v>
      </x:c>
      <x:c r="V1070" s="57" t="n">
        <x:v>-0.947259099642335</x:v>
      </x:c>
      <x:c r="W1070"/>
      <x:c r="X1070"/>
      <x:c r="Y1070" s="38" t="n">
        <x:v>0.6409090909090909</x:v>
      </x:c>
      <x:c r="Z1070" s="38" t="n">
        <x:v>2.6865882303611563</x:v>
      </x:c>
      <x:c r="AA1070" t="str">
        <x:v>UNRELIABLE_TERMINAL_VALUE_SHARE</x:v>
      </x:c>
    </x:row>
    <x:row r="1071">
      <x:c r="A1071" s="54" t="n">
        <x:v>44561</x:v>
      </x:c>
      <x:c r="B1071" t="n">
        <x:v>44561.624999988424</x:v>
      </x:c>
      <x:c r="C1071" t="str">
        <x:v>372800</x:v>
      </x:c>
      <x:c r="D1071" t="str">
        <x:v>아이티아이즈</x:v>
      </x:c>
      <x:c r="E1071" t="str">
        <x:v>KOSDAQ</x:v>
      </x:c>
      <x:c r="F1071" t="str">
        <x:v>SMALL</x:v>
      </x:c>
      <x:c r="G1071" t="str">
        <x:v>NO_PIT_FINANCIALS</x:v>
      </x:c>
      <x:c r="H1071"/>
      <x:c r="I1071" s="54" t="n">
        <x:v>44560</x:v>
      </x:c>
      <x:c r="J1071" s="55" t="n">
        <x:v>24300</x:v>
      </x:c>
      <x:c r="K1071" s="55" t="n">
        <x:v>140380614000</x:v>
      </x:c>
      <x:c r="L1071" s="55" t="n">
        <x:v>5776980</x:v>
      </x:c>
      <x:c r="M1071"/>
      <x:c r="N1071"/>
      <x:c r="O1071" s="54"/>
      <x:c r="P1071"/>
      <x:c r="Q1071"/>
      <x:c r="R1071"/>
      <x:c r="S1071"/>
      <x:c r="T1071"/>
      <x:c r="U1071" s="57"/>
      <x:c r="V1071" s="57"/>
      <x:c r="W1071"/>
      <x:c r="X1071"/>
      <x:c r="Y1071" s="38"/>
      <x:c r="Z1071" s="38"/>
      <x:c r="AA1071"/>
    </x:row>
    <x:row r="1072">
      <x:c r="A1072" s="54" t="n">
        <x:v>44561</x:v>
      </x:c>
      <x:c r="B1072" t="n">
        <x:v>44561.624999988424</x:v>
      </x:c>
      <x:c r="C1072" t="str">
        <x:v>332290</x:v>
      </x:c>
      <x:c r="D1072" t="str">
        <x:v>누보</x:v>
      </x:c>
      <x:c r="E1072" t="str">
        <x:v>KOSDAQ</x:v>
      </x:c>
      <x:c r="F1072" t="str">
        <x:v>SMALL</x:v>
      </x:c>
      <x:c r="G1072" t="str">
        <x:v>NO_PIT_FINANCIALS</x:v>
      </x:c>
      <x:c r="H1072"/>
      <x:c r="I1072" s="54" t="n">
        <x:v>44560</x:v>
      </x:c>
      <x:c r="J1072" s="55" t="n">
        <x:v>2135</x:v>
      </x:c>
      <x:c r="K1072" s="55" t="n">
        <x:v>11112675000</x:v>
      </x:c>
      <x:c r="L1072" s="55" t="n">
        <x:v>5205000</x:v>
      </x:c>
      <x:c r="M1072"/>
      <x:c r="N1072"/>
      <x:c r="O1072" s="54"/>
      <x:c r="P1072"/>
      <x:c r="Q1072"/>
      <x:c r="R1072"/>
      <x:c r="S1072"/>
      <x:c r="T1072"/>
      <x:c r="U1072" s="57"/>
      <x:c r="V1072" s="57"/>
      <x:c r="W1072"/>
      <x:c r="X1072"/>
      <x:c r="Y1072" s="38"/>
      <x:c r="Z1072" s="38"/>
      <x:c r="AA1072"/>
    </x:row>
    <x:row r="1073">
      <x:c r="A1073" s="54" t="n">
        <x:v>44561</x:v>
      </x:c>
      <x:c r="B1073" t="n">
        <x:v>44561.624999988424</x:v>
      </x:c>
      <x:c r="C1073" t="str">
        <x:v>059100</x:v>
      </x:c>
      <x:c r="D1073" t="str">
        <x:v>아이컴포넌트</x:v>
      </x:c>
      <x:c r="E1073" t="str">
        <x:v>KOSDAQ</x:v>
      </x:c>
      <x:c r="F1073" t="str">
        <x:v>SMALL</x:v>
      </x:c>
      <x:c r="G1073" t="str">
        <x:v>ELIGIBLE</x:v>
      </x:c>
      <x:c r="H1073"/>
      <x:c r="I1073" s="54" t="n">
        <x:v>44560</x:v>
      </x:c>
      <x:c r="J1073" s="55" t="n">
        <x:v>7410</x:v>
      </x:c>
      <x:c r="K1073" s="55" t="n">
        <x:v>52395072600</x:v>
      </x:c>
      <x:c r="L1073" s="55" t="n">
        <x:v>7070860</x:v>
      </x:c>
      <x:c r="M1073" t="str">
        <x:v>20210311000765</x:v>
      </x:c>
      <x:c r="N1073" t="n">
        <x:v>44266.624999988424</x:v>
      </x:c>
      <x:c r="O1073" s="54" t="n">
        <x:v>44196</x:v>
      </x:c>
      <x:c r="P1073" t="str">
        <x:v>False</x:v>
      </x:c>
      <x:c r="Q1073" t="str">
        <x:v>e8cc72608f865813347d3ac3b67e881eac226f73bcd56829c110b23f06258cce</x:v>
      </x:c>
      <x:c r="R1073" t="str">
        <x:v>48be34b909c118c536d5c159d6264871b4cac2eae463f91fc1446ad07beca7f1</x:v>
      </x:c>
      <x:c r="S1073" t="n">
        <x:v>7</x:v>
      </x:c>
      <x:c r="T1073" t="str">
        <x:v>2018-12-31|2019-12-31|2020-12-31</x:v>
      </x:c>
      <x:c r="U1073" s="57" t="n">
        <x:v>1452.886955925407</x:v>
      </x:c>
      <x:c r="V1073" s="57" t="n">
        <x:v>-0.8039288858400261</x:v>
      </x:c>
      <x:c r="W1073" t="n">
        <x:v>49</x:v>
      </x:c>
      <x:c r="X1073" t="n">
        <x:v>5</x:v>
      </x:c>
      <x:c r="Y1073" s="38" t="n">
        <x:v>0.6409090909090909</x:v>
      </x:c>
      <x:c r="Z1073" s="38" t="n">
        <x:v>0.4521477467865818</x:v>
      </x:c>
      <x:c r="AA1073"/>
    </x:row>
    <x:row r="1074">
      <x:c r="A1074" s="54" t="n">
        <x:v>44561</x:v>
      </x:c>
      <x:c r="B1074" t="n">
        <x:v>44561.624999988424</x:v>
      </x:c>
      <x:c r="C1074" t="str">
        <x:v>060900</x:v>
      </x:c>
      <x:c r="D1074" t="str">
        <x:v>DGP</x:v>
      </x:c>
      <x:c r="E1074" t="str">
        <x:v>KOSDAQ</x:v>
      </x:c>
      <x:c r="F1074" t="str">
        <x:v>SMALL</x:v>
      </x:c>
      <x:c r="G1074" t="str">
        <x:v>DCF_SCREENING_EXCLUSION</x:v>
      </x:c>
      <x:c r="H1074" t="str">
        <x:v>NON_POSITIVE_ENTERPRISE_VALUE|NON_POSITIVE_EQUITY_VALUE|NON_POSITIVE_TERMINAL_FCF</x:v>
      </x:c>
      <x:c r="I1074" s="54" t="n">
        <x:v>44560</x:v>
      </x:c>
      <x:c r="J1074" s="55" t="n">
        <x:v>980</x:v>
      </x:c>
      <x:c r="K1074" s="55" t="n">
        <x:v>169331068900</x:v>
      </x:c>
      <x:c r="L1074" s="55" t="n">
        <x:v>172786805</x:v>
      </x:c>
      <x:c r="M1074" t="str">
        <x:v>20200331002242</x:v>
      </x:c>
      <x:c r="N1074" t="n">
        <x:v>43921.624999988424</x:v>
      </x:c>
      <x:c r="O1074" s="54" t="n">
        <x:v>43830</x:v>
      </x:c>
      <x:c r="P1074" t="str">
        <x:v>True</x:v>
      </x:c>
      <x:c r="Q1074" t="str">
        <x:v>ac50e7e79003451d6c3ef8f2db1976662fecb89d432a540a13b72785abeff2ae</x:v>
      </x:c>
      <x:c r="R1074" t="str">
        <x:v>ebc1ff8d1acc2ff5dec2c6a71422731b5ff8f9eab544b1cf7d4333ee990e85a4</x:v>
      </x:c>
      <x:c r="S1074" t="n">
        <x:v>5</x:v>
      </x:c>
      <x:c r="T1074" t="str">
        <x:v>2018-12-31|2019-12-31</x:v>
      </x:c>
      <x:c r="U1074" s="57" t="n">
        <x:v>-188.50236058005518</x:v>
      </x:c>
      <x:c r="V1074" s="57" t="n">
        <x:v>-1.1923493475306686</x:v>
      </x:c>
      <x:c r="W1074"/>
      <x:c r="X1074"/>
      <x:c r="Y1074" s="38" t="n">
        <x:v>0.6409090909090909</x:v>
      </x:c>
      <x:c r="Z1074" s="38" t="n">
        <x:v>0.6282819266558984</x:v>
      </x:c>
      <x:c r="AA1074" t="str">
        <x:v>NON_POSITIVE_ENTERPRISE_VALUE|NON_POSITIVE_EQUITY_VALUE|NON_POSITIVE_TERMINAL_FCF</x:v>
      </x:c>
    </x:row>
    <x:row r="1075">
      <x:c r="A1075" s="54" t="n">
        <x:v>44561</x:v>
      </x:c>
      <x:c r="B1075" t="n">
        <x:v>44561.624999988424</x:v>
      </x:c>
      <x:c r="C1075" t="str">
        <x:v>232830</x:v>
      </x:c>
      <x:c r="D1075" t="str">
        <x:v>아이티센피엔에스</x:v>
      </x:c>
      <x:c r="E1075" t="str">
        <x:v>KOSDAQ</x:v>
      </x:c>
      <x:c r="F1075" t="str">
        <x:v>SMALL</x:v>
      </x:c>
      <x:c r="G1075" t="str">
        <x:v>NO_PIT_FINANCIALS</x:v>
      </x:c>
      <x:c r="H1075"/>
      <x:c r="I1075" s="54" t="n">
        <x:v>44560</x:v>
      </x:c>
      <x:c r="J1075" s="55" t="n">
        <x:v>3010</x:v>
      </x:c>
      <x:c r="K1075" s="55" t="n">
        <x:v>28622186320</x:v>
      </x:c>
      <x:c r="L1075" s="55" t="n">
        <x:v>9509032</x:v>
      </x:c>
      <x:c r="M1075"/>
      <x:c r="N1075"/>
      <x:c r="O1075" s="54"/>
      <x:c r="P1075"/>
      <x:c r="Q1075"/>
      <x:c r="R1075"/>
      <x:c r="S1075"/>
      <x:c r="T1075"/>
      <x:c r="U1075" s="57"/>
      <x:c r="V1075" s="57"/>
      <x:c r="W1075"/>
      <x:c r="X1075"/>
      <x:c r="Y1075" s="38"/>
      <x:c r="Z1075" s="38"/>
      <x:c r="AA1075"/>
    </x:row>
    <x:row r="1076">
      <x:c r="A1076" s="54" t="n">
        <x:v>44561</x:v>
      </x:c>
      <x:c r="B1076" t="n">
        <x:v>44561.624999988424</x:v>
      </x:c>
      <x:c r="C1076" t="str">
        <x:v>070590</x:v>
      </x:c>
      <x:c r="D1076" t="str">
        <x:v>한솔인티큐브</x:v>
      </x:c>
      <x:c r="E1076" t="str">
        <x:v>KOSDAQ</x:v>
      </x:c>
      <x:c r="F1076" t="str">
        <x:v>SMALL</x:v>
      </x:c>
      <x:c r="G1076" t="str">
        <x:v>DCF_SCREENING_EXCLUSION</x:v>
      </x:c>
      <x:c r="H1076" t="str">
        <x:v>NON_POSITIVE_ENTERPRISE_VALUE|NON_POSITIVE_TERMINAL_FCF</x:v>
      </x:c>
      <x:c r="I1076" s="54" t="n">
        <x:v>44560</x:v>
      </x:c>
      <x:c r="J1076" s="55" t="n">
        <x:v>3340</x:v>
      </x:c>
      <x:c r="K1076" s="55" t="n">
        <x:v>46357600140</x:v>
      </x:c>
      <x:c r="L1076" s="55" t="n">
        <x:v>13879521</x:v>
      </x:c>
      <x:c r="M1076" t="str">
        <x:v>20210324000748</x:v>
      </x:c>
      <x:c r="N1076" t="n">
        <x:v>44279.624999988424</x:v>
      </x:c>
      <x:c r="O1076" s="54" t="n">
        <x:v>44196</x:v>
      </x:c>
      <x:c r="P1076" t="str">
        <x:v>True</x:v>
      </x:c>
      <x:c r="Q1076" t="str">
        <x:v>dfa3780e4437c8885beecb0e4a6500139dafb9959c6c3d2e500e3fb4c1a430cd</x:v>
      </x:c>
      <x:c r="R1076" t="str">
        <x:v>eff4d268488a35cbdc032eea9891367baeb650ad8e2dfcdb02709b589d77b61c</x:v>
      </x:c>
      <x:c r="S1076" t="n">
        <x:v>6</x:v>
      </x:c>
      <x:c r="T1076" t="str">
        <x:v>2018-12-31|2019-12-31|2020-12-31</x:v>
      </x:c>
      <x:c r="U1076" s="57" t="n">
        <x:v>325.13457471873176</x:v>
      </x:c>
      <x:c r="V1076" s="57" t="n">
        <x:v>-0.9026543189464875</x:v>
      </x:c>
      <x:c r="W1076"/>
      <x:c r="X1076"/>
      <x:c r="Y1076" s="38" t="n">
        <x:v>0.6409090909090909</x:v>
      </x:c>
      <x:c r="Z1076" s="38" t="n">
        <x:v>0.38507863592467434</x:v>
      </x:c>
      <x:c r="AA1076" t="str">
        <x:v>NON_POSITIVE_ENTERPRISE_VALUE|NON_POSITIVE_TERMINAL_FCF</x:v>
      </x:c>
    </x:row>
    <x:row r="1077">
      <x:c r="A1077" s="54" t="n">
        <x:v>44561</x:v>
      </x:c>
      <x:c r="B1077" t="n">
        <x:v>44561.624999988424</x:v>
      </x:c>
      <x:c r="C1077" t="str">
        <x:v>163560</x:v>
      </x:c>
      <x:c r="D1077" t="str">
        <x:v>동일고무벨트</x:v>
      </x:c>
      <x:c r="E1077" t="str">
        <x:v>KOSPI</x:v>
      </x:c>
      <x:c r="F1077" t="str">
        <x:v>SMALL</x:v>
      </x:c>
      <x:c r="G1077" t="str">
        <x:v>ELIGIBLE</x:v>
      </x:c>
      <x:c r="H1077"/>
      <x:c r="I1077" s="54" t="n">
        <x:v>44560</x:v>
      </x:c>
      <x:c r="J1077" s="55" t="n">
        <x:v>7530</x:v>
      </x:c>
      <x:c r="K1077" s="55" t="n">
        <x:v>104667000000</x:v>
      </x:c>
      <x:c r="L1077" s="55" t="n">
        <x:v>13900000</x:v>
      </x:c>
      <x:c r="M1077" t="str">
        <x:v>20210315000958</x:v>
      </x:c>
      <x:c r="N1077" t="n">
        <x:v>44270.624999988424</x:v>
      </x:c>
      <x:c r="O1077" s="54" t="n">
        <x:v>44196</x:v>
      </x:c>
      <x:c r="P1077" t="str">
        <x:v>False</x:v>
      </x:c>
      <x:c r="Q1077" t="str">
        <x:v>baef3f3b4fd2cd0561db58dee801c4b1083a7eab3be7089842215efc57393a0f</x:v>
      </x:c>
      <x:c r="R1077" t="str">
        <x:v>58f62cbe7203fe035b5c136891b5d43d1a5b5498301e4f4ae449c65b96ffd31e</x:v>
      </x:c>
      <x:c r="S1077" t="n">
        <x:v>5</x:v>
      </x:c>
      <x:c r="T1077" t="str">
        <x:v>2018-12-31|2019-12-31|2020-12-31</x:v>
      </x:c>
      <x:c r="U1077" s="57" t="n">
        <x:v>7136.684095856287</x:v>
      </x:c>
      <x:c r="V1077" s="57" t="n">
        <x:v>-0.052233187801289875</x:v>
      </x:c>
      <x:c r="W1077" t="n">
        <x:v>16</x:v>
      </x:c>
      <x:c r="X1077" t="n">
        <x:v>2</x:v>
      </x:c>
      <x:c r="Y1077" s="38" t="n">
        <x:v>0.6409090909090909</x:v>
      </x:c>
      <x:c r="Z1077" s="38" t="n">
        <x:v>0.5969551920077337</x:v>
      </x:c>
      <x:c r="AA1077"/>
    </x:row>
    <x:row r="1078">
      <x:c r="A1078" s="54" t="n">
        <x:v>44561</x:v>
      </x:c>
      <x:c r="B1078" t="n">
        <x:v>44561.624999988424</x:v>
      </x:c>
      <x:c r="C1078" t="str">
        <x:v>004830</x:v>
      </x:c>
      <x:c r="D1078" t="str">
        <x:v>덕성</x:v>
      </x:c>
      <x:c r="E1078" t="str">
        <x:v>KOSPI</x:v>
      </x:c>
      <x:c r="F1078" t="str">
        <x:v>SMALL</x:v>
      </x:c>
      <x:c r="G1078" t="str">
        <x:v>DCF_SCREENING_EXCLUSION</x:v>
      </x:c>
      <x:c r="H1078" t="str">
        <x:v>NON_POSITIVE_EQUITY_VALUE</x:v>
      </x:c>
      <x:c r="I1078" s="54" t="n">
        <x:v>44560</x:v>
      </x:c>
      <x:c r="J1078" s="55" t="n">
        <x:v>15100</x:v>
      </x:c>
      <x:c r="K1078" s="55" t="n">
        <x:v>236768000000</x:v>
      </x:c>
      <x:c r="L1078" s="55" t="n">
        <x:v>15680000</x:v>
      </x:c>
      <x:c r="M1078" t="str">
        <x:v>20210319000522</x:v>
      </x:c>
      <x:c r="N1078" t="n">
        <x:v>44274.624999988424</x:v>
      </x:c>
      <x:c r="O1078" s="54" t="n">
        <x:v>44196</x:v>
      </x:c>
      <x:c r="P1078" t="str">
        <x:v>False</x:v>
      </x:c>
      <x:c r="Q1078" t="str">
        <x:v>42ee1e84d81634c21d6976fba98c4b5bca4d9df00c8a43afcf479eca2a3931d5</x:v>
      </x:c>
      <x:c r="R1078" t="str">
        <x:v>1e77d4b7fd914b609a8404cdc068c6f747e4dcae104cca6760ea2cea87b7c693</x:v>
      </x:c>
      <x:c r="S1078" t="n">
        <x:v>7</x:v>
      </x:c>
      <x:c r="T1078" t="str">
        <x:v>2018-12-31|2019-12-31|2020-12-31</x:v>
      </x:c>
      <x:c r="U1078" s="57" t="n">
        <x:v>-515.0099349836735</x:v>
      </x:c>
      <x:c r="V1078" s="57" t="n">
        <x:v>-1.0341066182108394</x:v>
      </x:c>
      <x:c r="W1078"/>
      <x:c r="X1078"/>
      <x:c r="Y1078" s="38" t="n">
        <x:v>0.6409090909090909</x:v>
      </x:c>
      <x:c r="Z1078" s="38" t="n">
        <x:v>0.5348293753544032</x:v>
      </x:c>
      <x:c r="AA1078" t="str">
        <x:v>NON_POSITIVE_EQUITY_VALUE</x:v>
      </x:c>
    </x:row>
    <x:row r="1079">
      <x:c r="A1079" s="54" t="n">
        <x:v>44561</x:v>
      </x:c>
      <x:c r="B1079" t="n">
        <x:v>44561.624999988424</x:v>
      </x:c>
      <x:c r="C1079" t="str">
        <x:v>014440</x:v>
      </x:c>
      <x:c r="D1079" t="str">
        <x:v>영보화학</x:v>
      </x:c>
      <x:c r="E1079" t="str">
        <x:v>KOSPI</x:v>
      </x:c>
      <x:c r="F1079" t="str">
        <x:v>SMALL</x:v>
      </x:c>
      <x:c r="G1079" t="str">
        <x:v>ELIGIBLE</x:v>
      </x:c>
      <x:c r="H1079"/>
      <x:c r="I1079" s="54" t="n">
        <x:v>44560</x:v>
      </x:c>
      <x:c r="J1079" s="55" t="n">
        <x:v>4425</x:v>
      </x:c>
      <x:c r="K1079" s="55" t="n">
        <x:v>88500000000</x:v>
      </x:c>
      <x:c r="L1079" s="55" t="n">
        <x:v>20000000</x:v>
      </x:c>
      <x:c r="M1079" t="str">
        <x:v>20210316000221</x:v>
      </x:c>
      <x:c r="N1079" t="n">
        <x:v>44271.624999988424</x:v>
      </x:c>
      <x:c r="O1079" s="54" t="n">
        <x:v>44196</x:v>
      </x:c>
      <x:c r="P1079" t="str">
        <x:v>False</x:v>
      </x:c>
      <x:c r="Q1079" t="str">
        <x:v>f0de45c57636ab96dbf1b7817b17503dafe80a609e11e7a88c8cecfb9010a072</x:v>
      </x:c>
      <x:c r="R1079" t="str">
        <x:v>6e00c4edc0a60b1f6905bc60922501009c3ca8c1d98c3fa4190ab12b5fa4b69e</x:v>
      </x:c>
      <x:c r="S1079" t="n">
        <x:v>6</x:v>
      </x:c>
      <x:c r="T1079" t="str">
        <x:v>2018-12-31|2019-12-31|2020-12-31</x:v>
      </x:c>
      <x:c r="U1079" s="57" t="n">
        <x:v>1677.1958772264159</x:v>
      </x:c>
      <x:c r="V1079" s="57" t="n">
        <x:v>-0.6209726831126744</x:v>
      </x:c>
      <x:c r="W1079" t="n">
        <x:v>38</x:v>
      </x:c>
      <x:c r="X1079" t="n">
        <x:v>4</x:v>
      </x:c>
      <x:c r="Y1079" s="38" t="n">
        <x:v>0.6409090909090909</x:v>
      </x:c>
      <x:c r="Z1079" s="38" t="n">
        <x:v>0.4237287308061816</x:v>
      </x:c>
      <x:c r="AA1079"/>
    </x:row>
    <x:row r="1080">
      <x:c r="A1080" s="54" t="n">
        <x:v>44561</x:v>
      </x:c>
      <x:c r="B1080" t="n">
        <x:v>44561.624999988424</x:v>
      </x:c>
      <x:c r="C1080" t="str">
        <x:v>009180</x:v>
      </x:c>
      <x:c r="D1080" t="str">
        <x:v>한솔로지스틱스</x:v>
      </x:c>
      <x:c r="E1080" t="str">
        <x:v>KOSPI</x:v>
      </x:c>
      <x:c r="F1080" t="str">
        <x:v>SMALL</x:v>
      </x:c>
      <x:c r="G1080" t="str">
        <x:v>ELIGIBLE</x:v>
      </x:c>
      <x:c r="H1080"/>
      <x:c r="I1080" s="54" t="n">
        <x:v>44560</x:v>
      </x:c>
      <x:c r="J1080" s="55" t="n">
        <x:v>3930</x:v>
      </x:c>
      <x:c r="K1080" s="55" t="n">
        <x:v>107986280250</x:v>
      </x:c>
      <x:c r="L1080" s="55" t="n">
        <x:v>27477425</x:v>
      </x:c>
      <x:c r="M1080" t="str">
        <x:v>20210316000126</x:v>
      </x:c>
      <x:c r="N1080" t="n">
        <x:v>44271.624999988424</x:v>
      </x:c>
      <x:c r="O1080" s="54" t="n">
        <x:v>44196</x:v>
      </x:c>
      <x:c r="P1080" t="str">
        <x:v>False</x:v>
      </x:c>
      <x:c r="Q1080" t="str">
        <x:v>90358983e6569ad1d37fec52c0d95d31983184295b716229d09300a8c1f981f8</x:v>
      </x:c>
      <x:c r="R1080" t="str">
        <x:v>0425530dda02ff62a3f50e81c446cd2767797c01c2fd7b16c3ff06b61662092b</x:v>
      </x:c>
      <x:c r="S1080" t="n">
        <x:v>6</x:v>
      </x:c>
      <x:c r="T1080" t="str">
        <x:v>2018-12-31|2019-12-31|2020-12-31</x:v>
      </x:c>
      <x:c r="U1080" s="57" t="n">
        <x:v>1545.9505137720944</x:v>
      </x:c>
      <x:c r="V1080" s="57" t="n">
        <x:v>-0.6066283679969225</x:v>
      </x:c>
      <x:c r="W1080" t="n">
        <x:v>34</x:v>
      </x:c>
      <x:c r="X1080" t="n">
        <x:v>3</x:v>
      </x:c>
      <x:c r="Y1080" s="38" t="n">
        <x:v>0.6409090909090909</x:v>
      </x:c>
      <x:c r="Z1080" s="38" t="n">
        <x:v>0.6173210181480715</x:v>
      </x:c>
      <x:c r="AA1080"/>
    </x:row>
    <x:row r="1081">
      <x:c r="A1081" s="54" t="n">
        <x:v>44561</x:v>
      </x:c>
      <x:c r="B1081" t="n">
        <x:v>44561.624999988424</x:v>
      </x:c>
      <x:c r="C1081" t="str">
        <x:v>004910</x:v>
      </x:c>
      <x:c r="D1081" t="str">
        <x:v>조광페인트</x:v>
      </x:c>
      <x:c r="E1081" t="str">
        <x:v>KOSPI</x:v>
      </x:c>
      <x:c r="F1081" t="str">
        <x:v>SMALL</x:v>
      </x:c>
      <x:c r="G1081" t="str">
        <x:v>DCF_SCREENING_EXCLUSION</x:v>
      </x:c>
      <x:c r="H1081" t="str">
        <x:v>NON_POSITIVE_ENTERPRISE_VALUE|NON_POSITIVE_EQUITY_VALUE|NON_POSITIVE_TERMINAL_FCF</x:v>
      </x:c>
      <x:c r="I1081" s="54" t="n">
        <x:v>44560</x:v>
      </x:c>
      <x:c r="J1081" s="55" t="n">
        <x:v>8770</x:v>
      </x:c>
      <x:c r="K1081" s="55" t="n">
        <x:v>112256000000</x:v>
      </x:c>
      <x:c r="L1081" s="55" t="n">
        <x:v>12800000</x:v>
      </x:c>
      <x:c r="M1081" t="str">
        <x:v>20210419000042</x:v>
      </x:c>
      <x:c r="N1081" t="n">
        <x:v>44305.624999988424</x:v>
      </x:c>
      <x:c r="O1081" s="54" t="n">
        <x:v>44196</x:v>
      </x:c>
      <x:c r="P1081" t="str">
        <x:v>True</x:v>
      </x:c>
      <x:c r="Q1081" t="str">
        <x:v>31371b53e6968f0c727be36f621b75a0325fb63257f7a6cf4f6fcde45b9b8ca9</x:v>
      </x:c>
      <x:c r="R1081" t="str">
        <x:v>f09edd0f60787c0ce79550e680d73af72e2ed75233d33e6d2afc27c291748506</x:v>
      </x:c>
      <x:c r="S1081" t="n">
        <x:v>6</x:v>
      </x:c>
      <x:c r="T1081" t="str">
        <x:v>2018-12-31|2019-12-31|2020-12-31</x:v>
      </x:c>
      <x:c r="U1081" s="57" t="n">
        <x:v>-8516.353403523093</x:v>
      </x:c>
      <x:c r="V1081" s="57" t="n">
        <x:v>-1.9710779251451647</x:v>
      </x:c>
      <x:c r="W1081"/>
      <x:c r="X1081"/>
      <x:c r="Y1081" s="38" t="n">
        <x:v>0.6409090909090909</x:v>
      </x:c>
      <x:c r="Z1081" s="38" t="n">
        <x:v>0.5597063952745717</x:v>
      </x:c>
      <x:c r="AA1081" t="str">
        <x:v>NON_POSITIVE_ENTERPRISE_VALUE|NON_POSITIVE_EQUITY_VALUE|NON_POSITIVE_TERMINAL_FCF</x:v>
      </x:c>
    </x:row>
    <x:row r="1082">
      <x:c r="A1082" s="54" t="n">
        <x:v>44561</x:v>
      </x:c>
      <x:c r="B1082" t="n">
        <x:v>44561.624999988424</x:v>
      </x:c>
      <x:c r="C1082" t="str">
        <x:v>004870</x:v>
      </x:c>
      <x:c r="D1082" t="str">
        <x:v>티웨이홀딩스</x:v>
      </x:c>
      <x:c r="E1082" t="str">
        <x:v>KOSPI</x:v>
      </x:c>
      <x:c r="F1082" t="str">
        <x:v>SMALL</x:v>
      </x:c>
      <x:c r="G1082" t="str">
        <x:v>EXCLUDED_ARCHETYPE</x:v>
      </x:c>
      <x:c r="H1082" t="str">
        <x:v>FCFF_NOT_COMPARABLE_FOR_FINANCE_OR_HOLDING_HINT</x:v>
      </x:c>
      <x:c r="I1082" s="54"/>
      <x:c r="J1082" s="55"/>
      <x:c r="K1082" s="55"/>
      <x:c r="L1082" s="55"/>
      <x:c r="M1082"/>
      <x:c r="N1082"/>
      <x:c r="O1082" s="54"/>
      <x:c r="P1082"/>
      <x:c r="Q1082"/>
      <x:c r="R1082"/>
      <x:c r="S1082"/>
      <x:c r="T1082"/>
      <x:c r="U1082" s="57"/>
      <x:c r="V1082" s="57"/>
      <x:c r="W1082"/>
      <x:c r="X1082"/>
      <x:c r="Y1082" s="38"/>
      <x:c r="Z1082" s="38"/>
      <x:c r="AA1082"/>
    </x:row>
    <x:row r="1083">
      <x:c r="A1083" s="54" t="n">
        <x:v>44561</x:v>
      </x:c>
      <x:c r="B1083" t="n">
        <x:v>44561.624999988424</x:v>
      </x:c>
      <x:c r="C1083" t="str">
        <x:v>010770</x:v>
      </x:c>
      <x:c r="D1083" t="str">
        <x:v>평화홀딩스</x:v>
      </x:c>
      <x:c r="E1083" t="str">
        <x:v>KOSPI</x:v>
      </x:c>
      <x:c r="F1083" t="str">
        <x:v>SMALL</x:v>
      </x:c>
      <x:c r="G1083" t="str">
        <x:v>EXCLUDED_ARCHETYPE</x:v>
      </x:c>
      <x:c r="H1083" t="str">
        <x:v>FCFF_NOT_COMPARABLE_FOR_FINANCE_OR_HOLDING_HINT</x:v>
      </x:c>
      <x:c r="I1083" s="54"/>
      <x:c r="J1083" s="55"/>
      <x:c r="K1083" s="55"/>
      <x:c r="L1083" s="55"/>
      <x:c r="M1083"/>
      <x:c r="N1083"/>
      <x:c r="O1083" s="54"/>
      <x:c r="P1083"/>
      <x:c r="Q1083"/>
      <x:c r="R1083"/>
      <x:c r="S1083"/>
      <x:c r="T1083"/>
      <x:c r="U1083" s="57"/>
      <x:c r="V1083" s="57"/>
      <x:c r="W1083"/>
      <x:c r="X1083"/>
      <x:c r="Y1083" s="38"/>
      <x:c r="Z1083" s="38"/>
      <x:c r="AA1083"/>
    </x:row>
    <x:row r="1084">
      <x:c r="A1084" s="54" t="n">
        <x:v>44561</x:v>
      </x:c>
      <x:c r="B1084" t="n">
        <x:v>44561.624999988424</x:v>
      </x:c>
      <x:c r="C1084" t="str">
        <x:v>001290</x:v>
      </x:c>
      <x:c r="D1084" t="str">
        <x:v>상상인증권</x:v>
      </x:c>
      <x:c r="E1084" t="str">
        <x:v>KOSPI</x:v>
      </x:c>
      <x:c r="F1084" t="str">
        <x:v>SMALL</x:v>
      </x:c>
      <x:c r="G1084" t="str">
        <x:v>EXCLUDED_ARCHETYPE</x:v>
      </x:c>
      <x:c r="H1084" t="str">
        <x:v>FCFF_NOT_COMPARABLE_FOR_FINANCE_OR_HOLDING_HINT</x:v>
      </x:c>
      <x:c r="I1084" s="54"/>
      <x:c r="J1084" s="55"/>
      <x:c r="K1084" s="55"/>
      <x:c r="L1084" s="55"/>
      <x:c r="M1084"/>
      <x:c r="N1084"/>
      <x:c r="O1084" s="54"/>
      <x:c r="P1084"/>
      <x:c r="Q1084"/>
      <x:c r="R1084"/>
      <x:c r="S1084"/>
      <x:c r="T1084"/>
      <x:c r="U1084" s="57"/>
      <x:c r="V1084" s="57"/>
      <x:c r="W1084"/>
      <x:c r="X1084"/>
      <x:c r="Y1084" s="38"/>
      <x:c r="Z1084" s="38"/>
      <x:c r="AA1084"/>
    </x:row>
    <x:row r="1085">
      <x:c r="A1085" s="54" t="n">
        <x:v>44561</x:v>
      </x:c>
      <x:c r="B1085" t="n">
        <x:v>44561.624999988424</x:v>
      </x:c>
      <x:c r="C1085" t="str">
        <x:v>047400</x:v>
      </x:c>
      <x:c r="D1085" t="str">
        <x:v>유니온머티리얼</x:v>
      </x:c>
      <x:c r="E1085" t="str">
        <x:v>KOSPI</x:v>
      </x:c>
      <x:c r="F1085" t="str">
        <x:v>SMALL</x:v>
      </x:c>
      <x:c r="G1085" t="str">
        <x:v>DCF_SCREENING_EXCLUSION</x:v>
      </x:c>
      <x:c r="H1085" t="str">
        <x:v>NON_POSITIVE_ENTERPRISE_VALUE|NON_POSITIVE_EQUITY_VALUE|NON_POSITIVE_TERMINAL_FCF</x:v>
      </x:c>
      <x:c r="I1085" s="54" t="n">
        <x:v>44560</x:v>
      </x:c>
      <x:c r="J1085" s="55" t="n">
        <x:v>3175</x:v>
      </x:c>
      <x:c r="K1085" s="55" t="n">
        <x:v>133350000000</x:v>
      </x:c>
      <x:c r="L1085" s="55" t="n">
        <x:v>42000000</x:v>
      </x:c>
      <x:c r="M1085" t="str">
        <x:v>20210324000592</x:v>
      </x:c>
      <x:c r="N1085" t="n">
        <x:v>44279.624999988424</x:v>
      </x:c>
      <x:c r="O1085" s="54" t="n">
        <x:v>44196</x:v>
      </x:c>
      <x:c r="P1085" t="str">
        <x:v>True</x:v>
      </x:c>
      <x:c r="Q1085" t="str">
        <x:v>2faed762bece4efe260acd74c17d74346c8ef6aa6f53afdefa1b978c7dc7d052</x:v>
      </x:c>
      <x:c r="R1085" t="str">
        <x:v>31d12ab9f9e271f68ae744302cac793c6f69bc826b0d79a0a29618eb0857f543</x:v>
      </x:c>
      <x:c r="S1085" t="n">
        <x:v>7</x:v>
      </x:c>
      <x:c r="T1085" t="str">
        <x:v>2018-12-31|2019-12-31|2020-12-31</x:v>
      </x:c>
      <x:c r="U1085" s="57" t="n">
        <x:v>-2229.2135837385426</x:v>
      </x:c>
      <x:c r="V1085" s="57" t="n">
        <x:v>-1.7021145145633205</x:v>
      </x:c>
      <x:c r="W1085"/>
      <x:c r="X1085"/>
      <x:c r="Y1085" s="38" t="n">
        <x:v>0.6409090909090909</x:v>
      </x:c>
      <x:c r="Z1085" s="38" t="n">
        <x:v>0.6735834371960262</x:v>
      </x:c>
      <x:c r="AA1085" t="str">
        <x:v>NON_POSITIVE_ENTERPRISE_VALUE|NON_POSITIVE_EQUITY_VALUE|NON_POSITIVE_TERMINAL_FCF</x:v>
      </x:c>
    </x:row>
    <x:row r="1086">
      <x:c r="A1086" s="54" t="n">
        <x:v>44561</x:v>
      </x:c>
      <x:c r="B1086" t="n">
        <x:v>44561.624999988424</x:v>
      </x:c>
      <x:c r="C1086" t="str">
        <x:v>011300</x:v>
      </x:c>
      <x:c r="D1086" t="str">
        <x:v>성안머티리얼스</x:v>
      </x:c>
      <x:c r="E1086" t="str">
        <x:v>KOSPI</x:v>
      </x:c>
      <x:c r="F1086" t="str">
        <x:v>SMALL</x:v>
      </x:c>
      <x:c r="G1086" t="str">
        <x:v>DCF_SCREENING_EXCLUSION</x:v>
      </x:c>
      <x:c r="H1086" t="str">
        <x:v>NON_POSITIVE_ENTERPRISE_VALUE|NON_POSITIVE_EQUITY_VALUE|NON_POSITIVE_TERMINAL_FCF</x:v>
      </x:c>
      <x:c r="I1086" s="54" t="n">
        <x:v>44560</x:v>
      </x:c>
      <x:c r="J1086" s="55" t="n">
        <x:v>787</x:v>
      </x:c>
      <x:c r="K1086" s="55" t="n">
        <x:v>44747135820</x:v>
      </x:c>
      <x:c r="L1086" s="55" t="n">
        <x:v>56857860</x:v>
      </x:c>
      <x:c r="M1086" t="str">
        <x:v>20210322001033</x:v>
      </x:c>
      <x:c r="N1086" t="n">
        <x:v>44277.624999988424</x:v>
      </x:c>
      <x:c r="O1086" s="54" t="n">
        <x:v>44196</x:v>
      </x:c>
      <x:c r="P1086" t="str">
        <x:v>False</x:v>
      </x:c>
      <x:c r="Q1086" t="str">
        <x:v>2106ea223b55759e99c628e42f0aa4dd1146510d88b1409612128df1eff9bb36</x:v>
      </x:c>
      <x:c r="R1086" t="str">
        <x:v>1bd0848bc249c4a18db15bd306d437f4d88fa539be03604db1eecc8b9aa8505f</x:v>
      </x:c>
      <x:c r="S1086" t="n">
        <x:v>7</x:v>
      </x:c>
      <x:c r="T1086" t="str">
        <x:v>2018-12-31|2019-12-31|2020-12-31</x:v>
      </x:c>
      <x:c r="U1086" s="57" t="n">
        <x:v>-553.6379200498221</x:v>
      </x:c>
      <x:c r="V1086" s="57" t="n">
        <x:v>-1.7034789327189608</x:v>
      </x:c>
      <x:c r="W1086"/>
      <x:c r="X1086"/>
      <x:c r="Y1086" s="38" t="n">
        <x:v>0.6409090909090909</x:v>
      </x:c>
      <x:c r="Z1086" s="38" t="n">
        <x:v>0.5433432522394165</x:v>
      </x:c>
      <x:c r="AA1086" t="str">
        <x:v>NON_POSITIVE_ENTERPRISE_VALUE|NON_POSITIVE_EQUITY_VALUE|NON_POSITIVE_TERMINAL_FCF</x:v>
      </x:c>
    </x:row>
    <x:row r="1087">
      <x:c r="A1087" s="54" t="n">
        <x:v>44561</x:v>
      </x:c>
      <x:c r="B1087" t="n">
        <x:v>44561.624999988424</x:v>
      </x:c>
      <x:c r="C1087" t="str">
        <x:v>018500</x:v>
      </x:c>
      <x:c r="D1087" t="str">
        <x:v>동원금속</x:v>
      </x:c>
      <x:c r="E1087" t="str">
        <x:v>KOSPI</x:v>
      </x:c>
      <x:c r="F1087" t="str">
        <x:v>SMALL</x:v>
      </x:c>
      <x:c r="G1087" t="str">
        <x:v>DCF_SCREENING_EXCLUSION</x:v>
      </x:c>
      <x:c r="H1087" t="str">
        <x:v>NON_POSITIVE_ENTERPRISE_VALUE|NON_POSITIVE_EQUITY_VALUE|NON_POSITIVE_TERMINAL_FCF</x:v>
      </x:c>
      <x:c r="I1087" s="54" t="n">
        <x:v>44560</x:v>
      </x:c>
      <x:c r="J1087" s="55" t="n">
        <x:v>935</x:v>
      </x:c>
      <x:c r="K1087" s="55" t="n">
        <x:v>43715862355</x:v>
      </x:c>
      <x:c r="L1087" s="55" t="n">
        <x:v>46754933</x:v>
      </x:c>
      <x:c r="M1087" t="str">
        <x:v>20210706000358</x:v>
      </x:c>
      <x:c r="N1087" t="n">
        <x:v>44383.624999988424</x:v>
      </x:c>
      <x:c r="O1087" s="54" t="n">
        <x:v>44286</x:v>
      </x:c>
      <x:c r="P1087" t="str">
        <x:v>True</x:v>
      </x:c>
      <x:c r="Q1087" t="str">
        <x:v>34acd4b6c3c90f671df7c2ff4fbad14dcf4b042bba48e36d00996832fd2d94e8</x:v>
      </x:c>
      <x:c r="R1087" t="str">
        <x:v>f45dcfeb5d3acbf32f6ffb4ab54abf9ce874566c82fd293e98007c31f788c248</x:v>
      </x:c>
      <x:c r="S1087" t="n">
        <x:v>6</x:v>
      </x:c>
      <x:c r="T1087" t="str">
        <x:v>2019-03-31|2020-03-31|2021-03-31</x:v>
      </x:c>
      <x:c r="U1087" s="57" t="n">
        <x:v>-5809.189378425994</x:v>
      </x:c>
      <x:c r="V1087" s="57" t="n">
        <x:v>-7.213036768370047</x:v>
      </x:c>
      <x:c r="W1087"/>
      <x:c r="X1087"/>
      <x:c r="Y1087" s="38" t="n">
        <x:v>0.6409090909090909</x:v>
      </x:c>
      <x:c r="Z1087" s="38" t="n">
        <x:v>0.6275845905541696</x:v>
      </x:c>
      <x:c r="AA1087" t="str">
        <x:v>NON_POSITIVE_ENTERPRISE_VALUE|NON_POSITIVE_EQUITY_VALUE|NON_POSITIVE_TERMINAL_FCF</x:v>
      </x:c>
    </x:row>
    <x:row r="1088">
      <x:c r="A1088" s="54" t="n">
        <x:v>44561</x:v>
      </x:c>
      <x:c r="B1088" t="n">
        <x:v>44561.624999988424</x:v>
      </x:c>
      <x:c r="C1088" t="str">
        <x:v>004770</x:v>
      </x:c>
      <x:c r="D1088" t="str">
        <x:v>써니전자</x:v>
      </x:c>
      <x:c r="E1088" t="str">
        <x:v>KOSPI</x:v>
      </x:c>
      <x:c r="F1088" t="str">
        <x:v>SMALL</x:v>
      </x:c>
      <x:c r="G1088" t="str">
        <x:v>ELIGIBLE</x:v>
      </x:c>
      <x:c r="H1088"/>
      <x:c r="I1088" s="54" t="n">
        <x:v>44560</x:v>
      </x:c>
      <x:c r="J1088" s="55" t="n">
        <x:v>4660</x:v>
      </x:c>
      <x:c r="K1088" s="55" t="n">
        <x:v>162377751260</x:v>
      </x:c>
      <x:c r="L1088" s="55" t="n">
        <x:v>34845011</x:v>
      </x:c>
      <x:c r="M1088" t="str">
        <x:v>20210318001127</x:v>
      </x:c>
      <x:c r="N1088" t="n">
        <x:v>44273.624999988424</x:v>
      </x:c>
      <x:c r="O1088" s="54" t="n">
        <x:v>44196</x:v>
      </x:c>
      <x:c r="P1088" t="str">
        <x:v>False</x:v>
      </x:c>
      <x:c r="Q1088" t="str">
        <x:v>8b46655e02d4d6df87342d4e9f3beed4234a02867bf3c0cc2acaf8a4b4b8ceff</x:v>
      </x:c>
      <x:c r="R1088" t="str">
        <x:v>2d64983843eedd99a29c8a305de0e6225eef28cdaaf42e87f829e3e2ae667fae</x:v>
      </x:c>
      <x:c r="S1088" t="n">
        <x:v>7</x:v>
      </x:c>
      <x:c r="T1088" t="str">
        <x:v>2018-12-31|2019-12-31|2020-12-31</x:v>
      </x:c>
      <x:c r="U1088" s="57" t="n">
        <x:v>377.3620034860074</x:v>
      </x:c>
      <x:c r="V1088" s="57" t="n">
        <x:v>-0.9190210292948482</x:v>
      </x:c>
      <x:c r="W1088" t="n">
        <x:v>55</x:v>
      </x:c>
      <x:c r="X1088" t="n">
        <x:v>5</x:v>
      </x:c>
      <x:c r="Y1088" s="38" t="n">
        <x:v>0.6409090909090909</x:v>
      </x:c>
      <x:c r="Z1088" s="38" t="n">
        <x:v>0.6197720007781818</x:v>
      </x:c>
      <x:c r="AA1088"/>
    </x:row>
    <x:row r="1089">
      <x:c r="A1089" s="54" t="n">
        <x:v>44561</x:v>
      </x:c>
      <x:c r="B1089" t="n">
        <x:v>44561.624999988424</x:v>
      </x:c>
      <x:c r="C1089" t="str">
        <x:v>000890</x:v>
      </x:c>
      <x:c r="D1089" t="str">
        <x:v>보해양조</x:v>
      </x:c>
      <x:c r="E1089" t="str">
        <x:v>KOSPI</x:v>
      </x:c>
      <x:c r="F1089" t="str">
        <x:v>SMALL</x:v>
      </x:c>
      <x:c r="G1089" t="str">
        <x:v>DCF_SCREENING_EXCLUSION</x:v>
      </x:c>
      <x:c r="H1089" t="str">
        <x:v>NON_POSITIVE_ENTERPRISE_VALUE|NON_POSITIVE_EQUITY_VALUE|NON_POSITIVE_TERMINAL_FCF</x:v>
      </x:c>
      <x:c r="I1089" s="54" t="n">
        <x:v>44560</x:v>
      </x:c>
      <x:c r="J1089" s="55" t="n">
        <x:v>905</x:v>
      </x:c>
      <x:c r="K1089" s="55" t="n">
        <x:v>124903103495</x:v>
      </x:c>
      <x:c r="L1089" s="55" t="n">
        <x:v>138014479</x:v>
      </x:c>
      <x:c r="M1089" t="str">
        <x:v>20210319001392</x:v>
      </x:c>
      <x:c r="N1089" t="n">
        <x:v>44274.624999988424</x:v>
      </x:c>
      <x:c r="O1089" s="54" t="n">
        <x:v>44196</x:v>
      </x:c>
      <x:c r="P1089" t="str">
        <x:v>False</x:v>
      </x:c>
      <x:c r="Q1089" t="str">
        <x:v>3ebd0ea485dc0545ca2c22786df39759939993a7fe3ad4d4e499c45ece23d6af</x:v>
      </x:c>
      <x:c r="R1089" t="str">
        <x:v>3d3a12bbb7c7aba20832505d64161e571ecfdd76d0d3491c6f35c84ea3ed6531</x:v>
      </x:c>
      <x:c r="S1089" t="n">
        <x:v>6</x:v>
      </x:c>
      <x:c r="T1089" t="str">
        <x:v>2018-12-31|2019-12-31|2020-12-31</x:v>
      </x:c>
      <x:c r="U1089" s="57" t="n">
        <x:v>-633.6055003372389</x:v>
      </x:c>
      <x:c r="V1089" s="57" t="n">
        <x:v>-1.700116574958275</x:v>
      </x:c>
      <x:c r="W1089"/>
      <x:c r="X1089"/>
      <x:c r="Y1089" s="38" t="n">
        <x:v>0.6409090909090909</x:v>
      </x:c>
      <x:c r="Z1089" s="38" t="n">
        <x:v>0.8074010878060912</x:v>
      </x:c>
      <x:c r="AA1089" t="str">
        <x:v>NON_POSITIVE_ENTERPRISE_VALUE|NON_POSITIVE_EQUITY_VALUE|NON_POSITIVE_TERMINAL_FCF</x:v>
      </x:c>
    </x:row>
    <x:row r="1090">
      <x:c r="A1090" s="54" t="n">
        <x:v>44561</x:v>
      </x:c>
      <x:c r="B1090" t="n">
        <x:v>44561.624999988424</x:v>
      </x:c>
      <x:c r="C1090" t="str">
        <x:v>021050</x:v>
      </x:c>
      <x:c r="D1090" t="str">
        <x:v>서원</x:v>
      </x:c>
      <x:c r="E1090" t="str">
        <x:v>KOSPI</x:v>
      </x:c>
      <x:c r="F1090" t="str">
        <x:v>SMALL</x:v>
      </x:c>
      <x:c r="G1090" t="str">
        <x:v>DCF_SCREENING_EXCLUSION</x:v>
      </x:c>
      <x:c r="H1090" t="str">
        <x:v>NON_POSITIVE_EQUITY_VALUE</x:v>
      </x:c>
      <x:c r="I1090" s="54" t="n">
        <x:v>44560</x:v>
      </x:c>
      <x:c r="J1090" s="55" t="n">
        <x:v>1945</x:v>
      </x:c>
      <x:c r="K1090" s="55" t="n">
        <x:v>92338077550</x:v>
      </x:c>
      <x:c r="L1090" s="55" t="n">
        <x:v>47474590</x:v>
      </x:c>
      <x:c r="M1090" t="str">
        <x:v>20210316000275</x:v>
      </x:c>
      <x:c r="N1090" t="n">
        <x:v>44271.624999988424</x:v>
      </x:c>
      <x:c r="O1090" s="54" t="n">
        <x:v>44196</x:v>
      </x:c>
      <x:c r="P1090" t="str">
        <x:v>True</x:v>
      </x:c>
      <x:c r="Q1090" t="str">
        <x:v>73efdb882c6dbec046e0a85be6bef5efcbde2e790f362d5f982aa2fa5d60c28d</x:v>
      </x:c>
      <x:c r="R1090" t="str">
        <x:v>d801b90908bf67fc81182c96dfe87d2f4a696a641f898a93e9a55fc352c3b288</x:v>
      </x:c>
      <x:c r="S1090" t="n">
        <x:v>6</x:v>
      </x:c>
      <x:c r="T1090" t="str">
        <x:v>2018-12-31|2019-12-31|2020-12-31</x:v>
      </x:c>
      <x:c r="U1090" s="57" t="n">
        <x:v>-702.0651112505049</x:v>
      </x:c>
      <x:c r="V1090" s="57" t="n">
        <x:v>-1.3609589260928046</x:v>
      </x:c>
      <x:c r="W1090"/>
      <x:c r="X1090"/>
      <x:c r="Y1090" s="38" t="n">
        <x:v>0.6409090909090909</x:v>
      </x:c>
      <x:c r="Z1090" s="38" t="n">
        <x:v>0.4852218699058834</x:v>
      </x:c>
      <x:c r="AA1090" t="str">
        <x:v>NON_POSITIVE_EQUITY_VALUE</x:v>
      </x:c>
    </x:row>
    <x:row r="1091">
      <x:c r="A1091" s="54" t="n">
        <x:v>44561</x:v>
      </x:c>
      <x:c r="B1091" t="n">
        <x:v>44561.624999988424</x:v>
      </x:c>
      <x:c r="C1091" t="str">
        <x:v>134790</x:v>
      </x:c>
      <x:c r="D1091" t="str">
        <x:v>시디즈</x:v>
      </x:c>
      <x:c r="E1091" t="str">
        <x:v>KOSPI</x:v>
      </x:c>
      <x:c r="F1091" t="str">
        <x:v>SMALL</x:v>
      </x:c>
      <x:c r="G1091" t="str">
        <x:v>ELIGIBLE</x:v>
      </x:c>
      <x:c r="H1091"/>
      <x:c r="I1091" s="54" t="n">
        <x:v>44560</x:v>
      </x:c>
      <x:c r="J1091" s="55" t="n">
        <x:v>61300</x:v>
      </x:c>
      <x:c r="K1091" s="55" t="n">
        <x:v>122600000000</x:v>
      </x:c>
      <x:c r="L1091" s="55" t="n">
        <x:v>2000000</x:v>
      </x:c>
      <x:c r="M1091" t="str">
        <x:v>20210318001352</x:v>
      </x:c>
      <x:c r="N1091" t="n">
        <x:v>44273.624999988424</x:v>
      </x:c>
      <x:c r="O1091" s="54" t="n">
        <x:v>44196</x:v>
      </x:c>
      <x:c r="P1091" t="str">
        <x:v>False</x:v>
      </x:c>
      <x:c r="Q1091" t="str">
        <x:v>bbec5051fd7d2963b05c2d67dd553210910a0744b4b4b13709d57f8439cfb581</x:v>
      </x:c>
      <x:c r="R1091" t="str">
        <x:v>333f706df33904358aee96356488abe24966bbf4f443d47f133e4e13da34c87f</x:v>
      </x:c>
      <x:c r="S1091" t="n">
        <x:v>5</x:v>
      </x:c>
      <x:c r="T1091" t="str">
        <x:v>2018-12-31|2019-12-31|2020-12-31</x:v>
      </x:c>
      <x:c r="U1091" s="57" t="n">
        <x:v>65913.62002204965</x:v>
      </x:c>
      <x:c r="V1091" s="57" t="n">
        <x:v>0.07526296936459459</x:v>
      </x:c>
      <x:c r="W1091" t="n">
        <x:v>12</x:v>
      </x:c>
      <x:c r="X1091" t="n">
        <x:v>1</x:v>
      </x:c>
      <x:c r="Y1091" s="38" t="n">
        <x:v>0.6409090909090909</x:v>
      </x:c>
      <x:c r="Z1091" s="38" t="n">
        <x:v>0.5427113498275224</x:v>
      </x:c>
      <x:c r="AA1091"/>
    </x:row>
    <x:row r="1092">
      <x:c r="A1092" s="54" t="n">
        <x:v>44561</x:v>
      </x:c>
      <x:c r="B1092" t="n">
        <x:v>44561.624999988424</x:v>
      </x:c>
      <x:c r="C1092" t="str">
        <x:v>004920</x:v>
      </x:c>
      <x:c r="D1092" t="str">
        <x:v>씨아이테크</x:v>
      </x:c>
      <x:c r="E1092" t="str">
        <x:v>KOSPI</x:v>
      </x:c>
      <x:c r="F1092" t="str">
        <x:v>SMALL</x:v>
      </x:c>
      <x:c r="G1092" t="str">
        <x:v>DCF_SCREENING_EXCLUSION</x:v>
      </x:c>
      <x:c r="H1092" t="str">
        <x:v>NON_POSITIVE_ENTERPRISE_VALUE|NON_POSITIVE_EQUITY_VALUE|NON_POSITIVE_TERMINAL_FCF</x:v>
      </x:c>
      <x:c r="I1092" s="54" t="n">
        <x:v>44560</x:v>
      </x:c>
      <x:c r="J1092" s="55" t="n">
        <x:v>1525</x:v>
      </x:c>
      <x:c r="K1092" s="55" t="n">
        <x:v>60926371475</x:v>
      </x:c>
      <x:c r="L1092" s="55" t="n">
        <x:v>39951719</x:v>
      </x:c>
      <x:c r="M1092" t="str">
        <x:v>20210517001174</x:v>
      </x:c>
      <x:c r="N1092" t="n">
        <x:v>44333.624999988424</x:v>
      </x:c>
      <x:c r="O1092" s="54" t="n">
        <x:v>44196</x:v>
      </x:c>
      <x:c r="P1092" t="str">
        <x:v>True</x:v>
      </x:c>
      <x:c r="Q1092" t="str">
        <x:v>66e8d18c70a6324482b58b5b75526fe2324b78ec82bb3ca7dc4551e741147840</x:v>
      </x:c>
      <x:c r="R1092" t="str">
        <x:v>5c8e319f2a8f315cf510b2d1e565b645c500fdf05714c6435f217b28c907a455</x:v>
      </x:c>
      <x:c r="S1092" t="n">
        <x:v>6</x:v>
      </x:c>
      <x:c r="T1092" t="str">
        <x:v>2018-12-31|2019-12-31|2020-12-31</x:v>
      </x:c>
      <x:c r="U1092" s="57" t="n">
        <x:v>-1237.1042599933216</x:v>
      </x:c>
      <x:c r="V1092" s="57" t="n">
        <x:v>-1.811215908192342</x:v>
      </x:c>
      <x:c r="W1092"/>
      <x:c r="X1092"/>
      <x:c r="Y1092" s="38" t="n">
        <x:v>0.6409090909090909</x:v>
      </x:c>
      <x:c r="Z1092" s="38" t="n">
        <x:v>0.6486341432306945</x:v>
      </x:c>
      <x:c r="AA1092" t="str">
        <x:v>NON_POSITIVE_ENTERPRISE_VALUE|NON_POSITIVE_EQUITY_VALUE|NON_POSITIVE_TERMINAL_FCF</x:v>
      </x:c>
    </x:row>
    <x:row r="1093">
      <x:c r="A1093" s="54" t="n">
        <x:v>44561</x:v>
      </x:c>
      <x:c r="B1093" t="n">
        <x:v>44561.624999988424</x:v>
      </x:c>
      <x:c r="C1093" t="str">
        <x:v>058730</x:v>
      </x:c>
      <x:c r="D1093" t="str">
        <x:v>다스코</x:v>
      </x:c>
      <x:c r="E1093" t="str">
        <x:v>KOSPI</x:v>
      </x:c>
      <x:c r="F1093" t="str">
        <x:v>SMALL</x:v>
      </x:c>
      <x:c r="G1093" t="str">
        <x:v>DCF_SCREENING_EXCLUSION</x:v>
      </x:c>
      <x:c r="H1093" t="str">
        <x:v>NON_POSITIVE_ENTERPRISE_VALUE|NON_POSITIVE_EQUITY_VALUE|NON_POSITIVE_TERMINAL_FCF</x:v>
      </x:c>
      <x:c r="I1093" s="54" t="n">
        <x:v>44560</x:v>
      </x:c>
      <x:c r="J1093" s="55" t="n">
        <x:v>4875</x:v>
      </x:c>
      <x:c r="K1093" s="55" t="n">
        <x:v>82273234875</x:v>
      </x:c>
      <x:c r="L1093" s="55" t="n">
        <x:v>16876561</x:v>
      </x:c>
      <x:c r="M1093" t="str">
        <x:v>20210316001150</x:v>
      </x:c>
      <x:c r="N1093" t="n">
        <x:v>44271.624999988424</x:v>
      </x:c>
      <x:c r="O1093" s="54" t="n">
        <x:v>44196</x:v>
      </x:c>
      <x:c r="P1093" t="str">
        <x:v>False</x:v>
      </x:c>
      <x:c r="Q1093" t="str">
        <x:v>8dfc70c6b5993aec2efab81d35934041997bfd958270fd3a3d944e267a7efbba</x:v>
      </x:c>
      <x:c r="R1093" t="str">
        <x:v>010b4042ec3eefbdf97231545d2680dde64fc7665586c51d7e217cd2b1fccaa4</x:v>
      </x:c>
      <x:c r="S1093" t="n">
        <x:v>7</x:v>
      </x:c>
      <x:c r="T1093" t="str">
        <x:v>2019-12-31|2020-12-31</x:v>
      </x:c>
      <x:c r="U1093" s="57" t="n">
        <x:v>-13781.220991300614</x:v>
      </x:c>
      <x:c r="V1093" s="57" t="n">
        <x:v>-3.8269171264206387</x:v>
      </x:c>
      <x:c r="W1093"/>
      <x:c r="X1093"/>
      <x:c r="Y1093" s="38" t="n">
        <x:v>0.6409090909090909</x:v>
      </x:c>
      <x:c r="Z1093" s="38" t="n">
        <x:v>0.5914021055729185</x:v>
      </x:c>
      <x:c r="AA1093" t="str">
        <x:v>NON_POSITIVE_ENTERPRISE_VALUE|NON_POSITIVE_EQUITY_VALUE|NON_POSITIVE_TERMINAL_FCF</x:v>
      </x:c>
    </x:row>
    <x:row r="1094">
      <x:c r="A1094" s="54" t="n">
        <x:v>44561</x:v>
      </x:c>
      <x:c r="B1094" t="n">
        <x:v>44561.624999988424</x:v>
      </x:c>
      <x:c r="C1094" t="str">
        <x:v>465770</x:v>
      </x:c>
      <x:c r="D1094" t="str">
        <x:v>STX그린로지스</x:v>
      </x:c>
      <x:c r="E1094" t="str">
        <x:v>KOSPI</x:v>
      </x:c>
      <x:c r="F1094" t="str">
        <x:v>SMALL</x:v>
      </x:c>
      <x:c r="G1094" t="str">
        <x:v>NOT_LISTED_OR_NO_PRICE</x:v>
      </x:c>
      <x:c r="H1094"/>
      <x:c r="I1094" s="54"/>
      <x:c r="J1094" s="55"/>
      <x:c r="K1094" s="55"/>
      <x:c r="L1094" s="55"/>
      <x:c r="M1094"/>
      <x:c r="N1094"/>
      <x:c r="O1094" s="54"/>
      <x:c r="P1094"/>
      <x:c r="Q1094"/>
      <x:c r="R1094"/>
      <x:c r="S1094"/>
      <x:c r="T1094"/>
      <x:c r="U1094" s="57"/>
      <x:c r="V1094" s="57"/>
      <x:c r="W1094"/>
      <x:c r="X1094"/>
      <x:c r="Y1094" s="38"/>
      <x:c r="Z1094" s="38"/>
      <x:c r="AA1094"/>
    </x:row>
    <x:row r="1095">
      <x:c r="A1095" s="54" t="n">
        <x:v>44561</x:v>
      </x:c>
      <x:c r="B1095" t="n">
        <x:v>44561.624999988424</x:v>
      </x:c>
      <x:c r="C1095" t="str">
        <x:v>000950</x:v>
      </x:c>
      <x:c r="D1095" t="str">
        <x:v>전방</x:v>
      </x:c>
      <x:c r="E1095" t="str">
        <x:v>KOSPI</x:v>
      </x:c>
      <x:c r="F1095" t="str">
        <x:v>SMALL</x:v>
      </x:c>
      <x:c r="G1095" t="str">
        <x:v>DCF_SCREENING_EXCLUSION</x:v>
      </x:c>
      <x:c r="H1095" t="str">
        <x:v>NON_POSITIVE_ENTERPRISE_VALUE|NON_POSITIVE_EQUITY_VALUE|NON_POSITIVE_TERMINAL_FCF</x:v>
      </x:c>
      <x:c r="I1095" s="54" t="n">
        <x:v>44560</x:v>
      </x:c>
      <x:c r="J1095" s="55" t="n">
        <x:v>40200</x:v>
      </x:c>
      <x:c r="K1095" s="55" t="n">
        <x:v>67536000000</x:v>
      </x:c>
      <x:c r="L1095" s="55" t="n">
        <x:v>1680000</x:v>
      </x:c>
      <x:c r="M1095" t="str">
        <x:v>20210318001043</x:v>
      </x:c>
      <x:c r="N1095" t="n">
        <x:v>44273.624999988424</x:v>
      </x:c>
      <x:c r="O1095" s="54" t="n">
        <x:v>44196</x:v>
      </x:c>
      <x:c r="P1095" t="str">
        <x:v>True</x:v>
      </x:c>
      <x:c r="Q1095" t="str">
        <x:v>b9fce772dc76b7ae2389c35c5f42b15687248a14ec4558001dc0b3fd7b82c14f</x:v>
      </x:c>
      <x:c r="R1095" t="str">
        <x:v>b2af0a79a767b6ea71178f9d2c455f0dc00e1e9c048e495347b3014fccc714b3</x:v>
      </x:c>
      <x:c r="S1095" t="n">
        <x:v>6</x:v>
      </x:c>
      <x:c r="T1095" t="str">
        <x:v>2018-12-31|2019-12-31|2020-12-31</x:v>
      </x:c>
      <x:c r="U1095" s="57" t="n">
        <x:v>-162503.159462934</x:v>
      </x:c>
      <x:c r="V1095" s="57" t="n">
        <x:v>-5.0423671508192545</x:v>
      </x:c>
      <x:c r="W1095"/>
      <x:c r="X1095"/>
      <x:c r="Y1095" s="38" t="n">
        <x:v>0.6409090909090909</x:v>
      </x:c>
      <x:c r="Z1095" s="38" t="n">
        <x:v>0.6472126296725118</x:v>
      </x:c>
      <x:c r="AA1095" t="str">
        <x:v>NON_POSITIVE_ENTERPRISE_VALUE|NON_POSITIVE_EQUITY_VALUE|NON_POSITIVE_TERMINAL_FCF</x:v>
      </x:c>
    </x:row>
    <x:row r="1096">
      <x:c r="A1096" s="54" t="n">
        <x:v>44561</x:v>
      </x:c>
      <x:c r="B1096" t="n">
        <x:v>44561.624999988424</x:v>
      </x:c>
      <x:c r="C1096" t="str">
        <x:v>019180</x:v>
      </x:c>
      <x:c r="D1096" t="str">
        <x:v>티에이치엔</x:v>
      </x:c>
      <x:c r="E1096" t="str">
        <x:v>KOSPI</x:v>
      </x:c>
      <x:c r="F1096" t="str">
        <x:v>SMALL</x:v>
      </x:c>
      <x:c r="G1096" t="str">
        <x:v>DCF_SCREENING_EXCLUSION</x:v>
      </x:c>
      <x:c r="H1096" t="str">
        <x:v>NON_POSITIVE_EQUITY_VALUE</x:v>
      </x:c>
      <x:c r="I1096" s="54" t="n">
        <x:v>44560</x:v>
      </x:c>
      <x:c r="J1096" s="55" t="n">
        <x:v>4370</x:v>
      </x:c>
      <x:c r="K1096" s="55" t="n">
        <x:v>78660000000</x:v>
      </x:c>
      <x:c r="L1096" s="55" t="n">
        <x:v>18000000</x:v>
      </x:c>
      <x:c r="M1096" t="str">
        <x:v>20210322000959</x:v>
      </x:c>
      <x:c r="N1096" t="n">
        <x:v>44277.624999988424</x:v>
      </x:c>
      <x:c r="O1096" s="54" t="n">
        <x:v>44196</x:v>
      </x:c>
      <x:c r="P1096" t="str">
        <x:v>False</x:v>
      </x:c>
      <x:c r="Q1096" t="str">
        <x:v>dcc2eb809f089d8f0282266cd53a4e0a7dffd3144c6f92583d2a74e829b95a88</x:v>
      </x:c>
      <x:c r="R1096" t="str">
        <x:v>45f16c0a252fa9b1dfc1521848f4f7956a7b81d8e6aca21436581ee34fc2bd09</x:v>
      </x:c>
      <x:c r="S1096" t="n">
        <x:v>6</x:v>
      </x:c>
      <x:c r="T1096" t="str">
        <x:v>2018-12-31|2019-12-31|2020-12-31</x:v>
      </x:c>
      <x:c r="U1096" s="57" t="n">
        <x:v>-406.0032717832165</x:v>
      </x:c>
      <x:c r="V1096" s="57" t="n">
        <x:v>-1.0929069271815142</x:v>
      </x:c>
      <x:c r="W1096"/>
      <x:c r="X1096"/>
      <x:c r="Y1096" s="38" t="n">
        <x:v>0.6409090909090909</x:v>
      </x:c>
      <x:c r="Z1096" s="38" t="n">
        <x:v>0.6691391429386849</x:v>
      </x:c>
      <x:c r="AA1096" t="str">
        <x:v>NON_POSITIVE_EQUITY_VALUE</x:v>
      </x:c>
    </x:row>
    <x:row r="1097">
      <x:c r="A1097" s="54" t="n">
        <x:v>44561</x:v>
      </x:c>
      <x:c r="B1097" t="n">
        <x:v>44561.624999988424</x:v>
      </x:c>
      <x:c r="C1097" t="str">
        <x:v>020760</x:v>
      </x:c>
      <x:c r="D1097" t="str">
        <x:v>일진디스플</x:v>
      </x:c>
      <x:c r="E1097" t="str">
        <x:v>KOSPI</x:v>
      </x:c>
      <x:c r="F1097" t="str">
        <x:v>SMALL</x:v>
      </x:c>
      <x:c r="G1097" t="str">
        <x:v>DCF_SCREENING_EXCLUSION</x:v>
      </x:c>
      <x:c r="H1097" t="str">
        <x:v>NON_POSITIVE_ENTERPRISE_VALUE|NON_POSITIVE_EQUITY_VALUE|NON_POSITIVE_TERMINAL_FCF</x:v>
      </x:c>
      <x:c r="I1097" s="54" t="n">
        <x:v>44560</x:v>
      </x:c>
      <x:c r="J1097" s="55" t="n">
        <x:v>2535</x:v>
      </x:c>
      <x:c r="K1097" s="55" t="n">
        <x:v>87377105010</x:v>
      </x:c>
      <x:c r="L1097" s="55" t="n">
        <x:v>34468286</x:v>
      </x:c>
      <x:c r="M1097" t="str">
        <x:v>20210322000864</x:v>
      </x:c>
      <x:c r="N1097" t="n">
        <x:v>44277.624999988424</x:v>
      </x:c>
      <x:c r="O1097" s="54" t="n">
        <x:v>44196</x:v>
      </x:c>
      <x:c r="P1097" t="str">
        <x:v>False</x:v>
      </x:c>
      <x:c r="Q1097" t="str">
        <x:v>e9f4664126663cbf637197aa770940321f9f688bdb470a5399e39067f4e252f2</x:v>
      </x:c>
      <x:c r="R1097" t="str">
        <x:v>6950d488aab80f446aa4eb46a2b5e0821eb5f2f08677512a5cd21decf601d04c</x:v>
      </x:c>
      <x:c r="S1097" t="n">
        <x:v>6</x:v>
      </x:c>
      <x:c r="T1097" t="str">
        <x:v>2018-12-31|2019-12-31|2020-12-31</x:v>
      </x:c>
      <x:c r="U1097" s="57" t="n">
        <x:v>-4177.04498744415</x:v>
      </x:c>
      <x:c r="V1097" s="57" t="n">
        <x:v>-2.647749501950355</x:v>
      </x:c>
      <x:c r="W1097"/>
      <x:c r="X1097"/>
      <x:c r="Y1097" s="38" t="n">
        <x:v>0.6409090909090909</x:v>
      </x:c>
      <x:c r="Z1097" s="38" t="n">
        <x:v>0.6150493354495464</x:v>
      </x:c>
      <x:c r="AA1097" t="str">
        <x:v>NON_POSITIVE_ENTERPRISE_VALUE|NON_POSITIVE_EQUITY_VALUE|NON_POSITIVE_TERMINAL_FCF</x:v>
      </x:c>
    </x:row>
    <x:row r="1098">
      <x:c r="A1098" s="54" t="n">
        <x:v>44561</x:v>
      </x:c>
      <x:c r="B1098" t="n">
        <x:v>44561.624999988424</x:v>
      </x:c>
      <x:c r="C1098" t="str">
        <x:v>069640</x:v>
      </x:c>
      <x:c r="D1098" t="str">
        <x:v>한세엠케이</x:v>
      </x:c>
      <x:c r="E1098" t="str">
        <x:v>KOSPI</x:v>
      </x:c>
      <x:c r="F1098" t="str">
        <x:v>SMALL</x:v>
      </x:c>
      <x:c r="G1098" t="str">
        <x:v>DCF_SCREENING_EXCLUSION</x:v>
      </x:c>
      <x:c r="H1098" t="str">
        <x:v>NON_POSITIVE_ENTERPRISE_VALUE|NON_POSITIVE_EQUITY_VALUE|NON_POSITIVE_TERMINAL_FCF</x:v>
      </x:c>
      <x:c r="I1098" s="54" t="n">
        <x:v>44560</x:v>
      </x:c>
      <x:c r="J1098" s="55" t="n">
        <x:v>4025</x:v>
      </x:c>
      <x:c r="K1098" s="55" t="n">
        <x:v>51960021050</x:v>
      </x:c>
      <x:c r="L1098" s="55" t="n">
        <x:v>12909322</x:v>
      </x:c>
      <x:c r="M1098" t="str">
        <x:v>20210317000840</x:v>
      </x:c>
      <x:c r="N1098" t="n">
        <x:v>44272.624999988424</x:v>
      </x:c>
      <x:c r="O1098" s="54" t="n">
        <x:v>44196</x:v>
      </x:c>
      <x:c r="P1098" t="str">
        <x:v>False</x:v>
      </x:c>
      <x:c r="Q1098" t="str">
        <x:v>30070d2f86e7097f4ab06bbd9e803616ed683652123719f330f3ffd5fd22061f</x:v>
      </x:c>
      <x:c r="R1098" t="str">
        <x:v>1a287fbe09384b59e5d44ee21b46541e4adcd34e611491cf8692e82320de6d79</x:v>
      </x:c>
      <x:c r="S1098" t="n">
        <x:v>6</x:v>
      </x:c>
      <x:c r="T1098" t="str">
        <x:v>2018-12-31|2019-12-31|2020-12-31</x:v>
      </x:c>
      <x:c r="U1098" s="57" t="n">
        <x:v>-10888.3580812113</x:v>
      </x:c>
      <x:c r="V1098" s="57" t="n">
        <x:v>-3.7051821319779625</x:v>
      </x:c>
      <x:c r="W1098"/>
      <x:c r="X1098"/>
      <x:c r="Y1098" s="38" t="n">
        <x:v>0.6409090909090909</x:v>
      </x:c>
      <x:c r="Z1098" s="38" t="n">
        <x:v>0.6903042520738043</x:v>
      </x:c>
      <x:c r="AA1098" t="str">
        <x:v>NON_POSITIVE_ENTERPRISE_VALUE|NON_POSITIVE_EQUITY_VALUE|NON_POSITIVE_TERMINAL_FCF</x:v>
      </x:c>
    </x:row>
    <x:row r="1099">
      <x:c r="A1099" s="54" t="n">
        <x:v>44561</x:v>
      </x:c>
      <x:c r="B1099" t="n">
        <x:v>44561.624999988424</x:v>
      </x:c>
      <x:c r="C1099" t="str">
        <x:v>000040</x:v>
      </x:c>
      <x:c r="D1099" t="str">
        <x:v>KR모터스</x:v>
      </x:c>
      <x:c r="E1099" t="str">
        <x:v>KOSPI</x:v>
      </x:c>
      <x:c r="F1099" t="str">
        <x:v>SMALL</x:v>
      </x:c>
      <x:c r="G1099" t="str">
        <x:v>DCF_SCREENING_EXCLUSION</x:v>
      </x:c>
      <x:c r="H1099" t="str">
        <x:v>NON_POSITIVE_ENTERPRISE_VALUE|NON_POSITIVE_EQUITY_VALUE|NON_POSITIVE_TERMINAL_FCF</x:v>
      </x:c>
      <x:c r="I1099" s="54" t="n">
        <x:v>44560</x:v>
      </x:c>
      <x:c r="J1099" s="55" t="n">
        <x:v>865</x:v>
      </x:c>
      <x:c r="K1099" s="55" t="n">
        <x:v>83158823320</x:v>
      </x:c>
      <x:c r="L1099" s="55" t="n">
        <x:v>96137368</x:v>
      </x:c>
      <x:c r="M1099" t="str">
        <x:v>20210322000894</x:v>
      </x:c>
      <x:c r="N1099" t="n">
        <x:v>44277.624999988424</x:v>
      </x:c>
      <x:c r="O1099" s="54" t="n">
        <x:v>44196</x:v>
      </x:c>
      <x:c r="P1099" t="str">
        <x:v>False</x:v>
      </x:c>
      <x:c r="Q1099" t="str">
        <x:v>32730308c1179d81214edd84bb6f3c6bd7008b5c3e9b979f9c1d09ea04f35077</x:v>
      </x:c>
      <x:c r="R1099" t="str">
        <x:v>968b10afb418bce0ef16d9259e23e33f1bb845c955763eed1aac3733bcf42acf</x:v>
      </x:c>
      <x:c r="S1099" t="n">
        <x:v>5</x:v>
      </x:c>
      <x:c r="T1099" t="str">
        <x:v>2018-12-31|2019-12-31|2020-12-31</x:v>
      </x:c>
      <x:c r="U1099" s="57" t="n">
        <x:v>-1947.480309538163</x:v>
      </x:c>
      <x:c r="V1099" s="57" t="n">
        <x:v>-3.251422323165506</x:v>
      </x:c>
      <x:c r="W1099"/>
      <x:c r="X1099"/>
      <x:c r="Y1099" s="38" t="n">
        <x:v>0.6409090909090909</x:v>
      </x:c>
      <x:c r="Z1099" s="38" t="n">
        <x:v>0.7887537334802602</x:v>
      </x:c>
      <x:c r="AA1099" t="str">
        <x:v>NON_POSITIVE_ENTERPRISE_VALUE|NON_POSITIVE_EQUITY_VALUE|NON_POSITIVE_TERMINAL_FCF</x:v>
      </x:c>
    </x:row>
    <x:row r="1100">
      <x:c r="A1100" s="54" t="n">
        <x:v>44561</x:v>
      </x:c>
      <x:c r="B1100" t="n">
        <x:v>44561.624999988424</x:v>
      </x:c>
      <x:c r="C1100" t="str">
        <x:v>003680</x:v>
      </x:c>
      <x:c r="D1100" t="str">
        <x:v>한성기업</x:v>
      </x:c>
      <x:c r="E1100" t="str">
        <x:v>KOSPI</x:v>
      </x:c>
      <x:c r="F1100" t="str">
        <x:v>SMALL</x:v>
      </x:c>
      <x:c r="G1100" t="str">
        <x:v>DCF_SCREENING_EXCLUSION</x:v>
      </x:c>
      <x:c r="H1100" t="str">
        <x:v>NON_POSITIVE_EQUITY_VALUE</x:v>
      </x:c>
      <x:c r="I1100" s="54" t="n">
        <x:v>44560</x:v>
      </x:c>
      <x:c r="J1100" s="55" t="n">
        <x:v>6430</x:v>
      </x:c>
      <x:c r="K1100" s="55" t="n">
        <x:v>39927181450</x:v>
      </x:c>
      <x:c r="L1100" s="55" t="n">
        <x:v>6209515</x:v>
      </x:c>
      <x:c r="M1100" t="str">
        <x:v>20210322000152</x:v>
      </x:c>
      <x:c r="N1100" t="n">
        <x:v>44277.624999988424</x:v>
      </x:c>
      <x:c r="O1100" s="54" t="n">
        <x:v>44196</x:v>
      </x:c>
      <x:c r="P1100" t="str">
        <x:v>True</x:v>
      </x:c>
      <x:c r="Q1100" t="str">
        <x:v>efeec4d3b38f9274eedc700cd2807e8ed15ade31c6742205682368ca66029143</x:v>
      </x:c>
      <x:c r="R1100" t="str">
        <x:v>bad2421615f0e13c16eb4371712d3e4dd68882d593259d2a94207c9534a038fd</x:v>
      </x:c>
      <x:c r="S1100" t="n">
        <x:v>7</x:v>
      </x:c>
      <x:c r="T1100" t="str">
        <x:v>2018-12-31|2019-12-31|2020-12-31</x:v>
      </x:c>
      <x:c r="U1100" s="57" t="n">
        <x:v>-11051.577569534671</x:v>
      </x:c>
      <x:c r="V1100" s="57" t="n">
        <x:v>-2.7187523436290313</x:v>
      </x:c>
      <x:c r="W1100"/>
      <x:c r="X1100"/>
      <x:c r="Y1100" s="38" t="n">
        <x:v>0.6409090909090909</x:v>
      </x:c>
      <x:c r="Z1100" s="38" t="n">
        <x:v>0.19687524560489636</x:v>
      </x:c>
      <x:c r="AA1100" t="str">
        <x:v>NON_POSITIVE_EQUITY_VALUE</x:v>
      </x:c>
    </x:row>
    <x:row r="1101">
      <x:c r="A1101" s="54" t="n">
        <x:v>44561</x:v>
      </x:c>
      <x:c r="B1101" t="n">
        <x:v>44561.624999988424</x:v>
      </x:c>
      <x:c r="C1101" t="str">
        <x:v>008600</x:v>
      </x:c>
      <x:c r="D1101" t="str">
        <x:v>윌비스</x:v>
      </x:c>
      <x:c r="E1101" t="str">
        <x:v>KOSPI</x:v>
      </x:c>
      <x:c r="F1101" t="str">
        <x:v>SMALL</x:v>
      </x:c>
      <x:c r="G1101" t="str">
        <x:v>DCF_SCREENING_EXCLUSION</x:v>
      </x:c>
      <x:c r="H1101" t="str">
        <x:v>NON_POSITIVE_EQUITY_VALUE|NON_POSITIVE_TERMINAL_FCF|UNRELIABLE_TERMINAL_VALUE_SHARE</x:v>
      </x:c>
      <x:c r="I1101" s="54" t="n">
        <x:v>44560</x:v>
      </x:c>
      <x:c r="J1101" s="55" t="n">
        <x:v>1685</x:v>
      </x:c>
      <x:c r="K1101" s="55" t="n">
        <x:v>112922667700</x:v>
      </x:c>
      <x:c r="L1101" s="55" t="n">
        <x:v>67016420</x:v>
      </x:c>
      <x:c r="M1101" t="str">
        <x:v>20210323000575</x:v>
      </x:c>
      <x:c r="N1101" t="n">
        <x:v>44278.624999988424</x:v>
      </x:c>
      <x:c r="O1101" s="54" t="n">
        <x:v>44196</x:v>
      </x:c>
      <x:c r="P1101" t="str">
        <x:v>False</x:v>
      </x:c>
      <x:c r="Q1101" t="str">
        <x:v>b719febfb263d74f5c1a95f9e34a3677e22a09d5a6b7a4fc66ff5c11becddb8f</x:v>
      </x:c>
      <x:c r="R1101" t="str">
        <x:v>8965383f39a54d1e7c95ea3cb7e0d32a5909d20f877ae176394fcf3133590f04</x:v>
      </x:c>
      <x:c r="S1101" t="n">
        <x:v>6</x:v>
      </x:c>
      <x:c r="T1101" t="str">
        <x:v>2018-12-31|2019-12-31|2020-12-31</x:v>
      </x:c>
      <x:c r="U1101" s="57" t="n">
        <x:v>-1880.3369565469973</x:v>
      </x:c>
      <x:c r="V1101" s="57" t="n">
        <x:v>-2.115926977179227</x:v>
      </x:c>
      <x:c r="W1101"/>
      <x:c r="X1101"/>
      <x:c r="Y1101" s="38" t="n">
        <x:v>0.6409090909090909</x:v>
      </x:c>
      <x:c r="Z1101" s="38" t="n">
        <x:v>-2.2264923648105195</x:v>
      </x:c>
      <x:c r="AA1101" t="str">
        <x:v>NON_POSITIVE_EQUITY_VALUE|NON_POSITIVE_TERMINAL_FCF|UNRELIABLE_TERMINAL_VALUE_SHARE</x:v>
      </x:c>
    </x:row>
    <x:row r="1102">
      <x:c r="A1102" s="54" t="n">
        <x:v>44561</x:v>
      </x:c>
      <x:c r="B1102" t="n">
        <x:v>44561.624999988424</x:v>
      </x:c>
      <x:c r="C1102" t="str">
        <x:v>018310</x:v>
      </x:c>
      <x:c r="D1102" t="str">
        <x:v>삼목에스폼</x:v>
      </x:c>
      <x:c r="E1102" t="str">
        <x:v>KOSDAQ</x:v>
      </x:c>
      <x:c r="F1102" t="str">
        <x:v>MID</x:v>
      </x:c>
      <x:c r="G1102" t="str">
        <x:v>DCF_SCREENING_EXCLUSION</x:v>
      </x:c>
      <x:c r="H1102" t="str">
        <x:v>NON_POSITIVE_ENTERPRISE_VALUE|UNRELIABLE_TERMINAL_VALUE_SHARE</x:v>
      </x:c>
      <x:c r="I1102" s="54" t="n">
        <x:v>44560</x:v>
      </x:c>
      <x:c r="J1102" s="55" t="n">
        <x:v>13850</x:v>
      </x:c>
      <x:c r="K1102" s="55" t="n">
        <x:v>203595000000</x:v>
      </x:c>
      <x:c r="L1102" s="55" t="n">
        <x:v>14700000</x:v>
      </x:c>
      <x:c r="M1102" t="str">
        <x:v>20210318000660</x:v>
      </x:c>
      <x:c r="N1102" t="n">
        <x:v>44273.624999988424</x:v>
      </x:c>
      <x:c r="O1102" s="54" t="n">
        <x:v>44196</x:v>
      </x:c>
      <x:c r="P1102" t="str">
        <x:v>False</x:v>
      </x:c>
      <x:c r="Q1102" t="str">
        <x:v>0968ddf45c46f5b5ece0fa3f55863f8d70775ef917e4fe3a6b1f4cd41ceb84fd</x:v>
      </x:c>
      <x:c r="R1102" t="str">
        <x:v>cf8157956af728228c6ed8ddd84096cf915b8edfe6efd9d2602309f87029c94e</x:v>
      </x:c>
      <x:c r="S1102" t="n">
        <x:v>5</x:v>
      </x:c>
      <x:c r="T1102" t="str">
        <x:v>2018-12-31|2019-12-31|2020-12-31</x:v>
      </x:c>
      <x:c r="U1102" s="57" t="n">
        <x:v>2791.2134406764662</x:v>
      </x:c>
      <x:c r="V1102" s="57" t="n">
        <x:v>-0.7984683436334682</x:v>
      </x:c>
      <x:c r="W1102"/>
      <x:c r="X1102"/>
      <x:c r="Y1102" s="38" t="n">
        <x:v>0.6409090909090909</x:v>
      </x:c>
      <x:c r="Z1102" s="38" t="n">
        <x:v>-0.7585311035244523</x:v>
      </x:c>
      <x:c r="AA1102" t="str">
        <x:v>NON_POSITIVE_ENTERPRISE_VALUE|UNRELIABLE_TERMINAL_VALUE_SHARE</x:v>
      </x:c>
    </x:row>
    <x:row r="1103">
      <x:c r="A1103" s="54" t="n">
        <x:v>44561</x:v>
      </x:c>
      <x:c r="B1103" t="n">
        <x:v>44561.624999988424</x:v>
      </x:c>
      <x:c r="C1103" t="str">
        <x:v>090360</x:v>
      </x:c>
      <x:c r="D1103" t="str">
        <x:v>로보스타</x:v>
      </x:c>
      <x:c r="E1103" t="str">
        <x:v>KOSDAQ</x:v>
      </x:c>
      <x:c r="F1103" t="str">
        <x:v>MID</x:v>
      </x:c>
      <x:c r="G1103" t="str">
        <x:v>DCF_SCREENING_EXCLUSION</x:v>
      </x:c>
      <x:c r="H1103" t="str">
        <x:v>NON_POSITIVE_ENTERPRISE_VALUE|NON_POSITIVE_EQUITY_VALUE|NON_POSITIVE_TERMINAL_FCF</x:v>
      </x:c>
      <x:c r="I1103" s="54" t="n">
        <x:v>44560</x:v>
      </x:c>
      <x:c r="J1103" s="55" t="n">
        <x:v>26550</x:v>
      </x:c>
      <x:c r="K1103" s="55" t="n">
        <x:v>258862500000</x:v>
      </x:c>
      <x:c r="L1103" s="55" t="n">
        <x:v>9750000</x:v>
      </x:c>
      <x:c r="M1103" t="str">
        <x:v>20210318001032</x:v>
      </x:c>
      <x:c r="N1103" t="n">
        <x:v>44273.624999988424</x:v>
      </x:c>
      <x:c r="O1103" s="54" t="n">
        <x:v>44196</x:v>
      </x:c>
      <x:c r="P1103" t="str">
        <x:v>False</x:v>
      </x:c>
      <x:c r="Q1103" t="str">
        <x:v>88cb4cf0a36d9a74f35d1e6787172797f475075497b17a9d6c93468881b8ad59</x:v>
      </x:c>
      <x:c r="R1103" t="str">
        <x:v>393cd3fc96dccdfcdecb18a4d5c483279ff025dd456a302734e96c47758e5d19</x:v>
      </x:c>
      <x:c r="S1103" t="n">
        <x:v>5</x:v>
      </x:c>
      <x:c r="T1103" t="str">
        <x:v>2018-12-31|2019-12-31|2020-12-31</x:v>
      </x:c>
      <x:c r="U1103" s="57" t="n">
        <x:v>-3238.2249346541503</x:v>
      </x:c>
      <x:c r="V1103" s="57" t="n">
        <x:v>-1.1219670408532636</x:v>
      </x:c>
      <x:c r="W1103"/>
      <x:c r="X1103"/>
      <x:c r="Y1103" s="38" t="n">
        <x:v>0.6409090909090909</x:v>
      </x:c>
      <x:c r="Z1103" s="38" t="n">
        <x:v>0.5481038802902851</x:v>
      </x:c>
      <x:c r="AA1103" t="str">
        <x:v>NON_POSITIVE_ENTERPRISE_VALUE|NON_POSITIVE_EQUITY_VALUE|NON_POSITIVE_TERMINAL_FCF</x:v>
      </x:c>
    </x:row>
    <x:row r="1104">
      <x:c r="A1104" s="54" t="n">
        <x:v>44561</x:v>
      </x:c>
      <x:c r="B1104" t="n">
        <x:v>44561.624999988424</x:v>
      </x:c>
      <x:c r="C1104" t="str">
        <x:v>144960</x:v>
      </x:c>
      <x:c r="D1104" t="str">
        <x:v>뉴파워프라즈마</x:v>
      </x:c>
      <x:c r="E1104" t="str">
        <x:v>KOSDAQ</x:v>
      </x:c>
      <x:c r="F1104" t="str">
        <x:v>MID</x:v>
      </x:c>
      <x:c r="G1104" t="str">
        <x:v>DCF_SCREENING_EXCLUSION</x:v>
      </x:c>
      <x:c r="H1104" t="str">
        <x:v>UNRELIABLE_TERMINAL_VALUE_SHARE</x:v>
      </x:c>
      <x:c r="I1104" s="54" t="n">
        <x:v>44560</x:v>
      </x:c>
      <x:c r="J1104" s="55" t="n">
        <x:v>6410</x:v>
      </x:c>
      <x:c r="K1104" s="55" t="n">
        <x:v>280069719840</x:v>
      </x:c>
      <x:c r="L1104" s="55" t="n">
        <x:v>43692624</x:v>
      </x:c>
      <x:c r="M1104" t="str">
        <x:v>20210611000411</x:v>
      </x:c>
      <x:c r="N1104" t="n">
        <x:v>44358.624999988424</x:v>
      </x:c>
      <x:c r="O1104" s="54" t="n">
        <x:v>44196</x:v>
      </x:c>
      <x:c r="P1104" t="str">
        <x:v>True</x:v>
      </x:c>
      <x:c r="Q1104" t="str">
        <x:v>312f539d97d3aa1c7bb047898fcb4c436c8d81715df9c311126d80bdeb64d385</x:v>
      </x:c>
      <x:c r="R1104" t="str">
        <x:v>56f6828f4ed58323e599f54630ea5479bac4b4b4597a629e367bba3d04c95997</x:v>
      </x:c>
      <x:c r="S1104" t="n">
        <x:v>6</x:v>
      </x:c>
      <x:c r="T1104" t="str">
        <x:v>2018-12-31|2019-12-31|2020-12-31</x:v>
      </x:c>
      <x:c r="U1104" s="57" t="n">
        <x:v>324.0689461379253</x:v>
      </x:c>
      <x:c r="V1104" s="57" t="n">
        <x:v>-0.9494432221313689</x:v>
      </x:c>
      <x:c r="W1104"/>
      <x:c r="X1104"/>
      <x:c r="Y1104" s="38" t="n">
        <x:v>0.6409090909090909</x:v>
      </x:c>
      <x:c r="Z1104" s="38" t="n">
        <x:v>0.9251796654018068</x:v>
      </x:c>
      <x:c r="AA1104" t="str">
        <x:v>UNRELIABLE_TERMINAL_VALUE_SHARE</x:v>
      </x:c>
    </x:row>
    <x:row r="1105">
      <x:c r="A1105" s="54" t="n">
        <x:v>44561</x:v>
      </x:c>
      <x:c r="B1105" t="n">
        <x:v>44561.624999988424</x:v>
      </x:c>
      <x:c r="C1105" t="str">
        <x:v>065660</x:v>
      </x:c>
      <x:c r="D1105" t="str">
        <x:v>안트로젠</x:v>
      </x:c>
      <x:c r="E1105" t="str">
        <x:v>KOSDAQ</x:v>
      </x:c>
      <x:c r="F1105" t="str">
        <x:v>MID</x:v>
      </x:c>
      <x:c r="G1105" t="str">
        <x:v>DCF_SCREENING_EXCLUSION</x:v>
      </x:c>
      <x:c r="H1105" t="str">
        <x:v>NON_POSITIVE_ENTERPRISE_VALUE|NON_POSITIVE_TERMINAL_FCF</x:v>
      </x:c>
      <x:c r="I1105" s="54" t="n">
        <x:v>44560</x:v>
      </x:c>
      <x:c r="J1105" s="55" t="n">
        <x:v>64300</x:v>
      </x:c>
      <x:c r="K1105" s="55" t="n">
        <x:v>605824633500</x:v>
      </x:c>
      <x:c r="L1105" s="55" t="n">
        <x:v>9421845</x:v>
      </x:c>
      <x:c r="M1105" t="str">
        <x:v>20210610000235</x:v>
      </x:c>
      <x:c r="N1105" t="n">
        <x:v>44357.624999988424</x:v>
      </x:c>
      <x:c r="O1105" s="54" t="n">
        <x:v>44196</x:v>
      </x:c>
      <x:c r="P1105" t="str">
        <x:v>True</x:v>
      </x:c>
      <x:c r="Q1105" t="str">
        <x:v>6f61c0b1c0f9eaf34014e4a6f8dc099bb923dffcc9617963bb7066c9dcfd58eb</x:v>
      </x:c>
      <x:c r="R1105" t="str">
        <x:v>9386ad6bf394bfdb870c609ce14ffd97e0eb668971e5d930b0515105d4b80aac</x:v>
      </x:c>
      <x:c r="S1105" t="n">
        <x:v>7</x:v>
      </x:c>
      <x:c r="T1105" t="str">
        <x:v>2018-12-31|2019-12-31|2020-12-31</x:v>
      </x:c>
      <x:c r="U1105" s="57" t="n">
        <x:v>2127.6830208748315</x:v>
      </x:c>
      <x:c r="V1105" s="57" t="n">
        <x:v>-0.9669100618837507</x:v>
      </x:c>
      <x:c r="W1105"/>
      <x:c r="X1105"/>
      <x:c r="Y1105" s="38" t="n">
        <x:v>0.6409090909090909</x:v>
      </x:c>
      <x:c r="Z1105" s="38" t="n">
        <x:v>0.6658765171775003</x:v>
      </x:c>
      <x:c r="AA1105" t="str">
        <x:v>NON_POSITIVE_ENTERPRISE_VALUE|NON_POSITIVE_TERMINAL_FCF</x:v>
      </x:c>
    </x:row>
    <x:row r="1106">
      <x:c r="A1106" s="54" t="n">
        <x:v>44561</x:v>
      </x:c>
      <x:c r="B1106" t="n">
        <x:v>44561.624999988424</x:v>
      </x:c>
      <x:c r="C1106" t="str">
        <x:v>255220</x:v>
      </x:c>
      <x:c r="D1106" t="str">
        <x:v>SG</x:v>
      </x:c>
      <x:c r="E1106" t="str">
        <x:v>KOSDAQ</x:v>
      </x:c>
      <x:c r="F1106" t="str">
        <x:v>MID</x:v>
      </x:c>
      <x:c r="G1106" t="str">
        <x:v>DCF_SCREENING_EXCLUSION</x:v>
      </x:c>
      <x:c r="H1106" t="str">
        <x:v>NON_POSITIVE_EQUITY_VALUE</x:v>
      </x:c>
      <x:c r="I1106" s="54" t="n">
        <x:v>44560</x:v>
      </x:c>
      <x:c r="J1106" s="55" t="n">
        <x:v>2075</x:v>
      </x:c>
      <x:c r="K1106" s="55" t="n">
        <x:v>85781054025</x:v>
      </x:c>
      <x:c r="L1106" s="55" t="n">
        <x:v>41340267</x:v>
      </x:c>
      <x:c r="M1106" t="str">
        <x:v>20210324000133</x:v>
      </x:c>
      <x:c r="N1106" t="n">
        <x:v>44279.624999988424</x:v>
      </x:c>
      <x:c r="O1106" s="54" t="n">
        <x:v>44196</x:v>
      </x:c>
      <x:c r="P1106" t="str">
        <x:v>False</x:v>
      </x:c>
      <x:c r="Q1106" t="str">
        <x:v>0adef5a32b3a0bad9fad2d959acb393808bf778b0d2a2bfb31934aa6f5c7d6f0</x:v>
      </x:c>
      <x:c r="R1106" t="str">
        <x:v>49184b327f54bf68f48deaae6b1eb6f1331aa67243bace168e6de38dee8216bb</x:v>
      </x:c>
      <x:c r="S1106" t="n">
        <x:v>6</x:v>
      </x:c>
      <x:c r="T1106" t="str">
        <x:v>2018-12-31|2019-12-31|2020-12-31</x:v>
      </x:c>
      <x:c r="U1106" s="57" t="n">
        <x:v>-92.01946465378829</x:v>
      </x:c>
      <x:c r="V1106" s="57" t="n">
        <x:v>-1.0443467299536329</x:v>
      </x:c>
      <x:c r="W1106"/>
      <x:c r="X1106"/>
      <x:c r="Y1106" s="38" t="n">
        <x:v>0.6409090909090909</x:v>
      </x:c>
      <x:c r="Z1106" s="38" t="n">
        <x:v>0.7805488705122708</x:v>
      </x:c>
      <x:c r="AA1106" t="str">
        <x:v>NON_POSITIVE_EQUITY_VALUE</x:v>
      </x:c>
    </x:row>
    <x:row r="1107">
      <x:c r="A1107" s="54" t="n">
        <x:v>44561</x:v>
      </x:c>
      <x:c r="B1107" t="n">
        <x:v>44561.624999988424</x:v>
      </x:c>
      <x:c r="C1107" t="str">
        <x:v>356680</x:v>
      </x:c>
      <x:c r="D1107" t="str">
        <x:v>엑스게이트</x:v>
      </x:c>
      <x:c r="E1107" t="str">
        <x:v>KOSDAQ</x:v>
      </x:c>
      <x:c r="F1107" t="str">
        <x:v>MID</x:v>
      </x:c>
      <x:c r="G1107" t="str">
        <x:v>NOT_LISTED_OR_NO_PRICE</x:v>
      </x:c>
      <x:c r="H1107"/>
      <x:c r="I1107" s="54"/>
      <x:c r="J1107" s="55"/>
      <x:c r="K1107" s="55"/>
      <x:c r="L1107" s="55"/>
      <x:c r="M1107"/>
      <x:c r="N1107"/>
      <x:c r="O1107" s="54"/>
      <x:c r="P1107"/>
      <x:c r="Q1107"/>
      <x:c r="R1107"/>
      <x:c r="S1107"/>
      <x:c r="T1107"/>
      <x:c r="U1107" s="57"/>
      <x:c r="V1107" s="57"/>
      <x:c r="W1107"/>
      <x:c r="X1107"/>
      <x:c r="Y1107" s="38"/>
      <x:c r="Z1107" s="38"/>
      <x:c r="AA1107"/>
    </x:row>
    <x:row r="1108">
      <x:c r="A1108" s="54" t="n">
        <x:v>44561</x:v>
      </x:c>
      <x:c r="B1108" t="n">
        <x:v>44561.624999988424</x:v>
      </x:c>
      <x:c r="C1108" t="str">
        <x:v>038390</x:v>
      </x:c>
      <x:c r="D1108" t="str">
        <x:v>레드캡투어</x:v>
      </x:c>
      <x:c r="E1108" t="str">
        <x:v>KOSDAQ</x:v>
      </x:c>
      <x:c r="F1108" t="str">
        <x:v>MID</x:v>
      </x:c>
      <x:c r="G1108" t="str">
        <x:v>ELIGIBLE</x:v>
      </x:c>
      <x:c r="H1108"/>
      <x:c r="I1108" s="54" t="n">
        <x:v>44560</x:v>
      </x:c>
      <x:c r="J1108" s="55" t="n">
        <x:v>20800</x:v>
      </x:c>
      <x:c r="K1108" s="55" t="n">
        <x:v>178661184000</x:v>
      </x:c>
      <x:c r="L1108" s="55" t="n">
        <x:v>8589480</x:v>
      </x:c>
      <x:c r="M1108" t="str">
        <x:v>20210318001299</x:v>
      </x:c>
      <x:c r="N1108" t="n">
        <x:v>44273.624999988424</x:v>
      </x:c>
      <x:c r="O1108" s="54" t="n">
        <x:v>44196</x:v>
      </x:c>
      <x:c r="P1108" t="str">
        <x:v>False</x:v>
      </x:c>
      <x:c r="Q1108" t="str">
        <x:v>0bf69fd5dec939dd06f6f73c0024ab60f9eaf64a5a97f5e73cc09d30ce7a890c</x:v>
      </x:c>
      <x:c r="R1108" t="str">
        <x:v>6080d7aab75c6070a2111ef6b1ac4f598f81c0a72dc5f88bc23b9d3a002435cd</x:v>
      </x:c>
      <x:c r="S1108" t="n">
        <x:v>6</x:v>
      </x:c>
      <x:c r="T1108" t="str">
        <x:v>2018-12-31|2019-12-31|2020-12-31</x:v>
      </x:c>
      <x:c r="U1108" s="57" t="n">
        <x:v>6114.21914518699</x:v>
      </x:c>
      <x:c r="V1108" s="57" t="n">
        <x:v>-0.7060471564813947</x:v>
      </x:c>
      <x:c r="W1108" t="n">
        <x:v>42</x:v>
      </x:c>
      <x:c r="X1108" t="n">
        <x:v>4</x:v>
      </x:c>
      <x:c r="Y1108" s="38" t="n">
        <x:v>0.6409090909090909</x:v>
      </x:c>
      <x:c r="Z1108" s="38" t="n">
        <x:v>0.6791804570932898</x:v>
      </x:c>
      <x:c r="AA1108"/>
    </x:row>
    <x:row r="1109">
      <x:c r="A1109" s="54" t="n">
        <x:v>44561</x:v>
      </x:c>
      <x:c r="B1109" t="n">
        <x:v>44561.624999988424</x:v>
      </x:c>
      <x:c r="C1109" t="str">
        <x:v>083930</x:v>
      </x:c>
      <x:c r="D1109" t="str">
        <x:v>아바코</x:v>
      </x:c>
      <x:c r="E1109" t="str">
        <x:v>KOSDAQ</x:v>
      </x:c>
      <x:c r="F1109" t="str">
        <x:v>MID</x:v>
      </x:c>
      <x:c r="G1109" t="str">
        <x:v>ELIGIBLE</x:v>
      </x:c>
      <x:c r="H1109"/>
      <x:c r="I1109" s="54" t="n">
        <x:v>44560</x:v>
      </x:c>
      <x:c r="J1109" s="55" t="n">
        <x:v>12700</x:v>
      </x:c>
      <x:c r="K1109" s="55" t="n">
        <x:v>195742534600</x:v>
      </x:c>
      <x:c r="L1109" s="55" t="n">
        <x:v>15412798</x:v>
      </x:c>
      <x:c r="M1109" t="str">
        <x:v>20210318000989</x:v>
      </x:c>
      <x:c r="N1109" t="n">
        <x:v>44273.624999988424</x:v>
      </x:c>
      <x:c r="O1109" s="54" t="n">
        <x:v>44196</x:v>
      </x:c>
      <x:c r="P1109" t="str">
        <x:v>False</x:v>
      </x:c>
      <x:c r="Q1109" t="str">
        <x:v>60114731225ef8baae3792179fcf8d5016125a34b9cfd17e01cf872e573ee700</x:v>
      </x:c>
      <x:c r="R1109" t="str">
        <x:v>a0f109d304fa19e95828c08a23b1aee8249cf1a937fd4863f9ce9941f9933507</x:v>
      </x:c>
      <x:c r="S1109" t="n">
        <x:v>7</x:v>
      </x:c>
      <x:c r="T1109" t="str">
        <x:v>2018-12-31|2019-12-31|2020-12-31</x:v>
      </x:c>
      <x:c r="U1109" s="57" t="n">
        <x:v>13240.200501887175</x:v>
      </x:c>
      <x:c r="V1109" s="57" t="n">
        <x:v>0.04253547258954131</x:v>
      </x:c>
      <x:c r="W1109" t="n">
        <x:v>14</x:v>
      </x:c>
      <x:c r="X1109" t="n">
        <x:v>2</x:v>
      </x:c>
      <x:c r="Y1109" s="38" t="n">
        <x:v>0.6409090909090909</x:v>
      </x:c>
      <x:c r="Z1109" s="38" t="n">
        <x:v>0.6094073877623714</x:v>
      </x:c>
      <x:c r="AA1109"/>
    </x:row>
    <x:row r="1110">
      <x:c r="A1110" s="54" t="n">
        <x:v>44561</x:v>
      </x:c>
      <x:c r="B1110" t="n">
        <x:v>44561.624999988424</x:v>
      </x:c>
      <x:c r="C1110" t="str">
        <x:v>089600</x:v>
      </x:c>
      <x:c r="D1110" t="str">
        <x:v>KT나스미디어</x:v>
      </x:c>
      <x:c r="E1110" t="str">
        <x:v>KOSDAQ</x:v>
      </x:c>
      <x:c r="F1110" t="str">
        <x:v>MID</x:v>
      </x:c>
      <x:c r="G1110" t="str">
        <x:v>ELIGIBLE</x:v>
      </x:c>
      <x:c r="H1110"/>
      <x:c r="I1110" s="54" t="n">
        <x:v>44560</x:v>
      </x:c>
      <x:c r="J1110" s="55" t="n">
        <x:v>32900</x:v>
      </x:c>
      <x:c r="K1110" s="55" t="n">
        <x:v>316001539000</x:v>
      </x:c>
      <x:c r="L1110" s="55" t="n">
        <x:v>9604910</x:v>
      </x:c>
      <x:c r="M1110" t="str">
        <x:v>20210318000067</x:v>
      </x:c>
      <x:c r="N1110" t="n">
        <x:v>44273.624999988424</x:v>
      </x:c>
      <x:c r="O1110" s="54" t="n">
        <x:v>44196</x:v>
      </x:c>
      <x:c r="P1110" t="str">
        <x:v>False</x:v>
      </x:c>
      <x:c r="Q1110" t="str">
        <x:v>a1d9cdb9d1d9dc819cad4ac6c72f63c836e1aaee9bb46d49d938ba4926b89490</x:v>
      </x:c>
      <x:c r="R1110" t="str">
        <x:v>d55d1de10b3562401f9b34a7663dbde29db72f781cfb628758459f0e16a60fee</x:v>
      </x:c>
      <x:c r="S1110" t="n">
        <x:v>6</x:v>
      </x:c>
      <x:c r="T1110" t="str">
        <x:v>2019-12-31|2020-12-31</x:v>
      </x:c>
      <x:c r="U1110" s="57" t="n">
        <x:v>27176.156461939605</x:v>
      </x:c>
      <x:c r="V1110" s="57" t="n">
        <x:v>-0.1739770072358783</x:v>
      </x:c>
      <x:c r="W1110" t="n">
        <x:v>17</x:v>
      </x:c>
      <x:c r="X1110" t="n">
        <x:v>2</x:v>
      </x:c>
      <x:c r="Y1110" s="38" t="n">
        <x:v>0.6409090909090909</x:v>
      </x:c>
      <x:c r="Z1110" s="38" t="n">
        <x:v>0.65385479783506</x:v>
      </x:c>
      <x:c r="AA1110"/>
    </x:row>
    <x:row r="1111">
      <x:c r="A1111" s="54" t="n">
        <x:v>44561</x:v>
      </x:c>
      <x:c r="B1111" t="n">
        <x:v>44561.624999988424</x:v>
      </x:c>
      <x:c r="C1111" t="str">
        <x:v>091120</x:v>
      </x:c>
      <x:c r="D1111" t="str">
        <x:v>이엠텍</x:v>
      </x:c>
      <x:c r="E1111" t="str">
        <x:v>KOSDAQ</x:v>
      </x:c>
      <x:c r="F1111" t="str">
        <x:v>MID</x:v>
      </x:c>
      <x:c r="G1111" t="str">
        <x:v>DCF_SCREENING_EXCLUSION</x:v>
      </x:c>
      <x:c r="H1111" t="str">
        <x:v>NON_POSITIVE_ENTERPRISE_VALUE|NON_POSITIVE_EQUITY_VALUE|NON_POSITIVE_TERMINAL_FCF</x:v>
      </x:c>
      <x:c r="I1111" s="54" t="n">
        <x:v>44560</x:v>
      </x:c>
      <x:c r="J1111" s="55" t="n">
        <x:v>31850</x:v>
      </x:c>
      <x:c r="K1111" s="55" t="n">
        <x:v>506030761600</x:v>
      </x:c>
      <x:c r="L1111" s="55" t="n">
        <x:v>15887936</x:v>
      </x:c>
      <x:c r="M1111" t="str">
        <x:v>20210311000658</x:v>
      </x:c>
      <x:c r="N1111" t="n">
        <x:v>44266.624999988424</x:v>
      </x:c>
      <x:c r="O1111" s="54" t="n">
        <x:v>44196</x:v>
      </x:c>
      <x:c r="P1111" t="str">
        <x:v>False</x:v>
      </x:c>
      <x:c r="Q1111" t="str">
        <x:v>f69ed2abd476d2428711fd8f06bfe7c437a376e7a6f71c3438b39539c7d2f1a5</x:v>
      </x:c>
      <x:c r="R1111" t="str">
        <x:v>f95f08942ff33b316ef5567d3919c0b3c241c98bfbf6f6c9873e5a0f80818c9f</x:v>
      </x:c>
      <x:c r="S1111" t="n">
        <x:v>6</x:v>
      </x:c>
      <x:c r="T1111" t="str">
        <x:v>2018-12-31|2019-12-31|2020-12-31</x:v>
      </x:c>
      <x:c r="U1111" s="57" t="n">
        <x:v>-3124.546134909282</x:v>
      </x:c>
      <x:c r="V1111" s="57" t="n">
        <x:v>-1.0981019194633999</x:v>
      </x:c>
      <x:c r="W1111"/>
      <x:c r="X1111"/>
      <x:c r="Y1111" s="38" t="n">
        <x:v>0.6409090909090909</x:v>
      </x:c>
      <x:c r="Z1111" s="38" t="n">
        <x:v>0.6813005067848964</x:v>
      </x:c>
      <x:c r="AA1111" t="str">
        <x:v>NON_POSITIVE_ENTERPRISE_VALUE|NON_POSITIVE_EQUITY_VALUE|NON_POSITIVE_TERMINAL_FCF</x:v>
      </x:c>
    </x:row>
    <x:row r="1112">
      <x:c r="A1112" s="54" t="n">
        <x:v>44561</x:v>
      </x:c>
      <x:c r="B1112" t="n">
        <x:v>44561.624999988424</x:v>
      </x:c>
      <x:c r="C1112" t="str">
        <x:v>353810</x:v>
      </x:c>
      <x:c r="D1112" t="str">
        <x:v>이지바이오</x:v>
      </x:c>
      <x:c r="E1112" t="str">
        <x:v>KOSDAQ</x:v>
      </x:c>
      <x:c r="F1112" t="str">
        <x:v>MID</x:v>
      </x:c>
      <x:c r="G1112" t="str">
        <x:v>NO_PIT_FINANCIALS</x:v>
      </x:c>
      <x:c r="H1112"/>
      <x:c r="I1112" s="54" t="n">
        <x:v>44560</x:v>
      </x:c>
      <x:c r="J1112" s="55" t="n">
        <x:v>4735</x:v>
      </x:c>
      <x:c r="K1112" s="55" t="n">
        <x:v>161897794200</x:v>
      </x:c>
      <x:c r="L1112" s="55" t="n">
        <x:v>34191720</x:v>
      </x:c>
      <x:c r="M1112"/>
      <x:c r="N1112"/>
      <x:c r="O1112" s="54"/>
      <x:c r="P1112"/>
      <x:c r="Q1112"/>
      <x:c r="R1112"/>
      <x:c r="S1112"/>
      <x:c r="T1112"/>
      <x:c r="U1112" s="57"/>
      <x:c r="V1112" s="57"/>
      <x:c r="W1112"/>
      <x:c r="X1112"/>
      <x:c r="Y1112" s="38"/>
      <x:c r="Z1112" s="38"/>
      <x:c r="AA1112"/>
    </x:row>
    <x:row r="1113">
      <x:c r="A1113" s="54" t="n">
        <x:v>44561</x:v>
      </x:c>
      <x:c r="B1113" t="n">
        <x:v>44561.624999988424</x:v>
      </x:c>
      <x:c r="C1113" t="str">
        <x:v>203650</x:v>
      </x:c>
      <x:c r="D1113" t="str">
        <x:v>드림시큐리티</x:v>
      </x:c>
      <x:c r="E1113" t="str">
        <x:v>KOSDAQ</x:v>
      </x:c>
      <x:c r="F1113" t="str">
        <x:v>MID</x:v>
      </x:c>
      <x:c r="G1113" t="str">
        <x:v>ELIGIBLE</x:v>
      </x:c>
      <x:c r="H1113"/>
      <x:c r="I1113" s="54" t="n">
        <x:v>44560</x:v>
      </x:c>
      <x:c r="J1113" s="55" t="n">
        <x:v>4285</x:v>
      </x:c>
      <x:c r="K1113" s="55" t="n">
        <x:v>216845655890</x:v>
      </x:c>
      <x:c r="L1113" s="55" t="n">
        <x:v>50605754</x:v>
      </x:c>
      <x:c r="M1113" t="str">
        <x:v>20210319000618</x:v>
      </x:c>
      <x:c r="N1113" t="n">
        <x:v>44274.624999988424</x:v>
      </x:c>
      <x:c r="O1113" s="54" t="n">
        <x:v>44196</x:v>
      </x:c>
      <x:c r="P1113" t="str">
        <x:v>False</x:v>
      </x:c>
      <x:c r="Q1113" t="str">
        <x:v>5838df72d63cdf786042f815fde6255c8dbcd77782553756c9cdf9bd4987059d</x:v>
      </x:c>
      <x:c r="R1113" t="str">
        <x:v>874a0191811b79512899b68cde668ed439a05e6c7703340b07c6d3c99580beba</x:v>
      </x:c>
      <x:c r="S1113" t="n">
        <x:v>6</x:v>
      </x:c>
      <x:c r="T1113" t="str">
        <x:v>2018-12-31|2019-12-31|2020-12-31</x:v>
      </x:c>
      <x:c r="U1113" s="57" t="n">
        <x:v>1651.8549785795835</x:v>
      </x:c>
      <x:c r="V1113" s="57" t="n">
        <x:v>-0.6145029221517891</x:v>
      </x:c>
      <x:c r="W1113" t="n">
        <x:v>36</x:v>
      </x:c>
      <x:c r="X1113" t="n">
        <x:v>3</x:v>
      </x:c>
      <x:c r="Y1113" s="38" t="n">
        <x:v>0.6409090909090909</x:v>
      </x:c>
      <x:c r="Z1113" s="38" t="n">
        <x:v>0.6847587029208964</x:v>
      </x:c>
      <x:c r="AA1113"/>
    </x:row>
    <x:row r="1114">
      <x:c r="A1114" s="54" t="n">
        <x:v>44561</x:v>
      </x:c>
      <x:c r="B1114" t="n">
        <x:v>44561.624999988424</x:v>
      </x:c>
      <x:c r="C1114" t="str">
        <x:v>251120</x:v>
      </x:c>
      <x:c r="D1114" t="str">
        <x:v>바이오에프디엔씨</x:v>
      </x:c>
      <x:c r="E1114" t="str">
        <x:v>KOSDAQ</x:v>
      </x:c>
      <x:c r="F1114" t="str">
        <x:v>MID</x:v>
      </x:c>
      <x:c r="G1114" t="str">
        <x:v>NOT_LISTED_OR_NO_PRICE</x:v>
      </x:c>
      <x:c r="H1114"/>
      <x:c r="I1114" s="54"/>
      <x:c r="J1114" s="55"/>
      <x:c r="K1114" s="55"/>
      <x:c r="L1114" s="55"/>
      <x:c r="M1114"/>
      <x:c r="N1114"/>
      <x:c r="O1114" s="54"/>
      <x:c r="P1114"/>
      <x:c r="Q1114"/>
      <x:c r="R1114"/>
      <x:c r="S1114"/>
      <x:c r="T1114"/>
      <x:c r="U1114" s="57"/>
      <x:c r="V1114" s="57"/>
      <x:c r="W1114"/>
      <x:c r="X1114"/>
      <x:c r="Y1114" s="38"/>
      <x:c r="Z1114" s="38"/>
      <x:c r="AA1114"/>
    </x:row>
    <x:row r="1115">
      <x:c r="A1115" s="54" t="n">
        <x:v>44561</x:v>
      </x:c>
      <x:c r="B1115" t="n">
        <x:v>44561.624999988424</x:v>
      </x:c>
      <x:c r="C1115" t="str">
        <x:v>094820</x:v>
      </x:c>
      <x:c r="D1115" t="str">
        <x:v>일진파워</x:v>
      </x:c>
      <x:c r="E1115" t="str">
        <x:v>KOSDAQ</x:v>
      </x:c>
      <x:c r="F1115" t="str">
        <x:v>MID</x:v>
      </x:c>
      <x:c r="G1115" t="str">
        <x:v>ELIGIBLE</x:v>
      </x:c>
      <x:c r="H1115"/>
      <x:c r="I1115" s="54" t="n">
        <x:v>44560</x:v>
      </x:c>
      <x:c r="J1115" s="55" t="n">
        <x:v>17750</x:v>
      </x:c>
      <x:c r="K1115" s="55" t="n">
        <x:v>267647084750</x:v>
      </x:c>
      <x:c r="L1115" s="55" t="n">
        <x:v>15078709</x:v>
      </x:c>
      <x:c r="M1115" t="str">
        <x:v>20210318001274</x:v>
      </x:c>
      <x:c r="N1115" t="n">
        <x:v>44273.624999988424</x:v>
      </x:c>
      <x:c r="O1115" s="54" t="n">
        <x:v>44196</x:v>
      </x:c>
      <x:c r="P1115" t="str">
        <x:v>False</x:v>
      </x:c>
      <x:c r="Q1115" t="str">
        <x:v>876dfbe83ccde173bd7ce6620f972be12ab815292f2628b9efad7390810a78aa</x:v>
      </x:c>
      <x:c r="R1115" t="str">
        <x:v>735ef39d51ec5f034ed98a1d8b748f5b100ea140a77ba94ff42c5c2693c842c9</x:v>
      </x:c>
      <x:c r="S1115" t="n">
        <x:v>6</x:v>
      </x:c>
      <x:c r="T1115" t="str">
        <x:v>2018-12-31|2019-12-31|2020-12-31</x:v>
      </x:c>
      <x:c r="U1115" s="57" t="n">
        <x:v>10884.899548397261</x:v>
      </x:c>
      <x:c r="V1115" s="57" t="n">
        <x:v>-0.38676622262550636</x:v>
      </x:c>
      <x:c r="W1115" t="n">
        <x:v>25</x:v>
      </x:c>
      <x:c r="X1115" t="n">
        <x:v>3</x:v>
      </x:c>
      <x:c r="Y1115" s="38" t="n">
        <x:v>0.6409090909090909</x:v>
      </x:c>
      <x:c r="Z1115" s="38" t="n">
        <x:v>0.6755436623710693</x:v>
      </x:c>
      <x:c r="AA1115"/>
    </x:row>
    <x:row r="1116">
      <x:c r="A1116" s="54" t="n">
        <x:v>44561</x:v>
      </x:c>
      <x:c r="B1116" t="n">
        <x:v>44561.624999988424</x:v>
      </x:c>
      <x:c r="C1116" t="str">
        <x:v>333430</x:v>
      </x:c>
      <x:c r="D1116" t="str">
        <x:v>일승</x:v>
      </x:c>
      <x:c r="E1116" t="str">
        <x:v>KOSDAQ</x:v>
      </x:c>
      <x:c r="F1116" t="str">
        <x:v>MID</x:v>
      </x:c>
      <x:c r="G1116" t="str">
        <x:v>NO_PIT_FINANCIALS</x:v>
      </x:c>
      <x:c r="H1116"/>
      <x:c r="I1116" s="54" t="n">
        <x:v>44560</x:v>
      </x:c>
      <x:c r="J1116" s="55" t="n">
        <x:v>2630</x:v>
      </x:c>
      <x:c r="K1116" s="55" t="n">
        <x:v>80811344610</x:v>
      </x:c>
      <x:c r="L1116" s="55" t="n">
        <x:v>30726747</x:v>
      </x:c>
      <x:c r="M1116"/>
      <x:c r="N1116"/>
      <x:c r="O1116" s="54"/>
      <x:c r="P1116"/>
      <x:c r="Q1116"/>
      <x:c r="R1116"/>
      <x:c r="S1116"/>
      <x:c r="T1116"/>
      <x:c r="U1116" s="57"/>
      <x:c r="V1116" s="57"/>
      <x:c r="W1116"/>
      <x:c r="X1116"/>
      <x:c r="Y1116" s="38"/>
      <x:c r="Z1116" s="38"/>
      <x:c r="AA1116"/>
    </x:row>
    <x:row r="1117">
      <x:c r="A1117" s="54" t="n">
        <x:v>44561</x:v>
      </x:c>
      <x:c r="B1117" t="n">
        <x:v>44561.624999988424</x:v>
      </x:c>
      <x:c r="C1117" t="str">
        <x:v>041440</x:v>
      </x:c>
      <x:c r="D1117" t="str">
        <x:v>현대에버다임</x:v>
      </x:c>
      <x:c r="E1117" t="str">
        <x:v>KOSDAQ</x:v>
      </x:c>
      <x:c r="F1117" t="str">
        <x:v>MID</x:v>
      </x:c>
      <x:c r="G1117" t="str">
        <x:v>ELIGIBLE</x:v>
      </x:c>
      <x:c r="H1117"/>
      <x:c r="I1117" s="54" t="n">
        <x:v>44560</x:v>
      </x:c>
      <x:c r="J1117" s="55" t="n">
        <x:v>5200</x:v>
      </x:c>
      <x:c r="K1117" s="55" t="n">
        <x:v>93162908800</x:v>
      </x:c>
      <x:c r="L1117" s="55" t="n">
        <x:v>17915944</x:v>
      </x:c>
      <x:c r="M1117" t="str">
        <x:v>20210316001261</x:v>
      </x:c>
      <x:c r="N1117" t="n">
        <x:v>44272.624999988424</x:v>
      </x:c>
      <x:c r="O1117" s="54" t="n">
        <x:v>44196</x:v>
      </x:c>
      <x:c r="P1117" t="str">
        <x:v>False</x:v>
      </x:c>
      <x:c r="Q1117" t="str">
        <x:v>6f08b3f9f69113807f297444c8ce16eabb23af4da8e344ef1f527c9fcbc98da9</x:v>
      </x:c>
      <x:c r="R1117" t="str">
        <x:v>3ad7a8ff31596a0244abff37b8d648f521f5d20687c5ab7c00c5e69dfae506f6</x:v>
      </x:c>
      <x:c r="S1117" t="n">
        <x:v>7</x:v>
      </x:c>
      <x:c r="T1117" t="str">
        <x:v>2018-12-31|2019-12-31|2020-12-31</x:v>
      </x:c>
      <x:c r="U1117" s="57" t="n">
        <x:v>2775.8404516907763</x:v>
      </x:c>
      <x:c r="V1117" s="57" t="n">
        <x:v>-0.46618452852100456</x:v>
      </x:c>
      <x:c r="W1117" t="n">
        <x:v>27</x:v>
      </x:c>
      <x:c r="X1117" t="n">
        <x:v>3</x:v>
      </x:c>
      <x:c r="Y1117" s="38" t="n">
        <x:v>0.6409090909090909</x:v>
      </x:c>
      <x:c r="Z1117" s="38" t="n">
        <x:v>0.4858903805076907</x:v>
      </x:c>
      <x:c r="AA1117"/>
    </x:row>
    <x:row r="1118">
      <x:c r="A1118" s="54" t="n">
        <x:v>44561</x:v>
      </x:c>
      <x:c r="B1118" t="n">
        <x:v>44561.624999988424</x:v>
      </x:c>
      <x:c r="C1118" t="str">
        <x:v>067990</x:v>
      </x:c>
      <x:c r="D1118" t="str">
        <x:v>도이치모터스</x:v>
      </x:c>
      <x:c r="E1118" t="str">
        <x:v>KOSDAQ</x:v>
      </x:c>
      <x:c r="F1118" t="str">
        <x:v>MID</x:v>
      </x:c>
      <x:c r="G1118" t="str">
        <x:v>DCF_SCREENING_EXCLUSION</x:v>
      </x:c>
      <x:c r="H1118" t="str">
        <x:v>NON_POSITIVE_EQUITY_VALUE|UNRELIABLE_TERMINAL_VALUE_SHARE</x:v>
      </x:c>
      <x:c r="I1118" s="54" t="n">
        <x:v>44560</x:v>
      </x:c>
      <x:c r="J1118" s="55" t="n">
        <x:v>7610</x:v>
      </x:c>
      <x:c r="K1118" s="55" t="n">
        <x:v>225436402660</x:v>
      </x:c>
      <x:c r="L1118" s="55" t="n">
        <x:v>29623706</x:v>
      </x:c>
      <x:c r="M1118" t="str">
        <x:v>20210319000917</x:v>
      </x:c>
      <x:c r="N1118" t="n">
        <x:v>44274.624999988424</x:v>
      </x:c>
      <x:c r="O1118" s="54" t="n">
        <x:v>44196</x:v>
      </x:c>
      <x:c r="P1118" t="str">
        <x:v>False</x:v>
      </x:c>
      <x:c r="Q1118" t="str">
        <x:v>10c9b73d81d91b44f4c1ba26758c80f8e8f8f165fcc8cbc218727c8d84fa0d64</x:v>
      </x:c>
      <x:c r="R1118" t="str">
        <x:v>51cc63cef37e912d19933c774d0e8b5d25c22e3894b2d141035ea06ec1d84a1a</x:v>
      </x:c>
      <x:c r="S1118" t="n">
        <x:v>6</x:v>
      </x:c>
      <x:c r="T1118" t="str">
        <x:v>2016-12-31|2018-12-31|2019-12-31|2020-12-31</x:v>
      </x:c>
      <x:c r="U1118" s="57" t="n">
        <x:v>-14091.55512075233</x:v>
      </x:c>
      <x:c r="V1118" s="57" t="n">
        <x:v>-2.851715521780858</x:v>
      </x:c>
      <x:c r="W1118"/>
      <x:c r="X1118"/>
      <x:c r="Y1118" s="38" t="n">
        <x:v>0.6409090909090909</x:v>
      </x:c>
      <x:c r="Z1118" s="38" t="n">
        <x:v>0.9672534740739068</x:v>
      </x:c>
      <x:c r="AA1118" t="str">
        <x:v>NON_POSITIVE_EQUITY_VALUE|UNRELIABLE_TERMINAL_VALUE_SHARE</x:v>
      </x:c>
    </x:row>
    <x:row r="1119">
      <x:c r="A1119" s="54" t="n">
        <x:v>44561</x:v>
      </x:c>
      <x:c r="B1119" t="n">
        <x:v>44561.624999988424</x:v>
      </x:c>
      <x:c r="C1119" t="str">
        <x:v>037070</x:v>
      </x:c>
      <x:c r="D1119" t="str">
        <x:v>파세코</x:v>
      </x:c>
      <x:c r="E1119" t="str">
        <x:v>KOSDAQ</x:v>
      </x:c>
      <x:c r="F1119" t="str">
        <x:v>MID</x:v>
      </x:c>
      <x:c r="G1119" t="str">
        <x:v>ELIGIBLE</x:v>
      </x:c>
      <x:c r="H1119"/>
      <x:c r="I1119" s="54" t="n">
        <x:v>44560</x:v>
      </x:c>
      <x:c r="J1119" s="55" t="n">
        <x:v>22300</x:v>
      </x:c>
      <x:c r="K1119" s="55" t="n">
        <x:v>312200000000</x:v>
      </x:c>
      <x:c r="L1119" s="55" t="n">
        <x:v>14000000</x:v>
      </x:c>
      <x:c r="M1119" t="str">
        <x:v>20210323000525</x:v>
      </x:c>
      <x:c r="N1119" t="n">
        <x:v>44278.624999988424</x:v>
      </x:c>
      <x:c r="O1119" s="54" t="n">
        <x:v>44196</x:v>
      </x:c>
      <x:c r="P1119" t="str">
        <x:v>False</x:v>
      </x:c>
      <x:c r="Q1119" t="str">
        <x:v>288ade85d77bdcb6715ad38831629f03378fc7c949c950410ef529b27ca026ca</x:v>
      </x:c>
      <x:c r="R1119" t="str">
        <x:v>d47890457c3ba235de3e72b5dd35b3903fac66df1f32064164ee92ff8abb4066</x:v>
      </x:c>
      <x:c r="S1119" t="n">
        <x:v>7</x:v>
      </x:c>
      <x:c r="T1119" t="str">
        <x:v>2018-12-31|2019-12-31|2020-12-31</x:v>
      </x:c>
      <x:c r="U1119" s="57" t="n">
        <x:v>8702.574407152382</x:v>
      </x:c>
      <x:c r="V1119" s="57" t="n">
        <x:v>-0.6097500265850949</x:v>
      </x:c>
      <x:c r="W1119" t="n">
        <x:v>35</x:v>
      </x:c>
      <x:c r="X1119" t="n">
        <x:v>3</x:v>
      </x:c>
      <x:c r="Y1119" s="38" t="n">
        <x:v>0.6409090909090909</x:v>
      </x:c>
      <x:c r="Z1119" s="38" t="n">
        <x:v>0.6657247163665023</x:v>
      </x:c>
      <x:c r="AA1119"/>
    </x:row>
    <x:row r="1120">
      <x:c r="A1120" s="54" t="n">
        <x:v>44561</x:v>
      </x:c>
      <x:c r="B1120" t="n">
        <x:v>44561.624999988424</x:v>
      </x:c>
      <x:c r="C1120" t="str">
        <x:v>365330</x:v>
      </x:c>
      <x:c r="D1120" t="str">
        <x:v>에스와이스틸텍</x:v>
      </x:c>
      <x:c r="E1120" t="str">
        <x:v>KOSDAQ</x:v>
      </x:c>
      <x:c r="F1120" t="str">
        <x:v>MID</x:v>
      </x:c>
      <x:c r="G1120" t="str">
        <x:v>NOT_LISTED_OR_NO_PRICE</x:v>
      </x:c>
      <x:c r="H1120"/>
      <x:c r="I1120" s="54"/>
      <x:c r="J1120" s="55"/>
      <x:c r="K1120" s="55"/>
      <x:c r="L1120" s="55"/>
      <x:c r="M1120"/>
      <x:c r="N1120"/>
      <x:c r="O1120" s="54"/>
      <x:c r="P1120"/>
      <x:c r="Q1120"/>
      <x:c r="R1120"/>
      <x:c r="S1120"/>
      <x:c r="T1120"/>
      <x:c r="U1120" s="57"/>
      <x:c r="V1120" s="57"/>
      <x:c r="W1120"/>
      <x:c r="X1120"/>
      <x:c r="Y1120" s="38"/>
      <x:c r="Z1120" s="38"/>
      <x:c r="AA1120"/>
    </x:row>
    <x:row r="1121">
      <x:c r="A1121" s="54" t="n">
        <x:v>44561</x:v>
      </x:c>
      <x:c r="B1121" t="n">
        <x:v>44561.624999988424</x:v>
      </x:c>
      <x:c r="C1121" t="str">
        <x:v>086960</x:v>
      </x:c>
      <x:c r="D1121" t="str">
        <x:v>MDS테크</x:v>
      </x:c>
      <x:c r="E1121" t="str">
        <x:v>KOSDAQ</x:v>
      </x:c>
      <x:c r="F1121" t="str">
        <x:v>MID</x:v>
      </x:c>
      <x:c r="G1121" t="str">
        <x:v>ELIGIBLE</x:v>
      </x:c>
      <x:c r="H1121"/>
      <x:c r="I1121" s="54" t="n">
        <x:v>44560</x:v>
      </x:c>
      <x:c r="J1121" s="55" t="n">
        <x:v>25950</x:v>
      </x:c>
      <x:c r="K1121" s="55" t="n">
        <x:v>229621377600</x:v>
      </x:c>
      <x:c r="L1121" s="55" t="n">
        <x:v>8848608</x:v>
      </x:c>
      <x:c r="M1121" t="str">
        <x:v>20210316001071</x:v>
      </x:c>
      <x:c r="N1121" t="n">
        <x:v>44271.624999988424</x:v>
      </x:c>
      <x:c r="O1121" s="54" t="n">
        <x:v>44196</x:v>
      </x:c>
      <x:c r="P1121" t="str">
        <x:v>False</x:v>
      </x:c>
      <x:c r="Q1121" t="str">
        <x:v>449b4e59d025de1d7d5a9ecb405a5bc4112be82940e8bc7805131bac9040560e</x:v>
      </x:c>
      <x:c r="R1121" t="str">
        <x:v>0f0ce7f0414bfa51af4275551ce10741690be6847f9395f847a202ff0ada0b86</x:v>
      </x:c>
      <x:c r="S1121" t="n">
        <x:v>6</x:v>
      </x:c>
      <x:c r="T1121" t="str">
        <x:v>2018-12-31|2019-12-31|2020-12-31</x:v>
      </x:c>
      <x:c r="U1121" s="57" t="n">
        <x:v>6470.800110451912</x:v>
      </x:c>
      <x:c r="V1121" s="57" t="n">
        <x:v>-0.7506435410230478</x:v>
      </x:c>
      <x:c r="W1121" t="n">
        <x:v>45</x:v>
      </x:c>
      <x:c r="X1121" t="n">
        <x:v>4</x:v>
      </x:c>
      <x:c r="Y1121" s="38" t="n">
        <x:v>0.6409090909090909</x:v>
      </x:c>
      <x:c r="Z1121" s="38" t="n">
        <x:v>0.583251547314125</x:v>
      </x:c>
      <x:c r="AA1121"/>
    </x:row>
    <x:row r="1122">
      <x:c r="A1122" s="54" t="n">
        <x:v>44561</x:v>
      </x:c>
      <x:c r="B1122" t="n">
        <x:v>44561.624999988424</x:v>
      </x:c>
      <x:c r="C1122" t="str">
        <x:v>014970</x:v>
      </x:c>
      <x:c r="D1122" t="str">
        <x:v>삼륭물산</x:v>
      </x:c>
      <x:c r="E1122" t="str">
        <x:v>KOSDAQ</x:v>
      </x:c>
      <x:c r="F1122" t="str">
        <x:v>MID</x:v>
      </x:c>
      <x:c r="G1122" t="str">
        <x:v>DCF_SCREENING_EXCLUSION</x:v>
      </x:c>
      <x:c r="H1122" t="str">
        <x:v>NON_POSITIVE_ENTERPRISE_VALUE|NON_POSITIVE_EQUITY_VALUE|NON_POSITIVE_TERMINAL_FCF|UNRELIABLE_TERMINAL_VALUE_SHARE</x:v>
      </x:c>
      <x:c r="I1122" s="54" t="n">
        <x:v>44560</x:v>
      </x:c>
      <x:c r="J1122" s="55" t="n">
        <x:v>7010</x:v>
      </x:c>
      <x:c r="K1122" s="55" t="n">
        <x:v>106026250000</x:v>
      </x:c>
      <x:c r="L1122" s="55" t="n">
        <x:v>15125000</x:v>
      </x:c>
      <x:c r="M1122" t="str">
        <x:v>20210330000019</x:v>
      </x:c>
      <x:c r="N1122" t="n">
        <x:v>44285.624999988424</x:v>
      </x:c>
      <x:c r="O1122" s="54" t="n">
        <x:v>44196</x:v>
      </x:c>
      <x:c r="P1122" t="str">
        <x:v>False</x:v>
      </x:c>
      <x:c r="Q1122" t="str">
        <x:v>db7fb8289834e170187de7d60202bd28289217460c9f69f69b7fa2a5f7ba5a44</x:v>
      </x:c>
      <x:c r="R1122" t="str">
        <x:v>e2cea05971f07b11304f196f6480539ccc7b9ec2c5304a966d8bc1e0b3850142</x:v>
      </x:c>
      <x:c r="S1122" t="n">
        <x:v>6</x:v>
      </x:c>
      <x:c r="T1122" t="str">
        <x:v>2018-12-31|2019-12-31|2020-12-31</x:v>
      </x:c>
      <x:c r="U1122" s="57" t="n">
        <x:v>-514.9984660024672</x:v>
      </x:c>
      <x:c r="V1122" s="57" t="n">
        <x:v>-1.0734662576323064</x:v>
      </x:c>
      <x:c r="W1122"/>
      <x:c r="X1122"/>
      <x:c r="Y1122" s="38" t="n">
        <x:v>0.6409090909090909</x:v>
      </x:c>
      <x:c r="Z1122" s="38" t="n">
        <x:v>1.4185819358560103</x:v>
      </x:c>
      <x:c r="AA1122" t="str">
        <x:v>NON_POSITIVE_ENTERPRISE_VALUE|NON_POSITIVE_EQUITY_VALUE|NON_POSITIVE_TERMINAL_FCF|UNRELIABLE_TERMINAL_VALUE_SHARE</x:v>
      </x:c>
    </x:row>
    <x:row r="1123">
      <x:c r="A1123" s="54" t="n">
        <x:v>44561</x:v>
      </x:c>
      <x:c r="B1123" t="n">
        <x:v>44561.624999988424</x:v>
      </x:c>
      <x:c r="C1123" t="str">
        <x:v>088390</x:v>
      </x:c>
      <x:c r="D1123" t="str">
        <x:v>이녹스</x:v>
      </x:c>
      <x:c r="E1123" t="str">
        <x:v>KOSDAQ</x:v>
      </x:c>
      <x:c r="F1123" t="str">
        <x:v>MID</x:v>
      </x:c>
      <x:c r="G1123" t="str">
        <x:v>ELIGIBLE</x:v>
      </x:c>
      <x:c r="H1123"/>
      <x:c r="I1123" s="54" t="n">
        <x:v>44560</x:v>
      </x:c>
      <x:c r="J1123" s="55" t="n">
        <x:v>32450</x:v>
      </x:c>
      <x:c r="K1123" s="55" t="n">
        <x:v>303434887800</x:v>
      </x:c>
      <x:c r="L1123" s="55" t="n">
        <x:v>9350844</x:v>
      </x:c>
      <x:c r="M1123" t="str">
        <x:v>20210318001318</x:v>
      </x:c>
      <x:c r="N1123" t="n">
        <x:v>44273.624999988424</x:v>
      </x:c>
      <x:c r="O1123" s="54" t="n">
        <x:v>44196</x:v>
      </x:c>
      <x:c r="P1123" t="str">
        <x:v>False</x:v>
      </x:c>
      <x:c r="Q1123" t="str">
        <x:v>78742b2d914e26f09250a3fd201ef069394f8986dff3d51832183c4eaf52b18c</x:v>
      </x:c>
      <x:c r="R1123" t="str">
        <x:v>719a4e5b763bbedbc38452bf1788cbfb6ff51d8070e44e3b99ffdb9082646b27</x:v>
      </x:c>
      <x:c r="S1123" t="n">
        <x:v>6</x:v>
      </x:c>
      <x:c r="T1123" t="str">
        <x:v>2018-12-31|2019-12-31|2020-12-31</x:v>
      </x:c>
      <x:c r="U1123" s="57" t="n">
        <x:v>4438.298471090707</x:v>
      </x:c>
      <x:c r="V1123" s="57" t="n">
        <x:v>-0.8632265494270969</x:v>
      </x:c>
      <x:c r="W1123" t="n">
        <x:v>51</x:v>
      </x:c>
      <x:c r="X1123" t="n">
        <x:v>5</x:v>
      </x:c>
      <x:c r="Y1123" s="38" t="n">
        <x:v>0.6409090909090909</x:v>
      </x:c>
      <x:c r="Z1123" s="38" t="n">
        <x:v>0.46128834611293384</x:v>
      </x:c>
      <x:c r="AA1123"/>
    </x:row>
    <x:row r="1124">
      <x:c r="A1124" s="54" t="n">
        <x:v>44561</x:v>
      </x:c>
      <x:c r="B1124" t="n">
        <x:v>44561.624999988424</x:v>
      </x:c>
      <x:c r="C1124" t="str">
        <x:v>170920</x:v>
      </x:c>
      <x:c r="D1124" t="str">
        <x:v>엘티씨</x:v>
      </x:c>
      <x:c r="E1124" t="str">
        <x:v>KOSDAQ</x:v>
      </x:c>
      <x:c r="F1124" t="str">
        <x:v>MID</x:v>
      </x:c>
      <x:c r="G1124" t="str">
        <x:v>DCF_SCREENING_EXCLUSION</x:v>
      </x:c>
      <x:c r="H1124" t="str">
        <x:v>NON_POSITIVE_EQUITY_VALUE</x:v>
      </x:c>
      <x:c r="I1124" s="54" t="n">
        <x:v>44560</x:v>
      </x:c>
      <x:c r="J1124" s="55" t="n">
        <x:v>11600</x:v>
      </x:c>
      <x:c r="K1124" s="55" t="n">
        <x:v>93024610800</x:v>
      </x:c>
      <x:c r="L1124" s="55" t="n">
        <x:v>8019363</x:v>
      </x:c>
      <x:c r="M1124" t="str">
        <x:v>20210317000881</x:v>
      </x:c>
      <x:c r="N1124" t="n">
        <x:v>44272.624999988424</x:v>
      </x:c>
      <x:c r="O1124" s="54" t="n">
        <x:v>44196</x:v>
      </x:c>
      <x:c r="P1124" t="str">
        <x:v>False</x:v>
      </x:c>
      <x:c r="Q1124" t="str">
        <x:v>8b37977f7e8946e919791090e3b7cef2344bd6904a0c156d385d0e36090a3962</x:v>
      </x:c>
      <x:c r="R1124" t="str">
        <x:v>77d324f908a67f3c7389a72ba15f1781057da40e5bda11e730b362ede96f2780</x:v>
      </x:c>
      <x:c r="S1124" t="n">
        <x:v>6</x:v>
      </x:c>
      <x:c r="T1124" t="str">
        <x:v>2018-12-31|2019-12-31|2020-12-31</x:v>
      </x:c>
      <x:c r="U1124" s="57" t="n">
        <x:v>-1.660878872603791</x:v>
      </x:c>
      <x:c r="V1124" s="57" t="n">
        <x:v>-1.0001431792131554</x:v>
      </x:c>
      <x:c r="W1124"/>
      <x:c r="X1124"/>
      <x:c r="Y1124" s="38" t="n">
        <x:v>0.6409090909090909</x:v>
      </x:c>
      <x:c r="Z1124" s="38" t="n">
        <x:v>0.6218942210664877</x:v>
      </x:c>
      <x:c r="AA1124" t="str">
        <x:v>NON_POSITIVE_EQUITY_VALUE</x:v>
      </x:c>
    </x:row>
    <x:row r="1125">
      <x:c r="A1125" s="54" t="n">
        <x:v>44561</x:v>
      </x:c>
      <x:c r="B1125" t="n">
        <x:v>44561.624999988424</x:v>
      </x:c>
      <x:c r="C1125" t="str">
        <x:v>021080</x:v>
      </x:c>
      <x:c r="D1125" t="str">
        <x:v>에이티넘인베스트</x:v>
      </x:c>
      <x:c r="E1125" t="str">
        <x:v>KOSDAQ</x:v>
      </x:c>
      <x:c r="F1125" t="str">
        <x:v>MID</x:v>
      </x:c>
      <x:c r="G1125" t="str">
        <x:v>ELIGIBLE</x:v>
      </x:c>
      <x:c r="H1125"/>
      <x:c r="I1125" s="54" t="n">
        <x:v>44560</x:v>
      </x:c>
      <x:c r="J1125" s="55" t="n">
        <x:v>5310</x:v>
      </x:c>
      <x:c r="K1125" s="55" t="n">
        <x:v>254880000000</x:v>
      </x:c>
      <x:c r="L1125" s="55" t="n">
        <x:v>48000000</x:v>
      </x:c>
      <x:c r="M1125" t="str">
        <x:v>20210316000584</x:v>
      </x:c>
      <x:c r="N1125" t="n">
        <x:v>44271.624999988424</x:v>
      </x:c>
      <x:c r="O1125" s="54" t="n">
        <x:v>44196</x:v>
      </x:c>
      <x:c r="P1125" t="str">
        <x:v>False</x:v>
      </x:c>
      <x:c r="Q1125" t="str">
        <x:v>55a37992fbde8e6d83b4745264fc16998a98544419186a4f9de0b42f1caceef0</x:v>
      </x:c>
      <x:c r="R1125" t="str">
        <x:v>7745f524b3c0f5ad009800896f13fd804e8e005edcaddeaa544c11625b0472c8</x:v>
      </x:c>
      <x:c r="S1125" t="n">
        <x:v>5</x:v>
      </x:c>
      <x:c r="T1125" t="str">
        <x:v>2018-12-31|2019-12-31|2020-12-31</x:v>
      </x:c>
      <x:c r="U1125" s="57" t="n">
        <x:v>3347.712238143814</x:v>
      </x:c>
      <x:c r="V1125" s="57" t="n">
        <x:v>-0.3695457178636885</x:v>
      </x:c>
      <x:c r="W1125" t="n">
        <x:v>23</x:v>
      </x:c>
      <x:c r="X1125" t="n">
        <x:v>2</x:v>
      </x:c>
      <x:c r="Y1125" s="38" t="n">
        <x:v>0.6409090909090909</x:v>
      </x:c>
      <x:c r="Z1125" s="38" t="n">
        <x:v>0.6847587029208964</x:v>
      </x:c>
      <x:c r="AA1125"/>
    </x:row>
    <x:row r="1126">
      <x:c r="A1126" s="54" t="n">
        <x:v>44561</x:v>
      </x:c>
      <x:c r="B1126" t="n">
        <x:v>44561.624999988424</x:v>
      </x:c>
      <x:c r="C1126" t="str">
        <x:v>302550</x:v>
      </x:c>
      <x:c r="D1126" t="str">
        <x:v>리메드</x:v>
      </x:c>
      <x:c r="E1126" t="str">
        <x:v>KOSDAQ</x:v>
      </x:c>
      <x:c r="F1126" t="str">
        <x:v>MID</x:v>
      </x:c>
      <x:c r="G1126" t="str">
        <x:v>ELIGIBLE</x:v>
      </x:c>
      <x:c r="H1126"/>
      <x:c r="I1126" s="54" t="n">
        <x:v>44560</x:v>
      </x:c>
      <x:c r="J1126" s="55" t="n">
        <x:v>26550</x:v>
      </x:c>
      <x:c r="K1126" s="55" t="n">
        <x:v>162688204800</x:v>
      </x:c>
      <x:c r="L1126" s="55" t="n">
        <x:v>6127616</x:v>
      </x:c>
      <x:c r="M1126" t="str">
        <x:v>20210322000679</x:v>
      </x:c>
      <x:c r="N1126" t="n">
        <x:v>44277.624999988424</x:v>
      </x:c>
      <x:c r="O1126" s="54" t="n">
        <x:v>44196</x:v>
      </x:c>
      <x:c r="P1126" t="str">
        <x:v>False</x:v>
      </x:c>
      <x:c r="Q1126" t="str">
        <x:v>1e639ed22abca5e497e8d1fb6e0e98e947dcf9cd388522a1c37f3ec1dc13d829</x:v>
      </x:c>
      <x:c r="R1126" t="str">
        <x:v>2383eb7b5dddea424096886da74c8322f4f6a110c52b643834c9d484ea7d8e6c</x:v>
      </x:c>
      <x:c r="S1126" t="n">
        <x:v>6</x:v>
      </x:c>
      <x:c r="T1126" t="str">
        <x:v>2019-12-31|2020-12-31</x:v>
      </x:c>
      <x:c r="U1126" s="57" t="n">
        <x:v>2651.8535943828674</x:v>
      </x:c>
      <x:c r="V1126" s="57" t="n">
        <x:v>-0.9001185086861443</x:v>
      </x:c>
      <x:c r="W1126" t="n">
        <x:v>54</x:v>
      </x:c>
      <x:c r="X1126" t="n">
        <x:v>5</x:v>
      </x:c>
      <x:c r="Y1126" s="38" t="n">
        <x:v>0.6409090909090909</x:v>
      </x:c>
      <x:c r="Z1126" s="38" t="n">
        <x:v>0.7012694220738431</x:v>
      </x:c>
      <x:c r="AA1126"/>
    </x:row>
    <x:row r="1127">
      <x:c r="A1127" s="54" t="n">
        <x:v>44561</x:v>
      </x:c>
      <x:c r="B1127" t="n">
        <x:v>44561.624999988424</x:v>
      </x:c>
      <x:c r="C1127" t="str">
        <x:v>011760</x:v>
      </x:c>
      <x:c r="D1127" t="str">
        <x:v>현대코퍼레이션</x:v>
      </x:c>
      <x:c r="E1127" t="str">
        <x:v>KOSPI</x:v>
      </x:c>
      <x:c r="F1127" t="str">
        <x:v>MID</x:v>
      </x:c>
      <x:c r="G1127" t="str">
        <x:v>ELIGIBLE</x:v>
      </x:c>
      <x:c r="H1127"/>
      <x:c r="I1127" s="54" t="n">
        <x:v>44560</x:v>
      </x:c>
      <x:c r="J1127" s="55" t="n">
        <x:v>16800</x:v>
      </x:c>
      <x:c r="K1127" s="55" t="n">
        <x:v>222246628800</x:v>
      </x:c>
      <x:c r="L1127" s="55" t="n">
        <x:v>13228966</x:v>
      </x:c>
      <x:c r="M1127" t="str">
        <x:v>20210316000887</x:v>
      </x:c>
      <x:c r="N1127" t="n">
        <x:v>44271.624999988424</x:v>
      </x:c>
      <x:c r="O1127" s="54" t="n">
        <x:v>44196</x:v>
      </x:c>
      <x:c r="P1127" t="str">
        <x:v>False</x:v>
      </x:c>
      <x:c r="Q1127" t="str">
        <x:v>278ee78f0a27176a2018ffaad516b599eaf70ba9580db1bc71f8fb92c05598e4</x:v>
      </x:c>
      <x:c r="R1127" t="str">
        <x:v>a57c1d91ac06dca8334078344d08773f484c9199efaec07d1393489503253d10</x:v>
      </x:c>
      <x:c r="S1127" t="n">
        <x:v>6</x:v>
      </x:c>
      <x:c r="T1127" t="str">
        <x:v>2018-12-31|2019-12-31|2020-12-31</x:v>
      </x:c>
      <x:c r="U1127" s="57" t="n">
        <x:v>13014.620111364917</x:v>
      </x:c>
      <x:c r="V1127" s="57" t="n">
        <x:v>-0.22532023146637406</x:v>
      </x:c>
      <x:c r="W1127" t="n">
        <x:v>19</x:v>
      </x:c>
      <x:c r="X1127" t="n">
        <x:v>2</x:v>
      </x:c>
      <x:c r="Y1127" s="38" t="n">
        <x:v>0.6409090909090909</x:v>
      </x:c>
      <x:c r="Z1127" s="38" t="n">
        <x:v>0.6392017842916052</x:v>
      </x:c>
      <x:c r="AA1127"/>
    </x:row>
    <x:row r="1128">
      <x:c r="A1128" s="54" t="n">
        <x:v>44561</x:v>
      </x:c>
      <x:c r="B1128" t="n">
        <x:v>44561.624999988424</x:v>
      </x:c>
      <x:c r="C1128" t="str">
        <x:v>010690</x:v>
      </x:c>
      <x:c r="D1128" t="str">
        <x:v>화신</x:v>
      </x:c>
      <x:c r="E1128" t="str">
        <x:v>KOSPI</x:v>
      </x:c>
      <x:c r="F1128" t="str">
        <x:v>MID</x:v>
      </x:c>
      <x:c r="G1128" t="str">
        <x:v>DCF_SCREENING_EXCLUSION</x:v>
      </x:c>
      <x:c r="H1128" t="str">
        <x:v>NON_POSITIVE_ENTERPRISE_VALUE|NON_POSITIVE_EQUITY_VALUE|NON_POSITIVE_TERMINAL_FCF</x:v>
      </x:c>
      <x:c r="I1128" s="54" t="n">
        <x:v>44560</x:v>
      </x:c>
      <x:c r="J1128" s="55" t="n">
        <x:v>8320</x:v>
      </x:c>
      <x:c r="K1128" s="55" t="n">
        <x:v>290537811200</x:v>
      </x:c>
      <x:c r="L1128" s="55" t="n">
        <x:v>34920410</x:v>
      </x:c>
      <x:c r="M1128" t="str">
        <x:v>20210322000570</x:v>
      </x:c>
      <x:c r="N1128" t="n">
        <x:v>44277.624999988424</x:v>
      </x:c>
      <x:c r="O1128" s="54" t="n">
        <x:v>44196</x:v>
      </x:c>
      <x:c r="P1128" t="str">
        <x:v>False</x:v>
      </x:c>
      <x:c r="Q1128" t="str">
        <x:v>2c40177bebdb79af787fdbbbe7b2fb1961c7e34aff8c723bffa7969be0d2c81a</x:v>
      </x:c>
      <x:c r="R1128" t="str">
        <x:v>648b337d596595f7fa419e14405bf4a6cc9b965de9c5fe7ae81f9018c5994503</x:v>
      </x:c>
      <x:c r="S1128" t="n">
        <x:v>6</x:v>
      </x:c>
      <x:c r="T1128" t="str">
        <x:v>2018-12-31|2019-12-31|2020-12-31</x:v>
      </x:c>
      <x:c r="U1128" s="57" t="n">
        <x:v>-16153.5769382895</x:v>
      </x:c>
      <x:c r="V1128" s="57" t="n">
        <x:v>-2.941535689698257</x:v>
      </x:c>
      <x:c r="W1128"/>
      <x:c r="X1128"/>
      <x:c r="Y1128" s="38" t="n">
        <x:v>0.6409090909090909</x:v>
      </x:c>
      <x:c r="Z1128" s="38" t="n">
        <x:v>0.676334784928983</x:v>
      </x:c>
      <x:c r="AA1128" t="str">
        <x:v>NON_POSITIVE_ENTERPRISE_VALUE|NON_POSITIVE_EQUITY_VALUE|NON_POSITIVE_TERMINAL_FCF</x:v>
      </x:c>
    </x:row>
    <x:row r="1129">
      <x:c r="A1129" s="54" t="n">
        <x:v>44561</x:v>
      </x:c>
      <x:c r="B1129" t="n">
        <x:v>44561.624999988424</x:v>
      </x:c>
      <x:c r="C1129" t="str">
        <x:v>029460</x:v>
      </x:c>
      <x:c r="D1129" t="str">
        <x:v>케이씨</x:v>
      </x:c>
      <x:c r="E1129" t="str">
        <x:v>KOSPI</x:v>
      </x:c>
      <x:c r="F1129" t="str">
        <x:v>MID</x:v>
      </x:c>
      <x:c r="G1129" t="str">
        <x:v>ELIGIBLE</x:v>
      </x:c>
      <x:c r="H1129"/>
      <x:c r="I1129" s="54" t="n">
        <x:v>44560</x:v>
      </x:c>
      <x:c r="J1129" s="55" t="n">
        <x:v>22850</x:v>
      </x:c>
      <x:c r="K1129" s="55" t="n">
        <x:v>309709905400</x:v>
      </x:c>
      <x:c r="L1129" s="55" t="n">
        <x:v>13554044</x:v>
      </x:c>
      <x:c r="M1129" t="str">
        <x:v>20210316000993</x:v>
      </x:c>
      <x:c r="N1129" t="n">
        <x:v>44271.624999988424</x:v>
      </x:c>
      <x:c r="O1129" s="54" t="n">
        <x:v>44196</x:v>
      </x:c>
      <x:c r="P1129" t="str">
        <x:v>False</x:v>
      </x:c>
      <x:c r="Q1129" t="str">
        <x:v>b4098d53fa6c9821544b19624f9e3b95c7efb07ed65dd730ca2d013f17f0f149</x:v>
      </x:c>
      <x:c r="R1129" t="str">
        <x:v>bdbc2e70dba69343ad2b40ebf43c406cfee3642881bca2327498ab7f2557dc61</x:v>
      </x:c>
      <x:c r="S1129" t="n">
        <x:v>7</x:v>
      </x:c>
      <x:c r="T1129" t="str">
        <x:v>2018-12-31|2019-12-31|2020-12-31</x:v>
      </x:c>
      <x:c r="U1129" s="57" t="n">
        <x:v>48747.66235572782</x:v>
      </x:c>
      <x:c r="V1129" s="57" t="n">
        <x:v>1.1333769083469505</x:v>
      </x:c>
      <x:c r="W1129" t="n">
        <x:v>5</x:v>
      </x:c>
      <x:c r="X1129" t="n">
        <x:v>1</x:v>
      </x:c>
      <x:c r="Y1129" s="38" t="n">
        <x:v>0.6409090909090909</x:v>
      </x:c>
      <x:c r="Z1129" s="38" t="n">
        <x:v>0.6736961444810375</x:v>
      </x:c>
      <x:c r="AA1129"/>
    </x:row>
    <x:row r="1130">
      <x:c r="A1130" s="54" t="n">
        <x:v>44561</x:v>
      </x:c>
      <x:c r="B1130" t="n">
        <x:v>44561.624999988424</x:v>
      </x:c>
      <x:c r="C1130" t="str">
        <x:v>122900</x:v>
      </x:c>
      <x:c r="D1130" t="str">
        <x:v>아이마켓코리아</x:v>
      </x:c>
      <x:c r="E1130" t="str">
        <x:v>KOSPI</x:v>
      </x:c>
      <x:c r="F1130" t="str">
        <x:v>MID</x:v>
      </x:c>
      <x:c r="G1130" t="str">
        <x:v>ELIGIBLE</x:v>
      </x:c>
      <x:c r="H1130"/>
      <x:c r="I1130" s="54" t="n">
        <x:v>44560</x:v>
      </x:c>
      <x:c r="J1130" s="55" t="n">
        <x:v>10700</x:v>
      </x:c>
      <x:c r="K1130" s="55" t="n">
        <x:v>357688588000</x:v>
      </x:c>
      <x:c r="L1130" s="55" t="n">
        <x:v>33428840</x:v>
      </x:c>
      <x:c r="M1130" t="str">
        <x:v>20210322000664</x:v>
      </x:c>
      <x:c r="N1130" t="n">
        <x:v>44277.624999988424</x:v>
      </x:c>
      <x:c r="O1130" s="54" t="n">
        <x:v>44196</x:v>
      </x:c>
      <x:c r="P1130" t="str">
        <x:v>False</x:v>
      </x:c>
      <x:c r="Q1130" t="str">
        <x:v>b92939c81e354aaff71090566e3693253c1752bd6d081c88b85c8203cdcf44f4</x:v>
      </x:c>
      <x:c r="R1130" t="str">
        <x:v>2f99c90467b5d1ba95e082e3d4cbf7a890d1b59929860f56e1b76261c8b1a50c</x:v>
      </x:c>
      <x:c r="S1130" t="n">
        <x:v>7</x:v>
      </x:c>
      <x:c r="T1130" t="str">
        <x:v>2018-12-31|2019-12-31|2020-12-31</x:v>
      </x:c>
      <x:c r="U1130" s="57" t="n">
        <x:v>7534.48271490816</x:v>
      </x:c>
      <x:c r="V1130" s="57" t="n">
        <x:v>-0.295842736924471</x:v>
      </x:c>
      <x:c r="W1130" t="n">
        <x:v>21</x:v>
      </x:c>
      <x:c r="X1130" t="n">
        <x:v>2</x:v>
      </x:c>
      <x:c r="Y1130" s="38" t="n">
        <x:v>0.6409090909090909</x:v>
      </x:c>
      <x:c r="Z1130" s="38" t="n">
        <x:v>0.6656486310336687</x:v>
      </x:c>
      <x:c r="AA1130"/>
    </x:row>
    <x:row r="1131">
      <x:c r="A1131" s="54" t="n">
        <x:v>44561</x:v>
      </x:c>
      <x:c r="B1131" t="n">
        <x:v>44561.624999988424</x:v>
      </x:c>
      <x:c r="C1131" t="str">
        <x:v>001820</x:v>
      </x:c>
      <x:c r="D1131" t="str">
        <x:v>삼화콘덴서</x:v>
      </x:c>
      <x:c r="E1131" t="str">
        <x:v>KOSPI</x:v>
      </x:c>
      <x:c r="F1131" t="str">
        <x:v>MID</x:v>
      </x:c>
      <x:c r="G1131" t="str">
        <x:v>ELIGIBLE</x:v>
      </x:c>
      <x:c r="H1131"/>
      <x:c r="I1131" s="54" t="n">
        <x:v>44560</x:v>
      </x:c>
      <x:c r="J1131" s="55" t="n">
        <x:v>60200</x:v>
      </x:c>
      <x:c r="K1131" s="55" t="n">
        <x:v>625779000000</x:v>
      </x:c>
      <x:c r="L1131" s="55" t="n">
        <x:v>10395000</x:v>
      </x:c>
      <x:c r="M1131" t="str">
        <x:v>20210318000813</x:v>
      </x:c>
      <x:c r="N1131" t="n">
        <x:v>44273.624999988424</x:v>
      </x:c>
      <x:c r="O1131" s="54" t="n">
        <x:v>44196</x:v>
      </x:c>
      <x:c r="P1131" t="str">
        <x:v>False</x:v>
      </x:c>
      <x:c r="Q1131" t="str">
        <x:v>62af25af3ee9d675da0f9a28a9d429b856f6716ee8ccde02bf6bb2659a309d7d</x:v>
      </x:c>
      <x:c r="R1131" t="str">
        <x:v>377ca5e06ffa671a6e44038c8c5ed1f0add6921eecb130f7781f3365ed119d4a</x:v>
      </x:c>
      <x:c r="S1131" t="n">
        <x:v>6</x:v>
      </x:c>
      <x:c r="T1131" t="str">
        <x:v>2018-12-31|2019-12-31|2020-12-31</x:v>
      </x:c>
      <x:c r="U1131" s="57" t="n">
        <x:v>19903.907995886217</x:v>
      </x:c>
      <x:c r="V1131" s="57" t="n">
        <x:v>-0.6693702990716576</x:v>
      </x:c>
      <x:c r="W1131" t="n">
        <x:v>39</x:v>
      </x:c>
      <x:c r="X1131" t="n">
        <x:v>4</x:v>
      </x:c>
      <x:c r="Y1131" s="38" t="n">
        <x:v>0.6409090909090909</x:v>
      </x:c>
      <x:c r="Z1131" s="38" t="n">
        <x:v>0.7024781145767918</x:v>
      </x:c>
      <x:c r="AA1131"/>
    </x:row>
    <x:row r="1132">
      <x:c r="A1132" s="54" t="n">
        <x:v>44561</x:v>
      </x:c>
      <x:c r="B1132" t="n">
        <x:v>44561.624999988424</x:v>
      </x:c>
      <x:c r="C1132" t="str">
        <x:v>001790</x:v>
      </x:c>
      <x:c r="D1132" t="str">
        <x:v>대한제당</x:v>
      </x:c>
      <x:c r="E1132" t="str">
        <x:v>KOSPI</x:v>
      </x:c>
      <x:c r="F1132" t="str">
        <x:v>MID</x:v>
      </x:c>
      <x:c r="G1132" t="str">
        <x:v>ELIGIBLE</x:v>
      </x:c>
      <x:c r="H1132"/>
      <x:c r="I1132" s="54" t="n">
        <x:v>44560</x:v>
      </x:c>
      <x:c r="J1132" s="55" t="n">
        <x:v>3020</x:v>
      </x:c>
      <x:c r="K1132" s="55" t="n">
        <x:v>270883671600</x:v>
      </x:c>
      <x:c r="L1132" s="55" t="n">
        <x:v>89696580</x:v>
      </x:c>
      <x:c r="M1132" t="str">
        <x:v>20210419000297</x:v>
      </x:c>
      <x:c r="N1132" t="n">
        <x:v>44305.624999988424</x:v>
      </x:c>
      <x:c r="O1132" s="54" t="n">
        <x:v>44196</x:v>
      </x:c>
      <x:c r="P1132" t="str">
        <x:v>True</x:v>
      </x:c>
      <x:c r="Q1132" t="str">
        <x:v>7386d6b7f498bee97055913795870feb3dd802720df714a650ee71d84745f789</x:v>
      </x:c>
      <x:c r="R1132" t="str">
        <x:v>94740bf63be73c4dac11b62e160d72258565c0a2cb42b25e32354159b5b309cd</x:v>
      </x:c>
      <x:c r="S1132" t="n">
        <x:v>6</x:v>
      </x:c>
      <x:c r="T1132" t="str">
        <x:v>2018-12-31|2019-12-31|2020-12-31</x:v>
      </x:c>
      <x:c r="U1132" s="57" t="n">
        <x:v>1160.3339311700863</x:v>
      </x:c>
      <x:c r="V1132" s="57" t="n">
        <x:v>-0.6157834664999714</x:v>
      </x:c>
      <x:c r="W1132" t="n">
        <x:v>37</x:v>
      </x:c>
      <x:c r="X1132" t="n">
        <x:v>4</x:v>
      </x:c>
      <x:c r="Y1132" s="38" t="n">
        <x:v>0.6409090909090909</x:v>
      </x:c>
      <x:c r="Z1132" s="38" t="n">
        <x:v>0.5698434338896153</x:v>
      </x:c>
      <x:c r="AA1132"/>
    </x:row>
    <x:row r="1133">
      <x:c r="A1133" s="54" t="n">
        <x:v>44561</x:v>
      </x:c>
      <x:c r="B1133" t="n">
        <x:v>44561.624999988424</x:v>
      </x:c>
      <x:c r="C1133" t="str">
        <x:v>001340</x:v>
      </x:c>
      <x:c r="D1133" t="str">
        <x:v>PKC</x:v>
      </x:c>
      <x:c r="E1133" t="str">
        <x:v>KOSPI</x:v>
      </x:c>
      <x:c r="F1133" t="str">
        <x:v>MID</x:v>
      </x:c>
      <x:c r="G1133" t="str">
        <x:v>ELIGIBLE</x:v>
      </x:c>
      <x:c r="H1133"/>
      <x:c r="I1133" s="54" t="n">
        <x:v>44560</x:v>
      </x:c>
      <x:c r="J1133" s="55" t="n">
        <x:v>5160</x:v>
      </x:c>
      <x:c r="K1133" s="55" t="n">
        <x:v>231778980120</x:v>
      </x:c>
      <x:c r="L1133" s="55" t="n">
        <x:v>44918407</x:v>
      </x:c>
      <x:c r="M1133" t="str">
        <x:v>20210317000563</x:v>
      </x:c>
      <x:c r="N1133" t="n">
        <x:v>44272.624999988424</x:v>
      </x:c>
      <x:c r="O1133" s="54" t="n">
        <x:v>44196</x:v>
      </x:c>
      <x:c r="P1133" t="str">
        <x:v>False</x:v>
      </x:c>
      <x:c r="Q1133" t="str">
        <x:v>81adfca52825bdd115d27da3b41cb6c3439abb61b538de345fb74e37891da0b1</x:v>
      </x:c>
      <x:c r="R1133" t="str">
        <x:v>2e28e834dc1fb990f4d5415cd14d168e467ed9142c468c9f6da7138ee5fe5af3</x:v>
      </x:c>
      <x:c r="S1133" t="n">
        <x:v>6</x:v>
      </x:c>
      <x:c r="T1133" t="str">
        <x:v>2016-12-31|2017-12-31|2018-12-31|2019-12-31|2020-12-31</x:v>
      </x:c>
      <x:c r="U1133" s="57" t="n">
        <x:v>65.60697834095828</x:v>
      </x:c>
      <x:c r="V1133" s="57" t="n">
        <x:v>-0.9872854693137678</x:v>
      </x:c>
      <x:c r="W1133" t="n">
        <x:v>59</x:v>
      </x:c>
      <x:c r="X1133" t="n">
        <x:v>5</x:v>
      </x:c>
      <x:c r="Y1133" s="38" t="n">
        <x:v>0.6409090909090909</x:v>
      </x:c>
      <x:c r="Z1133" s="38" t="n">
        <x:v>0.6734078515422923</x:v>
      </x:c>
      <x:c r="AA1133"/>
    </x:row>
    <x:row r="1134">
      <x:c r="A1134" s="54" t="n">
        <x:v>44561</x:v>
      </x:c>
      <x:c r="B1134" t="n">
        <x:v>44561.624999988424</x:v>
      </x:c>
      <x:c r="C1134" t="str">
        <x:v>096760</x:v>
      </x:c>
      <x:c r="D1134" t="str">
        <x:v>JW홀딩스</x:v>
      </x:c>
      <x:c r="E1134" t="str">
        <x:v>KOSPI</x:v>
      </x:c>
      <x:c r="F1134" t="str">
        <x:v>MID</x:v>
      </x:c>
      <x:c r="G1134" t="str">
        <x:v>EXCLUDED_ARCHETYPE</x:v>
      </x:c>
      <x:c r="H1134" t="str">
        <x:v>FCFF_NOT_COMPARABLE_FOR_FINANCE_OR_HOLDING_HINT</x:v>
      </x:c>
      <x:c r="I1134" s="54"/>
      <x:c r="J1134" s="55"/>
      <x:c r="K1134" s="55"/>
      <x:c r="L1134" s="55"/>
      <x:c r="M1134"/>
      <x:c r="N1134"/>
      <x:c r="O1134" s="54"/>
      <x:c r="P1134"/>
      <x:c r="Q1134"/>
      <x:c r="R1134"/>
      <x:c r="S1134"/>
      <x:c r="T1134"/>
      <x:c r="U1134" s="57"/>
      <x:c r="V1134" s="57"/>
      <x:c r="W1134"/>
      <x:c r="X1134"/>
      <x:c r="Y1134" s="38"/>
      <x:c r="Z1134" s="38"/>
      <x:c r="AA1134"/>
    </x:row>
    <x:row r="1135">
      <x:c r="A1135" s="54" t="n">
        <x:v>44561</x:v>
      </x:c>
      <x:c r="B1135" t="n">
        <x:v>44561.624999988424</x:v>
      </x:c>
      <x:c r="C1135" t="str">
        <x:v>005010</x:v>
      </x:c>
      <x:c r="D1135" t="str">
        <x:v>휴스틸</x:v>
      </x:c>
      <x:c r="E1135" t="str">
        <x:v>KOSPI</x:v>
      </x:c>
      <x:c r="F1135" t="str">
        <x:v>MID</x:v>
      </x:c>
      <x:c r="G1135" t="str">
        <x:v>ELIGIBLE</x:v>
      </x:c>
      <x:c r="H1135"/>
      <x:c r="I1135" s="54" t="n">
        <x:v>44560</x:v>
      </x:c>
      <x:c r="J1135" s="55" t="n">
        <x:v>14550</x:v>
      </x:c>
      <x:c r="K1135" s="55" t="n">
        <x:v>114037298250</x:v>
      </x:c>
      <x:c r="L1135" s="55" t="n">
        <x:v>7837615</x:v>
      </x:c>
      <x:c r="M1135" t="str">
        <x:v>20210323001094</x:v>
      </x:c>
      <x:c r="N1135" t="n">
        <x:v>44278.624999988424</x:v>
      </x:c>
      <x:c r="O1135" s="54" t="n">
        <x:v>44196</x:v>
      </x:c>
      <x:c r="P1135" t="str">
        <x:v>False</x:v>
      </x:c>
      <x:c r="Q1135" t="str">
        <x:v>358c99bbd3908de4511666e01e6de1624292a0d2e52d26017dbc07b20987a606</x:v>
      </x:c>
      <x:c r="R1135" t="str">
        <x:v>b22c5cf1055628239a9b026a80fc3913c3040d0df837fed18104e6bc98dc4d00</x:v>
      </x:c>
      <x:c r="S1135" t="n">
        <x:v>7</x:v>
      </x:c>
      <x:c r="T1135" t="str">
        <x:v>2018-12-31|2019-12-31|2020-12-31</x:v>
      </x:c>
      <x:c r="U1135" s="57" t="n">
        <x:v>7610.781278202132</x:v>
      </x:c>
      <x:c r="V1135" s="57" t="n">
        <x:v>-0.47692224892081564</x:v>
      </x:c>
      <x:c r="W1135" t="n">
        <x:v>29</x:v>
      </x:c>
      <x:c r="X1135" t="n">
        <x:v>3</x:v>
      </x:c>
      <x:c r="Y1135" s="38" t="n">
        <x:v>0.6409090909090909</x:v>
      </x:c>
      <x:c r="Z1135" s="38" t="n">
        <x:v>0.471667152477003</x:v>
      </x:c>
      <x:c r="AA1135"/>
    </x:row>
    <x:row r="1136">
      <x:c r="A1136" s="54" t="n">
        <x:v>44561</x:v>
      </x:c>
      <x:c r="B1136" t="n">
        <x:v>44561.624999988424</x:v>
      </x:c>
      <x:c r="C1136" t="str">
        <x:v>001630</x:v>
      </x:c>
      <x:c r="D1136" t="str">
        <x:v>종근당홀딩스</x:v>
      </x:c>
      <x:c r="E1136" t="str">
        <x:v>KOSPI</x:v>
      </x:c>
      <x:c r="F1136" t="str">
        <x:v>MID</x:v>
      </x:c>
      <x:c r="G1136" t="str">
        <x:v>EXCLUDED_ARCHETYPE</x:v>
      </x:c>
      <x:c r="H1136" t="str">
        <x:v>FCFF_NOT_COMPARABLE_FOR_FINANCE_OR_HOLDING_HINT</x:v>
      </x:c>
      <x:c r="I1136" s="54"/>
      <x:c r="J1136" s="55"/>
      <x:c r="K1136" s="55"/>
      <x:c r="L1136" s="55"/>
      <x:c r="M1136"/>
      <x:c r="N1136"/>
      <x:c r="O1136" s="54"/>
      <x:c r="P1136"/>
      <x:c r="Q1136"/>
      <x:c r="R1136"/>
      <x:c r="S1136"/>
      <x:c r="T1136"/>
      <x:c r="U1136" s="57"/>
      <x:c r="V1136" s="57"/>
      <x:c r="W1136"/>
      <x:c r="X1136"/>
      <x:c r="Y1136" s="38"/>
      <x:c r="Z1136" s="38"/>
      <x:c r="AA1136"/>
    </x:row>
    <x:row r="1137">
      <x:c r="A1137" s="54" t="n">
        <x:v>44561</x:v>
      </x:c>
      <x:c r="B1137" t="n">
        <x:v>44561.624999988424</x:v>
      </x:c>
      <x:c r="C1137" t="str">
        <x:v>005680</x:v>
      </x:c>
      <x:c r="D1137" t="str">
        <x:v>삼영전자</x:v>
      </x:c>
      <x:c r="E1137" t="str">
        <x:v>KOSPI</x:v>
      </x:c>
      <x:c r="F1137" t="str">
        <x:v>MID</x:v>
      </x:c>
      <x:c r="G1137" t="str">
        <x:v>ELIGIBLE</x:v>
      </x:c>
      <x:c r="H1137"/>
      <x:c r="I1137" s="54" t="n">
        <x:v>44560</x:v>
      </x:c>
      <x:c r="J1137" s="55" t="n">
        <x:v>11400</x:v>
      </x:c>
      <x:c r="K1137" s="55" t="n">
        <x:v>228000000000</x:v>
      </x:c>
      <x:c r="L1137" s="55" t="n">
        <x:v>20000000</x:v>
      </x:c>
      <x:c r="M1137" t="str">
        <x:v>20210311000178</x:v>
      </x:c>
      <x:c r="N1137" t="n">
        <x:v>44266.624999988424</x:v>
      </x:c>
      <x:c r="O1137" s="54" t="n">
        <x:v>44196</x:v>
      </x:c>
      <x:c r="P1137" t="str">
        <x:v>False</x:v>
      </x:c>
      <x:c r="Q1137" t="str">
        <x:v>dde14fa80372da4de99c1b031ada4ede564fe680bd7b1decb0a4ae7d0ff72d41</x:v>
      </x:c>
      <x:c r="R1137" t="str">
        <x:v>39c89dac47e1d12411df59d521e88eca256c5297f13e434da2910061f9732c40</x:v>
      </x:c>
      <x:c r="S1137" t="n">
        <x:v>6</x:v>
      </x:c>
      <x:c r="T1137" t="str">
        <x:v>2018-12-31|2019-12-31|2020-12-31</x:v>
      </x:c>
      <x:c r="U1137" s="57" t="n">
        <x:v>3668.246287265243</x:v>
      </x:c>
      <x:c r="V1137" s="57" t="n">
        <x:v>-0.6782240098890138</x:v>
      </x:c>
      <x:c r="W1137" t="n">
        <x:v>40</x:v>
      </x:c>
      <x:c r="X1137" t="n">
        <x:v>4</x:v>
      </x:c>
      <x:c r="Y1137" s="38" t="n">
        <x:v>0.6409090909090909</x:v>
      </x:c>
      <x:c r="Z1137" s="38" t="n">
        <x:v>0.4816152124920987</x:v>
      </x:c>
      <x:c r="AA1137"/>
    </x:row>
    <x:row r="1138">
      <x:c r="A1138" s="54" t="n">
        <x:v>44561</x:v>
      </x:c>
      <x:c r="B1138" t="n">
        <x:v>44561.624999988424</x:v>
      </x:c>
      <x:c r="C1138" t="str">
        <x:v>028100</x:v>
      </x:c>
      <x:c r="D1138" t="str">
        <x:v>동아지질</x:v>
      </x:c>
      <x:c r="E1138" t="str">
        <x:v>KOSPI</x:v>
      </x:c>
      <x:c r="F1138" t="str">
        <x:v>MID</x:v>
      </x:c>
      <x:c r="G1138" t="str">
        <x:v>ELIGIBLE</x:v>
      </x:c>
      <x:c r="H1138"/>
      <x:c r="I1138" s="54" t="n">
        <x:v>44560</x:v>
      </x:c>
      <x:c r="J1138" s="55" t="n">
        <x:v>18300</x:v>
      </x:c>
      <x:c r="K1138" s="55" t="n">
        <x:v>210450000000</x:v>
      </x:c>
      <x:c r="L1138" s="55" t="n">
        <x:v>11500000</x:v>
      </x:c>
      <x:c r="M1138" t="str">
        <x:v>20210317000479</x:v>
      </x:c>
      <x:c r="N1138" t="n">
        <x:v>44272.624999988424</x:v>
      </x:c>
      <x:c r="O1138" s="54" t="n">
        <x:v>44196</x:v>
      </x:c>
      <x:c r="P1138" t="str">
        <x:v>False</x:v>
      </x:c>
      <x:c r="Q1138" t="str">
        <x:v>bc2d1caa964a2ab24387413d73b3d76e86ffc1bf831ba20155c556d6c0d445b4</x:v>
      </x:c>
      <x:c r="R1138" t="str">
        <x:v>ed58f112ca210e521489ef5cb877a8950f25699d8d3c5b406b93f360e560ce8f</x:v>
      </x:c>
      <x:c r="S1138" t="n">
        <x:v>7</x:v>
      </x:c>
      <x:c r="T1138" t="str">
        <x:v>2018-12-31|2019-12-31|2020-12-31</x:v>
      </x:c>
      <x:c r="U1138" s="57" t="n">
        <x:v>26722.030644503473</x:v>
      </x:c>
      <x:c r="V1138" s="57" t="n">
        <x:v>0.4602202537980039</x:v>
      </x:c>
      <x:c r="W1138" t="n">
        <x:v>8</x:v>
      </x:c>
      <x:c r="X1138" t="n">
        <x:v>1</x:v>
      </x:c>
      <x:c r="Y1138" s="38" t="n">
        <x:v>0.6409090909090909</x:v>
      </x:c>
      <x:c r="Z1138" s="38" t="n">
        <x:v>0.7103235894476889</x:v>
      </x:c>
      <x:c r="AA1138"/>
    </x:row>
    <x:row r="1139">
      <x:c r="A1139" s="54" t="n">
        <x:v>44561</x:v>
      </x:c>
      <x:c r="B1139" t="n">
        <x:v>44561.624999988424</x:v>
      </x:c>
      <x:c r="C1139" t="str">
        <x:v>001750</x:v>
      </x:c>
      <x:c r="D1139" t="str">
        <x:v>한양증권</x:v>
      </x:c>
      <x:c r="E1139" t="str">
        <x:v>KOSPI</x:v>
      </x:c>
      <x:c r="F1139" t="str">
        <x:v>MID</x:v>
      </x:c>
      <x:c r="G1139" t="str">
        <x:v>EXCLUDED_ARCHETYPE</x:v>
      </x:c>
      <x:c r="H1139" t="str">
        <x:v>FCFF_NOT_COMPARABLE_FOR_FINANCE_OR_HOLDING_HINT</x:v>
      </x:c>
      <x:c r="I1139" s="54"/>
      <x:c r="J1139" s="55"/>
      <x:c r="K1139" s="55"/>
      <x:c r="L1139" s="55"/>
      <x:c r="M1139"/>
      <x:c r="N1139"/>
      <x:c r="O1139" s="54"/>
      <x:c r="P1139"/>
      <x:c r="Q1139"/>
      <x:c r="R1139"/>
      <x:c r="S1139"/>
      <x:c r="T1139"/>
      <x:c r="U1139" s="57"/>
      <x:c r="V1139" s="57"/>
      <x:c r="W1139"/>
      <x:c r="X1139"/>
      <x:c r="Y1139" s="38"/>
      <x:c r="Z1139" s="38"/>
      <x:c r="AA1139"/>
    </x:row>
    <x:row r="1140">
      <x:c r="A1140" s="54" t="n">
        <x:v>44561</x:v>
      </x:c>
      <x:c r="B1140" t="n">
        <x:v>44561.624999988424</x:v>
      </x:c>
      <x:c r="C1140" t="str">
        <x:v>102460</x:v>
      </x:c>
      <x:c r="D1140" t="str">
        <x:v>이연제약</x:v>
      </x:c>
      <x:c r="E1140" t="str">
        <x:v>KOSPI</x:v>
      </x:c>
      <x:c r="F1140" t="str">
        <x:v>MID</x:v>
      </x:c>
      <x:c r="G1140" t="str">
        <x:v>ELIGIBLE</x:v>
      </x:c>
      <x:c r="H1140"/>
      <x:c r="I1140" s="54" t="n">
        <x:v>44560</x:v>
      </x:c>
      <x:c r="J1140" s="55" t="n">
        <x:v>35550</x:v>
      </x:c>
      <x:c r="K1140" s="55" t="n">
        <x:v>639849412350</x:v>
      </x:c>
      <x:c r="L1140" s="55" t="n">
        <x:v>17998577</x:v>
      </x:c>
      <x:c r="M1140" t="str">
        <x:v>20210318000279</x:v>
      </x:c>
      <x:c r="N1140" t="n">
        <x:v>44273.624999988424</x:v>
      </x:c>
      <x:c r="O1140" s="54" t="n">
        <x:v>44196</x:v>
      </x:c>
      <x:c r="P1140" t="str">
        <x:v>False</x:v>
      </x:c>
      <x:c r="Q1140" t="str">
        <x:v>bafa27ff7a8f0c2cc105ff079f8634cb91e99101fddf8fe16ed747692f943381</x:v>
      </x:c>
      <x:c r="R1140" t="str">
        <x:v>7ab3717ffefb5b466b6c6284aa66ff1f75d6201cbed0dd7623fb983f6e7e880b</x:v>
      </x:c>
      <x:c r="S1140" t="n">
        <x:v>4</x:v>
      </x:c>
      <x:c r="T1140" t="str">
        <x:v>2018-12-31|2019-12-31|2020-12-31</x:v>
      </x:c>
      <x:c r="U1140" s="57" t="n">
        <x:v>1678.3327852134746</x:v>
      </x:c>
      <x:c r="V1140" s="57" t="n">
        <x:v>-0.9527895137773987</x:v>
      </x:c>
      <x:c r="W1140" t="n">
        <x:v>58</x:v>
      </x:c>
      <x:c r="X1140" t="n">
        <x:v>5</x:v>
      </x:c>
      <x:c r="Y1140" s="38" t="n">
        <x:v>0.6409090909090909</x:v>
      </x:c>
      <x:c r="Z1140" s="38" t="n">
        <x:v>0.6881824883488759</x:v>
      </x:c>
      <x:c r="AA1140"/>
    </x:row>
    <x:row r="1141">
      <x:c r="A1141" s="54" t="n">
        <x:v>44561</x:v>
      </x:c>
      <x:c r="B1141" t="n">
        <x:v>44561.624999988424</x:v>
      </x:c>
      <x:c r="C1141" t="str">
        <x:v>053690</x:v>
      </x:c>
      <x:c r="D1141" t="str">
        <x:v>한미글로벌</x:v>
      </x:c>
      <x:c r="E1141" t="str">
        <x:v>KOSPI</x:v>
      </x:c>
      <x:c r="F1141" t="str">
        <x:v>MID</x:v>
      </x:c>
      <x:c r="G1141" t="str">
        <x:v>ELIGIBLE</x:v>
      </x:c>
      <x:c r="H1141"/>
      <x:c r="I1141" s="54" t="n">
        <x:v>44560</x:v>
      </x:c>
      <x:c r="J1141" s="55" t="n">
        <x:v>12150</x:v>
      </x:c>
      <x:c r="K1141" s="55" t="n">
        <x:v>133134232500</x:v>
      </x:c>
      <x:c r="L1141" s="55" t="n">
        <x:v>10957550</x:v>
      </x:c>
      <x:c r="M1141" t="str">
        <x:v>20210326001219</x:v>
      </x:c>
      <x:c r="N1141" t="n">
        <x:v>44281.624999988424</x:v>
      </x:c>
      <x:c r="O1141" s="54" t="n">
        <x:v>44196</x:v>
      </x:c>
      <x:c r="P1141" t="str">
        <x:v>True</x:v>
      </x:c>
      <x:c r="Q1141" t="str">
        <x:v>e941839f60714374267fa53fec0758cc41c633a07fb2a702fbbee19bbfd8deb7</x:v>
      </x:c>
      <x:c r="R1141" t="str">
        <x:v>934955606a112d859a0ce14e27a56a79ebcff494f5ee54caaecf4cb0b75c9b26</x:v>
      </x:c>
      <x:c r="S1141" t="n">
        <x:v>6</x:v>
      </x:c>
      <x:c r="T1141" t="str">
        <x:v>2018-12-31|2019-12-31|2020-12-31</x:v>
      </x:c>
      <x:c r="U1141" s="57" t="n">
        <x:v>14615.232013631028</x:v>
      </x:c>
      <x:c r="V1141" s="57" t="n">
        <x:v>0.20289975420831505</x:v>
      </x:c>
      <x:c r="W1141" t="n">
        <x:v>11</x:v>
      </x:c>
      <x:c r="X1141" t="n">
        <x:v>1</x:v>
      </x:c>
      <x:c r="Y1141" s="38" t="n">
        <x:v>0.6409090909090909</x:v>
      </x:c>
      <x:c r="Z1141" s="38" t="n">
        <x:v>0.6899242333766348</x:v>
      </x:c>
      <x:c r="AA1141"/>
    </x:row>
    <x:row r="1142">
      <x:c r="A1142" s="54" t="n">
        <x:v>44561</x:v>
      </x:c>
      <x:c r="B1142" t="n">
        <x:v>44561.624999988424</x:v>
      </x:c>
      <x:c r="C1142" t="str">
        <x:v>213500</x:v>
      </x:c>
      <x:c r="D1142" t="str">
        <x:v>한솔제지</x:v>
      </x:c>
      <x:c r="E1142" t="str">
        <x:v>KOSPI</x:v>
      </x:c>
      <x:c r="F1142" t="str">
        <x:v>MID</x:v>
      </x:c>
      <x:c r="G1142" t="str">
        <x:v>ELIGIBLE</x:v>
      </x:c>
      <x:c r="H1142"/>
      <x:c r="I1142" s="54" t="n">
        <x:v>44560</x:v>
      </x:c>
      <x:c r="J1142" s="55" t="n">
        <x:v>13500</x:v>
      </x:c>
      <x:c r="K1142" s="55" t="n">
        <x:v>321307776000</x:v>
      </x:c>
      <x:c r="L1142" s="55" t="n">
        <x:v>23800576</x:v>
      </x:c>
      <x:c r="M1142" t="str">
        <x:v>20210317001248</x:v>
      </x:c>
      <x:c r="N1142" t="n">
        <x:v>44272.624999988424</x:v>
      </x:c>
      <x:c r="O1142" s="54" t="n">
        <x:v>44196</x:v>
      </x:c>
      <x:c r="P1142" t="str">
        <x:v>True</x:v>
      </x:c>
      <x:c r="Q1142" t="str">
        <x:v>8efbce3ee9b4e5be342d13640deb5660db4e1206c3c7f9d96ce1c37099bb3a70</x:v>
      </x:c>
      <x:c r="R1142" t="str">
        <x:v>bdec2c9e28fec8b0cb98d00a31cab09a0c1959da47b6f2ecece8901870a4f4f8</x:v>
      </x:c>
      <x:c r="S1142" t="n">
        <x:v>6</x:v>
      </x:c>
      <x:c r="T1142" t="str">
        <x:v>2018-12-31|2019-12-31|2020-12-31</x:v>
      </x:c>
      <x:c r="U1142" s="57" t="n">
        <x:v>8382.140797073778</x:v>
      </x:c>
      <x:c r="V1142" s="57" t="n">
        <x:v>-0.37910068169823863</x:v>
      </x:c>
      <x:c r="W1142" t="n">
        <x:v>24</x:v>
      </x:c>
      <x:c r="X1142" t="n">
        <x:v>2</x:v>
      </x:c>
      <x:c r="Y1142" s="38" t="n">
        <x:v>0.6409090909090909</x:v>
      </x:c>
      <x:c r="Z1142" s="38" t="n">
        <x:v>0.6149835882195432</x:v>
      </x:c>
      <x:c r="AA1142"/>
    </x:row>
    <x:row r="1143">
      <x:c r="A1143" s="54" t="n">
        <x:v>44561</x:v>
      </x:c>
      <x:c r="B1143" t="n">
        <x:v>44561.624999988424</x:v>
      </x:c>
      <x:c r="C1143" t="str">
        <x:v>005430</x:v>
      </x:c>
      <x:c r="D1143" t="str">
        <x:v>한국공항</x:v>
      </x:c>
      <x:c r="E1143" t="str">
        <x:v>KOSPI</x:v>
      </x:c>
      <x:c r="F1143" t="str">
        <x:v>MID</x:v>
      </x:c>
      <x:c r="G1143" t="str">
        <x:v>DCF_SCREENING_EXCLUSION</x:v>
      </x:c>
      <x:c r="H1143" t="str">
        <x:v>UNRELIABLE_TERMINAL_VALUE_SHARE</x:v>
      </x:c>
      <x:c r="I1143" s="54" t="n">
        <x:v>44560</x:v>
      </x:c>
      <x:c r="J1143" s="55" t="n">
        <x:v>43850</x:v>
      </x:c>
      <x:c r="K1143" s="55" t="n">
        <x:v>138844666750</x:v>
      </x:c>
      <x:c r="L1143" s="55" t="n">
        <x:v>3166355</x:v>
      </x:c>
      <x:c r="M1143" t="str">
        <x:v>20210318001204</x:v>
      </x:c>
      <x:c r="N1143" t="n">
        <x:v>44273.624999988424</x:v>
      </x:c>
      <x:c r="O1143" s="54" t="n">
        <x:v>44196</x:v>
      </x:c>
      <x:c r="P1143" t="str">
        <x:v>False</x:v>
      </x:c>
      <x:c r="Q1143" t="str">
        <x:v>0d39e979f1c33d350281bec900a7d13ad08ca5a63340b7c00b73f9412208d65e</x:v>
      </x:c>
      <x:c r="R1143" t="str">
        <x:v>eb32c26607eae35c127601fc1bfa293ae7e44bc65bad03d2d6206715c05bacd4</x:v>
      </x:c>
      <x:c r="S1143" t="n">
        <x:v>7</x:v>
      </x:c>
      <x:c r="T1143" t="str">
        <x:v>2018-12-31|2019-12-31|2020-12-31</x:v>
      </x:c>
      <x:c r="U1143" s="57" t="n">
        <x:v>44990.34699553746</x:v>
      </x:c>
      <x:c r="V1143" s="57" t="n">
        <x:v>0.0260056327374563</x:v>
      </x:c>
      <x:c r="W1143"/>
      <x:c r="X1143"/>
      <x:c r="Y1143" s="38" t="n">
        <x:v>0.6409090909090909</x:v>
      </x:c>
      <x:c r="Z1143" s="38" t="n">
        <x:v>1.3916929697875668</x:v>
      </x:c>
      <x:c r="AA1143" t="str">
        <x:v>UNRELIABLE_TERMINAL_VALUE_SHARE</x:v>
      </x:c>
    </x:row>
    <x:row r="1144">
      <x:c r="A1144" s="54" t="n">
        <x:v>44561</x:v>
      </x:c>
      <x:c r="B1144" t="n">
        <x:v>44561.624999988424</x:v>
      </x:c>
      <x:c r="C1144" t="str">
        <x:v>003460</x:v>
      </x:c>
      <x:c r="D1144" t="str">
        <x:v>유화증권</x:v>
      </x:c>
      <x:c r="E1144" t="str">
        <x:v>KOSPI</x:v>
      </x:c>
      <x:c r="F1144" t="str">
        <x:v>MID</x:v>
      </x:c>
      <x:c r="G1144" t="str">
        <x:v>EXCLUDED_ARCHETYPE</x:v>
      </x:c>
      <x:c r="H1144" t="str">
        <x:v>FCFF_NOT_COMPARABLE_FOR_FINANCE_OR_HOLDING_HINT</x:v>
      </x:c>
      <x:c r="I1144" s="54"/>
      <x:c r="J1144" s="55"/>
      <x:c r="K1144" s="55"/>
      <x:c r="L1144" s="55"/>
      <x:c r="M1144"/>
      <x:c r="N1144"/>
      <x:c r="O1144" s="54"/>
      <x:c r="P1144"/>
      <x:c r="Q1144"/>
      <x:c r="R1144"/>
      <x:c r="S1144"/>
      <x:c r="T1144"/>
      <x:c r="U1144" s="57"/>
      <x:c r="V1144" s="57"/>
      <x:c r="W1144"/>
      <x:c r="X1144"/>
      <x:c r="Y1144" s="38"/>
      <x:c r="Z1144" s="38"/>
      <x:c r="AA1144"/>
    </x:row>
    <x:row r="1145">
      <x:c r="A1145" s="54" t="n">
        <x:v>44561</x:v>
      </x:c>
      <x:c r="B1145" t="n">
        <x:v>44561.624999988424</x:v>
      </x:c>
      <x:c r="C1145" t="str">
        <x:v>004140</x:v>
      </x:c>
      <x:c r="D1145" t="str">
        <x:v>동방</x:v>
      </x:c>
      <x:c r="E1145" t="str">
        <x:v>KOSPI</x:v>
      </x:c>
      <x:c r="F1145" t="str">
        <x:v>MID</x:v>
      </x:c>
      <x:c r="G1145" t="str">
        <x:v>DCF_SCREENING_EXCLUSION</x:v>
      </x:c>
      <x:c r="H1145" t="str">
        <x:v>NON_POSITIVE_EQUITY_VALUE</x:v>
      </x:c>
      <x:c r="I1145" s="54" t="n">
        <x:v>44560</x:v>
      </x:c>
      <x:c r="J1145" s="55" t="n">
        <x:v>4025</x:v>
      </x:c>
      <x:c r="K1145" s="55" t="n">
        <x:v>193086358150</x:v>
      </x:c>
      <x:c r="L1145" s="55" t="n">
        <x:v>47971766</x:v>
      </x:c>
      <x:c r="M1145" t="str">
        <x:v>20210707000184</x:v>
      </x:c>
      <x:c r="N1145" t="n">
        <x:v>44384.624999988424</x:v>
      </x:c>
      <x:c r="O1145" s="54" t="n">
        <x:v>44196</x:v>
      </x:c>
      <x:c r="P1145" t="str">
        <x:v>True</x:v>
      </x:c>
      <x:c r="Q1145" t="str">
        <x:v>f0b51278807f30f3ff68a85f01255f0e610179901fd43cfaeda160aba35ce20b</x:v>
      </x:c>
      <x:c r="R1145" t="str">
        <x:v>b732737d82565a2cb4daabd1a627b4391d6636c84160eb547291a38d57153fdc</x:v>
      </x:c>
      <x:c r="S1145" t="n">
        <x:v>7</x:v>
      </x:c>
      <x:c r="T1145" t="str">
        <x:v>2013-12-31|2014-12-31|2015-12-31|2016-12-31|2018-12-31|2019-12-31|2020-12-31</x:v>
      </x:c>
      <x:c r="U1145" s="57" t="n">
        <x:v>-715.5753497300668</x:v>
      </x:c>
      <x:c r="V1145" s="57" t="n">
        <x:v>-1.1777826955851098</x:v>
      </x:c>
      <x:c r="W1145"/>
      <x:c r="X1145"/>
      <x:c r="Y1145" s="38" t="n">
        <x:v>0.6409090909090909</x:v>
      </x:c>
      <x:c r="Z1145" s="38" t="n">
        <x:v>0.6137171502310707</x:v>
      </x:c>
      <x:c r="AA1145" t="str">
        <x:v>NON_POSITIVE_EQUITY_VALUE</x:v>
      </x:c>
    </x:row>
    <x:row r="1146">
      <x:c r="A1146" s="54" t="n">
        <x:v>44561</x:v>
      </x:c>
      <x:c r="B1146" t="n">
        <x:v>44561.624999988424</x:v>
      </x:c>
      <x:c r="C1146" t="str">
        <x:v>317400</x:v>
      </x:c>
      <x:c r="D1146" t="str">
        <x:v>자이에스앤디</x:v>
      </x:c>
      <x:c r="E1146" t="str">
        <x:v>KOSPI</x:v>
      </x:c>
      <x:c r="F1146" t="str">
        <x:v>MID</x:v>
      </x:c>
      <x:c r="G1146" t="str">
        <x:v>ELIGIBLE</x:v>
      </x:c>
      <x:c r="H1146"/>
      <x:c r="I1146" s="54" t="n">
        <x:v>44560</x:v>
      </x:c>
      <x:c r="J1146" s="55" t="n">
        <x:v>9250</x:v>
      </x:c>
      <x:c r="K1146" s="55" t="n">
        <x:v>358738310000</x:v>
      </x:c>
      <x:c r="L1146" s="55" t="n">
        <x:v>38782520</x:v>
      </x:c>
      <x:c r="M1146" t="str">
        <x:v>20210318000575</x:v>
      </x:c>
      <x:c r="N1146" t="n">
        <x:v>44273.624999988424</x:v>
      </x:c>
      <x:c r="O1146" s="54" t="n">
        <x:v>44196</x:v>
      </x:c>
      <x:c r="P1146" t="str">
        <x:v>False</x:v>
      </x:c>
      <x:c r="Q1146" t="str">
        <x:v>972d3a642af3619808d682902738953c9555278604c118a76ff87e207ed26808</x:v>
      </x:c>
      <x:c r="R1146" t="str">
        <x:v>ef1ddccd1b3a53bd2d8cdfd2488576185c9b52dcf56116da62a2f5aa543acf63</x:v>
      </x:c>
      <x:c r="S1146" t="n">
        <x:v>6</x:v>
      </x:c>
      <x:c r="T1146" t="str">
        <x:v>2019-12-31|2020-12-31</x:v>
      </x:c>
      <x:c r="U1146" s="57" t="n">
        <x:v>4374.302478907729</x:v>
      </x:c>
      <x:c r="V1146" s="57" t="n">
        <x:v>-0.5271024347126779</x:v>
      </x:c>
      <x:c r="W1146" t="n">
        <x:v>31</x:v>
      </x:c>
      <x:c r="X1146" t="n">
        <x:v>3</x:v>
      </x:c>
      <x:c r="Y1146" s="38" t="n">
        <x:v>0.6409090909090909</x:v>
      </x:c>
      <x:c r="Z1146" s="38" t="n">
        <x:v>0.7139082035114958</x:v>
      </x:c>
      <x:c r="AA1146"/>
    </x:row>
    <x:row r="1147">
      <x:c r="A1147" s="54" t="n">
        <x:v>44561</x:v>
      </x:c>
      <x:c r="B1147" t="n">
        <x:v>44561.624999988424</x:v>
      </x:c>
      <x:c r="C1147" t="str">
        <x:v>077500</x:v>
      </x:c>
      <x:c r="D1147" t="str">
        <x:v>유니퀘스트</x:v>
      </x:c>
      <x:c r="E1147" t="str">
        <x:v>KOSPI</x:v>
      </x:c>
      <x:c r="F1147" t="str">
        <x:v>MID</x:v>
      </x:c>
      <x:c r="G1147" t="str">
        <x:v>ELIGIBLE</x:v>
      </x:c>
      <x:c r="H1147"/>
      <x:c r="I1147" s="54" t="n">
        <x:v>44560</x:v>
      </x:c>
      <x:c r="J1147" s="55" t="n">
        <x:v>12100</x:v>
      </x:c>
      <x:c r="K1147" s="55" t="n">
        <x:v>330849997500</x:v>
      </x:c>
      <x:c r="L1147" s="55" t="n">
        <x:v>27342975</x:v>
      </x:c>
      <x:c r="M1147" t="str">
        <x:v>20210318000454</x:v>
      </x:c>
      <x:c r="N1147" t="n">
        <x:v>44273.624999988424</x:v>
      </x:c>
      <x:c r="O1147" s="54" t="n">
        <x:v>44196</x:v>
      </x:c>
      <x:c r="P1147" t="str">
        <x:v>False</x:v>
      </x:c>
      <x:c r="Q1147" t="str">
        <x:v>a7dcf0cd97b67f36277f7912422e20d08b38408b0ee61022a89fa576309001d3</x:v>
      </x:c>
      <x:c r="R1147" t="str">
        <x:v>e39ed4292dbdb8f45e1d48663c9e445f3a550dc01f4177cc1ba51136e7e4cdda</x:v>
      </x:c>
      <x:c r="S1147" t="n">
        <x:v>6</x:v>
      </x:c>
      <x:c r="T1147" t="str">
        <x:v>2011-12-31|2012-12-31|2013-12-31|2014-12-31|2015-12-31|2016-12-31|2017-12-31|2018-12-31|2019-12-31|2020-12-31</x:v>
      </x:c>
      <x:c r="U1147" s="57" t="n">
        <x:v>3265.574296652592</x:v>
      </x:c>
      <x:c r="V1147" s="57" t="n">
        <x:v>-0.7301178267229262</x:v>
      </x:c>
      <x:c r="W1147" t="n">
        <x:v>44</x:v>
      </x:c>
      <x:c r="X1147" t="n">
        <x:v>4</x:v>
      </x:c>
      <x:c r="Y1147" s="38" t="n">
        <x:v>0.6409090909090909</x:v>
      </x:c>
      <x:c r="Z1147" s="38" t="n">
        <x:v>0.7102171216326743</x:v>
      </x:c>
      <x:c r="AA1147"/>
    </x:row>
    <x:row r="1148">
      <x:c r="A1148" s="54" t="n">
        <x:v>44561</x:v>
      </x:c>
      <x:c r="B1148" t="n">
        <x:v>44561.624999988424</x:v>
      </x:c>
      <x:c r="C1148" t="str">
        <x:v>012800</x:v>
      </x:c>
      <x:c r="D1148" t="str">
        <x:v>대창</x:v>
      </x:c>
      <x:c r="E1148" t="str">
        <x:v>KOSPI</x:v>
      </x:c>
      <x:c r="F1148" t="str">
        <x:v>MID</x:v>
      </x:c>
      <x:c r="G1148" t="str">
        <x:v>DCF_SCREENING_EXCLUSION</x:v>
      </x:c>
      <x:c r="H1148" t="str">
        <x:v>NON_POSITIVE_EQUITY_VALUE</x:v>
      </x:c>
      <x:c r="I1148" s="54" t="n">
        <x:v>44560</x:v>
      </x:c>
      <x:c r="J1148" s="55" t="n">
        <x:v>1820</x:v>
      </x:c>
      <x:c r="K1148" s="55" t="n">
        <x:v>165875708180</x:v>
      </x:c>
      <x:c r="L1148" s="55" t="n">
        <x:v>91140499</x:v>
      </x:c>
      <x:c r="M1148" t="str">
        <x:v>20210316000786</x:v>
      </x:c>
      <x:c r="N1148" t="n">
        <x:v>44271.624999988424</x:v>
      </x:c>
      <x:c r="O1148" s="54" t="n">
        <x:v>44196</x:v>
      </x:c>
      <x:c r="P1148" t="str">
        <x:v>False</x:v>
      </x:c>
      <x:c r="Q1148" t="str">
        <x:v>288fe04d382aeada273aa123db82dda005a9ba84d4be0bdc1555e67746224fb5</x:v>
      </x:c>
      <x:c r="R1148" t="str">
        <x:v>48e7b410feb392de5e03ac9d89c1be7d66a37c0cc44dbbeedb6030482a136dc1</x:v>
      </x:c>
      <x:c r="S1148" t="n">
        <x:v>6</x:v>
      </x:c>
      <x:c r="T1148" t="str">
        <x:v>2018-12-31|2019-12-31|2020-12-31</x:v>
      </x:c>
      <x:c r="U1148" s="57" t="n">
        <x:v>-1273.7759667062403</x:v>
      </x:c>
      <x:c r="V1148" s="57" t="n">
        <x:v>-1.6998769047836486</x:v>
      </x:c>
      <x:c r="W1148"/>
      <x:c r="X1148"/>
      <x:c r="Y1148" s="38" t="n">
        <x:v>0.6409090909090909</x:v>
      </x:c>
      <x:c r="Z1148" s="38" t="n">
        <x:v>0.5720876278257565</x:v>
      </x:c>
      <x:c r="AA1148" t="str">
        <x:v>NON_POSITIVE_EQUITY_VALUE</x:v>
      </x:c>
    </x:row>
    <x:row r="1149">
      <x:c r="A1149" s="54" t="n">
        <x:v>44561</x:v>
      </x:c>
      <x:c r="B1149" t="n">
        <x:v>44561.624999988424</x:v>
      </x:c>
      <x:c r="C1149" t="str">
        <x:v>063160</x:v>
      </x:c>
      <x:c r="D1149" t="str">
        <x:v>종근당바이오</x:v>
      </x:c>
      <x:c r="E1149" t="str">
        <x:v>KOSPI</x:v>
      </x:c>
      <x:c r="F1149" t="str">
        <x:v>MID</x:v>
      </x:c>
      <x:c r="G1149" t="str">
        <x:v>DCF_SCREENING_EXCLUSION</x:v>
      </x:c>
      <x:c r="H1149" t="str">
        <x:v>NON_POSITIVE_ENTERPRISE_VALUE|NON_POSITIVE_EQUITY_VALUE|NON_POSITIVE_TERMINAL_FCF</x:v>
      </x:c>
      <x:c r="I1149" s="54" t="n">
        <x:v>44560</x:v>
      </x:c>
      <x:c r="J1149" s="55" t="n">
        <x:v>41800</x:v>
      </x:c>
      <x:c r="K1149" s="55" t="n">
        <x:v>229313211600</x:v>
      </x:c>
      <x:c r="L1149" s="55" t="n">
        <x:v>5485962</x:v>
      </x:c>
      <x:c r="M1149" t="str">
        <x:v>20210318000155</x:v>
      </x:c>
      <x:c r="N1149" t="n">
        <x:v>44273.624999988424</x:v>
      </x:c>
      <x:c r="O1149" s="54" t="n">
        <x:v>44196</x:v>
      </x:c>
      <x:c r="P1149" t="str">
        <x:v>False</x:v>
      </x:c>
      <x:c r="Q1149" t="str">
        <x:v>12a42858c216018c3f0f1b14b5ee17c39d18a1bb52df0e2c279fa5d11fb87884</x:v>
      </x:c>
      <x:c r="R1149" t="str">
        <x:v>59ae91f70b0051a643ac98ab54ac94176214907bf89d0c8d5859d9c634888ba7</x:v>
      </x:c>
      <x:c r="S1149" t="n">
        <x:v>6</x:v>
      </x:c>
      <x:c r="T1149" t="str">
        <x:v>2018-12-31|2019-12-31|2020-12-31</x:v>
      </x:c>
      <x:c r="U1149" s="57" t="n">
        <x:v>-4693.968948135113</x:v>
      </x:c>
      <x:c r="V1149" s="57" t="n">
        <x:v>-1.1122959078501222</x:v>
      </x:c>
      <x:c r="W1149"/>
      <x:c r="X1149"/>
      <x:c r="Y1149" s="38" t="n">
        <x:v>0.6409090909090909</x:v>
      </x:c>
      <x:c r="Z1149" s="38" t="n">
        <x:v>0.8031267951001957</x:v>
      </x:c>
      <x:c r="AA1149" t="str">
        <x:v>NON_POSITIVE_ENTERPRISE_VALUE|NON_POSITIVE_EQUITY_VALUE|NON_POSITIVE_TERMINAL_FCF</x:v>
      </x:c>
    </x:row>
    <x:row r="1150">
      <x:c r="A1150" s="54" t="n">
        <x:v>44561</x:v>
      </x:c>
      <x:c r="B1150" t="n">
        <x:v>44561.624999988424</x:v>
      </x:c>
      <x:c r="C1150" t="str">
        <x:v>013570</x:v>
      </x:c>
      <x:c r="D1150" t="str">
        <x:v>디와이</x:v>
      </x:c>
      <x:c r="E1150" t="str">
        <x:v>KOSPI</x:v>
      </x:c>
      <x:c r="F1150" t="str">
        <x:v>MID</x:v>
      </x:c>
      <x:c r="G1150" t="str">
        <x:v>ELIGIBLE</x:v>
      </x:c>
      <x:c r="H1150"/>
      <x:c r="I1150" s="54" t="n">
        <x:v>44560</x:v>
      </x:c>
      <x:c r="J1150" s="55" t="n">
        <x:v>6540</x:v>
      </x:c>
      <x:c r="K1150" s="55" t="n">
        <x:v>172130399820</x:v>
      </x:c>
      <x:c r="L1150" s="55" t="n">
        <x:v>26319633</x:v>
      </x:c>
      <x:c r="M1150" t="str">
        <x:v>20210317000774</x:v>
      </x:c>
      <x:c r="N1150" t="n">
        <x:v>44272.624999988424</x:v>
      </x:c>
      <x:c r="O1150" s="54" t="n">
        <x:v>44196</x:v>
      </x:c>
      <x:c r="P1150" t="str">
        <x:v>False</x:v>
      </x:c>
      <x:c r="Q1150" t="str">
        <x:v>026eb57a723d5ffc9d1d0ceb5b5954dd368c42a7508240f6f6c97c0766b2139e</x:v>
      </x:c>
      <x:c r="R1150" t="str">
        <x:v>10f2bed39b38be0c665affc123279ad0909fa5b0f00dddf578a1c9893c86b681</x:v>
      </x:c>
      <x:c r="S1150" t="n">
        <x:v>6</x:v>
      </x:c>
      <x:c r="T1150" t="str">
        <x:v>2018-12-31|2019-12-31|2020-12-31</x:v>
      </x:c>
      <x:c r="U1150" s="57" t="n">
        <x:v>6956.82440349549</x:v>
      </x:c>
      <x:c r="V1150" s="57" t="n">
        <x:v>0.06373461827148164</x:v>
      </x:c>
      <x:c r="W1150" t="n">
        <x:v>13</x:v>
      </x:c>
      <x:c r="X1150" t="n">
        <x:v>2</x:v>
      </x:c>
      <x:c r="Y1150" s="38" t="n">
        <x:v>0.6409090909090909</x:v>
      </x:c>
      <x:c r="Z1150" s="38" t="n">
        <x:v>0.5573266821696645</x:v>
      </x:c>
      <x:c r="AA1150"/>
    </x:row>
    <x:row r="1151">
      <x:c r="A1151" s="54" t="n">
        <x:v>44561</x:v>
      </x:c>
      <x:c r="B1151" t="n">
        <x:v>44561.624999988424</x:v>
      </x:c>
      <x:c r="C1151" t="str">
        <x:v>227840</x:v>
      </x:c>
      <x:c r="D1151" t="str">
        <x:v>현대코퍼레이션홀딩스</x:v>
      </x:c>
      <x:c r="E1151" t="str">
        <x:v>KOSPI</x:v>
      </x:c>
      <x:c r="F1151" t="str">
        <x:v>MID</x:v>
      </x:c>
      <x:c r="G1151" t="str">
        <x:v>EXCLUDED_ARCHETYPE</x:v>
      </x:c>
      <x:c r="H1151" t="str">
        <x:v>FCFF_NOT_COMPARABLE_FOR_FINANCE_OR_HOLDING_HINT</x:v>
      </x:c>
      <x:c r="I1151" s="54"/>
      <x:c r="J1151" s="55"/>
      <x:c r="K1151" s="55"/>
      <x:c r="L1151" s="55"/>
      <x:c r="M1151"/>
      <x:c r="N1151"/>
      <x:c r="O1151" s="54"/>
      <x:c r="P1151"/>
      <x:c r="Q1151"/>
      <x:c r="R1151"/>
      <x:c r="S1151"/>
      <x:c r="T1151"/>
      <x:c r="U1151" s="57"/>
      <x:c r="V1151" s="57"/>
      <x:c r="W1151"/>
      <x:c r="X1151"/>
      <x:c r="Y1151" s="38"/>
      <x:c r="Z1151" s="38"/>
      <x:c r="AA1151"/>
    </x:row>
    <x:row r="1152">
      <x:c r="A1152" s="54" t="n">
        <x:v>44561</x:v>
      </x:c>
      <x:c r="B1152" t="n">
        <x:v>44561.624999988424</x:v>
      </x:c>
      <x:c r="C1152" t="str">
        <x:v>247540</x:v>
      </x:c>
      <x:c r="D1152" t="str">
        <x:v>에코프로비엠</x:v>
      </x:c>
      <x:c r="E1152" t="str">
        <x:v>KOSDAQ</x:v>
      </x:c>
      <x:c r="F1152" t="str">
        <x:v>LARGE</x:v>
      </x:c>
      <x:c r="G1152" t="str">
        <x:v>DCF_SCREENING_EXCLUSION</x:v>
      </x:c>
      <x:c r="H1152" t="str">
        <x:v>NON_POSITIVE_ENTERPRISE_VALUE|NON_POSITIVE_EQUITY_VALUE|UNRELIABLE_TERMINAL_VALUE_SHARE</x:v>
      </x:c>
      <x:c r="I1152" s="54" t="n">
        <x:v>44560</x:v>
      </x:c>
      <x:c r="J1152" s="55" t="n">
        <x:v>500800</x:v>
      </x:c>
      <x:c r="K1152" s="55" t="n">
        <x:v>10977268572800</x:v>
      </x:c>
      <x:c r="L1152" s="55" t="n">
        <x:v>21919466</x:v>
      </x:c>
      <x:c r="M1152" t="str">
        <x:v>20210319000143</x:v>
      </x:c>
      <x:c r="N1152" t="n">
        <x:v>44274.624999988424</x:v>
      </x:c>
      <x:c r="O1152" s="54" t="n">
        <x:v>44196</x:v>
      </x:c>
      <x:c r="P1152" t="str">
        <x:v>False</x:v>
      </x:c>
      <x:c r="Q1152" t="str">
        <x:v>fa53eb6416e576ead7e0b664625c9075f7fdeb4c7640710afe2a3435950c614d</x:v>
      </x:c>
      <x:c r="R1152" t="str">
        <x:v>196ebcb6be7e465873e32e42c727482fdce4f4a7c6f6cad821f0c0e774909bec</x:v>
      </x:c>
      <x:c r="S1152" t="n">
        <x:v>5</x:v>
      </x:c>
      <x:c r="T1152" t="str">
        <x:v>2018-12-31|2019-12-31|2020-12-31</x:v>
      </x:c>
      <x:c r="U1152" s="57" t="n">
        <x:v>-644.8357541311481</x:v>
      </x:c>
      <x:c r="V1152" s="57" t="n">
        <x:v>-1.001287611330134</x:v>
      </x:c>
      <x:c r="W1152"/>
      <x:c r="X1152"/>
      <x:c r="Y1152" s="38" t="n">
        <x:v>0.6409090909090909</x:v>
      </x:c>
      <x:c r="Z1152" s="38" t="n">
        <x:v>-30.366184346138358</x:v>
      </x:c>
      <x:c r="AA1152" t="str">
        <x:v>NON_POSITIVE_ENTERPRISE_VALUE|NON_POSITIVE_EQUITY_VALUE|UNRELIABLE_TERMINAL_VALUE_SHARE</x:v>
      </x:c>
    </x:row>
    <x:row r="1153">
      <x:c r="A1153" s="54" t="n">
        <x:v>44561</x:v>
      </x:c>
      <x:c r="B1153" t="n">
        <x:v>44561.624999988424</x:v>
      </x:c>
      <x:c r="C1153" t="str">
        <x:v>086520</x:v>
      </x:c>
      <x:c r="D1153" t="str">
        <x:v>에코프로</x:v>
      </x:c>
      <x:c r="E1153" t="str">
        <x:v>KOSDAQ</x:v>
      </x:c>
      <x:c r="F1153" t="str">
        <x:v>LARGE</x:v>
      </x:c>
      <x:c r="G1153" t="str">
        <x:v>DCF_SCREENING_EXCLUSION</x:v>
      </x:c>
      <x:c r="H1153" t="str">
        <x:v>UNRELIABLE_TERMINAL_VALUE_SHARE</x:v>
      </x:c>
      <x:c r="I1153" s="54" t="n">
        <x:v>44560</x:v>
      </x:c>
      <x:c r="J1153" s="55" t="n">
        <x:v>117500</x:v>
      </x:c>
      <x:c r="K1153" s="55" t="n">
        <x:v>2817141460000</x:v>
      </x:c>
      <x:c r="L1153" s="55" t="n">
        <x:v>23975672</x:v>
      </x:c>
      <x:c r="M1153" t="str">
        <x:v>20210318001384</x:v>
      </x:c>
      <x:c r="N1153" t="n">
        <x:v>44273.624999988424</x:v>
      </x:c>
      <x:c r="O1153" s="54" t="n">
        <x:v>44196</x:v>
      </x:c>
      <x:c r="P1153" t="str">
        <x:v>False</x:v>
      </x:c>
      <x:c r="Q1153" t="str">
        <x:v>a687a00cece70ad7db7c3ecbfb971411e84ec258ecf00b6f04ab05f4dc52774f</x:v>
      </x:c>
      <x:c r="R1153" t="str">
        <x:v>563fb827c7e598361ec3848851227e273b0ff0d7a4b37e27051a7594f0ca10c3</x:v>
      </x:c>
      <x:c r="S1153" t="n">
        <x:v>5</x:v>
      </x:c>
      <x:c r="T1153" t="str">
        <x:v>2018-12-31|2019-12-31|2020-12-31</x:v>
      </x:c>
      <x:c r="U1153" s="57" t="n">
        <x:v>15275.649639130817</x:v>
      </x:c>
      <x:c r="V1153" s="57" t="n">
        <x:v>-0.8699944711563334</x:v>
      </x:c>
      <x:c r="W1153"/>
      <x:c r="X1153"/>
      <x:c r="Y1153" s="38" t="n">
        <x:v>0.6409090909090909</x:v>
      </x:c>
      <x:c r="Z1153" s="38" t="n">
        <x:v>0.8989847001381003</x:v>
      </x:c>
      <x:c r="AA1153" t="str">
        <x:v>UNRELIABLE_TERMINAL_VALUE_SHARE</x:v>
      </x:c>
    </x:row>
    <x:row r="1154">
      <x:c r="A1154" s="54" t="n">
        <x:v>44561</x:v>
      </x:c>
      <x:c r="B1154" t="n">
        <x:v>44561.624999988424</x:v>
      </x:c>
      <x:c r="C1154" t="str">
        <x:v>214450</x:v>
      </x:c>
      <x:c r="D1154" t="str">
        <x:v>파마리서치</x:v>
      </x:c>
      <x:c r="E1154" t="str">
        <x:v>KOSDAQ</x:v>
      </x:c>
      <x:c r="F1154" t="str">
        <x:v>LARGE</x:v>
      </x:c>
      <x:c r="G1154" t="str">
        <x:v>ELIGIBLE</x:v>
      </x:c>
      <x:c r="H1154"/>
      <x:c r="I1154" s="54" t="n">
        <x:v>44560</x:v>
      </x:c>
      <x:c r="J1154" s="55" t="n">
        <x:v>82000</x:v>
      </x:c>
      <x:c r="K1154" s="55" t="n">
        <x:v>829178260000</x:v>
      </x:c>
      <x:c r="L1154" s="55" t="n">
        <x:v>10111930</x:v>
      </x:c>
      <x:c r="M1154" t="str">
        <x:v>20210318001093</x:v>
      </x:c>
      <x:c r="N1154" t="n">
        <x:v>44273.624999988424</x:v>
      </x:c>
      <x:c r="O1154" s="54" t="n">
        <x:v>44196</x:v>
      </x:c>
      <x:c r="P1154" t="str">
        <x:v>False</x:v>
      </x:c>
      <x:c r="Q1154" t="str">
        <x:v>3e332a9f4ec106a2211472bb71f03ad861892600b83b1d1b5b01ad83841bfd65</x:v>
      </x:c>
      <x:c r="R1154" t="str">
        <x:v>ce82779cbd26ca8913e36b32b438b11f0c3dbde3a74d5fdc850344ef948d3d94</x:v>
      </x:c>
      <x:c r="S1154" t="n">
        <x:v>6</x:v>
      </x:c>
      <x:c r="T1154" t="str">
        <x:v>2018-12-31|2019-12-31|2020-12-31</x:v>
      </x:c>
      <x:c r="U1154" s="57" t="n">
        <x:v>26209.6971471413</x:v>
      </x:c>
      <x:c r="V1154" s="57" t="n">
        <x:v>-0.6803695469860817</x:v>
      </x:c>
      <x:c r="W1154" t="n">
        <x:v>41</x:v>
      </x:c>
      <x:c r="X1154" t="n">
        <x:v>4</x:v>
      </x:c>
      <x:c r="Y1154" s="38" t="n">
        <x:v>0.6409090909090909</x:v>
      </x:c>
      <x:c r="Z1154" s="38" t="n">
        <x:v>0.6815994734709864</x:v>
      </x:c>
      <x:c r="AA1154"/>
    </x:row>
    <x:row r="1155">
      <x:c r="A1155" s="54" t="n">
        <x:v>44561</x:v>
      </x:c>
      <x:c r="B1155" t="n">
        <x:v>44561.624999988424</x:v>
      </x:c>
      <x:c r="C1155" t="str">
        <x:v>277810</x:v>
      </x:c>
      <x:c r="D1155" t="str">
        <x:v>레인보우로보틱스</x:v>
      </x:c>
      <x:c r="E1155" t="str">
        <x:v>KOSDAQ</x:v>
      </x:c>
      <x:c r="F1155" t="str">
        <x:v>LARGE</x:v>
      </x:c>
      <x:c r="G1155" t="str">
        <x:v>DCF_SCREENING_EXCLUSION</x:v>
      </x:c>
      <x:c r="H1155" t="str">
        <x:v>NON_POSITIVE_ENTERPRISE_VALUE|NON_POSITIVE_EQUITY_VALUE|NON_POSITIVE_TERMINAL_FCF</x:v>
      </x:c>
      <x:c r="I1155" s="54" t="n">
        <x:v>44560</x:v>
      </x:c>
      <x:c r="J1155" s="55" t="n">
        <x:v>27150</x:v>
      </x:c>
      <x:c r="K1155" s="55" t="n">
        <x:v>438071060100</x:v>
      </x:c>
      <x:c r="L1155" s="55" t="n">
        <x:v>16135214</x:v>
      </x:c>
      <x:c r="M1155" t="str">
        <x:v>20210608000437</x:v>
      </x:c>
      <x:c r="N1155" t="n">
        <x:v>44355.624999988424</x:v>
      </x:c>
      <x:c r="O1155" s="54" t="n">
        <x:v>44196</x:v>
      </x:c>
      <x:c r="P1155" t="str">
        <x:v>True</x:v>
      </x:c>
      <x:c r="Q1155" t="str">
        <x:v>c89a3ca105328f51266a1f37cccdfec02049104d2a72ff28fa17f02891265999</x:v>
      </x:c>
      <x:c r="R1155" t="str">
        <x:v>6fc86da4be33ed7a76870c0f845fedd615c50bd512fe5c1739fe99a1bb7e5af5</x:v>
      </x:c>
      <x:c r="S1155" t="n">
        <x:v>6</x:v>
      </x:c>
      <x:c r="T1155" t="str">
        <x:v>2020-12-31</x:v>
      </x:c>
      <x:c r="U1155" s="57" t="n">
        <x:v>-667.1673938712847</x:v>
      </x:c>
      <x:c r="V1155" s="57" t="n">
        <x:v>-1.0245733846729754</x:v>
      </x:c>
      <x:c r="W1155"/>
      <x:c r="X1155"/>
      <x:c r="Y1155" s="38" t="n">
        <x:v>0.6409090909090909</x:v>
      </x:c>
      <x:c r="Z1155" s="38" t="n">
        <x:v>0.7013426708992583</x:v>
      </x:c>
      <x:c r="AA1155" t="str">
        <x:v>NON_POSITIVE_ENTERPRISE_VALUE|NON_POSITIVE_EQUITY_VALUE|NON_POSITIVE_TERMINAL_FCF</x:v>
      </x:c>
    </x:row>
    <x:row r="1156">
      <x:c r="A1156" s="54" t="n">
        <x:v>44561</x:v>
      </x:c>
      <x:c r="B1156" t="n">
        <x:v>44561.624999988424</x:v>
      </x:c>
      <x:c r="C1156" t="str">
        <x:v>310210</x:v>
      </x:c>
      <x:c r="D1156" t="str">
        <x:v>보로노이</x:v>
      </x:c>
      <x:c r="E1156" t="str">
        <x:v>KOSDAQ</x:v>
      </x:c>
      <x:c r="F1156" t="str">
        <x:v>LARGE</x:v>
      </x:c>
      <x:c r="G1156" t="str">
        <x:v>NOT_LISTED_OR_NO_PRICE</x:v>
      </x:c>
      <x:c r="H1156"/>
      <x:c r="I1156" s="54"/>
      <x:c r="J1156" s="55"/>
      <x:c r="K1156" s="55"/>
      <x:c r="L1156" s="55"/>
      <x:c r="M1156"/>
      <x:c r="N1156"/>
      <x:c r="O1156" s="54"/>
      <x:c r="P1156"/>
      <x:c r="Q1156"/>
      <x:c r="R1156"/>
      <x:c r="S1156"/>
      <x:c r="T1156"/>
      <x:c r="U1156" s="57"/>
      <x:c r="V1156" s="57"/>
      <x:c r="W1156"/>
      <x:c r="X1156"/>
      <x:c r="Y1156" s="38"/>
      <x:c r="Z1156" s="38"/>
      <x:c r="AA1156"/>
    </x:row>
    <x:row r="1157">
      <x:c r="A1157" s="54" t="n">
        <x:v>44561</x:v>
      </x:c>
      <x:c r="B1157" t="n">
        <x:v>44561.624999988424</x:v>
      </x:c>
      <x:c r="C1157" t="str">
        <x:v>195940</x:v>
      </x:c>
      <x:c r="D1157" t="str">
        <x:v>HK이노엔</x:v>
      </x:c>
      <x:c r="E1157" t="str">
        <x:v>KOSDAQ</x:v>
      </x:c>
      <x:c r="F1157" t="str">
        <x:v>LARGE</x:v>
      </x:c>
      <x:c r="G1157" t="str">
        <x:v>NO_PIT_FINANCIALS</x:v>
      </x:c>
      <x:c r="H1157"/>
      <x:c r="I1157" s="54" t="n">
        <x:v>44560</x:v>
      </x:c>
      <x:c r="J1157" s="55" t="n">
        <x:v>52500</x:v>
      </x:c>
      <x:c r="K1157" s="55" t="n">
        <x:v>1517486197500</x:v>
      </x:c>
      <x:c r="L1157" s="55" t="n">
        <x:v>28904499</x:v>
      </x:c>
      <x:c r="M1157"/>
      <x:c r="N1157"/>
      <x:c r="O1157" s="54"/>
      <x:c r="P1157"/>
      <x:c r="Q1157"/>
      <x:c r="R1157"/>
      <x:c r="S1157"/>
      <x:c r="T1157"/>
      <x:c r="U1157" s="57"/>
      <x:c r="V1157" s="57"/>
      <x:c r="W1157"/>
      <x:c r="X1157"/>
      <x:c r="Y1157" s="38"/>
      <x:c r="Z1157" s="38"/>
      <x:c r="AA1157"/>
    </x:row>
    <x:row r="1158">
      <x:c r="A1158" s="54" t="n">
        <x:v>44561</x:v>
      </x:c>
      <x:c r="B1158" t="n">
        <x:v>44561.624999988424</x:v>
      </x:c>
      <x:c r="C1158" t="str">
        <x:v>039200</x:v>
      </x:c>
      <x:c r="D1158" t="str">
        <x:v>오스코텍</x:v>
      </x:c>
      <x:c r="E1158" t="str">
        <x:v>KOSDAQ</x:v>
      </x:c>
      <x:c r="F1158" t="str">
        <x:v>LARGE</x:v>
      </x:c>
      <x:c r="G1158" t="str">
        <x:v>DCF_SCREENING_EXCLUSION</x:v>
      </x:c>
      <x:c r="H1158" t="str">
        <x:v>UNRELIABLE_TERMINAL_VALUE_SHARE</x:v>
      </x:c>
      <x:c r="I1158" s="54" t="n">
        <x:v>44560</x:v>
      </x:c>
      <x:c r="J1158" s="55" t="n">
        <x:v>36600</x:v>
      </x:c>
      <x:c r="K1158" s="55" t="n">
        <x:v>1105558815000</x:v>
      </x:c>
      <x:c r="L1158" s="55" t="n">
        <x:v>30206525</x:v>
      </x:c>
      <x:c r="M1158" t="str">
        <x:v>20210309000649</x:v>
      </x:c>
      <x:c r="N1158" t="n">
        <x:v>44264.624999988424</x:v>
      </x:c>
      <x:c r="O1158" s="54" t="n">
        <x:v>44196</x:v>
      </x:c>
      <x:c r="P1158" t="str">
        <x:v>False</x:v>
      </x:c>
      <x:c r="Q1158" t="str">
        <x:v>5f66f9c8531173b988926df5b3dfe8e77c701088924b995e30a2c1e31825db20</x:v>
      </x:c>
      <x:c r="R1158" t="str">
        <x:v>cefaae42be57979bac03cc222629dc9f8db194b47a7b8e7358d033df0f605aa8</x:v>
      </x:c>
      <x:c r="S1158" t="n">
        <x:v>6</x:v>
      </x:c>
      <x:c r="T1158" t="str">
        <x:v>2018-12-31|2019-12-31|2020-12-31</x:v>
      </x:c>
      <x:c r="U1158" s="57" t="n">
        <x:v>257.9846887247384</x:v>
      </x:c>
      <x:c r="V1158" s="57" t="n">
        <x:v>-0.9929512380129852</x:v>
      </x:c>
      <x:c r="W1158"/>
      <x:c r="X1158"/>
      <x:c r="Y1158" s="38" t="n">
        <x:v>0.6409090909090909</x:v>
      </x:c>
      <x:c r="Z1158" s="38" t="n">
        <x:v>2.281358639367685</x:v>
      </x:c>
      <x:c r="AA1158" t="str">
        <x:v>UNRELIABLE_TERMINAL_VALUE_SHARE</x:v>
      </x:c>
    </x:row>
    <x:row r="1159">
      <x:c r="A1159" s="54" t="n">
        <x:v>44561</x:v>
      </x:c>
      <x:c r="B1159" t="n">
        <x:v>44561.624999988424</x:v>
      </x:c>
      <x:c r="C1159" t="str">
        <x:v>084370</x:v>
      </x:c>
      <x:c r="D1159" t="str">
        <x:v>유진테크</x:v>
      </x:c>
      <x:c r="E1159" t="str">
        <x:v>KOSDAQ</x:v>
      </x:c>
      <x:c r="F1159" t="str">
        <x:v>LARGE</x:v>
      </x:c>
      <x:c r="G1159" t="str">
        <x:v>ELIGIBLE</x:v>
      </x:c>
      <x:c r="H1159"/>
      <x:c r="I1159" s="54" t="n">
        <x:v>44560</x:v>
      </x:c>
      <x:c r="J1159" s="55" t="n">
        <x:v>51700</x:v>
      </x:c>
      <x:c r="K1159" s="55" t="n">
        <x:v>1184759371400</x:v>
      </x:c>
      <x:c r="L1159" s="55" t="n">
        <x:v>22916042</x:v>
      </x:c>
      <x:c r="M1159" t="str">
        <x:v>20210318000928</x:v>
      </x:c>
      <x:c r="N1159" t="n">
        <x:v>44273.624999988424</x:v>
      </x:c>
      <x:c r="O1159" s="54" t="n">
        <x:v>44196</x:v>
      </x:c>
      <x:c r="P1159" t="str">
        <x:v>False</x:v>
      </x:c>
      <x:c r="Q1159" t="str">
        <x:v>bf7e14182e15ec1b0a65f6a99dee0c252f90e2f4d19cfb12a4647e851ec5e5b7</x:v>
      </x:c>
      <x:c r="R1159" t="str">
        <x:v>8affe8a1dfb2a22feec01ae715557408d24e8c692b51407d0f4760c7027eeeac</x:v>
      </x:c>
      <x:c r="S1159" t="n">
        <x:v>5</x:v>
      </x:c>
      <x:c r="T1159" t="str">
        <x:v>2018-12-31|2019-12-31|2020-12-31</x:v>
      </x:c>
      <x:c r="U1159" s="57" t="n">
        <x:v>6690.003749659355</x:v>
      </x:c>
      <x:c r="V1159" s="57" t="n">
        <x:v>-0.8705995406255443</x:v>
      </x:c>
      <x:c r="W1159" t="n">
        <x:v>52</x:v>
      </x:c>
      <x:c r="X1159" t="n">
        <x:v>5</x:v>
      </x:c>
      <x:c r="Y1159" s="38" t="n">
        <x:v>0.6409090909090909</x:v>
      </x:c>
      <x:c r="Z1159" s="38" t="n">
        <x:v>0.6720938958423033</x:v>
      </x:c>
      <x:c r="AA1159"/>
    </x:row>
    <x:row r="1160">
      <x:c r="A1160" s="54" t="n">
        <x:v>44561</x:v>
      </x:c>
      <x:c r="B1160" t="n">
        <x:v>44561.624999988424</x:v>
      </x:c>
      <x:c r="C1160" t="str">
        <x:v>160190</x:v>
      </x:c>
      <x:c r="D1160" t="str">
        <x:v>하이젠알앤엠</x:v>
      </x:c>
      <x:c r="E1160" t="str">
        <x:v>KOSDAQ</x:v>
      </x:c>
      <x:c r="F1160" t="str">
        <x:v>LARGE</x:v>
      </x:c>
      <x:c r="G1160" t="str">
        <x:v>NOT_LISTED_OR_NO_PRICE</x:v>
      </x:c>
      <x:c r="H1160"/>
      <x:c r="I1160" s="54"/>
      <x:c r="J1160" s="55"/>
      <x:c r="K1160" s="55"/>
      <x:c r="L1160" s="55"/>
      <x:c r="M1160"/>
      <x:c r="N1160"/>
      <x:c r="O1160" s="54"/>
      <x:c r="P1160"/>
      <x:c r="Q1160"/>
      <x:c r="R1160"/>
      <x:c r="S1160"/>
      <x:c r="T1160"/>
      <x:c r="U1160" s="57"/>
      <x:c r="V1160" s="57"/>
      <x:c r="W1160"/>
      <x:c r="X1160"/>
      <x:c r="Y1160" s="38"/>
      <x:c r="Z1160" s="38"/>
      <x:c r="AA1160"/>
    </x:row>
    <x:row r="1161">
      <x:c r="A1161" s="54" t="n">
        <x:v>44561</x:v>
      </x:c>
      <x:c r="B1161" t="n">
        <x:v>44561.624999988424</x:v>
      </x:c>
      <x:c r="C1161" t="str">
        <x:v>281740</x:v>
      </x:c>
      <x:c r="D1161" t="str">
        <x:v>레이크머티리얼즈</x:v>
      </x:c>
      <x:c r="E1161" t="str">
        <x:v>KOSDAQ</x:v>
      </x:c>
      <x:c r="F1161" t="str">
        <x:v>LARGE</x:v>
      </x:c>
      <x:c r="G1161" t="str">
        <x:v>DCF_SCREENING_EXCLUSION</x:v>
      </x:c>
      <x:c r="H1161" t="str">
        <x:v>NON_POSITIVE_EQUITY_VALUE</x:v>
      </x:c>
      <x:c r="I1161" s="54" t="n">
        <x:v>44560</x:v>
      </x:c>
      <x:c r="J1161" s="55" t="n">
        <x:v>5460</x:v>
      </x:c>
      <x:c r="K1161" s="55" t="n">
        <x:v>358888792080</x:v>
      </x:c>
      <x:c r="L1161" s="55" t="n">
        <x:v>65730548</x:v>
      </x:c>
      <x:c r="M1161" t="str">
        <x:v>20210319000669</x:v>
      </x:c>
      <x:c r="N1161" t="n">
        <x:v>44274.624999988424</x:v>
      </x:c>
      <x:c r="O1161" s="54" t="n">
        <x:v>44196</x:v>
      </x:c>
      <x:c r="P1161" t="str">
        <x:v>False</x:v>
      </x:c>
      <x:c r="Q1161" t="str">
        <x:v>0692d98dca920cc2bece4f710df372fb43593aa9b44e369a877f98c7608d0125</x:v>
      </x:c>
      <x:c r="R1161" t="str">
        <x:v>00fc48414330dcf13d290e98fb5aa238310d60bce3bd407cf7257beeb570c2c1</x:v>
      </x:c>
      <x:c r="S1161" t="n">
        <x:v>6</x:v>
      </x:c>
      <x:c r="T1161" t="str">
        <x:v>2020-12-31</x:v>
      </x:c>
      <x:c r="U1161" s="57" t="n">
        <x:v>-71.33934337373849</x:v>
      </x:c>
      <x:c r="V1161" s="57" t="n">
        <x:v>-1.013065813804714</x:v>
      </x:c>
      <x:c r="W1161"/>
      <x:c r="X1161"/>
      <x:c r="Y1161" s="38" t="n">
        <x:v>0.6409090909090909</x:v>
      </x:c>
      <x:c r="Z1161" s="38" t="n">
        <x:v>0.7013426708992583</x:v>
      </x:c>
      <x:c r="AA1161" t="str">
        <x:v>NON_POSITIVE_EQUITY_VALUE</x:v>
      </x:c>
    </x:row>
    <x:row r="1162">
      <x:c r="A1162" s="54" t="n">
        <x:v>44561</x:v>
      </x:c>
      <x:c r="B1162" t="n">
        <x:v>44561.624999988424</x:v>
      </x:c>
      <x:c r="C1162" t="str">
        <x:v>078130</x:v>
      </x:c>
      <x:c r="D1162" t="str">
        <x:v>국일제지</x:v>
      </x:c>
      <x:c r="E1162" t="str">
        <x:v>KOSDAQ</x:v>
      </x:c>
      <x:c r="F1162" t="str">
        <x:v>LARGE</x:v>
      </x:c>
      <x:c r="G1162" t="str">
        <x:v>DCF_SCREENING_EXCLUSION</x:v>
      </x:c>
      <x:c r="H1162" t="str">
        <x:v>NON_POSITIVE_ENTERPRISE_VALUE|NON_POSITIVE_EQUITY_VALUE|NON_POSITIVE_TERMINAL_FCF</x:v>
      </x:c>
      <x:c r="I1162" s="54" t="n">
        <x:v>44560</x:v>
      </x:c>
      <x:c r="J1162" s="55" t="n">
        <x:v>4065</x:v>
      </x:c>
      <x:c r="K1162" s="55" t="n">
        <x:v>518765027745</x:v>
      </x:c>
      <x:c r="L1162" s="55" t="n">
        <x:v>127617473</x:v>
      </x:c>
      <x:c r="M1162" t="str">
        <x:v>20210317001032</x:v>
      </x:c>
      <x:c r="N1162" t="n">
        <x:v>44272.624999988424</x:v>
      </x:c>
      <x:c r="O1162" s="54" t="n">
        <x:v>44196</x:v>
      </x:c>
      <x:c r="P1162" t="str">
        <x:v>False</x:v>
      </x:c>
      <x:c r="Q1162" t="str">
        <x:v>a2d8f4275a7a909be23671d83b0f047b49d3101f99ceb97a2291f838d3741795</x:v>
      </x:c>
      <x:c r="R1162" t="str">
        <x:v>f04e49e0ee03a66e4e1f761c9bd1bb178b9bf15fb019dc6ad53f92c2e92e51cd</x:v>
      </x:c>
      <x:c r="S1162" t="n">
        <x:v>6</x:v>
      </x:c>
      <x:c r="T1162" t="str">
        <x:v>2018-12-31|2019-12-31|2020-12-31</x:v>
      </x:c>
      <x:c r="U1162" s="57" t="n">
        <x:v>-992.7630112705772</x:v>
      </x:c>
      <x:c r="V1162" s="57" t="n">
        <x:v>-1.244222142993992</x:v>
      </x:c>
      <x:c r="W1162"/>
      <x:c r="X1162"/>
      <x:c r="Y1162" s="38" t="n">
        <x:v>0.6409090909090909</x:v>
      </x:c>
      <x:c r="Z1162" s="38" t="n">
        <x:v>0.6494465255095048</x:v>
      </x:c>
      <x:c r="AA1162" t="str">
        <x:v>NON_POSITIVE_ENTERPRISE_VALUE|NON_POSITIVE_EQUITY_VALUE|NON_POSITIVE_TERMINAL_FCF</x:v>
      </x:c>
    </x:row>
    <x:row r="1163">
      <x:c r="A1163" s="54" t="n">
        <x:v>44561</x:v>
      </x:c>
      <x:c r="B1163" t="n">
        <x:v>44561.624999988424</x:v>
      </x:c>
      <x:c r="C1163" t="str">
        <x:v>131970</x:v>
      </x:c>
      <x:c r="D1163" t="str">
        <x:v>두산테스나</x:v>
      </x:c>
      <x:c r="E1163" t="str">
        <x:v>KOSDAQ</x:v>
      </x:c>
      <x:c r="F1163" t="str">
        <x:v>LARGE</x:v>
      </x:c>
      <x:c r="G1163" t="str">
        <x:v>ELIGIBLE</x:v>
      </x:c>
      <x:c r="H1163"/>
      <x:c r="I1163" s="54" t="n">
        <x:v>44560</x:v>
      </x:c>
      <x:c r="J1163" s="55" t="n">
        <x:v>49950</x:v>
      </x:c>
      <x:c r="K1163" s="55" t="n">
        <x:v>737240871150</x:v>
      </x:c>
      <x:c r="L1163" s="55" t="n">
        <x:v>14759577</x:v>
      </x:c>
      <x:c r="M1163" t="str">
        <x:v>20210419000076</x:v>
      </x:c>
      <x:c r="N1163" t="n">
        <x:v>44305.624999988424</x:v>
      </x:c>
      <x:c r="O1163" s="54" t="n">
        <x:v>44196</x:v>
      </x:c>
      <x:c r="P1163" t="str">
        <x:v>True</x:v>
      </x:c>
      <x:c r="Q1163" t="str">
        <x:v>7830a97ece1a25a62017aa54229abe56b1e63b20643308ca53a4639968a972bb</x:v>
      </x:c>
      <x:c r="R1163" t="str">
        <x:v>257e76de79b54053ccb14f87e6416eee2b3f0d40a1cd1f8ac4c52d78814a5212</x:v>
      </x:c>
      <x:c r="S1163" t="n">
        <x:v>5</x:v>
      </x:c>
      <x:c r="T1163" t="str">
        <x:v>2018-12-31|2019-12-31|2020-12-31</x:v>
      </x:c>
      <x:c r="U1163" s="57" t="n">
        <x:v>20115.014823098634</x:v>
      </x:c>
      <x:c r="V1163" s="57" t="n">
        <x:v>-0.5972970005385658</x:v>
      </x:c>
      <x:c r="W1163" t="n">
        <x:v>33</x:v>
      </x:c>
      <x:c r="X1163" t="n">
        <x:v>3</x:v>
      </x:c>
      <x:c r="Y1163" s="38" t="n">
        <x:v>0.6409090909090909</x:v>
      </x:c>
      <x:c r="Z1163" s="38" t="n">
        <x:v>0.7256069356528623</x:v>
      </x:c>
      <x:c r="AA1163"/>
    </x:row>
    <x:row r="1164">
      <x:c r="A1164" s="54" t="n">
        <x:v>44561</x:v>
      </x:c>
      <x:c r="B1164" t="n">
        <x:v>44561.624999988424</x:v>
      </x:c>
      <x:c r="C1164" t="str">
        <x:v>025320</x:v>
      </x:c>
      <x:c r="D1164" t="str">
        <x:v>시노펙스</x:v>
      </x:c>
      <x:c r="E1164" t="str">
        <x:v>KOSDAQ</x:v>
      </x:c>
      <x:c r="F1164" t="str">
        <x:v>LARGE</x:v>
      </x:c>
      <x:c r="G1164" t="str">
        <x:v>DCF_SCREENING_EXCLUSION</x:v>
      </x:c>
      <x:c r="H1164" t="str">
        <x:v>NON_POSITIVE_ENTERPRISE_VALUE|NON_POSITIVE_EQUITY_VALUE|NON_POSITIVE_TERMINAL_FCF</x:v>
      </x:c>
      <x:c r="I1164" s="54" t="n">
        <x:v>44560</x:v>
      </x:c>
      <x:c r="J1164" s="55" t="n">
        <x:v>2780</x:v>
      </x:c>
      <x:c r="K1164" s="55" t="n">
        <x:v>203615423240</x:v>
      </x:c>
      <x:c r="L1164" s="55" t="n">
        <x:v>73242958</x:v>
      </x:c>
      <x:c r="M1164" t="str">
        <x:v>20210323000457</x:v>
      </x:c>
      <x:c r="N1164" t="n">
        <x:v>44278.624999988424</x:v>
      </x:c>
      <x:c r="O1164" s="54" t="n">
        <x:v>44196</x:v>
      </x:c>
      <x:c r="P1164" t="str">
        <x:v>False</x:v>
      </x:c>
      <x:c r="Q1164" t="str">
        <x:v>4ed010fb22700cc727461b09e40117faa4e69e3e52cc5fdb902efc9104877c42</x:v>
      </x:c>
      <x:c r="R1164" t="str">
        <x:v>b924ca165efae21f513feeb3a8be79f68b017f396ca98dc610dac49a44598330</x:v>
      </x:c>
      <x:c r="S1164" t="n">
        <x:v>6</x:v>
      </x:c>
      <x:c r="T1164" t="str">
        <x:v>2018-12-31|2019-12-31|2020-12-31</x:v>
      </x:c>
      <x:c r="U1164" s="57" t="n">
        <x:v>-1589.5402274427975</x:v>
      </x:c>
      <x:c r="V1164" s="57" t="n">
        <x:v>-1.571777060231222</x:v>
      </x:c>
      <x:c r="W1164"/>
      <x:c r="X1164"/>
      <x:c r="Y1164" s="38" t="n">
        <x:v>0.6409090909090909</x:v>
      </x:c>
      <x:c r="Z1164" s="38" t="n">
        <x:v>0.5650623118634555</x:v>
      </x:c>
      <x:c r="AA1164" t="str">
        <x:v>NON_POSITIVE_ENTERPRISE_VALUE|NON_POSITIVE_EQUITY_VALUE|NON_POSITIVE_TERMINAL_FCF</x:v>
      </x:c>
    </x:row>
    <x:row r="1165">
      <x:c r="A1165" s="54" t="n">
        <x:v>44561</x:v>
      </x:c>
      <x:c r="B1165" t="n">
        <x:v>44561.624999988424</x:v>
      </x:c>
      <x:c r="C1165" t="str">
        <x:v>347700</x:v>
      </x:c>
      <x:c r="D1165" t="str">
        <x:v>스피어</x:v>
      </x:c>
      <x:c r="E1165" t="str">
        <x:v>KOSDAQ</x:v>
      </x:c>
      <x:c r="F1165" t="str">
        <x:v>LARGE</x:v>
      </x:c>
      <x:c r="G1165" t="str">
        <x:v>DCF_SCREENING_EXCLUSION</x:v>
      </x:c>
      <x:c r="H1165" t="str">
        <x:v>NON_POSITIVE_ENTERPRISE_VALUE|NON_POSITIVE_TERMINAL_FCF</x:v>
      </x:c>
      <x:c r="I1165" s="54" t="n">
        <x:v>44560</x:v>
      </x:c>
      <x:c r="J1165" s="55" t="n">
        <x:v>9580</x:v>
      </x:c>
      <x:c r="K1165" s="55" t="n">
        <x:v>96947396600</x:v>
      </x:c>
      <x:c r="L1165" s="55" t="n">
        <x:v>10119770</x:v>
      </x:c>
      <x:c r="M1165" t="str">
        <x:v>20210607000174</x:v>
      </x:c>
      <x:c r="N1165" t="n">
        <x:v>44354.624999988424</x:v>
      </x:c>
      <x:c r="O1165" s="54" t="n">
        <x:v>44196</x:v>
      </x:c>
      <x:c r="P1165" t="str">
        <x:v>True</x:v>
      </x:c>
      <x:c r="Q1165" t="str">
        <x:v>c0520cdf6afb73decac60ef46ba45aedf738d0748abd8fb33394c8dee781acd9</x:v>
      </x:c>
      <x:c r="R1165" t="str">
        <x:v>13a13d8702b9454a08ba530844faf994b54de0456edf4a2defea173e9b3c9a78</x:v>
      </x:c>
      <x:c r="S1165" t="n">
        <x:v>6</x:v>
      </x:c>
      <x:c r="T1165" t="str">
        <x:v>2020-12-31</x:v>
      </x:c>
      <x:c r="U1165" s="57" t="n">
        <x:v>105.513405157469</x:v>
      </x:c>
      <x:c r="V1165" s="57" t="n">
        <x:v>-0.9889860746182183</x:v>
      </x:c>
      <x:c r="W1165"/>
      <x:c r="X1165"/>
      <x:c r="Y1165" s="38" t="n">
        <x:v>0.6409090909090909</x:v>
      </x:c>
      <x:c r="Z1165" s="38" t="n">
        <x:v>0.7013426708992583</x:v>
      </x:c>
      <x:c r="AA1165" t="str">
        <x:v>NON_POSITIVE_ENTERPRISE_VALUE|NON_POSITIVE_TERMINAL_FCF</x:v>
      </x:c>
    </x:row>
    <x:row r="1166">
      <x:c r="A1166" s="54" t="n">
        <x:v>44561</x:v>
      </x:c>
      <x:c r="B1166" t="n">
        <x:v>44561.624999988424</x:v>
      </x:c>
      <x:c r="C1166" t="str">
        <x:v>119850</x:v>
      </x:c>
      <x:c r="D1166" t="str">
        <x:v>지엔씨에너지</x:v>
      </x:c>
      <x:c r="E1166" t="str">
        <x:v>KOSDAQ</x:v>
      </x:c>
      <x:c r="F1166" t="str">
        <x:v>LARGE</x:v>
      </x:c>
      <x:c r="G1166" t="str">
        <x:v>ELIGIBLE</x:v>
      </x:c>
      <x:c r="H1166"/>
      <x:c r="I1166" s="54" t="n">
        <x:v>44560</x:v>
      </x:c>
      <x:c r="J1166" s="55" t="n">
        <x:v>4825</x:v>
      </x:c>
      <x:c r="K1166" s="55" t="n">
        <x:v>79365985925</x:v>
      </x:c>
      <x:c r="L1166" s="55" t="n">
        <x:v>16448909</x:v>
      </x:c>
      <x:c r="M1166" t="str">
        <x:v>20210318000663</x:v>
      </x:c>
      <x:c r="N1166" t="n">
        <x:v>44273.624999988424</x:v>
      </x:c>
      <x:c r="O1166" s="54" t="n">
        <x:v>44196</x:v>
      </x:c>
      <x:c r="P1166" t="str">
        <x:v>False</x:v>
      </x:c>
      <x:c r="Q1166" t="str">
        <x:v>653cb6ddd884358c126b2b72eab500c005242c43829e2e092de6d2c9e30c286a</x:v>
      </x:c>
      <x:c r="R1166" t="str">
        <x:v>b3725620b61f6398fb580fc894decfc40ce95155ca3c21938f10d0118493dd5c</x:v>
      </x:c>
      <x:c r="S1166" t="n">
        <x:v>6</x:v>
      </x:c>
      <x:c r="T1166" t="str">
        <x:v>2018-12-31|2019-12-31|2020-12-31</x:v>
      </x:c>
      <x:c r="U1166" s="57" t="n">
        <x:v>6956.039257826385</x:v>
      </x:c>
      <x:c r="V1166" s="57" t="n">
        <x:v>0.44166616742515763</x:v>
      </x:c>
      <x:c r="W1166" t="n">
        <x:v>9</x:v>
      </x:c>
      <x:c r="X1166" t="n">
        <x:v>1</x:v>
      </x:c>
      <x:c r="Y1166" s="38" t="n">
        <x:v>0.6409090909090909</x:v>
      </x:c>
      <x:c r="Z1166" s="38" t="n">
        <x:v>0.7372895800495701</x:v>
      </x:c>
      <x:c r="AA1166"/>
    </x:row>
    <x:row r="1167">
      <x:c r="A1167" s="54" t="n">
        <x:v>44561</x:v>
      </x:c>
      <x:c r="B1167" t="n">
        <x:v>44561.624999988424</x:v>
      </x:c>
      <x:c r="C1167" t="str">
        <x:v>084110</x:v>
      </x:c>
      <x:c r="D1167" t="str">
        <x:v>휴온스글로벌</x:v>
      </x:c>
      <x:c r="E1167" t="str">
        <x:v>KOSDAQ</x:v>
      </x:c>
      <x:c r="F1167" t="str">
        <x:v>LARGE</x:v>
      </x:c>
      <x:c r="G1167" t="str">
        <x:v>ELIGIBLE</x:v>
      </x:c>
      <x:c r="H1167"/>
      <x:c r="I1167" s="54" t="n">
        <x:v>44560</x:v>
      </x:c>
      <x:c r="J1167" s="55" t="n">
        <x:v>38500</x:v>
      </x:c>
      <x:c r="K1167" s="55" t="n">
        <x:v>463166126500</x:v>
      </x:c>
      <x:c r="L1167" s="55" t="n">
        <x:v>12030289</x:v>
      </x:c>
      <x:c r="M1167" t="str">
        <x:v>20210311001143</x:v>
      </x:c>
      <x:c r="N1167" t="n">
        <x:v>44266.624999988424</x:v>
      </x:c>
      <x:c r="O1167" s="54" t="n">
        <x:v>44196</x:v>
      </x:c>
      <x:c r="P1167" t="str">
        <x:v>False</x:v>
      </x:c>
      <x:c r="Q1167" t="str">
        <x:v>fa81c84f17329d7b4da199ca087127a31bb8895032b44094df209b2bcca991ae</x:v>
      </x:c>
      <x:c r="R1167" t="str">
        <x:v>51b01d395ba6e242ca6bc50955b5df968a7361f69faf87ac5902a92b48e44089</x:v>
      </x:c>
      <x:c r="S1167" t="n">
        <x:v>6</x:v>
      </x:c>
      <x:c r="T1167" t="str">
        <x:v>2018-12-31|2019-12-31|2020-12-31</x:v>
      </x:c>
      <x:c r="U1167" s="57" t="n">
        <x:v>62717.699944589345</x:v>
      </x:c>
      <x:c r="V1167" s="57" t="n">
        <x:v>0.629031167391931</x:v>
      </x:c>
      <x:c r="W1167" t="n">
        <x:v>7</x:v>
      </x:c>
      <x:c r="X1167" t="n">
        <x:v>1</x:v>
      </x:c>
      <x:c r="Y1167" s="38" t="n">
        <x:v>0.6409090909090909</x:v>
      </x:c>
      <x:c r="Z1167" s="38" t="n">
        <x:v>0.7345335402673521</x:v>
      </x:c>
      <x:c r="AA1167"/>
    </x:row>
    <x:row r="1168">
      <x:c r="A1168" s="54" t="n">
        <x:v>44561</x:v>
      </x:c>
      <x:c r="B1168" t="n">
        <x:v>44561.624999988424</x:v>
      </x:c>
      <x:c r="C1168" t="str">
        <x:v>206650</x:v>
      </x:c>
      <x:c r="D1168" t="str">
        <x:v>유바이오로직스</x:v>
      </x:c>
      <x:c r="E1168" t="str">
        <x:v>KOSDAQ</x:v>
      </x:c>
      <x:c r="F1168" t="str">
        <x:v>LARGE</x:v>
      </x:c>
      <x:c r="G1168" t="str">
        <x:v>DCF_SCREENING_EXCLUSION</x:v>
      </x:c>
      <x:c r="H1168" t="str">
        <x:v>UNRELIABLE_TERMINAL_VALUE_SHARE</x:v>
      </x:c>
      <x:c r="I1168" s="54" t="n">
        <x:v>44560</x:v>
      </x:c>
      <x:c r="J1168" s="55" t="n">
        <x:v>35050</x:v>
      </x:c>
      <x:c r="K1168" s="55" t="n">
        <x:v>1271414460350</x:v>
      </x:c>
      <x:c r="L1168" s="55" t="n">
        <x:v>36274307</x:v>
      </x:c>
      <x:c r="M1168" t="str">
        <x:v>20211223000462</x:v>
      </x:c>
      <x:c r="N1168" t="n">
        <x:v>44553.624999988424</x:v>
      </x:c>
      <x:c r="O1168" s="54" t="n">
        <x:v>44196</x:v>
      </x:c>
      <x:c r="P1168" t="str">
        <x:v>True</x:v>
      </x:c>
      <x:c r="Q1168" t="str">
        <x:v>2b253094cdf0470c76f3a7a183ccd1d4abef41ccc8ef2d6d492b09a5d6cb4b7b</x:v>
      </x:c>
      <x:c r="R1168" t="str">
        <x:v>6a01aaabf4454d8973e36bec074f2b6716e66b32c7f50187241acd470783467e</x:v>
      </x:c>
      <x:c r="S1168" t="n">
        <x:v>5</x:v>
      </x:c>
      <x:c r="T1168" t="str">
        <x:v>2018-12-31|2019-12-31|2020-12-31</x:v>
      </x:c>
      <x:c r="U1168" s="57" t="n">
        <x:v>2552.471958402408</x:v>
      </x:c>
      <x:c r="V1168" s="57" t="n">
        <x:v>-0.9271762636689755</x:v>
      </x:c>
      <x:c r="W1168"/>
      <x:c r="X1168"/>
      <x:c r="Y1168" s="38" t="n">
        <x:v>0.6409090909090909</x:v>
      </x:c>
      <x:c r="Z1168" s="38" t="n">
        <x:v>1.0855136145824282</x:v>
      </x:c>
      <x:c r="AA1168" t="str">
        <x:v>UNRELIABLE_TERMINAL_VALUE_SHARE</x:v>
      </x:c>
    </x:row>
    <x:row r="1169">
      <x:c r="A1169" s="54" t="n">
        <x:v>44561</x:v>
      </x:c>
      <x:c r="B1169" t="n">
        <x:v>44561.624999988424</x:v>
      </x:c>
      <x:c r="C1169" t="str">
        <x:v>365340</x:v>
      </x:c>
      <x:c r="D1169" t="str">
        <x:v>성일하이텍</x:v>
      </x:c>
      <x:c r="E1169" t="str">
        <x:v>KOSDAQ</x:v>
      </x:c>
      <x:c r="F1169" t="str">
        <x:v>LARGE</x:v>
      </x:c>
      <x:c r="G1169" t="str">
        <x:v>NOT_LISTED_OR_NO_PRICE</x:v>
      </x:c>
      <x:c r="H1169"/>
      <x:c r="I1169" s="54"/>
      <x:c r="J1169" s="55"/>
      <x:c r="K1169" s="55"/>
      <x:c r="L1169" s="55"/>
      <x:c r="M1169"/>
      <x:c r="N1169"/>
      <x:c r="O1169" s="54"/>
      <x:c r="P1169"/>
      <x:c r="Q1169"/>
      <x:c r="R1169"/>
      <x:c r="S1169"/>
      <x:c r="T1169"/>
      <x:c r="U1169" s="57"/>
      <x:c r="V1169" s="57"/>
      <x:c r="W1169"/>
      <x:c r="X1169"/>
      <x:c r="Y1169" s="38"/>
      <x:c r="Z1169" s="38"/>
      <x:c r="AA1169"/>
    </x:row>
    <x:row r="1170">
      <x:c r="A1170" s="54" t="n">
        <x:v>44561</x:v>
      </x:c>
      <x:c r="B1170" t="n">
        <x:v>44561.624999988424</x:v>
      </x:c>
      <x:c r="C1170" t="str">
        <x:v>030530</x:v>
      </x:c>
      <x:c r="D1170" t="str">
        <x:v>원익홀딩스</x:v>
      </x:c>
      <x:c r="E1170" t="str">
        <x:v>KOSDAQ</x:v>
      </x:c>
      <x:c r="F1170" t="str">
        <x:v>LARGE</x:v>
      </x:c>
      <x:c r="G1170" t="str">
        <x:v>EXCLUDED_ARCHETYPE</x:v>
      </x:c>
      <x:c r="H1170" t="str">
        <x:v>FCFF_NOT_COMPARABLE_FOR_FINANCE_OR_HOLDING_HINT</x:v>
      </x:c>
      <x:c r="I1170" s="54"/>
      <x:c r="J1170" s="55"/>
      <x:c r="K1170" s="55"/>
      <x:c r="L1170" s="55"/>
      <x:c r="M1170"/>
      <x:c r="N1170"/>
      <x:c r="O1170" s="54"/>
      <x:c r="P1170"/>
      <x:c r="Q1170"/>
      <x:c r="R1170"/>
      <x:c r="S1170"/>
      <x:c r="T1170"/>
      <x:c r="U1170" s="57"/>
      <x:c r="V1170" s="57"/>
      <x:c r="W1170"/>
      <x:c r="X1170"/>
      <x:c r="Y1170" s="38"/>
      <x:c r="Z1170" s="38"/>
      <x:c r="AA1170"/>
    </x:row>
    <x:row r="1171">
      <x:c r="A1171" s="54" t="n">
        <x:v>44561</x:v>
      </x:c>
      <x:c r="B1171" t="n">
        <x:v>44561.624999988424</x:v>
      </x:c>
      <x:c r="C1171" t="str">
        <x:v>220100</x:v>
      </x:c>
      <x:c r="D1171" t="str">
        <x:v>퓨쳐켐</x:v>
      </x:c>
      <x:c r="E1171" t="str">
        <x:v>KOSDAQ</x:v>
      </x:c>
      <x:c r="F1171" t="str">
        <x:v>LARGE</x:v>
      </x:c>
      <x:c r="G1171" t="str">
        <x:v>DCF_SCREENING_EXCLUSION</x:v>
      </x:c>
      <x:c r="H1171" t="str">
        <x:v>NON_POSITIVE_ENTERPRISE_VALUE|NON_POSITIVE_EQUITY_VALUE|NON_POSITIVE_TERMINAL_FCF</x:v>
      </x:c>
      <x:c r="I1171" s="54" t="n">
        <x:v>44560</x:v>
      </x:c>
      <x:c r="J1171" s="55" t="n">
        <x:v>18300</x:v>
      </x:c>
      <x:c r="K1171" s="55" t="n">
        <x:v>249721269300</x:v>
      </x:c>
      <x:c r="L1171" s="55" t="n">
        <x:v>13645971</x:v>
      </x:c>
      <x:c r="M1171" t="str">
        <x:v>20210615000215</x:v>
      </x:c>
      <x:c r="N1171" t="n">
        <x:v>44362.624999988424</x:v>
      </x:c>
      <x:c r="O1171" s="54" t="n">
        <x:v>44196</x:v>
      </x:c>
      <x:c r="P1171" t="str">
        <x:v>True</x:v>
      </x:c>
      <x:c r="Q1171" t="str">
        <x:v>774d33683e2a64cbd21cad6bd5b0d405abbbaecd776b82c7b5e5fc0933427b58</x:v>
      </x:c>
      <x:c r="R1171" t="str">
        <x:v>e7f9b0455266aaa977f205aaeaa90b0ee053bbe7b3e86135c44c9f7af8e39dad</x:v>
      </x:c>
      <x:c r="S1171" t="n">
        <x:v>5</x:v>
      </x:c>
      <x:c r="T1171" t="str">
        <x:v>2018-12-31|2019-12-31|2020-12-31</x:v>
      </x:c>
      <x:c r="U1171" s="57" t="n">
        <x:v>-2161.672272645734</x:v>
      </x:c>
      <x:c r="V1171" s="57" t="n">
        <x:v>-1.1181241679041385</x:v>
      </x:c>
      <x:c r="W1171"/>
      <x:c r="X1171"/>
      <x:c r="Y1171" s="38" t="n">
        <x:v>0.6409090909090909</x:v>
      </x:c>
      <x:c r="Z1171" s="38" t="n">
        <x:v>0.7048576618166811</x:v>
      </x:c>
      <x:c r="AA1171" t="str">
        <x:v>NON_POSITIVE_ENTERPRISE_VALUE|NON_POSITIVE_EQUITY_VALUE|NON_POSITIVE_TERMINAL_FCF</x:v>
      </x:c>
    </x:row>
    <x:row r="1172">
      <x:c r="A1172" s="54" t="n">
        <x:v>44561</x:v>
      </x:c>
      <x:c r="B1172" t="n">
        <x:v>44561.624999988424</x:v>
      </x:c>
      <x:c r="C1172" t="str">
        <x:v>416180</x:v>
      </x:c>
      <x:c r="D1172" t="str">
        <x:v>신성에스티</x:v>
      </x:c>
      <x:c r="E1172" t="str">
        <x:v>KOSDAQ</x:v>
      </x:c>
      <x:c r="F1172" t="str">
        <x:v>LARGE</x:v>
      </x:c>
      <x:c r="G1172" t="str">
        <x:v>NOT_LISTED_OR_NO_PRICE</x:v>
      </x:c>
      <x:c r="H1172"/>
      <x:c r="I1172" s="54"/>
      <x:c r="J1172" s="55"/>
      <x:c r="K1172" s="55"/>
      <x:c r="L1172" s="55"/>
      <x:c r="M1172"/>
      <x:c r="N1172"/>
      <x:c r="O1172" s="54"/>
      <x:c r="P1172"/>
      <x:c r="Q1172"/>
      <x:c r="R1172"/>
      <x:c r="S1172"/>
      <x:c r="T1172"/>
      <x:c r="U1172" s="57"/>
      <x:c r="V1172" s="57"/>
      <x:c r="W1172"/>
      <x:c r="X1172"/>
      <x:c r="Y1172" s="38"/>
      <x:c r="Z1172" s="38"/>
      <x:c r="AA1172"/>
    </x:row>
    <x:row r="1173">
      <x:c r="A1173" s="54" t="n">
        <x:v>44561</x:v>
      </x:c>
      <x:c r="B1173" t="n">
        <x:v>44561.624999988424</x:v>
      </x:c>
      <x:c r="C1173" t="str">
        <x:v>082800</x:v>
      </x:c>
      <x:c r="D1173" t="str">
        <x:v>비보존제약</x:v>
      </x:c>
      <x:c r="E1173" t="str">
        <x:v>KOSDAQ</x:v>
      </x:c>
      <x:c r="F1173" t="str">
        <x:v>LARGE</x:v>
      </x:c>
      <x:c r="G1173" t="str">
        <x:v>DCF_SCREENING_EXCLUSION</x:v>
      </x:c>
      <x:c r="H1173" t="str">
        <x:v>NON_POSITIVE_ENTERPRISE_VALUE|NON_POSITIVE_EQUITY_VALUE|NON_POSITIVE_TERMINAL_FCF</x:v>
      </x:c>
      <x:c r="I1173" s="54" t="n">
        <x:v>44560</x:v>
      </x:c>
      <x:c r="J1173" s="55" t="n">
        <x:v>1095</x:v>
      </x:c>
      <x:c r="K1173" s="55" t="n">
        <x:v>186047983230</x:v>
      </x:c>
      <x:c r="L1173" s="55" t="n">
        <x:v>169906834</x:v>
      </x:c>
      <x:c r="M1173" t="str">
        <x:v>20210812000470</x:v>
      </x:c>
      <x:c r="N1173" t="n">
        <x:v>44420.624999988424</x:v>
      </x:c>
      <x:c r="O1173" s="54" t="n">
        <x:v>44196</x:v>
      </x:c>
      <x:c r="P1173" t="str">
        <x:v>True</x:v>
      </x:c>
      <x:c r="Q1173" t="str">
        <x:v>4438f2e1e335077945586406882ba70e49bc1f9b5514bdbd728c6cae3372049b</x:v>
      </x:c>
      <x:c r="R1173" t="str">
        <x:v>f93ce9046b0970eadab2696f800adc8de077975fa0250197d0c6a0fc4c471be1</x:v>
      </x:c>
      <x:c r="S1173" t="n">
        <x:v>5</x:v>
      </x:c>
      <x:c r="T1173" t="str">
        <x:v>2018-12-31|2019-12-31|2020-12-31</x:v>
      </x:c>
      <x:c r="U1173" s="57" t="n">
        <x:v>-688.7318885796128</x:v>
      </x:c>
      <x:c r="V1173" s="57" t="n">
        <x:v>-1.6289788936800118</x:v>
      </x:c>
      <x:c r="W1173"/>
      <x:c r="X1173"/>
      <x:c r="Y1173" s="38" t="n">
        <x:v>0.6409090909090909</x:v>
      </x:c>
      <x:c r="Z1173" s="38" t="n">
        <x:v>0.7047682246707426</x:v>
      </x:c>
      <x:c r="AA1173" t="str">
        <x:v>NON_POSITIVE_ENTERPRISE_VALUE|NON_POSITIVE_EQUITY_VALUE|NON_POSITIVE_TERMINAL_FCF</x:v>
      </x:c>
    </x:row>
    <x:row r="1174">
      <x:c r="A1174" s="54" t="n">
        <x:v>44561</x:v>
      </x:c>
      <x:c r="B1174" t="n">
        <x:v>44561.624999988424</x:v>
      </x:c>
      <x:c r="C1174" t="str">
        <x:v>204620</x:v>
      </x:c>
      <x:c r="D1174" t="str">
        <x:v>글로벌텍스프리</x:v>
      </x:c>
      <x:c r="E1174" t="str">
        <x:v>KOSDAQ</x:v>
      </x:c>
      <x:c r="F1174" t="str">
        <x:v>LARGE</x:v>
      </x:c>
      <x:c r="G1174" t="str">
        <x:v>DCF_SCREENING_EXCLUSION</x:v>
      </x:c>
      <x:c r="H1174" t="str">
        <x:v>UNRELIABLE_TERMINAL_VALUE_SHARE</x:v>
      </x:c>
      <x:c r="I1174" s="54" t="n">
        <x:v>44560</x:v>
      </x:c>
      <x:c r="J1174" s="55" t="n">
        <x:v>2950</x:v>
      </x:c>
      <x:c r="K1174" s="55" t="n">
        <x:v>143773238450</x:v>
      </x:c>
      <x:c r="L1174" s="55" t="n">
        <x:v>48736691</x:v>
      </x:c>
      <x:c r="M1174" t="str">
        <x:v>20210322001155</x:v>
      </x:c>
      <x:c r="N1174" t="n">
        <x:v>44277.624999988424</x:v>
      </x:c>
      <x:c r="O1174" s="54" t="n">
        <x:v>44196</x:v>
      </x:c>
      <x:c r="P1174" t="str">
        <x:v>False</x:v>
      </x:c>
      <x:c r="Q1174" t="str">
        <x:v>63e285f34a7299143d8cfef21dff4eab139ba2d6da9068d43044e662192b9141</x:v>
      </x:c>
      <x:c r="R1174" t="str">
        <x:v>942d3112c880d8248b9474645454b62643e68b942d77b7486e4633785d250695</x:v>
      </x:c>
      <x:c r="S1174" t="n">
        <x:v>7</x:v>
      </x:c>
      <x:c r="T1174" t="str">
        <x:v>2018-12-31|2019-12-31|2020-12-31</x:v>
      </x:c>
      <x:c r="U1174" s="57" t="n">
        <x:v>899.8525927064413</x:v>
      </x:c>
      <x:c r="V1174" s="57" t="n">
        <x:v>-0.6949652228113758</x:v>
      </x:c>
      <x:c r="W1174"/>
      <x:c r="X1174"/>
      <x:c r="Y1174" s="38" t="n">
        <x:v>0.6409090909090909</x:v>
      </x:c>
      <x:c r="Z1174" s="38" t="n">
        <x:v>0.9852227558467876</x:v>
      </x:c>
      <x:c r="AA1174" t="str">
        <x:v>UNRELIABLE_TERMINAL_VALUE_SHARE</x:v>
      </x:c>
    </x:row>
    <x:row r="1175">
      <x:c r="A1175" s="54" t="n">
        <x:v>44561</x:v>
      </x:c>
      <x:c r="B1175" t="n">
        <x:v>44561.624999988424</x:v>
      </x:c>
      <x:c r="C1175" t="str">
        <x:v>445090</x:v>
      </x:c>
      <x:c r="D1175" t="str">
        <x:v>에이직랜드</x:v>
      </x:c>
      <x:c r="E1175" t="str">
        <x:v>KOSDAQ</x:v>
      </x:c>
      <x:c r="F1175" t="str">
        <x:v>LARGE</x:v>
      </x:c>
      <x:c r="G1175" t="str">
        <x:v>NOT_LISTED_OR_NO_PRICE</x:v>
      </x:c>
      <x:c r="H1175"/>
      <x:c r="I1175" s="54"/>
      <x:c r="J1175" s="55"/>
      <x:c r="K1175" s="55"/>
      <x:c r="L1175" s="55"/>
      <x:c r="M1175"/>
      <x:c r="N1175"/>
      <x:c r="O1175" s="54"/>
      <x:c r="P1175"/>
      <x:c r="Q1175"/>
      <x:c r="R1175"/>
      <x:c r="S1175"/>
      <x:c r="T1175"/>
      <x:c r="U1175" s="57"/>
      <x:c r="V1175" s="57"/>
      <x:c r="W1175"/>
      <x:c r="X1175"/>
      <x:c r="Y1175" s="38"/>
      <x:c r="Z1175" s="38"/>
      <x:c r="AA1175"/>
    </x:row>
    <x:row r="1176">
      <x:c r="A1176" s="54" t="n">
        <x:v>44561</x:v>
      </x:c>
      <x:c r="B1176" t="n">
        <x:v>44561.624999988424</x:v>
      </x:c>
      <x:c r="C1176" t="str">
        <x:v>115450</x:v>
      </x:c>
      <x:c r="D1176" t="str">
        <x:v>HLB테라퓨틱스</x:v>
      </x:c>
      <x:c r="E1176" t="str">
        <x:v>KOSDAQ</x:v>
      </x:c>
      <x:c r="F1176" t="str">
        <x:v>LARGE</x:v>
      </x:c>
      <x:c r="G1176" t="str">
        <x:v>DCF_SCREENING_EXCLUSION</x:v>
      </x:c>
      <x:c r="H1176" t="str">
        <x:v>NON_POSITIVE_ENTERPRISE_VALUE|NON_POSITIVE_EQUITY_VALUE|NON_POSITIVE_TERMINAL_FCF</x:v>
      </x:c>
      <x:c r="I1176" s="54" t="n">
        <x:v>44560</x:v>
      </x:c>
      <x:c r="J1176" s="55" t="n">
        <x:v>14150</x:v>
      </x:c>
      <x:c r="K1176" s="55" t="n">
        <x:v>383295468850</x:v>
      </x:c>
      <x:c r="L1176" s="55" t="n">
        <x:v>27088019</x:v>
      </x:c>
      <x:c r="M1176" t="str">
        <x:v>20210322000267</x:v>
      </x:c>
      <x:c r="N1176" t="n">
        <x:v>44277.624999988424</x:v>
      </x:c>
      <x:c r="O1176" s="54" t="n">
        <x:v>44196</x:v>
      </x:c>
      <x:c r="P1176" t="str">
        <x:v>True</x:v>
      </x:c>
      <x:c r="Q1176" t="str">
        <x:v>9353d71566402711a7e944bd746b58f70992d4280153e7918d6d972ec9847f15</x:v>
      </x:c>
      <x:c r="R1176" t="str">
        <x:v>440c3108003fc6dd85b6abafd86205d83884fe967e098286fac2cc393031076c</x:v>
      </x:c>
      <x:c r="S1176" t="n">
        <x:v>6</x:v>
      </x:c>
      <x:c r="T1176" t="str">
        <x:v>2018-12-31|2019-12-31|2020-12-31</x:v>
      </x:c>
      <x:c r="U1176" s="57" t="n">
        <x:v>-3360.487745607768</x:v>
      </x:c>
      <x:c r="V1176" s="57" t="n">
        <x:v>-1.2374903000429518</x:v>
      </x:c>
      <x:c r="W1176"/>
      <x:c r="X1176"/>
      <x:c r="Y1176" s="38" t="n">
        <x:v>0.6409090909090909</x:v>
      </x:c>
      <x:c r="Z1176" s="38" t="n">
        <x:v>0.6727961565714479</x:v>
      </x:c>
      <x:c r="AA1176" t="str">
        <x:v>NON_POSITIVE_ENTERPRISE_VALUE|NON_POSITIVE_EQUITY_VALUE|NON_POSITIVE_TERMINAL_FCF</x:v>
      </x:c>
    </x:row>
    <x:row r="1177">
      <x:c r="A1177" s="54" t="n">
        <x:v>44561</x:v>
      </x:c>
      <x:c r="B1177" t="n">
        <x:v>44561.624999988424</x:v>
      </x:c>
      <x:c r="C1177" t="str">
        <x:v>035420</x:v>
      </x:c>
      <x:c r="D1177" t="str">
        <x:v>NAVER</x:v>
      </x:c>
      <x:c r="E1177" t="str">
        <x:v>KOSPI</x:v>
      </x:c>
      <x:c r="F1177" t="str">
        <x:v>LARGE</x:v>
      </x:c>
      <x:c r="G1177" t="str">
        <x:v>ELIGIBLE</x:v>
      </x:c>
      <x:c r="H1177"/>
      <x:c r="I1177" s="54" t="n">
        <x:v>44560</x:v>
      </x:c>
      <x:c r="J1177" s="55" t="n">
        <x:v>378500</x:v>
      </x:c>
      <x:c r="K1177" s="55" t="n">
        <x:v>62092578672500</x:v>
      </x:c>
      <x:c r="L1177" s="55" t="n">
        <x:v>164049085</x:v>
      </x:c>
      <x:c r="M1177" t="str">
        <x:v>20210316001214</x:v>
      </x:c>
      <x:c r="N1177" t="n">
        <x:v>44271.624999988424</x:v>
      </x:c>
      <x:c r="O1177" s="54" t="n">
        <x:v>44196</x:v>
      </x:c>
      <x:c r="P1177" t="str">
        <x:v>False</x:v>
      </x:c>
      <x:c r="Q1177" t="str">
        <x:v>68dc118fc30765c984117bc63ce97f43158503473a4b2cf6dc55888cc7a4f8c2</x:v>
      </x:c>
      <x:c r="R1177" t="str">
        <x:v>d6e2b5708b1e7fbdbe00ab991bbb242db3d72e567c47557b0ad1c27529b9273f</x:v>
      </x:c>
      <x:c r="S1177" t="n">
        <x:v>6</x:v>
      </x:c>
      <x:c r="T1177" t="str">
        <x:v>2018-12-31|2019-12-31|2020-12-31</x:v>
      </x:c>
      <x:c r="U1177" s="57" t="n">
        <x:v>48100.57871568561</x:v>
      </x:c>
      <x:c r="V1177" s="57" t="n">
        <x:v>-0.8729178897868279</x:v>
      </x:c>
      <x:c r="W1177" t="n">
        <x:v>53</x:v>
      </x:c>
      <x:c r="X1177" t="n">
        <x:v>5</x:v>
      </x:c>
      <x:c r="Y1177" s="38" t="n">
        <x:v>0.6409090909090909</x:v>
      </x:c>
      <x:c r="Z1177" s="38" t="n">
        <x:v>0.6459381047084306</x:v>
      </x:c>
      <x:c r="AA1177"/>
    </x:row>
    <x:row r="1178">
      <x:c r="A1178" s="54" t="n">
        <x:v>44561</x:v>
      </x:c>
      <x:c r="B1178" t="n">
        <x:v>44561.624999988424</x:v>
      </x:c>
      <x:c r="C1178" t="str">
        <x:v>030200</x:v>
      </x:c>
      <x:c r="D1178" t="str">
        <x:v>KT</x:v>
      </x:c>
      <x:c r="E1178" t="str">
        <x:v>KOSPI</x:v>
      </x:c>
      <x:c r="F1178" t="str">
        <x:v>LARGE</x:v>
      </x:c>
      <x:c r="G1178" t="str">
        <x:v>ELIGIBLE</x:v>
      </x:c>
      <x:c r="H1178"/>
      <x:c r="I1178" s="54" t="n">
        <x:v>44560</x:v>
      </x:c>
      <x:c r="J1178" s="55" t="n">
        <x:v>30600</x:v>
      </x:c>
      <x:c r="K1178" s="55" t="n">
        <x:v>7990021324800</x:v>
      </x:c>
      <x:c r="L1178" s="55" t="n">
        <x:v>261111808</x:v>
      </x:c>
      <x:c r="M1178" t="str">
        <x:v>20210319001235</x:v>
      </x:c>
      <x:c r="N1178" t="n">
        <x:v>44274.624999988424</x:v>
      </x:c>
      <x:c r="O1178" s="54" t="n">
        <x:v>44196</x:v>
      </x:c>
      <x:c r="P1178" t="str">
        <x:v>False</x:v>
      </x:c>
      <x:c r="Q1178" t="str">
        <x:v>d64d7a158d387dd550e1fae4d790e729d0c9d1d8b0cac7452fc112e47649dda4</x:v>
      </x:c>
      <x:c r="R1178" t="str">
        <x:v>9f4c1f28bbd6500760e6bd9819530619dfe207c0cc1188e35fcf4794fd02938a</x:v>
      </x:c>
      <x:c r="S1178" t="n">
        <x:v>6</x:v>
      </x:c>
      <x:c r="T1178" t="str">
        <x:v>2018-12-31|2019-12-31|2020-12-31</x:v>
      </x:c>
      <x:c r="U1178" s="57" t="n">
        <x:v>42508.529940105356</x:v>
      </x:c>
      <x:c r="V1178" s="57" t="n">
        <x:v>0.3891676451014821</x:v>
      </x:c>
      <x:c r="W1178" t="n">
        <x:v>10</x:v>
      </x:c>
      <x:c r="X1178" t="n">
        <x:v>1</x:v>
      </x:c>
      <x:c r="Y1178" s="38" t="n">
        <x:v>0.6409090909090909</x:v>
      </x:c>
      <x:c r="Z1178" s="38" t="n">
        <x:v>0.7002042252982207</x:v>
      </x:c>
      <x:c r="AA1178"/>
    </x:row>
    <x:row r="1179">
      <x:c r="A1179" s="54" t="n">
        <x:v>44561</x:v>
      </x:c>
      <x:c r="B1179" t="n">
        <x:v>44561.624999988424</x:v>
      </x:c>
      <x:c r="C1179" t="str">
        <x:v>018260</x:v>
      </x:c>
      <x:c r="D1179" t="str">
        <x:v>삼성에스디에스</x:v>
      </x:c>
      <x:c r="E1179" t="str">
        <x:v>KOSPI</x:v>
      </x:c>
      <x:c r="F1179" t="str">
        <x:v>LARGE</x:v>
      </x:c>
      <x:c r="G1179" t="str">
        <x:v>ELIGIBLE</x:v>
      </x:c>
      <x:c r="H1179"/>
      <x:c r="I1179" s="54" t="n">
        <x:v>44560</x:v>
      </x:c>
      <x:c r="J1179" s="55" t="n">
        <x:v>156500</x:v>
      </x:c>
      <x:c r="K1179" s="55" t="n">
        <x:v>12109625700000</x:v>
      </x:c>
      <x:c r="L1179" s="55" t="n">
        <x:v>77377800</x:v>
      </x:c>
      <x:c r="M1179" t="str">
        <x:v>20210309000603</x:v>
      </x:c>
      <x:c r="N1179" t="n">
        <x:v>44264.624999988424</x:v>
      </x:c>
      <x:c r="O1179" s="54" t="n">
        <x:v>44196</x:v>
      </x:c>
      <x:c r="P1179" t="str">
        <x:v>False</x:v>
      </x:c>
      <x:c r="Q1179" t="str">
        <x:v>edc177af043fcf418403e0860c191e7eb2aff41f6c969aac1a56c8246da7a635</x:v>
      </x:c>
      <x:c r="R1179" t="str">
        <x:v>97fc48826aebc55efc6036c432fae7c4d1f02450779c2cb47bad737bffdbe6f1</x:v>
      </x:c>
      <x:c r="S1179" t="n">
        <x:v>6</x:v>
      </x:c>
      <x:c r="T1179" t="str">
        <x:v>2018-12-31|2019-12-31|2020-12-31</x:v>
      </x:c>
      <x:c r="U1179" s="57" t="n">
        <x:v>128730.48947024481</x:v>
      </x:c>
      <x:c r="V1179" s="57" t="n">
        <x:v>-0.17744096185147087</x:v>
      </x:c>
      <x:c r="W1179" t="n">
        <x:v>18</x:v>
      </x:c>
      <x:c r="X1179" t="n">
        <x:v>2</x:v>
      </x:c>
      <x:c r="Y1179" s="38" t="n">
        <x:v>0.6409090909090909</x:v>
      </x:c>
      <x:c r="Z1179" s="38" t="n">
        <x:v>0.7166900971799662</x:v>
      </x:c>
      <x:c r="AA1179"/>
    </x:row>
    <x:row r="1180">
      <x:c r="A1180" s="54" t="n">
        <x:v>44561</x:v>
      </x:c>
      <x:c r="B1180" t="n">
        <x:v>44561.624999988424</x:v>
      </x:c>
      <x:c r="C1180" t="str">
        <x:v>090430</x:v>
      </x:c>
      <x:c r="D1180" t="str">
        <x:v>아모레퍼시픽</x:v>
      </x:c>
      <x:c r="E1180" t="str">
        <x:v>KOSPI</x:v>
      </x:c>
      <x:c r="F1180" t="str">
        <x:v>LARGE</x:v>
      </x:c>
      <x:c r="G1180" t="str">
        <x:v>ELIGIBLE</x:v>
      </x:c>
      <x:c r="H1180"/>
      <x:c r="I1180" s="54" t="n">
        <x:v>44560</x:v>
      </x:c>
      <x:c r="J1180" s="55" t="n">
        <x:v>167000</x:v>
      </x:c>
      <x:c r="K1180" s="55" t="n">
        <x:v>9768290753000</x:v>
      </x:c>
      <x:c r="L1180" s="55" t="n">
        <x:v>58492759</x:v>
      </x:c>
      <x:c r="M1180" t="str">
        <x:v>20210311000870</x:v>
      </x:c>
      <x:c r="N1180" t="n">
        <x:v>44266.624999988424</x:v>
      </x:c>
      <x:c r="O1180" s="54" t="n">
        <x:v>44196</x:v>
      </x:c>
      <x:c r="P1180" t="str">
        <x:v>False</x:v>
      </x:c>
      <x:c r="Q1180" t="str">
        <x:v>682836cd3aff088dd1bd023babd164c42c02b19fe8ab2fcca2b2f27afc639e1e</x:v>
      </x:c>
      <x:c r="R1180" t="str">
        <x:v>b63f75062ff6f7e7d2344776d997d81b161b773562eab38e5237692e4163d4d0</x:v>
      </x:c>
      <x:c r="S1180" t="n">
        <x:v>6</x:v>
      </x:c>
      <x:c r="T1180" t="str">
        <x:v>2018-12-31|2019-12-31|2020-12-31</x:v>
      </x:c>
      <x:c r="U1180" s="57" t="n">
        <x:v>37082.91866727118</x:v>
      </x:c>
      <x:c r="V1180" s="57" t="n">
        <x:v>-0.7779465948067594</x:v>
      </x:c>
      <x:c r="W1180" t="n">
        <x:v>48</x:v>
      </x:c>
      <x:c r="X1180" t="n">
        <x:v>4</x:v>
      </x:c>
      <x:c r="Y1180" s="38" t="n">
        <x:v>0.6409090909090909</x:v>
      </x:c>
      <x:c r="Z1180" s="38" t="n">
        <x:v>0.7858385578371689</x:v>
      </x:c>
      <x:c r="AA1180"/>
    </x:row>
    <x:row r="1181">
      <x:c r="A1181" s="54" t="n">
        <x:v>44561</x:v>
      </x:c>
      <x:c r="B1181" t="n">
        <x:v>44561.624999988424</x:v>
      </x:c>
      <x:c r="C1181" t="str">
        <x:v>278470</x:v>
      </x:c>
      <x:c r="D1181" t="str">
        <x:v>에이피알</x:v>
      </x:c>
      <x:c r="E1181" t="str">
        <x:v>KOSPI</x:v>
      </x:c>
      <x:c r="F1181" t="str">
        <x:v>LARGE</x:v>
      </x:c>
      <x:c r="G1181" t="str">
        <x:v>NOT_LISTED_OR_NO_PRICE</x:v>
      </x:c>
      <x:c r="H1181"/>
      <x:c r="I1181" s="54"/>
      <x:c r="J1181" s="55"/>
      <x:c r="K1181" s="55"/>
      <x:c r="L1181" s="55"/>
      <x:c r="M1181"/>
      <x:c r="N1181"/>
      <x:c r="O1181" s="54"/>
      <x:c r="P1181"/>
      <x:c r="Q1181"/>
      <x:c r="R1181"/>
      <x:c r="S1181"/>
      <x:c r="T1181"/>
      <x:c r="U1181" s="57"/>
      <x:c r="V1181" s="57"/>
      <x:c r="W1181"/>
      <x:c r="X1181"/>
      <x:c r="Y1181" s="38"/>
      <x:c r="Z1181" s="38"/>
      <x:c r="AA1181"/>
    </x:row>
    <x:row r="1182">
      <x:c r="A1182" s="54" t="n">
        <x:v>44561</x:v>
      </x:c>
      <x:c r="B1182" t="n">
        <x:v>44561.624999988424</x:v>
      </x:c>
      <x:c r="C1182" t="str">
        <x:v>006260</x:v>
      </x:c>
      <x:c r="D1182" t="str">
        <x:v>LS</x:v>
      </x:c>
      <x:c r="E1182" t="str">
        <x:v>KOSPI</x:v>
      </x:c>
      <x:c r="F1182" t="str">
        <x:v>LARGE</x:v>
      </x:c>
      <x:c r="G1182" t="str">
        <x:v>ELIGIBLE</x:v>
      </x:c>
      <x:c r="H1182"/>
      <x:c r="I1182" s="54" t="n">
        <x:v>44560</x:v>
      </x:c>
      <x:c r="J1182" s="55" t="n">
        <x:v>54100</x:v>
      </x:c>
      <x:c r="K1182" s="55" t="n">
        <x:v>1742020000000</x:v>
      </x:c>
      <x:c r="L1182" s="55" t="n">
        <x:v>32200000</x:v>
      </x:c>
      <x:c r="M1182" t="str">
        <x:v>20210831001912</x:v>
      </x:c>
      <x:c r="N1182" t="n">
        <x:v>44439.624999988424</x:v>
      </x:c>
      <x:c r="O1182" s="54" t="n">
        <x:v>44196</x:v>
      </x:c>
      <x:c r="P1182" t="str">
        <x:v>True</x:v>
      </x:c>
      <x:c r="Q1182" t="str">
        <x:v>abc82923eb427e607856e98929f46384f6f0ee4f6213219fa17630ba9337939f</x:v>
      </x:c>
      <x:c r="R1182" t="str">
        <x:v>fd094c126a5d7c0f446fe723e652c8589ed7cdfb7b4c4a5bb2fbed039c2d4249</x:v>
      </x:c>
      <x:c r="S1182" t="n">
        <x:v>6</x:v>
      </x:c>
      <x:c r="T1182" t="str">
        <x:v>2017-12-31|2018-12-31|2019-12-31|2020-12-31</x:v>
      </x:c>
      <x:c r="U1182" s="57" t="n">
        <x:v>93575.68968189276</x:v>
      </x:c>
      <x:c r="V1182" s="57" t="n">
        <x:v>0.7296800310885909</x:v>
      </x:c>
      <x:c r="W1182" t="n">
        <x:v>6</x:v>
      </x:c>
      <x:c r="X1182" t="n">
        <x:v>1</x:v>
      </x:c>
      <x:c r="Y1182" s="38" t="n">
        <x:v>0.6409090909090909</x:v>
      </x:c>
      <x:c r="Z1182" s="38" t="n">
        <x:v>0.7212794989213747</x:v>
      </x:c>
      <x:c r="AA1182"/>
    </x:row>
    <x:row r="1183">
      <x:c r="A1183" s="54" t="n">
        <x:v>44561</x:v>
      </x:c>
      <x:c r="B1183" t="n">
        <x:v>44561.624999988424</x:v>
      </x:c>
      <x:c r="C1183" t="str">
        <x:v>454910</x:v>
      </x:c>
      <x:c r="D1183" t="str">
        <x:v>두산로보틱스</x:v>
      </x:c>
      <x:c r="E1183" t="str">
        <x:v>KOSPI</x:v>
      </x:c>
      <x:c r="F1183" t="str">
        <x:v>LARGE</x:v>
      </x:c>
      <x:c r="G1183" t="str">
        <x:v>NOT_LISTED_OR_NO_PRICE</x:v>
      </x:c>
      <x:c r="H1183"/>
      <x:c r="I1183" s="54"/>
      <x:c r="J1183" s="55"/>
      <x:c r="K1183" s="55"/>
      <x:c r="L1183" s="55"/>
      <x:c r="M1183"/>
      <x:c r="N1183"/>
      <x:c r="O1183" s="54"/>
      <x:c r="P1183"/>
      <x:c r="Q1183"/>
      <x:c r="R1183"/>
      <x:c r="S1183"/>
      <x:c r="T1183"/>
      <x:c r="U1183" s="57"/>
      <x:c r="V1183" s="57"/>
      <x:c r="W1183"/>
      <x:c r="X1183"/>
      <x:c r="Y1183" s="38"/>
      <x:c r="Z1183" s="38"/>
      <x:c r="AA1183"/>
    </x:row>
    <x:row r="1184">
      <x:c r="A1184" s="54" t="n">
        <x:v>44561</x:v>
      </x:c>
      <x:c r="B1184" t="n">
        <x:v>44561.624999988424</x:v>
      </x:c>
      <x:c r="C1184" t="str">
        <x:v>012750</x:v>
      </x:c>
      <x:c r="D1184" t="str">
        <x:v>에스원</x:v>
      </x:c>
      <x:c r="E1184" t="str">
        <x:v>KOSPI</x:v>
      </x:c>
      <x:c r="F1184" t="str">
        <x:v>LARGE</x:v>
      </x:c>
      <x:c r="G1184" t="str">
        <x:v>ELIGIBLE</x:v>
      </x:c>
      <x:c r="H1184"/>
      <x:c r="I1184" s="54" t="n">
        <x:v>44560</x:v>
      </x:c>
      <x:c r="J1184" s="55" t="n">
        <x:v>73900</x:v>
      </x:c>
      <x:c r="K1184" s="55" t="n">
        <x:v>2808139254200</x:v>
      </x:c>
      <x:c r="L1184" s="55" t="n">
        <x:v>37999178</x:v>
      </x:c>
      <x:c r="M1184" t="str">
        <x:v>20210310001205</x:v>
      </x:c>
      <x:c r="N1184" t="n">
        <x:v>44265.624999988424</x:v>
      </x:c>
      <x:c r="O1184" s="54" t="n">
        <x:v>44196</x:v>
      </x:c>
      <x:c r="P1184" t="str">
        <x:v>False</x:v>
      </x:c>
      <x:c r="Q1184" t="str">
        <x:v>0a3ed71297759119003ee98a7805f72c1dc9fad49ec63ae5c48d4e2e56539dd5</x:v>
      </x:c>
      <x:c r="R1184" t="str">
        <x:v>b83c02c73209df95f78347c6ddf20eb81282366efc1db64f582c0f07c4cd9dc4</x:v>
      </x:c>
      <x:c r="S1184" t="n">
        <x:v>6</x:v>
      </x:c>
      <x:c r="T1184" t="str">
        <x:v>2018-12-31|2019-12-31|2020-12-31</x:v>
      </x:c>
      <x:c r="U1184" s="57" t="n">
        <x:v>48123.6319242491</x:v>
      </x:c>
      <x:c r="V1184" s="57" t="n">
        <x:v>-0.34880065055143306</x:v>
      </x:c>
      <x:c r="W1184" t="n">
        <x:v>22</x:v>
      </x:c>
      <x:c r="X1184" t="n">
        <x:v>2</x:v>
      </x:c>
      <x:c r="Y1184" s="38" t="n">
        <x:v>0.6409090909090909</x:v>
      </x:c>
      <x:c r="Z1184" s="38" t="n">
        <x:v>0.7046545925462127</x:v>
      </x:c>
      <x:c r="AA1184"/>
    </x:row>
    <x:row r="1185">
      <x:c r="A1185" s="54" t="n">
        <x:v>44561</x:v>
      </x:c>
      <x:c r="B1185" t="n">
        <x:v>44561.624999988424</x:v>
      </x:c>
      <x:c r="C1185" t="str">
        <x:v>081660</x:v>
      </x:c>
      <x:c r="D1185" t="str">
        <x:v>미스토홀딩스</x:v>
      </x:c>
      <x:c r="E1185" t="str">
        <x:v>KOSPI</x:v>
      </x:c>
      <x:c r="F1185" t="str">
        <x:v>LARGE</x:v>
      </x:c>
      <x:c r="G1185" t="str">
        <x:v>EXCLUDED_ARCHETYPE</x:v>
      </x:c>
      <x:c r="H1185" t="str">
        <x:v>FCFF_NOT_COMPARABLE_FOR_FINANCE_OR_HOLDING_HINT</x:v>
      </x:c>
      <x:c r="I1185" s="54"/>
      <x:c r="J1185" s="55"/>
      <x:c r="K1185" s="55"/>
      <x:c r="L1185" s="55"/>
      <x:c r="M1185"/>
      <x:c r="N1185"/>
      <x:c r="O1185" s="54"/>
      <x:c r="P1185"/>
      <x:c r="Q1185"/>
      <x:c r="R1185"/>
      <x:c r="S1185"/>
      <x:c r="T1185"/>
      <x:c r="U1185" s="57"/>
      <x:c r="V1185" s="57"/>
      <x:c r="W1185"/>
      <x:c r="X1185"/>
      <x:c r="Y1185" s="38"/>
      <x:c r="Z1185" s="38"/>
      <x:c r="AA1185"/>
    </x:row>
    <x:row r="1186">
      <x:c r="A1186" s="54" t="n">
        <x:v>44561</x:v>
      </x:c>
      <x:c r="B1186" t="n">
        <x:v>44561.624999988424</x:v>
      </x:c>
      <x:c r="C1186" t="str">
        <x:v>282330</x:v>
      </x:c>
      <x:c r="D1186" t="str">
        <x:v>BGF리테일</x:v>
      </x:c>
      <x:c r="E1186" t="str">
        <x:v>KOSPI</x:v>
      </x:c>
      <x:c r="F1186" t="str">
        <x:v>LARGE</x:v>
      </x:c>
      <x:c r="G1186" t="str">
        <x:v>ELIGIBLE</x:v>
      </x:c>
      <x:c r="H1186"/>
      <x:c r="I1186" s="54" t="n">
        <x:v>44560</x:v>
      </x:c>
      <x:c r="J1186" s="55" t="n">
        <x:v>145500</x:v>
      </x:c>
      <x:c r="K1186" s="55" t="n">
        <x:v>2514808323000</x:v>
      </x:c>
      <x:c r="L1186" s="55" t="n">
        <x:v>17283906</x:v>
      </x:c>
      <x:c r="M1186" t="str">
        <x:v>20210317000292</x:v>
      </x:c>
      <x:c r="N1186" t="n">
        <x:v>44272.624999988424</x:v>
      </x:c>
      <x:c r="O1186" s="54" t="n">
        <x:v>44196</x:v>
      </x:c>
      <x:c r="P1186" t="str">
        <x:v>False</x:v>
      </x:c>
      <x:c r="Q1186" t="str">
        <x:v>aa79bf7fd6660eb0490fcac8a96eb933e26e179d55cd9289bea9b829c313f623</x:v>
      </x:c>
      <x:c r="R1186" t="str">
        <x:v>e4d7c557bd7c15d8950d7cee60d1a08ea0333b53a5078601468e7d947ef98035</x:v>
      </x:c>
      <x:c r="S1186" t="n">
        <x:v>6</x:v>
      </x:c>
      <x:c r="T1186" t="str">
        <x:v>2018-12-31|2019-12-31|2020-12-31</x:v>
      </x:c>
      <x:c r="U1186" s="57" t="n">
        <x:v>78594.0466403678</x:v>
      </x:c>
      <x:c r="V1186" s="57" t="n">
        <x:v>-0.45983473099403577</x:v>
      </x:c>
      <x:c r="W1186" t="n">
        <x:v>26</x:v>
      </x:c>
      <x:c r="X1186" t="n">
        <x:v>3</x:v>
      </x:c>
      <x:c r="Y1186" s="38" t="n">
        <x:v>0.6409090909090909</x:v>
      </x:c>
      <x:c r="Z1186" s="38" t="n">
        <x:v>0.7388678392258508</x:v>
      </x:c>
      <x:c r="AA1186"/>
    </x:row>
    <x:row r="1187">
      <x:c r="A1187" s="54" t="n">
        <x:v>44561</x:v>
      </x:c>
      <x:c r="B1187" t="n">
        <x:v>44561.624999988424</x:v>
      </x:c>
      <x:c r="C1187" t="str">
        <x:v>023590</x:v>
      </x:c>
      <x:c r="D1187" t="str">
        <x:v>다우기술</x:v>
      </x:c>
      <x:c r="E1187" t="str">
        <x:v>KOSPI</x:v>
      </x:c>
      <x:c r="F1187" t="str">
        <x:v>LARGE</x:v>
      </x:c>
      <x:c r="G1187" t="str">
        <x:v>ELIGIBLE</x:v>
      </x:c>
      <x:c r="H1187"/>
      <x:c r="I1187" s="54" t="n">
        <x:v>44560</x:v>
      </x:c>
      <x:c r="J1187" s="55" t="n">
        <x:v>22800</x:v>
      </x:c>
      <x:c r="K1187" s="55" t="n">
        <x:v>1022958867600</x:v>
      </x:c>
      <x:c r="L1187" s="55" t="n">
        <x:v>44866617</x:v>
      </x:c>
      <x:c r="M1187" t="str">
        <x:v>20210324000853</x:v>
      </x:c>
      <x:c r="N1187" t="n">
        <x:v>44279.624999988424</x:v>
      </x:c>
      <x:c r="O1187" s="54" t="n">
        <x:v>44196</x:v>
      </x:c>
      <x:c r="P1187" t="str">
        <x:v>True</x:v>
      </x:c>
      <x:c r="Q1187" t="str">
        <x:v>c97c8cbfdcd3c8b3ac309f5a350b50c95d89530c369d35494facdf626e81b500</x:v>
      </x:c>
      <x:c r="R1187" t="str">
        <x:v>63fff4375277417fe0cda7a62c4cff709cc679465a152a16f9654ac939f99d83</x:v>
      </x:c>
      <x:c r="S1187" t="n">
        <x:v>7</x:v>
      </x:c>
      <x:c r="T1187" t="str">
        <x:v>2015-12-31|2016-12-31|2017-12-31|2018-12-31|2019-12-31|2020-12-31</x:v>
      </x:c>
      <x:c r="U1187" s="57" t="n">
        <x:v>71811.18974158533</x:v>
      </x:c>
      <x:c r="V1187" s="57" t="n">
        <x:v>2.149613585157251</x:v>
      </x:c>
      <x:c r="W1187" t="n">
        <x:v>3</x:v>
      </x:c>
      <x:c r="X1187" t="n">
        <x:v>1</x:v>
      </x:c>
      <x:c r="Y1187" s="38" t="n">
        <x:v>0.6409090909090909</x:v>
      </x:c>
      <x:c r="Z1187" s="38" t="n">
        <x:v>0.7162800487147283</x:v>
      </x:c>
      <x:c r="AA1187"/>
    </x:row>
    <x:row r="1188">
      <x:c r="A1188" s="54" t="n">
        <x:v>44561</x:v>
      </x:c>
      <x:c r="B1188" t="n">
        <x:v>44561.624999988424</x:v>
      </x:c>
      <x:c r="C1188" t="str">
        <x:v>300720</x:v>
      </x:c>
      <x:c r="D1188" t="str">
        <x:v>한일시멘트</x:v>
      </x:c>
      <x:c r="E1188" t="str">
        <x:v>KOSPI</x:v>
      </x:c>
      <x:c r="F1188" t="str">
        <x:v>LARGE</x:v>
      </x:c>
      <x:c r="G1188" t="str">
        <x:v>ELIGIBLE</x:v>
      </x:c>
      <x:c r="H1188"/>
      <x:c r="I1188" s="54" t="n">
        <x:v>44560</x:v>
      </x:c>
      <x:c r="J1188" s="55" t="n">
        <x:v>21000</x:v>
      </x:c>
      <x:c r="K1188" s="55" t="n">
        <x:v>1454492340000</x:v>
      </x:c>
      <x:c r="L1188" s="55" t="n">
        <x:v>69261540</x:v>
      </x:c>
      <x:c r="M1188" t="str">
        <x:v>20210317000869</x:v>
      </x:c>
      <x:c r="N1188" t="n">
        <x:v>44272.624999988424</x:v>
      </x:c>
      <x:c r="O1188" s="54" t="n">
        <x:v>44196</x:v>
      </x:c>
      <x:c r="P1188" t="str">
        <x:v>False</x:v>
      </x:c>
      <x:c r="Q1188" t="str">
        <x:v>57bb71e240b0add3acf1f7cbd662939dbed523efc96efbb684d025eac7893032</x:v>
      </x:c>
      <x:c r="R1188" t="str">
        <x:v>1190ba69398cb0aad725ff58fdb0bd969963273ae8263c0541894883a98e5116</x:v>
      </x:c>
      <x:c r="S1188" t="n">
        <x:v>6</x:v>
      </x:c>
      <x:c r="T1188" t="str">
        <x:v>2019-12-31|2020-12-31</x:v>
      </x:c>
      <x:c r="U1188" s="57" t="n">
        <x:v>9620.710775946585</x:v>
      </x:c>
      <x:c r="V1188" s="57" t="n">
        <x:v>-0.541870915431115</x:v>
      </x:c>
      <x:c r="W1188" t="n">
        <x:v>32</x:v>
      </x:c>
      <x:c r="X1188" t="n">
        <x:v>3</x:v>
      </x:c>
      <x:c r="Y1188" s="38" t="n">
        <x:v>0.6409090909090909</x:v>
      </x:c>
      <x:c r="Z1188" s="38" t="n">
        <x:v>0.6567026117095043</x:v>
      </x:c>
      <x:c r="AA1188"/>
    </x:row>
    <x:row r="1189">
      <x:c r="A1189" s="54" t="n">
        <x:v>44561</x:v>
      </x:c>
      <x:c r="B1189" t="n">
        <x:v>44561.624999988424</x:v>
      </x:c>
      <x:c r="C1189" t="str">
        <x:v>007070</x:v>
      </x:c>
      <x:c r="D1189" t="str">
        <x:v>GS리테일</x:v>
      </x:c>
      <x:c r="E1189" t="str">
        <x:v>KOSPI</x:v>
      </x:c>
      <x:c r="F1189" t="str">
        <x:v>LARGE</x:v>
      </x:c>
      <x:c r="G1189" t="str">
        <x:v>DCF_SCREENING_EXCLUSION</x:v>
      </x:c>
      <x:c r="H1189" t="str">
        <x:v>NON_POSITIVE_EQUITY_VALUE</x:v>
      </x:c>
      <x:c r="I1189" s="54" t="n">
        <x:v>44560</x:v>
      </x:c>
      <x:c r="J1189" s="55" t="n">
        <x:v>30400</x:v>
      </x:c>
      <x:c r="K1189" s="55" t="n">
        <x:v>3183424828800</x:v>
      </x:c>
      <x:c r="L1189" s="55" t="n">
        <x:v>104717922</x:v>
      </x:c>
      <x:c r="M1189" t="str">
        <x:v>20210701000250</x:v>
      </x:c>
      <x:c r="N1189" t="n">
        <x:v>44378.624999988424</x:v>
      </x:c>
      <x:c r="O1189" s="54" t="n">
        <x:v>44196</x:v>
      </x:c>
      <x:c r="P1189" t="str">
        <x:v>True</x:v>
      </x:c>
      <x:c r="Q1189" t="str">
        <x:v>90996b560375337ceebe1357898ecd70345cd194a8f5c31bf23e251badb17c4b</x:v>
      </x:c>
      <x:c r="R1189" t="str">
        <x:v>b87f0bcf9fa6f4d26f7ed8dbb22b513ab2c1420a1efbb4fd691621680c6ae930</x:v>
      </x:c>
      <x:c r="S1189" t="n">
        <x:v>6</x:v>
      </x:c>
      <x:c r="T1189" t="str">
        <x:v>2018-12-31|2019-12-31|2020-12-31</x:v>
      </x:c>
      <x:c r="U1189" s="57" t="n">
        <x:v>-2906.216478951297</x:v>
      </x:c>
      <x:c r="V1189" s="57" t="n">
        <x:v>-1.0955992262812926</x:v>
      </x:c>
      <x:c r="W1189"/>
      <x:c r="X1189"/>
      <x:c r="Y1189" s="38" t="n">
        <x:v>0.6409090909090909</x:v>
      </x:c>
      <x:c r="Z1189" s="38" t="n">
        <x:v>0.6831830947112829</x:v>
      </x:c>
      <x:c r="AA1189" t="str">
        <x:v>NON_POSITIVE_EQUITY_VALUE</x:v>
      </x:c>
    </x:row>
    <x:row r="1190">
      <x:c r="A1190" s="54" t="n">
        <x:v>44561</x:v>
      </x:c>
      <x:c r="B1190" t="n">
        <x:v>44561.624999988424</x:v>
      </x:c>
      <x:c r="C1190" t="str">
        <x:v>280360</x:v>
      </x:c>
      <x:c r="D1190" t="str">
        <x:v>롯데웰푸드</x:v>
      </x:c>
      <x:c r="E1190" t="str">
        <x:v>KOSPI</x:v>
      </x:c>
      <x:c r="F1190" t="str">
        <x:v>LARGE</x:v>
      </x:c>
      <x:c r="G1190" t="str">
        <x:v>ELIGIBLE</x:v>
      </x:c>
      <x:c r="H1190"/>
      <x:c r="I1190" s="54" t="n">
        <x:v>44560</x:v>
      </x:c>
      <x:c r="J1190" s="55" t="n">
        <x:v>120500</x:v>
      </x:c>
      <x:c r="K1190" s="55" t="n">
        <x:v>773214398500</x:v>
      </x:c>
      <x:c r="L1190" s="55" t="n">
        <x:v>6416717</x:v>
      </x:c>
      <x:c r="M1190" t="str">
        <x:v>20210315000804</x:v>
      </x:c>
      <x:c r="N1190" t="n">
        <x:v>44270.624999988424</x:v>
      </x:c>
      <x:c r="O1190" s="54" t="n">
        <x:v>44196</x:v>
      </x:c>
      <x:c r="P1190" t="str">
        <x:v>False</x:v>
      </x:c>
      <x:c r="Q1190" t="str">
        <x:v>1ee0e549d7e0293ad58d7371d4b065fe8c672123b3d380ec66da7518417d260f</x:v>
      </x:c>
      <x:c r="R1190" t="str">
        <x:v>a3cb010a2f2971464a6cfa2b678b566fcbb8415c1fbfb3477c5019b6bb101b3c</x:v>
      </x:c>
      <x:c r="S1190" t="n">
        <x:v>5</x:v>
      </x:c>
      <x:c r="T1190" t="str">
        <x:v>2018-12-31|2019-12-31|2020-12-31</x:v>
      </x:c>
      <x:c r="U1190" s="57" t="n">
        <x:v>346646.34124681045</x:v>
      </x:c>
      <x:c r="V1190" s="57" t="n">
        <x:v>1.8767331223801695</x:v>
      </x:c>
      <x:c r="W1190" t="n">
        <x:v>4</x:v>
      </x:c>
      <x:c r="X1190" t="n">
        <x:v>1</x:v>
      </x:c>
      <x:c r="Y1190" s="38" t="n">
        <x:v>0.6409090909090909</x:v>
      </x:c>
      <x:c r="Z1190" s="38" t="n">
        <x:v>0.7225534519191731</x:v>
      </x:c>
      <x:c r="AA1190"/>
    </x:row>
    <x:row r="1191">
      <x:c r="A1191" s="54" t="n">
        <x:v>44561</x:v>
      </x:c>
      <x:c r="B1191" t="n">
        <x:v>44561.624999988424</x:v>
      </x:c>
      <x:c r="C1191" t="str">
        <x:v>039130</x:v>
      </x:c>
      <x:c r="D1191" t="str">
        <x:v>하나투어</x:v>
      </x:c>
      <x:c r="E1191" t="str">
        <x:v>KOSPI</x:v>
      </x:c>
      <x:c r="F1191" t="str">
        <x:v>LARGE</x:v>
      </x:c>
      <x:c r="G1191" t="str">
        <x:v>DCF_SCREENING_EXCLUSION</x:v>
      </x:c>
      <x:c r="H1191" t="str">
        <x:v>NON_POSITIVE_ENTERPRISE_VALUE|NON_POSITIVE_EQUITY_VALUE|NON_POSITIVE_TERMINAL_FCF</x:v>
      </x:c>
      <x:c r="I1191" s="54" t="n">
        <x:v>44560</x:v>
      </x:c>
      <x:c r="J1191" s="55" t="n">
        <x:v>74600</x:v>
      </x:c>
      <x:c r="K1191" s="55" t="n">
        <x:v>1039863201000</x:v>
      </x:c>
      <x:c r="L1191" s="55" t="n">
        <x:v>13939185</x:v>
      </x:c>
      <x:c r="M1191" t="str">
        <x:v>20210329000797</x:v>
      </x:c>
      <x:c r="N1191" t="n">
        <x:v>44284.624999988424</x:v>
      </x:c>
      <x:c r="O1191" s="54" t="n">
        <x:v>44196</x:v>
      </x:c>
      <x:c r="P1191" t="str">
        <x:v>True</x:v>
      </x:c>
      <x:c r="Q1191" t="str">
        <x:v>07a45aef6deb1a4c2c8168baa038feaf8c9e87827aa26ae89a51dd3b842899cb</x:v>
      </x:c>
      <x:c r="R1191" t="str">
        <x:v>8312128c6d8f7949feb4faefa11da36fe68a6b3bf928eab3d571b9fca280ebf5</x:v>
      </x:c>
      <x:c r="S1191" t="n">
        <x:v>5</x:v>
      </x:c>
      <x:c r="T1191" t="str">
        <x:v>2018-12-31|2019-12-31|2020-12-31</x:v>
      </x:c>
      <x:c r="U1191" s="57" t="n">
        <x:v>-30469.206001994222</x:v>
      </x:c>
      <x:c r="V1191" s="57" t="n">
        <x:v>-1.408434396809574</x:v>
      </x:c>
      <x:c r="W1191"/>
      <x:c r="X1191"/>
      <x:c r="Y1191" s="38" t="n">
        <x:v>0.6409090909090909</x:v>
      </x:c>
      <x:c r="Z1191" s="38" t="n">
        <x:v>0.6865240790654953</x:v>
      </x:c>
      <x:c r="AA1191" t="str">
        <x:v>NON_POSITIVE_ENTERPRISE_VALUE|NON_POSITIVE_EQUITY_VALUE|NON_POSITIVE_TERMINAL_FCF</x:v>
      </x:c>
    </x:row>
    <x:row r="1192">
      <x:c r="A1192" s="54" t="n">
        <x:v>44561</x:v>
      </x:c>
      <x:c r="B1192" t="n">
        <x:v>44561.624999988424</x:v>
      </x:c>
      <x:c r="C1192" t="str">
        <x:v>005690</x:v>
      </x:c>
      <x:c r="D1192" t="str">
        <x:v>파미셀</x:v>
      </x:c>
      <x:c r="E1192" t="str">
        <x:v>KOSPI</x:v>
      </x:c>
      <x:c r="F1192" t="str">
        <x:v>LARGE</x:v>
      </x:c>
      <x:c r="G1192" t="str">
        <x:v>ELIGIBLE</x:v>
      </x:c>
      <x:c r="H1192"/>
      <x:c r="I1192" s="54" t="n">
        <x:v>44560</x:v>
      </x:c>
      <x:c r="J1192" s="55" t="n">
        <x:v>13050</x:v>
      </x:c>
      <x:c r="K1192" s="55" t="n">
        <x:v>782464297500</x:v>
      </x:c>
      <x:c r="L1192" s="55" t="n">
        <x:v>59958950</x:v>
      </x:c>
      <x:c r="M1192" t="str">
        <x:v>20210316000706</x:v>
      </x:c>
      <x:c r="N1192" t="n">
        <x:v>44271.624999988424</x:v>
      </x:c>
      <x:c r="O1192" s="54" t="n">
        <x:v>44196</x:v>
      </x:c>
      <x:c r="P1192" t="str">
        <x:v>False</x:v>
      </x:c>
      <x:c r="Q1192" t="str">
        <x:v>fa54012739fd618aa7535c4d17434bee1d46849d1ee4a643e5e2fc41ce75fdec</x:v>
      </x:c>
      <x:c r="R1192" t="str">
        <x:v>0e4d6e58bba3a2b71f8530a601fc6bbbeb1f7e571a298d85e723e46ed5670148</x:v>
      </x:c>
      <x:c r="S1192" t="n">
        <x:v>6</x:v>
      </x:c>
      <x:c r="T1192" t="str">
        <x:v>2018-12-31|2019-12-31|2020-12-31</x:v>
      </x:c>
      <x:c r="U1192" s="57" t="n">
        <x:v>667.61282697586</x:v>
      </x:c>
      <x:c r="V1192" s="57" t="n">
        <x:v>-0.9488419289673671</x:v>
      </x:c>
      <x:c r="W1192" t="n">
        <x:v>57</x:v>
      </x:c>
      <x:c r="X1192" t="n">
        <x:v>5</x:v>
      </x:c>
      <x:c r="Y1192" s="38" t="n">
        <x:v>0.6409090909090909</x:v>
      </x:c>
      <x:c r="Z1192" s="38" t="n">
        <x:v>0.5228483789302356</x:v>
      </x:c>
      <x:c r="AA1192"/>
    </x:row>
    <x:row r="1193">
      <x:c r="A1193" s="54" t="n">
        <x:v>44561</x:v>
      </x:c>
      <x:c r="B1193" t="n">
        <x:v>44561.624999988424</x:v>
      </x:c>
      <x:c r="C1193" t="str">
        <x:v>002030</x:v>
      </x:c>
      <x:c r="D1193" t="str">
        <x:v>아세아</x:v>
      </x:c>
      <x:c r="E1193" t="str">
        <x:v>KOSPI</x:v>
      </x:c>
      <x:c r="F1193" t="str">
        <x:v>LARGE</x:v>
      </x:c>
      <x:c r="G1193" t="str">
        <x:v>ELIGIBLE</x:v>
      </x:c>
      <x:c r="H1193"/>
      <x:c r="I1193" s="54" t="n">
        <x:v>44560</x:v>
      </x:c>
      <x:c r="J1193" s="55" t="n">
        <x:v>128000</x:v>
      </x:c>
      <x:c r="K1193" s="55" t="n">
        <x:v>280451072000</x:v>
      </x:c>
      <x:c r="L1193" s="55" t="n">
        <x:v>2191024</x:v>
      </x:c>
      <x:c r="M1193" t="str">
        <x:v>20210311001237</x:v>
      </x:c>
      <x:c r="N1193" t="n">
        <x:v>44267.624999988424</x:v>
      </x:c>
      <x:c r="O1193" s="54" t="n">
        <x:v>44196</x:v>
      </x:c>
      <x:c r="P1193" t="str">
        <x:v>False</x:v>
      </x:c>
      <x:c r="Q1193" t="str">
        <x:v>8b8cdfda137062b626c7f4debdbb542672b3179f003172447d4e662b9db19a67</x:v>
      </x:c>
      <x:c r="R1193" t="str">
        <x:v>ca20a5f9a559431cbb27b5a06ae60b06d965c13af31237646316781b9eb987f4</x:v>
      </x:c>
      <x:c r="S1193" t="n">
        <x:v>6</x:v>
      </x:c>
      <x:c r="T1193" t="str">
        <x:v>2018-12-31|2019-12-31|2020-12-31</x:v>
      </x:c>
      <x:c r="U1193" s="57" t="n">
        <x:v>478666.81222584867</x:v>
      </x:c>
      <x:c r="V1193" s="57" t="n">
        <x:v>2.7395844705144428</x:v>
      </x:c>
      <x:c r="W1193" t="n">
        <x:v>1</x:v>
      </x:c>
      <x:c r="X1193" t="n">
        <x:v>1</x:v>
      </x:c>
      <x:c r="Y1193" s="38" t="n">
        <x:v>0.6409090909090909</x:v>
      </x:c>
      <x:c r="Z1193" s="38" t="n">
        <x:v>0.6909807733775754</x:v>
      </x:c>
      <x:c r="AA1193"/>
    </x:row>
    <x:row r="1194">
      <x:c r="A1194" s="54" t="n">
        <x:v>44561</x:v>
      </x:c>
      <x:c r="B1194" t="n">
        <x:v>44561.624999988424</x:v>
      </x:c>
      <x:c r="C1194" t="str">
        <x:v>009410</x:v>
      </x:c>
      <x:c r="D1194" t="str">
        <x:v>태영건설</x:v>
      </x:c>
      <x:c r="E1194" t="str">
        <x:v>KOSPI</x:v>
      </x:c>
      <x:c r="F1194" t="str">
        <x:v>LARGE</x:v>
      </x:c>
      <x:c r="G1194" t="str">
        <x:v>ELIGIBLE</x:v>
      </x:c>
      <x:c r="H1194"/>
      <x:c r="I1194" s="54" t="n">
        <x:v>44560</x:v>
      </x:c>
      <x:c r="J1194" s="55" t="n">
        <x:v>10500</x:v>
      </x:c>
      <x:c r="K1194" s="55" t="n">
        <x:v>408440529000</x:v>
      </x:c>
      <x:c r="L1194" s="55" t="n">
        <x:v>38899098</x:v>
      </x:c>
      <x:c r="M1194" t="str">
        <x:v>20210311001176</x:v>
      </x:c>
      <x:c r="N1194" t="n">
        <x:v>44266.624999988424</x:v>
      </x:c>
      <x:c r="O1194" s="54" t="n">
        <x:v>44196</x:v>
      </x:c>
      <x:c r="P1194" t="str">
        <x:v>False</x:v>
      </x:c>
      <x:c r="Q1194" t="str">
        <x:v>78a85e2ef01142181919ef0732d24074a8415f99303f666cadc31a9be51f4661</x:v>
      </x:c>
      <x:c r="R1194" t="str">
        <x:v>86a71103d3998acf93c4458c6c2298d81ce1620be123364166119339e5e05a93</x:v>
      </x:c>
      <x:c r="S1194" t="n">
        <x:v>6</x:v>
      </x:c>
      <x:c r="T1194" t="str">
        <x:v>2018-12-31|2019-12-31|2020-12-31</x:v>
      </x:c>
      <x:c r="U1194" s="57" t="n">
        <x:v>35385.81482636989</x:v>
      </x:c>
      <x:c r="V1194" s="57" t="n">
        <x:v>2.3700776025114183</x:v>
      </x:c>
      <x:c r="W1194" t="n">
        <x:v>2</x:v>
      </x:c>
      <x:c r="X1194" t="n">
        <x:v>1</x:v>
      </x:c>
      <x:c r="Y1194" s="38" t="n">
        <x:v>0.6409090909090909</x:v>
      </x:c>
      <x:c r="Z1194" s="38" t="n">
        <x:v>0.6178666138919248</x:v>
      </x:c>
      <x:c r="AA1194"/>
    </x:row>
    <x:row r="1195">
      <x:c r="A1195" s="54" t="n">
        <x:v>44561</x:v>
      </x:c>
      <x:c r="B1195" t="n">
        <x:v>44561.624999988424</x:v>
      </x:c>
      <x:c r="C1195" t="str">
        <x:v>010780</x:v>
      </x:c>
      <x:c r="D1195" t="str">
        <x:v>아이에스동서</x:v>
      </x:c>
      <x:c r="E1195" t="str">
        <x:v>KOSPI</x:v>
      </x:c>
      <x:c r="F1195" t="str">
        <x:v>LARGE</x:v>
      </x:c>
      <x:c r="G1195" t="str">
        <x:v>ELIGIBLE</x:v>
      </x:c>
      <x:c r="H1195"/>
      <x:c r="I1195" s="54" t="n">
        <x:v>44560</x:v>
      </x:c>
      <x:c r="J1195" s="55" t="n">
        <x:v>44250</x:v>
      </x:c>
      <x:c r="K1195" s="55" t="n">
        <x:v>1366997815500</x:v>
      </x:c>
      <x:c r="L1195" s="55" t="n">
        <x:v>30892606</x:v>
      </x:c>
      <x:c r="M1195" t="str">
        <x:v>20210318001311</x:v>
      </x:c>
      <x:c r="N1195" t="n">
        <x:v>44273.624999988424</x:v>
      </x:c>
      <x:c r="O1195" s="54" t="n">
        <x:v>44196</x:v>
      </x:c>
      <x:c r="P1195" t="str">
        <x:v>False</x:v>
      </x:c>
      <x:c r="Q1195" t="str">
        <x:v>094578780776951126cd16965b2594fc48196cf618e7aaa99e81f00c137d37cf</x:v>
      </x:c>
      <x:c r="R1195" t="str">
        <x:v>5664421574bf325e30481deeefea05624dcea9a782106a653e2191cc9b0e7f8f</x:v>
      </x:c>
      <x:c r="S1195" t="n">
        <x:v>6</x:v>
      </x:c>
      <x:c r="T1195" t="str">
        <x:v>2018-12-31|2019-12-31|2020-12-31</x:v>
      </x:c>
      <x:c r="U1195" s="57" t="n">
        <x:v>45884.41456404137</x:v>
      </x:c>
      <x:c r="V1195" s="57" t="n">
        <x:v>0.03693592235121732</x:v>
      </x:c>
      <x:c r="W1195" t="n">
        <x:v>15</x:v>
      </x:c>
      <x:c r="X1195" t="n">
        <x:v>2</x:v>
      </x:c>
      <x:c r="Y1195" s="38" t="n">
        <x:v>0.6409090909090909</x:v>
      </x:c>
      <x:c r="Z1195" s="38" t="n">
        <x:v>0.6457198375624914</x:v>
      </x:c>
      <x:c r="AA1195"/>
    </x:row>
    <x:row r="1196">
      <x:c r="A1196" s="54" t="n">
        <x:v>44561</x:v>
      </x:c>
      <x:c r="B1196" t="n">
        <x:v>44561.624999988424</x:v>
      </x:c>
      <x:c r="C1196" t="str">
        <x:v>453340</x:v>
      </x:c>
      <x:c r="D1196" t="str">
        <x:v>현대그린푸드</x:v>
      </x:c>
      <x:c r="E1196" t="str">
        <x:v>KOSPI</x:v>
      </x:c>
      <x:c r="F1196" t="str">
        <x:v>LARGE</x:v>
      </x:c>
      <x:c r="G1196" t="str">
        <x:v>NOT_LISTED_OR_NO_PRICE</x:v>
      </x:c>
      <x:c r="H1196"/>
      <x:c r="I1196" s="54"/>
      <x:c r="J1196" s="55"/>
      <x:c r="K1196" s="55"/>
      <x:c r="L1196" s="55"/>
      <x:c r="M1196"/>
      <x:c r="N1196"/>
      <x:c r="O1196" s="54"/>
      <x:c r="P1196"/>
      <x:c r="Q1196"/>
      <x:c r="R1196"/>
      <x:c r="S1196"/>
      <x:c r="T1196"/>
      <x:c r="U1196" s="57"/>
      <x:c r="V1196" s="57"/>
      <x:c r="W1196"/>
      <x:c r="X1196"/>
      <x:c r="Y1196" s="38"/>
      <x:c r="Z1196" s="38"/>
      <x:c r="AA1196"/>
    </x:row>
    <x:row r="1197">
      <x:c r="A1197" s="54" t="n">
        <x:v>44561</x:v>
      </x:c>
      <x:c r="B1197" t="n">
        <x:v>44561.624999988424</x:v>
      </x:c>
      <x:c r="C1197" t="str">
        <x:v>006220</x:v>
      </x:c>
      <x:c r="D1197" t="str">
        <x:v>제주은행</x:v>
      </x:c>
      <x:c r="E1197" t="str">
        <x:v>KOSPI</x:v>
      </x:c>
      <x:c r="F1197" t="str">
        <x:v>LARGE</x:v>
      </x:c>
      <x:c r="G1197" t="str">
        <x:v>EXCLUDED_ARCHETYPE</x:v>
      </x:c>
      <x:c r="H1197" t="str">
        <x:v>FCFF_NOT_COMPARABLE_FOR_FINANCE_OR_HOLDING_HINT</x:v>
      </x:c>
      <x:c r="I1197" s="54"/>
      <x:c r="J1197" s="55"/>
      <x:c r="K1197" s="55"/>
      <x:c r="L1197" s="55"/>
      <x:c r="M1197"/>
      <x:c r="N1197"/>
      <x:c r="O1197" s="54"/>
      <x:c r="P1197"/>
      <x:c r="Q1197"/>
      <x:c r="R1197"/>
      <x:c r="S1197"/>
      <x:c r="T1197"/>
      <x:c r="U1197" s="57"/>
      <x:c r="V1197" s="57"/>
      <x:c r="W1197"/>
      <x:c r="X1197"/>
      <x:c r="Y1197" s="38"/>
      <x:c r="Z1197" s="38"/>
      <x:c r="AA1197"/>
    </x:row>
    <x:row r="1198">
      <x:c r="A1198" s="54" t="n">
        <x:v>44561</x:v>
      </x:c>
      <x:c r="B1198" t="n">
        <x:v>44561.624999988424</x:v>
      </x:c>
      <x:c r="C1198" t="str">
        <x:v>094800</x:v>
      </x:c>
      <x:c r="D1198" t="str">
        <x:v>맵스리얼티1</x:v>
      </x:c>
      <x:c r="E1198" t="str">
        <x:v>KOSPI</x:v>
      </x:c>
      <x:c r="F1198" t="str">
        <x:v>LARGE</x:v>
      </x:c>
      <x:c r="G1198" t="str">
        <x:v>NO_PIT_FINANCIALS</x:v>
      </x:c>
      <x:c r="H1198"/>
      <x:c r="I1198" s="54" t="n">
        <x:v>44560</x:v>
      </x:c>
      <x:c r="J1198" s="55" t="n">
        <x:v>4675</x:v>
      </x:c>
      <x:c r="K1198" s="55" t="n">
        <x:v>434000497425</x:v>
      </x:c>
      <x:c r="L1198" s="55" t="n">
        <x:v>92834331</x:v>
      </x:c>
      <x:c r="M1198"/>
      <x:c r="N1198"/>
      <x:c r="O1198" s="54"/>
      <x:c r="P1198"/>
      <x:c r="Q1198"/>
      <x:c r="R1198"/>
      <x:c r="S1198"/>
      <x:c r="T1198"/>
      <x:c r="U1198" s="57"/>
      <x:c r="V1198" s="57"/>
      <x:c r="W1198"/>
      <x:c r="X1198"/>
      <x:c r="Y1198" s="38"/>
      <x:c r="Z1198" s="38"/>
      <x:c r="AA1198"/>
    </x:row>
    <x:row r="1199">
      <x:c r="A1199" s="54" t="n">
        <x:v>44561</x:v>
      </x:c>
      <x:c r="B1199" t="n">
        <x:v>44561.624999988424</x:v>
      </x:c>
      <x:c r="C1199" t="str">
        <x:v>003160</x:v>
      </x:c>
      <x:c r="D1199" t="str">
        <x:v>디아이</x:v>
      </x:c>
      <x:c r="E1199" t="str">
        <x:v>KOSPI</x:v>
      </x:c>
      <x:c r="F1199" t="str">
        <x:v>LARGE</x:v>
      </x:c>
      <x:c r="G1199" t="str">
        <x:v>DCF_SCREENING_EXCLUSION</x:v>
      </x:c>
      <x:c r="H1199" t="str">
        <x:v>NON_POSITIVE_ENTERPRISE_VALUE|NON_POSITIVE_EQUITY_VALUE|NON_POSITIVE_TERMINAL_FCF</x:v>
      </x:c>
      <x:c r="I1199" s="54" t="n">
        <x:v>44560</x:v>
      </x:c>
      <x:c r="J1199" s="55" t="n">
        <x:v>9360</x:v>
      </x:c>
      <x:c r="K1199" s="55" t="n">
        <x:v>294809907600</x:v>
      </x:c>
      <x:c r="L1199" s="55" t="n">
        <x:v>31496785</x:v>
      </x:c>
      <x:c r="M1199" t="str">
        <x:v>20210318000533</x:v>
      </x:c>
      <x:c r="N1199" t="n">
        <x:v>44273.624999988424</x:v>
      </x:c>
      <x:c r="O1199" s="54" t="n">
        <x:v>44196</x:v>
      </x:c>
      <x:c r="P1199" t="str">
        <x:v>False</x:v>
      </x:c>
      <x:c r="Q1199" t="str">
        <x:v>03ab6e86f639e746b392cee66e420f6d6b9598de47129a3c9e526fb06a632676</x:v>
      </x:c>
      <x:c r="R1199" t="str">
        <x:v>5c34c9691d36a58038498c0fded1a54ded7428e84486acaaed05eb0d9fb9d071</x:v>
      </x:c>
      <x:c r="S1199" t="n">
        <x:v>6</x:v>
      </x:c>
      <x:c r="T1199" t="str">
        <x:v>2018-12-31|2019-12-31|2020-12-31</x:v>
      </x:c>
      <x:c r="U1199" s="57" t="n">
        <x:v>-85.67734326279664</x:v>
      </x:c>
      <x:c r="V1199" s="57" t="n">
        <x:v>-1.0091535623144015</x:v>
      </x:c>
      <x:c r="W1199"/>
      <x:c r="X1199"/>
      <x:c r="Y1199" s="38" t="n">
        <x:v>0.6409090909090909</x:v>
      </x:c>
      <x:c r="Z1199" s="38" t="n">
        <x:v>0.7008659573285638</x:v>
      </x:c>
      <x:c r="AA1199" t="str">
        <x:v>NON_POSITIVE_ENTERPRISE_VALUE|NON_POSITIVE_EQUITY_VALUE|NON_POSITIVE_TERMINAL_FCF</x:v>
      </x:c>
    </x:row>
    <x:row r="1200">
      <x:c r="A1200" s="54" t="n">
        <x:v>44561</x:v>
      </x:c>
      <x:c r="B1200" t="n">
        <x:v>44561.624999988424</x:v>
      </x:c>
      <x:c r="C1200" t="str">
        <x:v>001940</x:v>
      </x:c>
      <x:c r="D1200" t="str">
        <x:v>KISCO홀딩스</x:v>
      </x:c>
      <x:c r="E1200" t="str">
        <x:v>KOSPI</x:v>
      </x:c>
      <x:c r="F1200" t="str">
        <x:v>LARGE</x:v>
      </x:c>
      <x:c r="G1200" t="str">
        <x:v>EXCLUDED_ARCHETYPE</x:v>
      </x:c>
      <x:c r="H1200" t="str">
        <x:v>FCFF_NOT_COMPARABLE_FOR_FINANCE_OR_HOLDING_HINT</x:v>
      </x:c>
      <x:c r="I1200" s="54"/>
      <x:c r="J1200" s="55"/>
      <x:c r="K1200" s="55"/>
      <x:c r="L1200" s="55"/>
      <x:c r="M1200"/>
      <x:c r="N1200"/>
      <x:c r="O1200" s="54"/>
      <x:c r="P1200"/>
      <x:c r="Q1200"/>
      <x:c r="R1200"/>
      <x:c r="S1200"/>
      <x:c r="T1200"/>
      <x:c r="U1200" s="57"/>
      <x:c r="V1200" s="57"/>
      <x:c r="W1200"/>
      <x:c r="X1200"/>
      <x:c r="Y1200" s="38"/>
      <x:c r="Z1200" s="38"/>
      <x:c r="AA1200"/>
    </x:row>
    <x:row r="1201">
      <x:c r="A1201" s="54" t="n">
        <x:v>44561</x:v>
      </x:c>
      <x:c r="B1201" t="n">
        <x:v>44561.624999988424</x:v>
      </x:c>
      <x:c r="C1201" t="str">
        <x:v>009290</x:v>
      </x:c>
      <x:c r="D1201" t="str">
        <x:v>광동제약</x:v>
      </x:c>
      <x:c r="E1201" t="str">
        <x:v>KOSPI</x:v>
      </x:c>
      <x:c r="F1201" t="str">
        <x:v>LARGE</x:v>
      </x:c>
      <x:c r="G1201" t="str">
        <x:v>ELIGIBLE</x:v>
      </x:c>
      <x:c r="H1201"/>
      <x:c r="I1201" s="54" t="n">
        <x:v>44560</x:v>
      </x:c>
      <x:c r="J1201" s="55" t="n">
        <x:v>7430</x:v>
      </x:c>
      <x:c r="K1201" s="55" t="n">
        <x:v>389486922930</x:v>
      </x:c>
      <x:c r="L1201" s="55" t="n">
        <x:v>52420851</x:v>
      </x:c>
      <x:c r="M1201" t="str">
        <x:v>20210405002921</x:v>
      </x:c>
      <x:c r="N1201" t="n">
        <x:v>44291.624999988424</x:v>
      </x:c>
      <x:c r="O1201" s="54" t="n">
        <x:v>44196</x:v>
      </x:c>
      <x:c r="P1201" t="str">
        <x:v>True</x:v>
      </x:c>
      <x:c r="Q1201" t="str">
        <x:v>878145efc93308cfe8dc700fe4afa827301bbc20c03d457077bdcabab123c6b2</x:v>
      </x:c>
      <x:c r="R1201" t="str">
        <x:v>699b0e5dc21366fc545a137defe104a7e7586c8b538e1c2d4e1b51b6eadae0de</x:v>
      </x:c>
      <x:c r="S1201" t="n">
        <x:v>6</x:v>
      </x:c>
      <x:c r="T1201" t="str">
        <x:v>2018-12-31|2019-12-31|2020-12-31</x:v>
      </x:c>
      <x:c r="U1201" s="57" t="n">
        <x:v>5478.922463171795</x:v>
      </x:c>
      <x:c r="V1201" s="57" t="n">
        <x:v>-0.262594554081858</x:v>
      </x:c>
      <x:c r="W1201" t="n">
        <x:v>20</x:v>
      </x:c>
      <x:c r="X1201" t="n">
        <x:v>2</x:v>
      </x:c>
      <x:c r="Y1201" s="38" t="n">
        <x:v>0.6409090909090909</x:v>
      </x:c>
      <x:c r="Z1201" s="38" t="n">
        <x:v>0.6930680230726235</x:v>
      </x:c>
      <x:c r="AA1201"/>
    </x:row>
    <x:row r="1202">
      <x:c r="A1202" s="54" t="n">
        <x:v>44651</x:v>
      </x:c>
      <x:c r="B1202" t="n">
        <x:v>44651.624999988424</x:v>
      </x:c>
      <x:c r="C1202" t="str">
        <x:v>168330</x:v>
      </x:c>
      <x:c r="D1202" t="str">
        <x:v>내츄럴엔도텍</x:v>
      </x:c>
      <x:c r="E1202" t="str">
        <x:v>KOSDAQ</x:v>
      </x:c>
      <x:c r="F1202" t="str">
        <x:v>SMALL</x:v>
      </x:c>
      <x:c r="G1202" t="str">
        <x:v>DCF_SCREENING_EXCLUSION</x:v>
      </x:c>
      <x:c r="H1202" t="str">
        <x:v>NON_POSITIVE_ENTERPRISE_VALUE|NON_POSITIVE_EQUITY_VALUE|NON_POSITIVE_TERMINAL_FCF</x:v>
      </x:c>
      <x:c r="I1202" s="54" t="n">
        <x:v>44651</x:v>
      </x:c>
      <x:c r="J1202" s="55" t="n">
        <x:v>7610</x:v>
      </x:c>
      <x:c r="K1202" s="55" t="n">
        <x:v>237245516950</x:v>
      </x:c>
      <x:c r="L1202" s="55" t="n">
        <x:v>31175495</x:v>
      </x:c>
      <x:c r="M1202" t="str">
        <x:v>20220321000680</x:v>
      </x:c>
      <x:c r="N1202" t="n">
        <x:v>44641.624999988424</x:v>
      </x:c>
      <x:c r="O1202" s="54" t="n">
        <x:v>44561</x:v>
      </x:c>
      <x:c r="P1202" t="str">
        <x:v>False</x:v>
      </x:c>
      <x:c r="Q1202" t="str">
        <x:v>a22a5e955f0d8d6304d77a81e230013a90d8fa1dbd4663cf29c710f31a85df12</x:v>
      </x:c>
      <x:c r="R1202" t="str">
        <x:v>4a4aae3091fc1f7611ddc20a26e3c3b2d9b6921dfb1cc13ffe134dc183433b0d</x:v>
      </x:c>
      <x:c r="S1202" t="n">
        <x:v>6</x:v>
      </x:c>
      <x:c r="T1202" t="str">
        <x:v>2018-12-31|2019-12-31|2020-12-31|2021-12-31</x:v>
      </x:c>
      <x:c r="U1202" s="57" t="n">
        <x:v>-1124.4480273672161</x:v>
      </x:c>
      <x:c r="V1202" s="57" t="n">
        <x:v>-1.1477592677223674</x:v>
      </x:c>
      <x:c r="W1202"/>
      <x:c r="X1202"/>
      <x:c r="Y1202" s="38" t="n">
        <x:v>0.6409090909090909</x:v>
      </x:c>
      <x:c r="Z1202" s="38" t="n">
        <x:v>0.619354619431729</x:v>
      </x:c>
      <x:c r="AA1202" t="str">
        <x:v>NON_POSITIVE_ENTERPRISE_VALUE|NON_POSITIVE_EQUITY_VALUE|NON_POSITIVE_TERMINAL_FCF</x:v>
      </x:c>
    </x:row>
    <x:row r="1203">
      <x:c r="A1203" s="54" t="n">
        <x:v>44651</x:v>
      </x:c>
      <x:c r="B1203" t="n">
        <x:v>44651.624999988424</x:v>
      </x:c>
      <x:c r="C1203" t="str">
        <x:v>120240</x:v>
      </x:c>
      <x:c r="D1203" t="str">
        <x:v>대정화금</x:v>
      </x:c>
      <x:c r="E1203" t="str">
        <x:v>KOSDAQ</x:v>
      </x:c>
      <x:c r="F1203" t="str">
        <x:v>SMALL</x:v>
      </x:c>
      <x:c r="G1203" t="str">
        <x:v>DCF_SCREENING_EXCLUSION</x:v>
      </x:c>
      <x:c r="H1203" t="str">
        <x:v>UNRELIABLE_TERMINAL_VALUE_SHARE</x:v>
      </x:c>
      <x:c r="I1203" s="54" t="n">
        <x:v>44651</x:v>
      </x:c>
      <x:c r="J1203" s="55" t="n">
        <x:v>21250</x:v>
      </x:c>
      <x:c r="K1203" s="55" t="n">
        <x:v>152795808750</x:v>
      </x:c>
      <x:c r="L1203" s="55" t="n">
        <x:v>7190391</x:v>
      </x:c>
      <x:c r="M1203" t="str">
        <x:v>20220316000108</x:v>
      </x:c>
      <x:c r="N1203" t="n">
        <x:v>44636.624999988424</x:v>
      </x:c>
      <x:c r="O1203" s="54" t="n">
        <x:v>44561</x:v>
      </x:c>
      <x:c r="P1203" t="str">
        <x:v>False</x:v>
      </x:c>
      <x:c r="Q1203" t="str">
        <x:v>f2137e4cfbd7dad6e3845236ffc52f6936feb9f558511c760a15158653dc838a</x:v>
      </x:c>
      <x:c r="R1203" t="str">
        <x:v>61d3ec683bbb7c755de94613e6d870afb1cc1a462871743f7b15c8d0e5da5685</x:v>
      </x:c>
      <x:c r="S1203" t="n">
        <x:v>7</x:v>
      </x:c>
      <x:c r="T1203" t="str">
        <x:v>2018-12-31|2019-12-31|2020-12-31|2021-12-31</x:v>
      </x:c>
      <x:c r="U1203" s="57" t="n">
        <x:v>5596.37075362496</x:v>
      </x:c>
      <x:c r="V1203" s="57" t="n">
        <x:v>-0.7366413763000019</x:v>
      </x:c>
      <x:c r="W1203"/>
      <x:c r="X1203"/>
      <x:c r="Y1203" s="38" t="n">
        <x:v>0.6409090909090909</x:v>
      </x:c>
      <x:c r="Z1203" s="38" t="n">
        <x:v>0.905098847871658</x:v>
      </x:c>
      <x:c r="AA1203" t="str">
        <x:v>UNRELIABLE_TERMINAL_VALUE_SHARE</x:v>
      </x:c>
    </x:row>
    <x:row r="1204">
      <x:c r="A1204" s="54" t="n">
        <x:v>44651</x:v>
      </x:c>
      <x:c r="B1204" t="n">
        <x:v>44651.624999988424</x:v>
      </x:c>
      <x:c r="C1204" t="str">
        <x:v>348350</x:v>
      </x:c>
      <x:c r="D1204" t="str">
        <x:v>위드텍</x:v>
      </x:c>
      <x:c r="E1204" t="str">
        <x:v>KOSDAQ</x:v>
      </x:c>
      <x:c r="F1204" t="str">
        <x:v>SMALL</x:v>
      </x:c>
      <x:c r="G1204" t="str">
        <x:v>ELIGIBLE</x:v>
      </x:c>
      <x:c r="H1204"/>
      <x:c r="I1204" s="54" t="n">
        <x:v>44651</x:v>
      </x:c>
      <x:c r="J1204" s="55" t="n">
        <x:v>18050</x:v>
      </x:c>
      <x:c r="K1204" s="55" t="n">
        <x:v>183813980000</x:v>
      </x:c>
      <x:c r="L1204" s="55" t="n">
        <x:v>10183600</x:v>
      </x:c>
      <x:c r="M1204" t="str">
        <x:v>20220318000824</x:v>
      </x:c>
      <x:c r="N1204" t="n">
        <x:v>44638.624999988424</x:v>
      </x:c>
      <x:c r="O1204" s="54" t="n">
        <x:v>44561</x:v>
      </x:c>
      <x:c r="P1204" t="str">
        <x:v>False</x:v>
      </x:c>
      <x:c r="Q1204" t="str">
        <x:v>2729d0c33f8b488b8bb0a85b04599a9c0e44cecbb15645734153885029a189d7</x:v>
      </x:c>
      <x:c r="R1204" t="str">
        <x:v>58c9942c414bf9cc8cb27d803093fff949abdb014db6c15c233a2be5934a2cce</x:v>
      </x:c>
      <x:c r="S1204" t="n">
        <x:v>5</x:v>
      </x:c>
      <x:c r="T1204" t="str">
        <x:v>2020-12-31|2021-12-31</x:v>
      </x:c>
      <x:c r="U1204" s="57" t="n">
        <x:v>12305.808625906286</x:v>
      </x:c>
      <x:c r="V1204" s="57" t="n">
        <x:v>-0.3182377492572695</x:v>
      </x:c>
      <x:c r="W1204" t="n">
        <x:v>28</x:v>
      </x:c>
      <x:c r="X1204" t="n">
        <x:v>3</x:v>
      </x:c>
      <x:c r="Y1204" s="38" t="n">
        <x:v>0.6409090909090909</x:v>
      </x:c>
      <x:c r="Z1204" s="38" t="n">
        <x:v>0.6763585407839688</x:v>
      </x:c>
      <x:c r="AA1204"/>
    </x:row>
    <x:row r="1205">
      <x:c r="A1205" s="54" t="n">
        <x:v>44651</x:v>
      </x:c>
      <x:c r="B1205" t="n">
        <x:v>44651.624999988424</x:v>
      </x:c>
      <x:c r="C1205" t="str">
        <x:v>226330</x:v>
      </x:c>
      <x:c r="D1205" t="str">
        <x:v>신테카바이오</x:v>
      </x:c>
      <x:c r="E1205" t="str">
        <x:v>KOSDAQ</x:v>
      </x:c>
      <x:c r="F1205" t="str">
        <x:v>SMALL</x:v>
      </x:c>
      <x:c r="G1205" t="str">
        <x:v>DCF_SCREENING_EXCLUSION</x:v>
      </x:c>
      <x:c r="H1205" t="str">
        <x:v>NON_POSITIVE_ENTERPRISE_VALUE|NON_POSITIVE_TERMINAL_FCF</x:v>
      </x:c>
      <x:c r="I1205" s="54" t="n">
        <x:v>44651</x:v>
      </x:c>
      <x:c r="J1205" s="55" t="n">
        <x:v>15100</x:v>
      </x:c>
      <x:c r="K1205" s="55" t="n">
        <x:v>204084291600</x:v>
      </x:c>
      <x:c r="L1205" s="55" t="n">
        <x:v>13515516</x:v>
      </x:c>
      <x:c r="M1205" t="str">
        <x:v>20220325001075</x:v>
      </x:c>
      <x:c r="N1205" t="n">
        <x:v>44645.624999988424</x:v>
      </x:c>
      <x:c r="O1205" s="54" t="n">
        <x:v>44561</x:v>
      </x:c>
      <x:c r="P1205" t="str">
        <x:v>True</x:v>
      </x:c>
      <x:c r="Q1205" t="str">
        <x:v>f808ed36b40981ed378e9484ce7143a24e427cceb94dcd51686677ebe41823f1</x:v>
      </x:c>
      <x:c r="R1205" t="str">
        <x:v>c21a3b720ce6dc5dcc9b6ddd0e99c2b0090ed76e5c1b0da4deef579abead30de</x:v>
      </x:c>
      <x:c r="S1205" t="n">
        <x:v>5</x:v>
      </x:c>
      <x:c r="T1205" t="str">
        <x:v>2019-12-31|2020-12-31|2021-12-31</x:v>
      </x:c>
      <x:c r="U1205" s="57" t="n">
        <x:v>373.7371883586119</x:v>
      </x:c>
      <x:c r="V1205" s="57" t="n">
        <x:v>-0.975249192823933</x:v>
      </x:c>
      <x:c r="W1205"/>
      <x:c r="X1205"/>
      <x:c r="Y1205" s="38" t="n">
        <x:v>0.6409090909090909</x:v>
      </x:c>
      <x:c r="Z1205" s="38" t="n">
        <x:v>0.6125806699299453</x:v>
      </x:c>
      <x:c r="AA1205" t="str">
        <x:v>NON_POSITIVE_ENTERPRISE_VALUE|NON_POSITIVE_TERMINAL_FCF</x:v>
      </x:c>
    </x:row>
    <x:row r="1206">
      <x:c r="A1206" s="54" t="n">
        <x:v>44651</x:v>
      </x:c>
      <x:c r="B1206" t="n">
        <x:v>44651.624999988424</x:v>
      </x:c>
      <x:c r="C1206" t="str">
        <x:v>215090</x:v>
      </x:c>
      <x:c r="D1206" t="str">
        <x:v>솔디펜스</x:v>
      </x:c>
      <x:c r="E1206" t="str">
        <x:v>KOSDAQ</x:v>
      </x:c>
      <x:c r="F1206" t="str">
        <x:v>SMALL</x:v>
      </x:c>
      <x:c r="G1206" t="str">
        <x:v>DCF_SCREENING_EXCLUSION</x:v>
      </x:c>
      <x:c r="H1206" t="str">
        <x:v>NON_POSITIVE_ENTERPRISE_VALUE|NON_POSITIVE_EQUITY_VALUE|NON_POSITIVE_TERMINAL_FCF</x:v>
      </x:c>
      <x:c r="I1206" s="54" t="n">
        <x:v>44651</x:v>
      </x:c>
      <x:c r="J1206" s="55" t="n">
        <x:v>1505</x:v>
      </x:c>
      <x:c r="K1206" s="55" t="n">
        <x:v>120843123170</x:v>
      </x:c>
      <x:c r="L1206" s="55" t="n">
        <x:v>80294434</x:v>
      </x:c>
      <x:c r="M1206" t="str">
        <x:v>20220322001144</x:v>
      </x:c>
      <x:c r="N1206" t="n">
        <x:v>44642.624999988424</x:v>
      </x:c>
      <x:c r="O1206" s="54" t="n">
        <x:v>44561</x:v>
      </x:c>
      <x:c r="P1206" t="str">
        <x:v>False</x:v>
      </x:c>
      <x:c r="Q1206" t="str">
        <x:v>40276901574d6aece73f7b57c55892afe00979d1d437551c5f2c2f5483865001</x:v>
      </x:c>
      <x:c r="R1206" t="str">
        <x:v>c26baaa7afd91d68dbd8e191261f96e0eecd1a4c9dbb6ccd89e0a539a09f04a2</x:v>
      </x:c>
      <x:c r="S1206" t="n">
        <x:v>5</x:v>
      </x:c>
      <x:c r="T1206" t="str">
        <x:v>2018-12-31|2019-12-31|2020-12-31|2021-12-31</x:v>
      </x:c>
      <x:c r="U1206" s="57" t="n">
        <x:v>-270.3993691558958</x:v>
      </x:c>
      <x:c r="V1206" s="57" t="n">
        <x:v>-1.179667354920861</x:v>
      </x:c>
      <x:c r="W1206"/>
      <x:c r="X1206"/>
      <x:c r="Y1206" s="38" t="n">
        <x:v>0.6409090909090909</x:v>
      </x:c>
      <x:c r="Z1206" s="38" t="n">
        <x:v>0.5457100409369903</x:v>
      </x:c>
      <x:c r="AA1206" t="str">
        <x:v>NON_POSITIVE_ENTERPRISE_VALUE|NON_POSITIVE_EQUITY_VALUE|NON_POSITIVE_TERMINAL_FCF</x:v>
      </x:c>
    </x:row>
    <x:row r="1207">
      <x:c r="A1207" s="54" t="n">
        <x:v>44651</x:v>
      </x:c>
      <x:c r="B1207" t="n">
        <x:v>44651.624999988424</x:v>
      </x:c>
      <x:c r="C1207" t="str">
        <x:v>185490</x:v>
      </x:c>
      <x:c r="D1207" t="str">
        <x:v>아이진</x:v>
      </x:c>
      <x:c r="E1207" t="str">
        <x:v>KOSDAQ</x:v>
      </x:c>
      <x:c r="F1207" t="str">
        <x:v>SMALL</x:v>
      </x:c>
      <x:c r="G1207" t="str">
        <x:v>DCF_SCREENING_EXCLUSION</x:v>
      </x:c>
      <x:c r="H1207" t="str">
        <x:v>NON_POSITIVE_ENTERPRISE_VALUE|NON_POSITIVE_EQUITY_VALUE|NON_POSITIVE_TERMINAL_FCF</x:v>
      </x:c>
      <x:c r="I1207" s="54" t="n">
        <x:v>44651</x:v>
      </x:c>
      <x:c r="J1207" s="55" t="n">
        <x:v>11450</x:v>
      </x:c>
      <x:c r="K1207" s="55" t="n">
        <x:v>245195773100</x:v>
      </x:c>
      <x:c r="L1207" s="55" t="n">
        <x:v>21414478</x:v>
      </x:c>
      <x:c r="M1207" t="str">
        <x:v>20220318000947</x:v>
      </x:c>
      <x:c r="N1207" t="n">
        <x:v>44638.624999988424</x:v>
      </x:c>
      <x:c r="O1207" s="54" t="n">
        <x:v>44561</x:v>
      </x:c>
      <x:c r="P1207" t="str">
        <x:v>False</x:v>
      </x:c>
      <x:c r="Q1207" t="str">
        <x:v>9f8a24dc55b6d63f2e5fe2ec4dec9e479401b5e70a4db47102f2643e3383e990</x:v>
      </x:c>
      <x:c r="R1207" t="str">
        <x:v>7bf7933e3e5f8f7baef7c96dc94d9fe7e5334ccde6a1d948040fddc55e6417fc</x:v>
      </x:c>
      <x:c r="S1207" t="n">
        <x:v>5</x:v>
      </x:c>
      <x:c r="T1207" t="str">
        <x:v>2018-12-31|2019-12-31|2020-12-31|2021-12-31</x:v>
      </x:c>
      <x:c r="U1207" s="57" t="n">
        <x:v>-139.3231062590447</x:v>
      </x:c>
      <x:c r="V1207" s="57" t="n">
        <x:v>-1.0121679568785191</x:v>
      </x:c>
      <x:c r="W1207"/>
      <x:c r="X1207"/>
      <x:c r="Y1207" s="38" t="n">
        <x:v>0.6409090909090909</x:v>
      </x:c>
      <x:c r="Z1207" s="38" t="n">
        <x:v>0.6188730723228777</x:v>
      </x:c>
      <x:c r="AA1207" t="str">
        <x:v>NON_POSITIVE_ENTERPRISE_VALUE|NON_POSITIVE_EQUITY_VALUE|NON_POSITIVE_TERMINAL_FCF</x:v>
      </x:c>
    </x:row>
    <x:row r="1208">
      <x:c r="A1208" s="54" t="n">
        <x:v>44651</x:v>
      </x:c>
      <x:c r="B1208" t="n">
        <x:v>44651.624999988424</x:v>
      </x:c>
      <x:c r="C1208" t="str">
        <x:v>333620</x:v>
      </x:c>
      <x:c r="D1208" t="str">
        <x:v>엔시스</x:v>
      </x:c>
      <x:c r="E1208" t="str">
        <x:v>KOSDAQ</x:v>
      </x:c>
      <x:c r="F1208" t="str">
        <x:v>SMALL</x:v>
      </x:c>
      <x:c r="G1208" t="str">
        <x:v>ELIGIBLE</x:v>
      </x:c>
      <x:c r="H1208"/>
      <x:c r="I1208" s="54" t="n">
        <x:v>44651</x:v>
      </x:c>
      <x:c r="J1208" s="55" t="n">
        <x:v>19350</x:v>
      </x:c>
      <x:c r="K1208" s="55" t="n">
        <x:v>204265256400</x:v>
      </x:c>
      <x:c r="L1208" s="55" t="n">
        <x:v>10556344</x:v>
      </x:c>
      <x:c r="M1208" t="str">
        <x:v>20220323000235</x:v>
      </x:c>
      <x:c r="N1208" t="n">
        <x:v>44643.624999988424</x:v>
      </x:c>
      <x:c r="O1208" s="54" t="n">
        <x:v>44561</x:v>
      </x:c>
      <x:c r="P1208" t="str">
        <x:v>False</x:v>
      </x:c>
      <x:c r="Q1208" t="str">
        <x:v>e79b7284eff2a90a38ec72f27d71732356db7a1e9c984d4a7d2b48c420d4b839</x:v>
      </x:c>
      <x:c r="R1208" t="str">
        <x:v>7e006979238b4411b427ffb934ead83cbe683db6f50d7f091e2667e348d04d7b</x:v>
      </x:c>
      <x:c r="S1208" t="n">
        <x:v>6</x:v>
      </x:c>
      <x:c r="T1208" t="str">
        <x:v>2020-12-31|2021-12-31</x:v>
      </x:c>
      <x:c r="U1208" s="57" t="n">
        <x:v>5977.9445546388615</x:v>
      </x:c>
      <x:c r="V1208" s="57" t="n">
        <x:v>-0.6910622969178883</x:v>
      </x:c>
      <x:c r="W1208" t="n">
        <x:v>50</x:v>
      </x:c>
      <x:c r="X1208" t="n">
        <x:v>4</x:v>
      </x:c>
      <x:c r="Y1208" s="38" t="n">
        <x:v>0.6409090909090909</x:v>
      </x:c>
      <x:c r="Z1208" s="38" t="n">
        <x:v>0.6935321663021952</x:v>
      </x:c>
      <x:c r="AA1208"/>
    </x:row>
    <x:row r="1209">
      <x:c r="A1209" s="54" t="n">
        <x:v>44651</x:v>
      </x:c>
      <x:c r="B1209" t="n">
        <x:v>44651.624999988424</x:v>
      </x:c>
      <x:c r="C1209" t="str">
        <x:v>036710</x:v>
      </x:c>
      <x:c r="D1209" t="str">
        <x:v>심텍홀딩스</x:v>
      </x:c>
      <x:c r="E1209" t="str">
        <x:v>KOSDAQ</x:v>
      </x:c>
      <x:c r="F1209" t="str">
        <x:v>SMALL</x:v>
      </x:c>
      <x:c r="G1209" t="str">
        <x:v>EXCLUDED_ARCHETYPE</x:v>
      </x:c>
      <x:c r="H1209" t="str">
        <x:v>FCFF_NOT_COMPARABLE_FOR_FINANCE_OR_HOLDING_HINT</x:v>
      </x:c>
      <x:c r="I1209" s="54"/>
      <x:c r="J1209" s="55"/>
      <x:c r="K1209" s="55"/>
      <x:c r="L1209" s="55"/>
      <x:c r="M1209"/>
      <x:c r="N1209"/>
      <x:c r="O1209" s="54"/>
      <x:c r="P1209"/>
      <x:c r="Q1209"/>
      <x:c r="R1209"/>
      <x:c r="S1209"/>
      <x:c r="T1209"/>
      <x:c r="U1209" s="57"/>
      <x:c r="V1209" s="57"/>
      <x:c r="W1209"/>
      <x:c r="X1209"/>
      <x:c r="Y1209" s="38"/>
      <x:c r="Z1209" s="38"/>
      <x:c r="AA1209"/>
    </x:row>
    <x:row r="1210">
      <x:c r="A1210" s="54" t="n">
        <x:v>44651</x:v>
      </x:c>
      <x:c r="B1210" t="n">
        <x:v>44651.624999988424</x:v>
      </x:c>
      <x:c r="C1210" t="str">
        <x:v>049480</x:v>
      </x:c>
      <x:c r="D1210" t="str">
        <x:v>오픈베이스</x:v>
      </x:c>
      <x:c r="E1210" t="str">
        <x:v>KOSDAQ</x:v>
      </x:c>
      <x:c r="F1210" t="str">
        <x:v>SMALL</x:v>
      </x:c>
      <x:c r="G1210" t="str">
        <x:v>ELIGIBLE</x:v>
      </x:c>
      <x:c r="H1210"/>
      <x:c r="I1210" s="54" t="n">
        <x:v>44651</x:v>
      </x:c>
      <x:c r="J1210" s="55" t="n">
        <x:v>4110</x:v>
      </x:c>
      <x:c r="K1210" s="55" t="n">
        <x:v>129145994130</x:v>
      </x:c>
      <x:c r="L1210" s="55" t="n">
        <x:v>31422383</x:v>
      </x:c>
      <x:c r="M1210" t="str">
        <x:v>20220331000651</x:v>
      </x:c>
      <x:c r="N1210" t="n">
        <x:v>44651.624999988424</x:v>
      </x:c>
      <x:c r="O1210" s="54" t="n">
        <x:v>44561</x:v>
      </x:c>
      <x:c r="P1210" t="str">
        <x:v>True</x:v>
      </x:c>
      <x:c r="Q1210" t="str">
        <x:v>cd2fefca2ce620b233077ae0bdfb74587d3594740b8d2de6a681f1e5c21247bb</x:v>
      </x:c>
      <x:c r="R1210" t="str">
        <x:v>ceae9fb7724f25d07ef1071bcc2056646414fd83d98510811882559b5191e7d6</x:v>
      </x:c>
      <x:c r="S1210" t="n">
        <x:v>6</x:v>
      </x:c>
      <x:c r="T1210" t="str">
        <x:v>2018-12-31|2019-12-31|2020-12-31|2021-12-31</x:v>
      </x:c>
      <x:c r="U1210" s="57" t="n">
        <x:v>1607.4184644032093</x:v>
      </x:c>
      <x:c r="V1210" s="57" t="n">
        <x:v>-0.6089006169335257</x:v>
      </x:c>
      <x:c r="W1210" t="n">
        <x:v>45</x:v>
      </x:c>
      <x:c r="X1210" t="n">
        <x:v>4</x:v>
      </x:c>
      <x:c r="Y1210" s="38" t="n">
        <x:v>0.6409090909090909</x:v>
      </x:c>
      <x:c r="Z1210" s="38" t="n">
        <x:v>0.5397986934105109</x:v>
      </x:c>
      <x:c r="AA1210"/>
    </x:row>
    <x:row r="1211">
      <x:c r="A1211" s="54" t="n">
        <x:v>44651</x:v>
      </x:c>
      <x:c r="B1211" t="n">
        <x:v>44651.624999988424</x:v>
      </x:c>
      <x:c r="C1211" t="str">
        <x:v>302430</x:v>
      </x:c>
      <x:c r="D1211" t="str">
        <x:v>이노메트리</x:v>
      </x:c>
      <x:c r="E1211" t="str">
        <x:v>KOSDAQ</x:v>
      </x:c>
      <x:c r="F1211" t="str">
        <x:v>SMALL</x:v>
      </x:c>
      <x:c r="G1211" t="str">
        <x:v>ELIGIBLE</x:v>
      </x:c>
      <x:c r="H1211"/>
      <x:c r="I1211" s="54" t="n">
        <x:v>44651</x:v>
      </x:c>
      <x:c r="J1211" s="55" t="n">
        <x:v>14150</x:v>
      </x:c>
      <x:c r="K1211" s="55" t="n">
        <x:v>139139893200</x:v>
      </x:c>
      <x:c r="L1211" s="55" t="n">
        <x:v>9833208</x:v>
      </x:c>
      <x:c r="M1211" t="str">
        <x:v>20220316000910</x:v>
      </x:c>
      <x:c r="N1211" t="n">
        <x:v>44636.624999988424</x:v>
      </x:c>
      <x:c r="O1211" s="54" t="n">
        <x:v>44561</x:v>
      </x:c>
      <x:c r="P1211" t="str">
        <x:v>False</x:v>
      </x:c>
      <x:c r="Q1211" t="str">
        <x:v>62f74c705c0287867a4c198ce0da7e369d5f1ba7b5afee44ee823211b781ac7d</x:v>
      </x:c>
      <x:c r="R1211" t="str">
        <x:v>1802b265b988d32d7ea737dd304269e072d114d979a13e4fa1f7d910c3227b5f</x:v>
      </x:c>
      <x:c r="S1211" t="n">
        <x:v>6</x:v>
      </x:c>
      <x:c r="T1211" t="str">
        <x:v>2018-12-31|2019-12-31|2020-12-31|2021-12-31</x:v>
      </x:c>
      <x:c r="U1211" s="57" t="n">
        <x:v>2119.7587558255723</x:v>
      </x:c>
      <x:c r="V1211" s="57" t="n">
        <x:v>-0.8501937275034931</x:v>
      </x:c>
      <x:c r="W1211" t="n">
        <x:v>60</x:v>
      </x:c>
      <x:c r="X1211" t="n">
        <x:v>5</x:v>
      </x:c>
      <x:c r="Y1211" s="38" t="n">
        <x:v>0.6409090909090909</x:v>
      </x:c>
      <x:c r="Z1211" s="38" t="n">
        <x:v>0.7873695239620717</x:v>
      </x:c>
      <x:c r="AA1211"/>
    </x:row>
    <x:row r="1212">
      <x:c r="A1212" s="54" t="n">
        <x:v>44651</x:v>
      </x:c>
      <x:c r="B1212" t="n">
        <x:v>44651.624999988424</x:v>
      </x:c>
      <x:c r="C1212" t="str">
        <x:v>288620</x:v>
      </x:c>
      <x:c r="D1212" t="str">
        <x:v>에스퓨얼셀</x:v>
      </x:c>
      <x:c r="E1212" t="str">
        <x:v>KOSDAQ</x:v>
      </x:c>
      <x:c r="F1212" t="str">
        <x:v>SMALL</x:v>
      </x:c>
      <x:c r="G1212" t="str">
        <x:v>DCF_SCREENING_EXCLUSION</x:v>
      </x:c>
      <x:c r="H1212" t="str">
        <x:v>NON_POSITIVE_EQUITY_VALUE|UNRELIABLE_TERMINAL_VALUE_SHARE</x:v>
      </x:c>
      <x:c r="I1212" s="54" t="n">
        <x:v>44651</x:v>
      </x:c>
      <x:c r="J1212" s="55" t="n">
        <x:v>24500</x:v>
      </x:c>
      <x:c r="K1212" s="55" t="n">
        <x:v>168420742000</x:v>
      </x:c>
      <x:c r="L1212" s="55" t="n">
        <x:v>6874316</x:v>
      </x:c>
      <x:c r="M1212" t="str">
        <x:v>20220316000858</x:v>
      </x:c>
      <x:c r="N1212" t="n">
        <x:v>44636.624999988424</x:v>
      </x:c>
      <x:c r="O1212" s="54" t="n">
        <x:v>44561</x:v>
      </x:c>
      <x:c r="P1212" t="str">
        <x:v>False</x:v>
      </x:c>
      <x:c r="Q1212" t="str">
        <x:v>c43ba4ca846bcc7a6ae957e8045ba55fbc4d2b00e8cd6ddd287a6026e0b76609</x:v>
      </x:c>
      <x:c r="R1212" t="str">
        <x:v>63f4d5399d531c1f92304b72d0f65d395dd887a64341d1f031e786d4613b1267</x:v>
      </x:c>
      <x:c r="S1212" t="n">
        <x:v>6</x:v>
      </x:c>
      <x:c r="T1212" t="str">
        <x:v>2018-12-31|2019-12-31|2020-12-31|2021-12-31</x:v>
      </x:c>
      <x:c r="U1212" s="57" t="n">
        <x:v>-1554.5731783956426</x:v>
      </x:c>
      <x:c r="V1212" s="57" t="n">
        <x:v>-1.0634519664651283</x:v>
      </x:c>
      <x:c r="W1212"/>
      <x:c r="X1212"/>
      <x:c r="Y1212" s="38" t="n">
        <x:v>0.6409090909090909</x:v>
      </x:c>
      <x:c r="Z1212" s="38" t="n">
        <x:v>1.56886999524186</x:v>
      </x:c>
      <x:c r="AA1212" t="str">
        <x:v>NON_POSITIVE_EQUITY_VALUE|UNRELIABLE_TERMINAL_VALUE_SHARE</x:v>
      </x:c>
    </x:row>
    <x:row r="1213">
      <x:c r="A1213" s="54" t="n">
        <x:v>44651</x:v>
      </x:c>
      <x:c r="B1213" t="n">
        <x:v>44651.624999988424</x:v>
      </x:c>
      <x:c r="C1213" t="str">
        <x:v>094840</x:v>
      </x:c>
      <x:c r="D1213" t="str">
        <x:v>슈프리마에이치큐</x:v>
      </x:c>
      <x:c r="E1213" t="str">
        <x:v>KOSDAQ</x:v>
      </x:c>
      <x:c r="F1213" t="str">
        <x:v>SMALL</x:v>
      </x:c>
      <x:c r="G1213" t="str">
        <x:v>ELIGIBLE</x:v>
      </x:c>
      <x:c r="H1213"/>
      <x:c r="I1213" s="54" t="n">
        <x:v>44651</x:v>
      </x:c>
      <x:c r="J1213" s="55" t="n">
        <x:v>7880</x:v>
      </x:c>
      <x:c r="K1213" s="55" t="n">
        <x:v>82518099200</x:v>
      </x:c>
      <x:c r="L1213" s="55" t="n">
        <x:v>10471840</x:v>
      </x:c>
      <x:c r="M1213" t="str">
        <x:v>20220315001144</x:v>
      </x:c>
      <x:c r="N1213" t="n">
        <x:v>44635.624999988424</x:v>
      </x:c>
      <x:c r="O1213" s="54" t="n">
        <x:v>44561</x:v>
      </x:c>
      <x:c r="P1213" t="str">
        <x:v>False</x:v>
      </x:c>
      <x:c r="Q1213" t="str">
        <x:v>3055b44bdf1a0bc3f1c2b63955ecab3f1f8befbe36f39b51c0ee4f27cc1e2216</x:v>
      </x:c>
      <x:c r="R1213" t="str">
        <x:v>0a9461d98757f448405ad4567d4387ef3bd81a693a35a4285e52fba80d932a13</x:v>
      </x:c>
      <x:c r="S1213" t="n">
        <x:v>6</x:v>
      </x:c>
      <x:c r="T1213" t="str">
        <x:v>2018-12-31|2019-12-31|2020-12-31|2021-12-31</x:v>
      </x:c>
      <x:c r="U1213" s="57" t="n">
        <x:v>5564.559591376181</x:v>
      </x:c>
      <x:c r="V1213" s="57" t="n">
        <x:v>-0.2938376153075913</x:v>
      </x:c>
      <x:c r="W1213" t="n">
        <x:v>26</x:v>
      </x:c>
      <x:c r="X1213" t="n">
        <x:v>2</x:v>
      </x:c>
      <x:c r="Y1213" s="38" t="n">
        <x:v>0.6409090909090909</x:v>
      </x:c>
      <x:c r="Z1213" s="38" t="n">
        <x:v>0.6038666227370082</x:v>
      </x:c>
      <x:c r="AA1213"/>
    </x:row>
    <x:row r="1214">
      <x:c r="A1214" s="54" t="n">
        <x:v>44651</x:v>
      </x:c>
      <x:c r="B1214" t="n">
        <x:v>44651.624999988424</x:v>
      </x:c>
      <x:c r="C1214" t="str">
        <x:v>019990</x:v>
      </x:c>
      <x:c r="D1214" t="str">
        <x:v>에너토크</x:v>
      </x:c>
      <x:c r="E1214" t="str">
        <x:v>KOSDAQ</x:v>
      </x:c>
      <x:c r="F1214" t="str">
        <x:v>SMALL</x:v>
      </x:c>
      <x:c r="G1214" t="str">
        <x:v>DCF_SCREENING_EXCLUSION</x:v>
      </x:c>
      <x:c r="H1214" t="str">
        <x:v>NON_POSITIVE_ENTERPRISE_VALUE|NON_POSITIVE_EQUITY_VALUE|NON_POSITIVE_TERMINAL_FCF</x:v>
      </x:c>
      <x:c r="I1214" s="54" t="n">
        <x:v>44651</x:v>
      </x:c>
      <x:c r="J1214" s="55" t="n">
        <x:v>15200</x:v>
      </x:c>
      <x:c r="K1214" s="55" t="n">
        <x:v>148292537600</x:v>
      </x:c>
      <x:c r="L1214" s="55" t="n">
        <x:v>9756088</x:v>
      </x:c>
      <x:c r="M1214" t="str">
        <x:v>20220317001066</x:v>
      </x:c>
      <x:c r="N1214" t="n">
        <x:v>44637.624999988424</x:v>
      </x:c>
      <x:c r="O1214" s="54" t="n">
        <x:v>44561</x:v>
      </x:c>
      <x:c r="P1214" t="str">
        <x:v>False</x:v>
      </x:c>
      <x:c r="Q1214" t="str">
        <x:v>089b7c92444a9ef621a7bf8f5273ef6fdef7220071b096c9fe7f43e742e55092</x:v>
      </x:c>
      <x:c r="R1214" t="str">
        <x:v>35368cfe0bb7705445e965c9724628dcf461681b5765679f98fd5eb478d15561</x:v>
      </x:c>
      <x:c r="S1214" t="n">
        <x:v>7</x:v>
      </x:c>
      <x:c r="T1214" t="str">
        <x:v>2018-12-31|2019-12-31|2020-12-31|2021-12-31</x:v>
      </x:c>
      <x:c r="U1214" s="57" t="n">
        <x:v>-456.7175493444326</x:v>
      </x:c>
      <x:c r="V1214" s="57" t="n">
        <x:v>-1.0300472071937126</x:v>
      </x:c>
      <x:c r="W1214"/>
      <x:c r="X1214"/>
      <x:c r="Y1214" s="38" t="n">
        <x:v>0.6409090909090909</x:v>
      </x:c>
      <x:c r="Z1214" s="38" t="n">
        <x:v>0.7116290567781939</x:v>
      </x:c>
      <x:c r="AA1214" t="str">
        <x:v>NON_POSITIVE_ENTERPRISE_VALUE|NON_POSITIVE_EQUITY_VALUE|NON_POSITIVE_TERMINAL_FCF</x:v>
      </x:c>
    </x:row>
    <x:row r="1215">
      <x:c r="A1215" s="54" t="n">
        <x:v>44651</x:v>
      </x:c>
      <x:c r="B1215" t="n">
        <x:v>44651.624999988424</x:v>
      </x:c>
      <x:c r="C1215" t="str">
        <x:v>024740</x:v>
      </x:c>
      <x:c r="D1215" t="str">
        <x:v>한일단조</x:v>
      </x:c>
      <x:c r="E1215" t="str">
        <x:v>KOSDAQ</x:v>
      </x:c>
      <x:c r="F1215" t="str">
        <x:v>SMALL</x:v>
      </x:c>
      <x:c r="G1215" t="str">
        <x:v>DCF_SCREENING_EXCLUSION</x:v>
      </x:c>
      <x:c r="H1215" t="str">
        <x:v>NON_POSITIVE_ENTERPRISE_VALUE|NON_POSITIVE_EQUITY_VALUE|NON_POSITIVE_TERMINAL_FCF</x:v>
      </x:c>
      <x:c r="I1215" s="54" t="n">
        <x:v>44651</x:v>
      </x:c>
      <x:c r="J1215" s="55" t="n">
        <x:v>3000</x:v>
      </x:c>
      <x:c r="K1215" s="55" t="n">
        <x:v>89673984000</x:v>
      </x:c>
      <x:c r="L1215" s="55" t="n">
        <x:v>29891328</x:v>
      </x:c>
      <x:c r="M1215" t="str">
        <x:v>20220321001231</x:v>
      </x:c>
      <x:c r="N1215" t="n">
        <x:v>44641.624999988424</x:v>
      </x:c>
      <x:c r="O1215" s="54" t="n">
        <x:v>44561</x:v>
      </x:c>
      <x:c r="P1215" t="str">
        <x:v>False</x:v>
      </x:c>
      <x:c r="Q1215" t="str">
        <x:v>077840fee17f9af01264f3120dec1ee29756194c7c19af5659e583de5ce8f598</x:v>
      </x:c>
      <x:c r="R1215" t="str">
        <x:v>9d7fb519c7e09e3d52a3f8a4abbfcc60bd191659ab3ce71252b605384b0a1be2</x:v>
      </x:c>
      <x:c r="S1215" t="n">
        <x:v>7</x:v>
      </x:c>
      <x:c r="T1215" t="str">
        <x:v>2018-12-31|2019-12-31|2020-12-31|2021-12-31</x:v>
      </x:c>
      <x:c r="U1215" s="57" t="n">
        <x:v>-3356.488536663042</x:v>
      </x:c>
      <x:c r="V1215" s="57" t="n">
        <x:v>-2.118829512221014</x:v>
      </x:c>
      <x:c r="W1215"/>
      <x:c r="X1215"/>
      <x:c r="Y1215" s="38" t="n">
        <x:v>0.6409090909090909</x:v>
      </x:c>
      <x:c r="Z1215" s="38" t="n">
        <x:v>0.40181597915254924</x:v>
      </x:c>
      <x:c r="AA1215" t="str">
        <x:v>NON_POSITIVE_ENTERPRISE_VALUE|NON_POSITIVE_EQUITY_VALUE|NON_POSITIVE_TERMINAL_FCF</x:v>
      </x:c>
    </x:row>
    <x:row r="1216">
      <x:c r="A1216" s="54" t="n">
        <x:v>44651</x:v>
      </x:c>
      <x:c r="B1216" t="n">
        <x:v>44651.624999988424</x:v>
      </x:c>
      <x:c r="C1216" t="str">
        <x:v>340930</x:v>
      </x:c>
      <x:c r="D1216" t="str">
        <x:v>유일에너테크</x:v>
      </x:c>
      <x:c r="E1216" t="str">
        <x:v>KOSDAQ</x:v>
      </x:c>
      <x:c r="F1216" t="str">
        <x:v>SMALL</x:v>
      </x:c>
      <x:c r="G1216" t="str">
        <x:v>DCF_SCREENING_EXCLUSION</x:v>
      </x:c>
      <x:c r="H1216" t="str">
        <x:v>NON_POSITIVE_ENTERPRISE_VALUE|NON_POSITIVE_EQUITY_VALUE|NON_POSITIVE_TERMINAL_FCF</x:v>
      </x:c>
      <x:c r="I1216" s="54" t="n">
        <x:v>44651</x:v>
      </x:c>
      <x:c r="J1216" s="55" t="n">
        <x:v>20100</x:v>
      </x:c>
      <x:c r="K1216" s="55" t="n">
        <x:v>214562354400</x:v>
      </x:c>
      <x:c r="L1216" s="55" t="n">
        <x:v>10674744</x:v>
      </x:c>
      <x:c r="M1216" t="str">
        <x:v>20220318000722</x:v>
      </x:c>
      <x:c r="N1216" t="n">
        <x:v>44638.624999988424</x:v>
      </x:c>
      <x:c r="O1216" s="54" t="n">
        <x:v>44561</x:v>
      </x:c>
      <x:c r="P1216" t="str">
        <x:v>False</x:v>
      </x:c>
      <x:c r="Q1216" t="str">
        <x:v>5f6ecf9486be838a497ea76fe0da0a07eabcebc686562bea432dae373ffb41f4</x:v>
      </x:c>
      <x:c r="R1216" t="str">
        <x:v>e1bf5039191c67e14f81124a563b41975ae52413d662967dad0faedd5dea4d4d</x:v>
      </x:c>
      <x:c r="S1216" t="n">
        <x:v>7</x:v>
      </x:c>
      <x:c r="T1216" t="str">
        <x:v>2020-12-31|2021-12-31</x:v>
      </x:c>
      <x:c r="U1216" s="57" t="n">
        <x:v>-2790.691513978419</x:v>
      </x:c>
      <x:c r="V1216" s="57" t="n">
        <x:v>-1.138840373829772</x:v>
      </x:c>
      <x:c r="W1216"/>
      <x:c r="X1216"/>
      <x:c r="Y1216" s="38" t="n">
        <x:v>0.6409090909090909</x:v>
      </x:c>
      <x:c r="Z1216" s="38" t="n">
        <x:v>0.4677358915820292</x:v>
      </x:c>
      <x:c r="AA1216" t="str">
        <x:v>NON_POSITIVE_ENTERPRISE_VALUE|NON_POSITIVE_EQUITY_VALUE|NON_POSITIVE_TERMINAL_FCF</x:v>
      </x:c>
    </x:row>
    <x:row r="1217">
      <x:c r="A1217" s="54" t="n">
        <x:v>44651</x:v>
      </x:c>
      <x:c r="B1217" t="n">
        <x:v>44651.624999988424</x:v>
      </x:c>
      <x:c r="C1217" t="str">
        <x:v>057030</x:v>
      </x:c>
      <x:c r="D1217" t="str">
        <x:v>YBM넷</x:v>
      </x:c>
      <x:c r="E1217" t="str">
        <x:v>KOSDAQ</x:v>
      </x:c>
      <x:c r="F1217" t="str">
        <x:v>SMALL</x:v>
      </x:c>
      <x:c r="G1217" t="str">
        <x:v>ELIGIBLE</x:v>
      </x:c>
      <x:c r="H1217"/>
      <x:c r="I1217" s="54" t="n">
        <x:v>44651</x:v>
      </x:c>
      <x:c r="J1217" s="55" t="n">
        <x:v>6190</x:v>
      </x:c>
      <x:c r="K1217" s="55" t="n">
        <x:v>100975594430</x:v>
      </x:c>
      <x:c r="L1217" s="55" t="n">
        <x:v>16312697</x:v>
      </x:c>
      <x:c r="M1217" t="str">
        <x:v>20220323000611</x:v>
      </x:c>
      <x:c r="N1217" t="n">
        <x:v>44643.624999988424</x:v>
      </x:c>
      <x:c r="O1217" s="54" t="n">
        <x:v>44561</x:v>
      </x:c>
      <x:c r="P1217" t="str">
        <x:v>False</x:v>
      </x:c>
      <x:c r="Q1217" t="str">
        <x:v>dc4ac923df63aa87ff0f05d94a32761eaf8531210ea4a0c55f38312873dded52</x:v>
      </x:c>
      <x:c r="R1217" t="str">
        <x:v>e2018870c912d1c93fb0f426f20643a07e04445245400f0986b4f4c4e693f540</x:v>
      </x:c>
      <x:c r="S1217" t="n">
        <x:v>6</x:v>
      </x:c>
      <x:c r="T1217" t="str">
        <x:v>2018-12-31|2019-12-31|2020-12-31|2021-12-31</x:v>
      </x:c>
      <x:c r="U1217" s="57" t="n">
        <x:v>690.8931499422238</x:v>
      </x:c>
      <x:c r="V1217" s="57" t="n">
        <x:v>-0.8883855977476214</x:v>
      </x:c>
      <x:c r="W1217" t="n">
        <x:v>64</x:v>
      </x:c>
      <x:c r="X1217" t="n">
        <x:v>5</x:v>
      </x:c>
      <x:c r="Y1217" s="38" t="n">
        <x:v>0.6409090909090909</x:v>
      </x:c>
      <x:c r="Z1217" s="38" t="n">
        <x:v>0.4546761969160054</x:v>
      </x:c>
      <x:c r="AA1217"/>
    </x:row>
    <x:row r="1218">
      <x:c r="A1218" s="54" t="n">
        <x:v>44651</x:v>
      </x:c>
      <x:c r="B1218" t="n">
        <x:v>44651.624999988424</x:v>
      </x:c>
      <x:c r="C1218" t="str">
        <x:v>053160</x:v>
      </x:c>
      <x:c r="D1218" t="str">
        <x:v>프리엠스</x:v>
      </x:c>
      <x:c r="E1218" t="str">
        <x:v>KOSDAQ</x:v>
      </x:c>
      <x:c r="F1218" t="str">
        <x:v>SMALL</x:v>
      </x:c>
      <x:c r="G1218" t="str">
        <x:v>DCF_SCREENING_EXCLUSION</x:v>
      </x:c>
      <x:c r="H1218" t="str">
        <x:v>NON_POSITIVE_TERMINAL_FCF|UNRELIABLE_TERMINAL_VALUE_SHARE</x:v>
      </x:c>
      <x:c r="I1218" s="54" t="n">
        <x:v>44651</x:v>
      </x:c>
      <x:c r="J1218" s="55" t="n">
        <x:v>9190</x:v>
      </x:c>
      <x:c r="K1218" s="55" t="n">
        <x:v>55140000000</x:v>
      </x:c>
      <x:c r="L1218" s="55" t="n">
        <x:v>6000000</x:v>
      </x:c>
      <x:c r="M1218" t="str">
        <x:v>20220317000916</x:v>
      </x:c>
      <x:c r="N1218" t="n">
        <x:v>44637.624999988424</x:v>
      </x:c>
      <x:c r="O1218" s="54" t="n">
        <x:v>44561</x:v>
      </x:c>
      <x:c r="P1218" t="str">
        <x:v>False</x:v>
      </x:c>
      <x:c r="Q1218" t="str">
        <x:v>c9366f65949a70b5d07b68596c98e467aa02812c80e144305fab8224d82e75a2</x:v>
      </x:c>
      <x:c r="R1218" t="str">
        <x:v>765cdd5f90ba326a7de3604289a4ecba090bd46f99e32947b126df0df8c9d6d4</x:v>
      </x:c>
      <x:c r="S1218" t="n">
        <x:v>7</x:v>
      </x:c>
      <x:c r="T1218" t="str">
        <x:v>2018-12-31|2019-12-31|2020-12-31|2021-12-31</x:v>
      </x:c>
      <x:c r="U1218" s="57" t="n">
        <x:v>24.451715793899197</x:v>
      </x:c>
      <x:c r="V1218" s="57" t="n">
        <x:v>-0.9973393127536563</x:v>
      </x:c>
      <x:c r="W1218"/>
      <x:c r="X1218"/>
      <x:c r="Y1218" s="38" t="n">
        <x:v>0.6409090909090909</x:v>
      </x:c>
      <x:c r="Z1218" s="38" t="n">
        <x:v>-1.086588492260703</x:v>
      </x:c>
      <x:c r="AA1218" t="str">
        <x:v>NON_POSITIVE_TERMINAL_FCF|UNRELIABLE_TERMINAL_VALUE_SHARE</x:v>
      </x:c>
    </x:row>
    <x:row r="1219">
      <x:c r="A1219" s="54" t="n">
        <x:v>44651</x:v>
      </x:c>
      <x:c r="B1219" t="n">
        <x:v>44651.624999988424</x:v>
      </x:c>
      <x:c r="C1219" t="str">
        <x:v>038620</x:v>
      </x:c>
      <x:c r="D1219" t="str">
        <x:v>위즈코프</x:v>
      </x:c>
      <x:c r="E1219" t="str">
        <x:v>KOSDAQ</x:v>
      </x:c>
      <x:c r="F1219" t="str">
        <x:v>SMALL</x:v>
      </x:c>
      <x:c r="G1219" t="str">
        <x:v>ELIGIBLE</x:v>
      </x:c>
      <x:c r="H1219"/>
      <x:c r="I1219" s="54" t="n">
        <x:v>44651</x:v>
      </x:c>
      <x:c r="J1219" s="55" t="n">
        <x:v>1770</x:v>
      </x:c>
      <x:c r="K1219" s="55" t="n">
        <x:v>117787243050</x:v>
      </x:c>
      <x:c r="L1219" s="55" t="n">
        <x:v>66546465</x:v>
      </x:c>
      <x:c r="M1219" t="str">
        <x:v>20220321000819</x:v>
      </x:c>
      <x:c r="N1219" t="n">
        <x:v>44641.624999988424</x:v>
      </x:c>
      <x:c r="O1219" s="54" t="n">
        <x:v>44561</x:v>
      </x:c>
      <x:c r="P1219" t="str">
        <x:v>False</x:v>
      </x:c>
      <x:c r="Q1219" t="str">
        <x:v>5c4454c4fe18996695981d70e069eb3386a0c108f2aa784feda5035cfc59d817</x:v>
      </x:c>
      <x:c r="R1219" t="str">
        <x:v>87c0bf9aa2b3eebed0be845f0abd88ba82914a06a6c03f61d58a885b537f4ed7</x:v>
      </x:c>
      <x:c r="S1219" t="n">
        <x:v>5</x:v>
      </x:c>
      <x:c r="T1219" t="str">
        <x:v>2018-12-31|2019-12-31|2020-12-31|2021-12-31</x:v>
      </x:c>
      <x:c r="U1219" s="57" t="n">
        <x:v>325.2219975429165</x:v>
      </x:c>
      <x:c r="V1219" s="57" t="n">
        <x:v>-0.8162587584503297</x:v>
      </x:c>
      <x:c r="W1219" t="n">
        <x:v>56</x:v>
      </x:c>
      <x:c r="X1219" t="n">
        <x:v>5</x:v>
      </x:c>
      <x:c r="Y1219" s="38" t="n">
        <x:v>0.6409090909090909</x:v>
      </x:c>
      <x:c r="Z1219" s="38" t="n">
        <x:v>0.6350884475468049</x:v>
      </x:c>
      <x:c r="AA1219"/>
    </x:row>
    <x:row r="1220">
      <x:c r="A1220" s="54" t="n">
        <x:v>44651</x:v>
      </x:c>
      <x:c r="B1220" t="n">
        <x:v>44651.624999988424</x:v>
      </x:c>
      <x:c r="C1220" t="str">
        <x:v>313760</x:v>
      </x:c>
      <x:c r="D1220" t="str">
        <x:v>캐리</x:v>
      </x:c>
      <x:c r="E1220" t="str">
        <x:v>KOSDAQ</x:v>
      </x:c>
      <x:c r="F1220" t="str">
        <x:v>SMALL</x:v>
      </x:c>
      <x:c r="G1220" t="str">
        <x:v>DCF_SCREENING_EXCLUSION</x:v>
      </x:c>
      <x:c r="H1220" t="str">
        <x:v>NON_POSITIVE_ENTERPRISE_VALUE|NON_POSITIVE_EQUITY_VALUE|NON_POSITIVE_TERMINAL_FCF</x:v>
      </x:c>
      <x:c r="I1220" s="54" t="n">
        <x:v>44651</x:v>
      </x:c>
      <x:c r="J1220" s="55" t="n">
        <x:v>12650</x:v>
      </x:c>
      <x:c r="K1220" s="55" t="n">
        <x:v>63515650000</x:v>
      </x:c>
      <x:c r="L1220" s="55" t="n">
        <x:v>5021000</x:v>
      </x:c>
      <x:c r="M1220" t="str">
        <x:v>20220317000439</x:v>
      </x:c>
      <x:c r="N1220" t="n">
        <x:v>44637.624999988424</x:v>
      </x:c>
      <x:c r="O1220" s="54" t="n">
        <x:v>44561</x:v>
      </x:c>
      <x:c r="P1220" t="str">
        <x:v>False</x:v>
      </x:c>
      <x:c r="Q1220" t="str">
        <x:v>9ae179f370a8494e92b8b80e132d8d1f7740bd521b07ed874fe6834451df534c</x:v>
      </x:c>
      <x:c r="R1220" t="str">
        <x:v>e39af1bd104c1f523a839ed3e0a9c6aee093df4b480e4f97b897847ee30d76b8</x:v>
      </x:c>
      <x:c r="S1220" t="n">
        <x:v>5</x:v>
      </x:c>
      <x:c r="T1220" t="str">
        <x:v>2019-12-31|2020-12-31|2021-12-31</x:v>
      </x:c>
      <x:c r="U1220" s="57" t="n">
        <x:v>-1591.0908356368914</x:v>
      </x:c>
      <x:c r="V1220" s="57" t="n">
        <x:v>-1.1257779316709005</x:v>
      </x:c>
      <x:c r="W1220"/>
      <x:c r="X1220"/>
      <x:c r="Y1220" s="38" t="n">
        <x:v>0.6409090909090909</x:v>
      </x:c>
      <x:c r="Z1220" s="38" t="n">
        <x:v>0.4777823497031718</x:v>
      </x:c>
      <x:c r="AA1220" t="str">
        <x:v>NON_POSITIVE_ENTERPRISE_VALUE|NON_POSITIVE_EQUITY_VALUE|NON_POSITIVE_TERMINAL_FCF</x:v>
      </x:c>
    </x:row>
    <x:row r="1221">
      <x:c r="A1221" s="54" t="n">
        <x:v>44651</x:v>
      </x:c>
      <x:c r="B1221" t="n">
        <x:v>44651.624999988424</x:v>
      </x:c>
      <x:c r="C1221" t="str">
        <x:v>372800</x:v>
      </x:c>
      <x:c r="D1221" t="str">
        <x:v>아이티아이즈</x:v>
      </x:c>
      <x:c r="E1221" t="str">
        <x:v>KOSDAQ</x:v>
      </x:c>
      <x:c r="F1221" t="str">
        <x:v>SMALL</x:v>
      </x:c>
      <x:c r="G1221" t="str">
        <x:v>DCF_SCREENING_EXCLUSION</x:v>
      </x:c>
      <x:c r="H1221" t="str">
        <x:v>NON_POSITIVE_ENTERPRISE_VALUE|NON_POSITIVE_EQUITY_VALUE|NON_POSITIVE_TERMINAL_FCF</x:v>
      </x:c>
      <x:c r="I1221" s="54" t="n">
        <x:v>44651</x:v>
      </x:c>
      <x:c r="J1221" s="55" t="n">
        <x:v>17100</x:v>
      </x:c>
      <x:c r="K1221" s="55" t="n">
        <x:v>98786358000</x:v>
      </x:c>
      <x:c r="L1221" s="55" t="n">
        <x:v>5776980</x:v>
      </x:c>
      <x:c r="M1221" t="str">
        <x:v>20220321000273</x:v>
      </x:c>
      <x:c r="N1221" t="n">
        <x:v>44641.624999988424</x:v>
      </x:c>
      <x:c r="O1221" s="54" t="n">
        <x:v>44561</x:v>
      </x:c>
      <x:c r="P1221" t="str">
        <x:v>False</x:v>
      </x:c>
      <x:c r="Q1221" t="str">
        <x:v>1fb2381ef38295f6ab34b31f3ed31f3c71974814bd50d66980821de705c5c184</x:v>
      </x:c>
      <x:c r="R1221" t="str">
        <x:v>9a11bc02e8b82648c2bc87021ec17c2483a25563efed84a508393d719053c6b6</x:v>
      </x:c>
      <x:c r="S1221" t="n">
        <x:v>7</x:v>
      </x:c>
      <x:c r="T1221" t="str">
        <x:v>2021-12-31</x:v>
      </x:c>
      <x:c r="U1221" s="57" t="n">
        <x:v>-1149.6831983593504</x:v>
      </x:c>
      <x:c r="V1221" s="57" t="n">
        <x:v>-1.0672329355765702</x:v>
      </x:c>
      <x:c r="W1221"/>
      <x:c r="X1221"/>
      <x:c r="Y1221" s="38" t="n">
        <x:v>0.6409090909090909</x:v>
      </x:c>
      <x:c r="Z1221" s="38" t="n">
        <x:v>0.6264850986190418</x:v>
      </x:c>
      <x:c r="AA1221" t="str">
        <x:v>NON_POSITIVE_ENTERPRISE_VALUE|NON_POSITIVE_EQUITY_VALUE|NON_POSITIVE_TERMINAL_FCF</x:v>
      </x:c>
    </x:row>
    <x:row r="1222">
      <x:c r="A1222" s="54" t="n">
        <x:v>44651</x:v>
      </x:c>
      <x:c r="B1222" t="n">
        <x:v>44651.624999988424</x:v>
      </x:c>
      <x:c r="C1222" t="str">
        <x:v>332290</x:v>
      </x:c>
      <x:c r="D1222" t="str">
        <x:v>누보</x:v>
      </x:c>
      <x:c r="E1222" t="str">
        <x:v>KOSDAQ</x:v>
      </x:c>
      <x:c r="F1222" t="str">
        <x:v>SMALL</x:v>
      </x:c>
      <x:c r="G1222" t="str">
        <x:v>NO_PIT_FINANCIALS</x:v>
      </x:c>
      <x:c r="H1222"/>
      <x:c r="I1222" s="54" t="n">
        <x:v>44651</x:v>
      </x:c>
      <x:c r="J1222" s="55" t="n">
        <x:v>3510</x:v>
      </x:c>
      <x:c r="K1222" s="55" t="n">
        <x:v>111218993730</x:v>
      </x:c>
      <x:c r="L1222" s="55" t="n">
        <x:v>31686323</x:v>
      </x:c>
      <x:c r="M1222"/>
      <x:c r="N1222"/>
      <x:c r="O1222" s="54"/>
      <x:c r="P1222"/>
      <x:c r="Q1222"/>
      <x:c r="R1222"/>
      <x:c r="S1222"/>
      <x:c r="T1222"/>
      <x:c r="U1222" s="57"/>
      <x:c r="V1222" s="57"/>
      <x:c r="W1222"/>
      <x:c r="X1222"/>
      <x:c r="Y1222" s="38"/>
      <x:c r="Z1222" s="38"/>
      <x:c r="AA1222"/>
    </x:row>
    <x:row r="1223">
      <x:c r="A1223" s="54" t="n">
        <x:v>44651</x:v>
      </x:c>
      <x:c r="B1223" t="n">
        <x:v>44651.624999988424</x:v>
      </x:c>
      <x:c r="C1223" t="str">
        <x:v>059100</x:v>
      </x:c>
      <x:c r="D1223" t="str">
        <x:v>아이컴포넌트</x:v>
      </x:c>
      <x:c r="E1223" t="str">
        <x:v>KOSDAQ</x:v>
      </x:c>
      <x:c r="F1223" t="str">
        <x:v>SMALL</x:v>
      </x:c>
      <x:c r="G1223" t="str">
        <x:v>ELIGIBLE</x:v>
      </x:c>
      <x:c r="H1223"/>
      <x:c r="I1223" s="54" t="n">
        <x:v>44651</x:v>
      </x:c>
      <x:c r="J1223" s="55" t="n">
        <x:v>6360</x:v>
      </x:c>
      <x:c r="K1223" s="55" t="n">
        <x:v>44970669600</x:v>
      </x:c>
      <x:c r="L1223" s="55" t="n">
        <x:v>7070860</x:v>
      </x:c>
      <x:c r="M1223" t="str">
        <x:v>20220316000462</x:v>
      </x:c>
      <x:c r="N1223" t="n">
        <x:v>44636.624999988424</x:v>
      </x:c>
      <x:c r="O1223" s="54" t="n">
        <x:v>44561</x:v>
      </x:c>
      <x:c r="P1223" t="str">
        <x:v>False</x:v>
      </x:c>
      <x:c r="Q1223" t="str">
        <x:v>4d0291105bbc3a55906253b35bc66670f9096269357a961ca2dd66009b79d58e</x:v>
      </x:c>
      <x:c r="R1223" t="str">
        <x:v>f0273cce86345aff4a6350833e3d21c6376f41a431a3756460c69999c690aaff</x:v>
      </x:c>
      <x:c r="S1223" t="n">
        <x:v>7</x:v>
      </x:c>
      <x:c r="T1223" t="str">
        <x:v>2018-12-31|2019-12-31|2020-12-31|2021-12-31</x:v>
      </x:c>
      <x:c r="U1223" s="57" t="n">
        <x:v>1027.619480089783</x:v>
      </x:c>
      <x:c r="V1223" s="57" t="n">
        <x:v>-0.8384246100487762</x:v>
      </x:c>
      <x:c r="W1223" t="n">
        <x:v>57</x:v>
      </x:c>
      <x:c r="X1223" t="n">
        <x:v>5</x:v>
      </x:c>
      <x:c r="Y1223" s="38" t="n">
        <x:v>0.6409090909090909</x:v>
      </x:c>
      <x:c r="Z1223" s="38" t="n">
        <x:v>0.5799306062865924</x:v>
      </x:c>
      <x:c r="AA1223"/>
    </x:row>
    <x:row r="1224">
      <x:c r="A1224" s="54" t="n">
        <x:v>44651</x:v>
      </x:c>
      <x:c r="B1224" t="n">
        <x:v>44651.624999988424</x:v>
      </x:c>
      <x:c r="C1224" t="str">
        <x:v>060900</x:v>
      </x:c>
      <x:c r="D1224" t="str">
        <x:v>DGP</x:v>
      </x:c>
      <x:c r="E1224" t="str">
        <x:v>KOSDAQ</x:v>
      </x:c>
      <x:c r="F1224" t="str">
        <x:v>SMALL</x:v>
      </x:c>
      <x:c r="G1224" t="str">
        <x:v>DCF_SCREENING_EXCLUSION</x:v>
      </x:c>
      <x:c r="H1224" t="str">
        <x:v>NON_POSITIVE_ENTERPRISE_VALUE|NON_POSITIVE_EQUITY_VALUE|NON_POSITIVE_TERMINAL_FCF|UNRELIABLE_TERMINAL_VALUE_SHARE</x:v>
      </x:c>
      <x:c r="I1224" s="54" t="n">
        <x:v>44651</x:v>
      </x:c>
      <x:c r="J1224" s="55" t="n">
        <x:v>1240</x:v>
      </x:c>
      <x:c r="K1224" s="55" t="n">
        <x:v>214255638200</x:v>
      </x:c>
      <x:c r="L1224" s="55" t="n">
        <x:v>172786805</x:v>
      </x:c>
      <x:c r="M1224" t="str">
        <x:v>20220321000578</x:v>
      </x:c>
      <x:c r="N1224" t="n">
        <x:v>44641.624999988424</x:v>
      </x:c>
      <x:c r="O1224" s="54" t="n">
        <x:v>44561</x:v>
      </x:c>
      <x:c r="P1224" t="str">
        <x:v>False</x:v>
      </x:c>
      <x:c r="Q1224" t="str">
        <x:v>a92665cbc375e381798994e6fb242db5536f90161fb11f4dfa1afeecd75781b8</x:v>
      </x:c>
      <x:c r="R1224" t="str">
        <x:v>8bfbd54d271afaeb9f19f19ed7e42e70f589576253436fa6c6bb117917e601ce</x:v>
      </x:c>
      <x:c r="S1224" t="n">
        <x:v>5</x:v>
      </x:c>
      <x:c r="T1224" t="str">
        <x:v>2018-12-31|2019-12-31|2021-12-31</x:v>
      </x:c>
      <x:c r="U1224" s="57" t="n">
        <x:v>-234.6173189772261</x:v>
      </x:c>
      <x:c r="V1224" s="57" t="n">
        <x:v>-1.1892075153042145</x:v>
      </x:c>
      <x:c r="W1224"/>
      <x:c r="X1224"/>
      <x:c r="Y1224" s="38" t="n">
        <x:v>0.6409090909090909</x:v>
      </x:c>
      <x:c r="Z1224" s="38" t="n">
        <x:v>0.8755789469224888</x:v>
      </x:c>
      <x:c r="AA1224" t="str">
        <x:v>NON_POSITIVE_ENTERPRISE_VALUE|NON_POSITIVE_EQUITY_VALUE|NON_POSITIVE_TERMINAL_FCF|UNRELIABLE_TERMINAL_VALUE_SHARE</x:v>
      </x:c>
    </x:row>
    <x:row r="1225">
      <x:c r="A1225" s="54" t="n">
        <x:v>44651</x:v>
      </x:c>
      <x:c r="B1225" t="n">
        <x:v>44651.624999988424</x:v>
      </x:c>
      <x:c r="C1225" t="str">
        <x:v>232830</x:v>
      </x:c>
      <x:c r="D1225" t="str">
        <x:v>아이티센피엔에스</x:v>
      </x:c>
      <x:c r="E1225" t="str">
        <x:v>KOSDAQ</x:v>
      </x:c>
      <x:c r="F1225" t="str">
        <x:v>SMALL</x:v>
      </x:c>
      <x:c r="G1225" t="str">
        <x:v>NO_PIT_FINANCIALS</x:v>
      </x:c>
      <x:c r="H1225"/>
      <x:c r="I1225" s="54" t="n">
        <x:v>44651</x:v>
      </x:c>
      <x:c r="J1225" s="55" t="n">
        <x:v>2900</x:v>
      </x:c>
      <x:c r="K1225" s="55" t="n">
        <x:v>27576192800</x:v>
      </x:c>
      <x:c r="L1225" s="55" t="n">
        <x:v>9509032</x:v>
      </x:c>
      <x:c r="M1225"/>
      <x:c r="N1225"/>
      <x:c r="O1225" s="54"/>
      <x:c r="P1225"/>
      <x:c r="Q1225"/>
      <x:c r="R1225"/>
      <x:c r="S1225"/>
      <x:c r="T1225"/>
      <x:c r="U1225" s="57"/>
      <x:c r="V1225" s="57"/>
      <x:c r="W1225"/>
      <x:c r="X1225"/>
      <x:c r="Y1225" s="38"/>
      <x:c r="Z1225" s="38"/>
      <x:c r="AA1225"/>
    </x:row>
    <x:row r="1226">
      <x:c r="A1226" s="54" t="n">
        <x:v>44651</x:v>
      </x:c>
      <x:c r="B1226" t="n">
        <x:v>44651.624999988424</x:v>
      </x:c>
      <x:c r="C1226" t="str">
        <x:v>070590</x:v>
      </x:c>
      <x:c r="D1226" t="str">
        <x:v>한솔인티큐브</x:v>
      </x:c>
      <x:c r="E1226" t="str">
        <x:v>KOSDAQ</x:v>
      </x:c>
      <x:c r="F1226" t="str">
        <x:v>SMALL</x:v>
      </x:c>
      <x:c r="G1226" t="str">
        <x:v>DCF_SCREENING_EXCLUSION</x:v>
      </x:c>
      <x:c r="H1226" t="str">
        <x:v>NON_POSITIVE_ENTERPRISE_VALUE|NON_POSITIVE_EQUITY_VALUE|NON_POSITIVE_TERMINAL_FCF</x:v>
      </x:c>
      <x:c r="I1226" s="54" t="n">
        <x:v>44651</x:v>
      </x:c>
      <x:c r="J1226" s="55" t="n">
        <x:v>3075</x:v>
      </x:c>
      <x:c r="K1226" s="55" t="n">
        <x:v>42679527075</x:v>
      </x:c>
      <x:c r="L1226" s="55" t="n">
        <x:v>13879521</x:v>
      </x:c>
      <x:c r="M1226" t="str">
        <x:v>20220315001188</x:v>
      </x:c>
      <x:c r="N1226" t="n">
        <x:v>44635.624999988424</x:v>
      </x:c>
      <x:c r="O1226" s="54" t="n">
        <x:v>44561</x:v>
      </x:c>
      <x:c r="P1226" t="str">
        <x:v>False</x:v>
      </x:c>
      <x:c r="Q1226" t="str">
        <x:v>c7321dabb1fdd428ccf91b048169ded522f1465a2910281adedcea5a06a65950</x:v>
      </x:c>
      <x:c r="R1226" t="str">
        <x:v>7e82e7d7ade04b9e6846d326f6c9283f560efb39fe2cbf26c5e10dc123288ea3</x:v>
      </x:c>
      <x:c r="S1226" t="n">
        <x:v>6</x:v>
      </x:c>
      <x:c r="T1226" t="str">
        <x:v>2018-12-31|2019-12-31|2020-12-31|2021-12-31</x:v>
      </x:c>
      <x:c r="U1226" s="57" t="n">
        <x:v>-119.30159571053062</x:v>
      </x:c>
      <x:c r="V1226" s="57" t="n">
        <x:v>-1.0387972668977334</x:v>
      </x:c>
      <x:c r="W1226"/>
      <x:c r="X1226"/>
      <x:c r="Y1226" s="38" t="n">
        <x:v>0.6409090909090909</x:v>
      </x:c>
      <x:c r="Z1226" s="38" t="n">
        <x:v>0.7222895576961198</x:v>
      </x:c>
      <x:c r="AA1226" t="str">
        <x:v>NON_POSITIVE_ENTERPRISE_VALUE|NON_POSITIVE_EQUITY_VALUE|NON_POSITIVE_TERMINAL_FCF</x:v>
      </x:c>
    </x:row>
    <x:row r="1227">
      <x:c r="A1227" s="54" t="n">
        <x:v>44651</x:v>
      </x:c>
      <x:c r="B1227" t="n">
        <x:v>44651.624999988424</x:v>
      </x:c>
      <x:c r="C1227" t="str">
        <x:v>163560</x:v>
      </x:c>
      <x:c r="D1227" t="str">
        <x:v>동일고무벨트</x:v>
      </x:c>
      <x:c r="E1227" t="str">
        <x:v>KOSPI</x:v>
      </x:c>
      <x:c r="F1227" t="str">
        <x:v>SMALL</x:v>
      </x:c>
      <x:c r="G1227" t="str">
        <x:v>ELIGIBLE</x:v>
      </x:c>
      <x:c r="H1227"/>
      <x:c r="I1227" s="54" t="n">
        <x:v>44651</x:v>
      </x:c>
      <x:c r="J1227" s="55" t="n">
        <x:v>7220</x:v>
      </x:c>
      <x:c r="K1227" s="55" t="n">
        <x:v>100358000000</x:v>
      </x:c>
      <x:c r="L1227" s="55" t="n">
        <x:v>13900000</x:v>
      </x:c>
      <x:c r="M1227" t="str">
        <x:v>20220315000862</x:v>
      </x:c>
      <x:c r="N1227" t="n">
        <x:v>44635.624999988424</x:v>
      </x:c>
      <x:c r="O1227" s="54" t="n">
        <x:v>44561</x:v>
      </x:c>
      <x:c r="P1227" t="str">
        <x:v>False</x:v>
      </x:c>
      <x:c r="Q1227" t="str">
        <x:v>a63ac20424bfa217e1c92290fcd14741bae792184f03195408029baab4c7741c</x:v>
      </x:c>
      <x:c r="R1227" t="str">
        <x:v>08269a80f2c9c042f51dc0592ab87e030407d354a4a176b22b8ef3a9f54f60c5</x:v>
      </x:c>
      <x:c r="S1227" t="n">
        <x:v>5</x:v>
      </x:c>
      <x:c r="T1227" t="str">
        <x:v>2018-12-31|2019-12-31|2020-12-31|2021-12-31</x:v>
      </x:c>
      <x:c r="U1227" s="57" t="n">
        <x:v>3225.2626379316716</x:v>
      </x:c>
      <x:c r="V1227" s="57" t="n">
        <x:v>-0.5532877232781618</x:v>
      </x:c>
      <x:c r="W1227" t="n">
        <x:v>37</x:v>
      </x:c>
      <x:c r="X1227" t="n">
        <x:v>3</x:v>
      </x:c>
      <x:c r="Y1227" s="38" t="n">
        <x:v>0.6409090909090909</x:v>
      </x:c>
      <x:c r="Z1227" s="38" t="n">
        <x:v>0.8360197484570959</x:v>
      </x:c>
      <x:c r="AA1227"/>
    </x:row>
    <x:row r="1228">
      <x:c r="A1228" s="54" t="n">
        <x:v>44651</x:v>
      </x:c>
      <x:c r="B1228" t="n">
        <x:v>44651.624999988424</x:v>
      </x:c>
      <x:c r="C1228" t="str">
        <x:v>004830</x:v>
      </x:c>
      <x:c r="D1228" t="str">
        <x:v>덕성</x:v>
      </x:c>
      <x:c r="E1228" t="str">
        <x:v>KOSPI</x:v>
      </x:c>
      <x:c r="F1228" t="str">
        <x:v>SMALL</x:v>
      </x:c>
      <x:c r="G1228" t="str">
        <x:v>ELIGIBLE</x:v>
      </x:c>
      <x:c r="H1228"/>
      <x:c r="I1228" s="54" t="n">
        <x:v>44651</x:v>
      </x:c>
      <x:c r="J1228" s="55" t="n">
        <x:v>9500</x:v>
      </x:c>
      <x:c r="K1228" s="55" t="n">
        <x:v>148960000000</x:v>
      </x:c>
      <x:c r="L1228" s="55" t="n">
        <x:v>15680000</x:v>
      </x:c>
      <x:c r="M1228" t="str">
        <x:v>20220318000680</x:v>
      </x:c>
      <x:c r="N1228" t="n">
        <x:v>44638.624999988424</x:v>
      </x:c>
      <x:c r="O1228" s="54" t="n">
        <x:v>44561</x:v>
      </x:c>
      <x:c r="P1228" t="str">
        <x:v>False</x:v>
      </x:c>
      <x:c r="Q1228" t="str">
        <x:v>d97580f7bf9ab35ec4c40d046ce948a9cc7791963fc5d4d70b88cc889cb946c4</x:v>
      </x:c>
      <x:c r="R1228" t="str">
        <x:v>70feffd024d7985472729225cf7d9b55b6d979dca06eec6cf12fd412aa8d2d31</x:v>
      </x:c>
      <x:c r="S1228" t="n">
        <x:v>7</x:v>
      </x:c>
      <x:c r="T1228" t="str">
        <x:v>2018-12-31|2019-12-31|2020-12-31|2021-12-31</x:v>
      </x:c>
      <x:c r="U1228" s="57" t="n">
        <x:v>692.3589943086391</x:v>
      </x:c>
      <x:c r="V1228" s="57" t="n">
        <x:v>-0.9271201058622485</x:v>
      </x:c>
      <x:c r="W1228" t="n">
        <x:v>66</x:v>
      </x:c>
      <x:c r="X1228" t="n">
        <x:v>5</x:v>
      </x:c>
      <x:c r="Y1228" s="38" t="n">
        <x:v>0.6409090909090909</x:v>
      </x:c>
      <x:c r="Z1228" s="38" t="n">
        <x:v>0.5893658841252093</x:v>
      </x:c>
      <x:c r="AA1228"/>
    </x:row>
    <x:row r="1229">
      <x:c r="A1229" s="54" t="n">
        <x:v>44651</x:v>
      </x:c>
      <x:c r="B1229" t="n">
        <x:v>44651.624999988424</x:v>
      </x:c>
      <x:c r="C1229" t="str">
        <x:v>014440</x:v>
      </x:c>
      <x:c r="D1229" t="str">
        <x:v>영보화학</x:v>
      </x:c>
      <x:c r="E1229" t="str">
        <x:v>KOSPI</x:v>
      </x:c>
      <x:c r="F1229" t="str">
        <x:v>SMALL</x:v>
      </x:c>
      <x:c r="G1229" t="str">
        <x:v>ELIGIBLE</x:v>
      </x:c>
      <x:c r="H1229"/>
      <x:c r="I1229" s="54" t="n">
        <x:v>44651</x:v>
      </x:c>
      <x:c r="J1229" s="55" t="n">
        <x:v>4860</x:v>
      </x:c>
      <x:c r="K1229" s="55" t="n">
        <x:v>97200000000</x:v>
      </x:c>
      <x:c r="L1229" s="55" t="n">
        <x:v>20000000</x:v>
      </x:c>
      <x:c r="M1229" t="str">
        <x:v>20220315000699</x:v>
      </x:c>
      <x:c r="N1229" t="n">
        <x:v>44635.624999988424</x:v>
      </x:c>
      <x:c r="O1229" s="54" t="n">
        <x:v>44561</x:v>
      </x:c>
      <x:c r="P1229" t="str">
        <x:v>False</x:v>
      </x:c>
      <x:c r="Q1229" t="str">
        <x:v>ce0ef300c9982a5ae96b8f38e938a76d55aacc2f5d6537116bf577a81156eb75</x:v>
      </x:c>
      <x:c r="R1229" t="str">
        <x:v>442ae15d0e3fed6330f21e670f5fc4175ec0ca53312f19dad42d5ebbb8cba72f</x:v>
      </x:c>
      <x:c r="S1229" t="n">
        <x:v>6</x:v>
      </x:c>
      <x:c r="T1229" t="str">
        <x:v>2018-12-31|2019-12-31|2020-12-31|2021-12-31</x:v>
      </x:c>
      <x:c r="U1229" s="57" t="n">
        <x:v>2132.3902686183465</x:v>
      </x:c>
      <x:c r="V1229" s="57" t="n">
        <x:v>-0.5612365702431387</x:v>
      </x:c>
      <x:c r="W1229" t="n">
        <x:v>39</x:v>
      </x:c>
      <x:c r="X1229" t="n">
        <x:v>3</x:v>
      </x:c>
      <x:c r="Y1229" s="38" t="n">
        <x:v>0.6409090909090909</x:v>
      </x:c>
      <x:c r="Z1229" s="38" t="n">
        <x:v>0.41435690759784355</x:v>
      </x:c>
      <x:c r="AA1229"/>
    </x:row>
    <x:row r="1230">
      <x:c r="A1230" s="54" t="n">
        <x:v>44651</x:v>
      </x:c>
      <x:c r="B1230" t="n">
        <x:v>44651.624999988424</x:v>
      </x:c>
      <x:c r="C1230" t="str">
        <x:v>009180</x:v>
      </x:c>
      <x:c r="D1230" t="str">
        <x:v>한솔로지스틱스</x:v>
      </x:c>
      <x:c r="E1230" t="str">
        <x:v>KOSPI</x:v>
      </x:c>
      <x:c r="F1230" t="str">
        <x:v>SMALL</x:v>
      </x:c>
      <x:c r="G1230" t="str">
        <x:v>ELIGIBLE</x:v>
      </x:c>
      <x:c r="H1230"/>
      <x:c r="I1230" s="54" t="n">
        <x:v>44651</x:v>
      </x:c>
      <x:c r="J1230" s="55" t="n">
        <x:v>4355</x:v>
      </x:c>
      <x:c r="K1230" s="55" t="n">
        <x:v>119664185875</x:v>
      </x:c>
      <x:c r="L1230" s="55" t="n">
        <x:v>27477425</x:v>
      </x:c>
      <x:c r="M1230" t="str">
        <x:v>20220222001884</x:v>
      </x:c>
      <x:c r="N1230" t="n">
        <x:v>44614.624999988424</x:v>
      </x:c>
      <x:c r="O1230" s="54" t="n">
        <x:v>44561</x:v>
      </x:c>
      <x:c r="P1230" t="str">
        <x:v>False</x:v>
      </x:c>
      <x:c r="Q1230" t="str">
        <x:v>26694f062af9291a1934db78e0057c6d1c59607b3fcd65037bf8e5402c498487</x:v>
      </x:c>
      <x:c r="R1230" t="str">
        <x:v>74296849c4685c4c473bf179f0651f096c64f6f6cfbf0f4ae22d104fb6d865fc</x:v>
      </x:c>
      <x:c r="S1230" t="n">
        <x:v>6</x:v>
      </x:c>
      <x:c r="T1230" t="str">
        <x:v>2018-12-31|2019-12-31|2020-12-31|2021-12-31</x:v>
      </x:c>
      <x:c r="U1230" s="57" t="n">
        <x:v>4019.894751293228</x:v>
      </x:c>
      <x:c r="V1230" s="57" t="n">
        <x:v>-0.07694724424954581</x:v>
      </x:c>
      <x:c r="W1230" t="n">
        <x:v>19</x:v>
      </x:c>
      <x:c r="X1230" t="n">
        <x:v>2</x:v>
      </x:c>
      <x:c r="Y1230" s="38" t="n">
        <x:v>0.6409090909090909</x:v>
      </x:c>
      <x:c r="Z1230" s="38" t="n">
        <x:v>0.5552380150585722</x:v>
      </x:c>
      <x:c r="AA1230"/>
    </x:row>
    <x:row r="1231">
      <x:c r="A1231" s="54" t="n">
        <x:v>44651</x:v>
      </x:c>
      <x:c r="B1231" t="n">
        <x:v>44651.624999988424</x:v>
      </x:c>
      <x:c r="C1231" t="str">
        <x:v>004910</x:v>
      </x:c>
      <x:c r="D1231" t="str">
        <x:v>조광페인트</x:v>
      </x:c>
      <x:c r="E1231" t="str">
        <x:v>KOSPI</x:v>
      </x:c>
      <x:c r="F1231" t="str">
        <x:v>SMALL</x:v>
      </x:c>
      <x:c r="G1231" t="str">
        <x:v>DCF_SCREENING_EXCLUSION</x:v>
      </x:c>
      <x:c r="H1231" t="str">
        <x:v>NON_POSITIVE_ENTERPRISE_VALUE|NON_POSITIVE_EQUITY_VALUE|NON_POSITIVE_TERMINAL_FCF</x:v>
      </x:c>
      <x:c r="I1231" s="54" t="n">
        <x:v>44651</x:v>
      </x:c>
      <x:c r="J1231" s="55" t="n">
        <x:v>8720</x:v>
      </x:c>
      <x:c r="K1231" s="55" t="n">
        <x:v>111616000000</x:v>
      </x:c>
      <x:c r="L1231" s="55" t="n">
        <x:v>12800000</x:v>
      </x:c>
      <x:c r="M1231" t="str">
        <x:v>20220321001064</x:v>
      </x:c>
      <x:c r="N1231" t="n">
        <x:v>44641.624999988424</x:v>
      </x:c>
      <x:c r="O1231" s="54" t="n">
        <x:v>44561</x:v>
      </x:c>
      <x:c r="P1231" t="str">
        <x:v>False</x:v>
      </x:c>
      <x:c r="Q1231" t="str">
        <x:v>84e6a51a3221357d934f15413421961a602098414a50f2c8ab0a98016b56c007</x:v>
      </x:c>
      <x:c r="R1231" t="str">
        <x:v>5f7e12cbd335feb1261ccb21c89a1dbc5de96f5c90963cc3daeebbf2359610aa</x:v>
      </x:c>
      <x:c r="S1231" t="n">
        <x:v>6</x:v>
      </x:c>
      <x:c r="T1231" t="str">
        <x:v>2018-12-31|2019-12-31|2020-12-31|2021-12-31</x:v>
      </x:c>
      <x:c r="U1231" s="57" t="n">
        <x:v>-10182.360648113614</x:v>
      </x:c>
      <x:c r="V1231" s="57" t="n">
        <x:v>-2.167701909187341</x:v>
      </x:c>
      <x:c r="W1231"/>
      <x:c r="X1231"/>
      <x:c r="Y1231" s="38" t="n">
        <x:v>0.6409090909090909</x:v>
      </x:c>
      <x:c r="Z1231" s="38" t="n">
        <x:v>0.5690463739969503</x:v>
      </x:c>
      <x:c r="AA1231" t="str">
        <x:v>NON_POSITIVE_ENTERPRISE_VALUE|NON_POSITIVE_EQUITY_VALUE|NON_POSITIVE_TERMINAL_FCF</x:v>
      </x:c>
    </x:row>
    <x:row r="1232">
      <x:c r="A1232" s="54" t="n">
        <x:v>44651</x:v>
      </x:c>
      <x:c r="B1232" t="n">
        <x:v>44651.624999988424</x:v>
      </x:c>
      <x:c r="C1232" t="str">
        <x:v>004870</x:v>
      </x:c>
      <x:c r="D1232" t="str">
        <x:v>티웨이홀딩스</x:v>
      </x:c>
      <x:c r="E1232" t="str">
        <x:v>KOSPI</x:v>
      </x:c>
      <x:c r="F1232" t="str">
        <x:v>SMALL</x:v>
      </x:c>
      <x:c r="G1232" t="str">
        <x:v>EXCLUDED_ARCHETYPE</x:v>
      </x:c>
      <x:c r="H1232" t="str">
        <x:v>FCFF_NOT_COMPARABLE_FOR_FINANCE_OR_HOLDING_HINT</x:v>
      </x:c>
      <x:c r="I1232" s="54"/>
      <x:c r="J1232" s="55"/>
      <x:c r="K1232" s="55"/>
      <x:c r="L1232" s="55"/>
      <x:c r="M1232"/>
      <x:c r="N1232"/>
      <x:c r="O1232" s="54"/>
      <x:c r="P1232"/>
      <x:c r="Q1232"/>
      <x:c r="R1232"/>
      <x:c r="S1232"/>
      <x:c r="T1232"/>
      <x:c r="U1232" s="57"/>
      <x:c r="V1232" s="57"/>
      <x:c r="W1232"/>
      <x:c r="X1232"/>
      <x:c r="Y1232" s="38"/>
      <x:c r="Z1232" s="38"/>
      <x:c r="AA1232"/>
    </x:row>
    <x:row r="1233">
      <x:c r="A1233" s="54" t="n">
        <x:v>44651</x:v>
      </x:c>
      <x:c r="B1233" t="n">
        <x:v>44651.624999988424</x:v>
      </x:c>
      <x:c r="C1233" t="str">
        <x:v>010770</x:v>
      </x:c>
      <x:c r="D1233" t="str">
        <x:v>평화홀딩스</x:v>
      </x:c>
      <x:c r="E1233" t="str">
        <x:v>KOSPI</x:v>
      </x:c>
      <x:c r="F1233" t="str">
        <x:v>SMALL</x:v>
      </x:c>
      <x:c r="G1233" t="str">
        <x:v>EXCLUDED_ARCHETYPE</x:v>
      </x:c>
      <x:c r="H1233" t="str">
        <x:v>FCFF_NOT_COMPARABLE_FOR_FINANCE_OR_HOLDING_HINT</x:v>
      </x:c>
      <x:c r="I1233" s="54"/>
      <x:c r="J1233" s="55"/>
      <x:c r="K1233" s="55"/>
      <x:c r="L1233" s="55"/>
      <x:c r="M1233"/>
      <x:c r="N1233"/>
      <x:c r="O1233" s="54"/>
      <x:c r="P1233"/>
      <x:c r="Q1233"/>
      <x:c r="R1233"/>
      <x:c r="S1233"/>
      <x:c r="T1233"/>
      <x:c r="U1233" s="57"/>
      <x:c r="V1233" s="57"/>
      <x:c r="W1233"/>
      <x:c r="X1233"/>
      <x:c r="Y1233" s="38"/>
      <x:c r="Z1233" s="38"/>
      <x:c r="AA1233"/>
    </x:row>
    <x:row r="1234">
      <x:c r="A1234" s="54" t="n">
        <x:v>44651</x:v>
      </x:c>
      <x:c r="B1234" t="n">
        <x:v>44651.624999988424</x:v>
      </x:c>
      <x:c r="C1234" t="str">
        <x:v>001290</x:v>
      </x:c>
      <x:c r="D1234" t="str">
        <x:v>상상인증권</x:v>
      </x:c>
      <x:c r="E1234" t="str">
        <x:v>KOSPI</x:v>
      </x:c>
      <x:c r="F1234" t="str">
        <x:v>SMALL</x:v>
      </x:c>
      <x:c r="G1234" t="str">
        <x:v>EXCLUDED_ARCHETYPE</x:v>
      </x:c>
      <x:c r="H1234" t="str">
        <x:v>FCFF_NOT_COMPARABLE_FOR_FINANCE_OR_HOLDING_HINT</x:v>
      </x:c>
      <x:c r="I1234" s="54"/>
      <x:c r="J1234" s="55"/>
      <x:c r="K1234" s="55"/>
      <x:c r="L1234" s="55"/>
      <x:c r="M1234"/>
      <x:c r="N1234"/>
      <x:c r="O1234" s="54"/>
      <x:c r="P1234"/>
      <x:c r="Q1234"/>
      <x:c r="R1234"/>
      <x:c r="S1234"/>
      <x:c r="T1234"/>
      <x:c r="U1234" s="57"/>
      <x:c r="V1234" s="57"/>
      <x:c r="W1234"/>
      <x:c r="X1234"/>
      <x:c r="Y1234" s="38"/>
      <x:c r="Z1234" s="38"/>
      <x:c r="AA1234"/>
    </x:row>
    <x:row r="1235">
      <x:c r="A1235" s="54" t="n">
        <x:v>44651</x:v>
      </x:c>
      <x:c r="B1235" t="n">
        <x:v>44651.624999988424</x:v>
      </x:c>
      <x:c r="C1235" t="str">
        <x:v>047400</x:v>
      </x:c>
      <x:c r="D1235" t="str">
        <x:v>유니온머티리얼</x:v>
      </x:c>
      <x:c r="E1235" t="str">
        <x:v>KOSPI</x:v>
      </x:c>
      <x:c r="F1235" t="str">
        <x:v>SMALL</x:v>
      </x:c>
      <x:c r="G1235" t="str">
        <x:v>DCF_SCREENING_EXCLUSION</x:v>
      </x:c>
      <x:c r="H1235" t="str">
        <x:v>NON_POSITIVE_ENTERPRISE_VALUE|NON_POSITIVE_EQUITY_VALUE|NON_POSITIVE_TERMINAL_FCF</x:v>
      </x:c>
      <x:c r="I1235" s="54" t="n">
        <x:v>44651</x:v>
      </x:c>
      <x:c r="J1235" s="55" t="n">
        <x:v>3260</x:v>
      </x:c>
      <x:c r="K1235" s="55" t="n">
        <x:v>136920000000</x:v>
      </x:c>
      <x:c r="L1235" s="55" t="n">
        <x:v>42000000</x:v>
      </x:c>
      <x:c r="M1235" t="str">
        <x:v>20220316001172</x:v>
      </x:c>
      <x:c r="N1235" t="n">
        <x:v>44636.624999988424</x:v>
      </x:c>
      <x:c r="O1235" s="54" t="n">
        <x:v>44561</x:v>
      </x:c>
      <x:c r="P1235" t="str">
        <x:v>False</x:v>
      </x:c>
      <x:c r="Q1235" t="str">
        <x:v>406ec7e9b4bfa064875ab47e84c695216a28d7343d3b7abfb30068d795b3070d</x:v>
      </x:c>
      <x:c r="R1235" t="str">
        <x:v>27bff9065a36277f472f0c455b64979643b6e8149ffcc63fea003d2d08170496</x:v>
      </x:c>
      <x:c r="S1235" t="n">
        <x:v>7</x:v>
      </x:c>
      <x:c r="T1235" t="str">
        <x:v>2018-12-31|2019-12-31|2020-12-31|2021-12-31</x:v>
      </x:c>
      <x:c r="U1235" s="57" t="n">
        <x:v>-2259.92542452363</x:v>
      </x:c>
      <x:c r="V1235" s="57" t="n">
        <x:v>-1.6932286578293343</x:v>
      </x:c>
      <x:c r="W1235"/>
      <x:c r="X1235"/>
      <x:c r="Y1235" s="38" t="n">
        <x:v>0.6409090909090909</x:v>
      </x:c>
      <x:c r="Z1235" s="38" t="n">
        <x:v>0.6434612713817982</x:v>
      </x:c>
      <x:c r="AA1235" t="str">
        <x:v>NON_POSITIVE_ENTERPRISE_VALUE|NON_POSITIVE_EQUITY_VALUE|NON_POSITIVE_TERMINAL_FCF</x:v>
      </x:c>
    </x:row>
    <x:row r="1236">
      <x:c r="A1236" s="54" t="n">
        <x:v>44651</x:v>
      </x:c>
      <x:c r="B1236" t="n">
        <x:v>44651.624999988424</x:v>
      </x:c>
      <x:c r="C1236" t="str">
        <x:v>011300</x:v>
      </x:c>
      <x:c r="D1236" t="str">
        <x:v>성안머티리얼스</x:v>
      </x:c>
      <x:c r="E1236" t="str">
        <x:v>KOSPI</x:v>
      </x:c>
      <x:c r="F1236" t="str">
        <x:v>SMALL</x:v>
      </x:c>
      <x:c r="G1236" t="str">
        <x:v>DCF_SCREENING_EXCLUSION</x:v>
      </x:c>
      <x:c r="H1236" t="str">
        <x:v>NON_POSITIVE_ENTERPRISE_VALUE|NON_POSITIVE_EQUITY_VALUE|NON_POSITIVE_TERMINAL_FCF</x:v>
      </x:c>
      <x:c r="I1236" s="54" t="n">
        <x:v>44651</x:v>
      </x:c>
      <x:c r="J1236" s="55" t="n">
        <x:v>787</x:v>
      </x:c>
      <x:c r="K1236" s="55" t="n">
        <x:v>44747135820</x:v>
      </x:c>
      <x:c r="L1236" s="55" t="n">
        <x:v>56857860</x:v>
      </x:c>
      <x:c r="M1236" t="str">
        <x:v>20220322000888</x:v>
      </x:c>
      <x:c r="N1236" t="n">
        <x:v>44642.624999988424</x:v>
      </x:c>
      <x:c r="O1236" s="54" t="n">
        <x:v>44561</x:v>
      </x:c>
      <x:c r="P1236" t="str">
        <x:v>False</x:v>
      </x:c>
      <x:c r="Q1236" t="str">
        <x:v>95133812ec7fb5796856517489219b7454f4cc1890aae8ba7c189bc36bf302a4</x:v>
      </x:c>
      <x:c r="R1236" t="str">
        <x:v>f33da9cc559525b90db03385cdae8d78888e82d656b5b9d9dfe10ed15dddbcbe</x:v>
      </x:c>
      <x:c r="S1236" t="n">
        <x:v>7</x:v>
      </x:c>
      <x:c r="T1236" t="str">
        <x:v>2018-12-31|2019-12-31|2020-12-31|2021-12-31</x:v>
      </x:c>
      <x:c r="U1236" s="57" t="n">
        <x:v>-601.6964799427835</x:v>
      </x:c>
      <x:c r="V1236" s="57" t="n">
        <x:v>-1.7645444471954046</x:v>
      </x:c>
      <x:c r="W1236"/>
      <x:c r="X1236"/>
      <x:c r="Y1236" s="38" t="n">
        <x:v>0.6409090909090909</x:v>
      </x:c>
      <x:c r="Z1236" s="38" t="n">
        <x:v>0.7294850497912088</x:v>
      </x:c>
      <x:c r="AA1236" t="str">
        <x:v>NON_POSITIVE_ENTERPRISE_VALUE|NON_POSITIVE_EQUITY_VALUE|NON_POSITIVE_TERMINAL_FCF</x:v>
      </x:c>
    </x:row>
    <x:row r="1237">
      <x:c r="A1237" s="54" t="n">
        <x:v>44651</x:v>
      </x:c>
      <x:c r="B1237" t="n">
        <x:v>44651.624999988424</x:v>
      </x:c>
      <x:c r="C1237" t="str">
        <x:v>018500</x:v>
      </x:c>
      <x:c r="D1237" t="str">
        <x:v>동원금속</x:v>
      </x:c>
      <x:c r="E1237" t="str">
        <x:v>KOSPI</x:v>
      </x:c>
      <x:c r="F1237" t="str">
        <x:v>SMALL</x:v>
      </x:c>
      <x:c r="G1237" t="str">
        <x:v>DCF_SCREENING_EXCLUSION</x:v>
      </x:c>
      <x:c r="H1237" t="str">
        <x:v>NON_POSITIVE_ENTERPRISE_VALUE|NON_POSITIVE_EQUITY_VALUE|NON_POSITIVE_TERMINAL_FCF</x:v>
      </x:c>
      <x:c r="I1237" s="54" t="n">
        <x:v>44651</x:v>
      </x:c>
      <x:c r="J1237" s="55" t="n">
        <x:v>897</x:v>
      </x:c>
      <x:c r="K1237" s="55" t="n">
        <x:v>41939174901</x:v>
      </x:c>
      <x:c r="L1237" s="55" t="n">
        <x:v>46754933</x:v>
      </x:c>
      <x:c r="M1237" t="str">
        <x:v>20210706000358</x:v>
      </x:c>
      <x:c r="N1237" t="n">
        <x:v>44383.624999988424</x:v>
      </x:c>
      <x:c r="O1237" s="54" t="n">
        <x:v>44286</x:v>
      </x:c>
      <x:c r="P1237" t="str">
        <x:v>True</x:v>
      </x:c>
      <x:c r="Q1237" t="str">
        <x:v>34acd4b6c3c90f671df7c2ff4fbad14dcf4b042bba48e36d00996832fd2d94e8</x:v>
      </x:c>
      <x:c r="R1237" t="str">
        <x:v>f45dcfeb5d3acbf32f6ffb4ab54abf9ce874566c82fd293e98007c31f788c248</x:v>
      </x:c>
      <x:c r="S1237" t="n">
        <x:v>6</x:v>
      </x:c>
      <x:c r="T1237" t="str">
        <x:v>2019-03-31|2020-03-31|2021-03-31</x:v>
      </x:c>
      <x:c r="U1237" s="57" t="n">
        <x:v>-5809.189378425994</x:v>
      </x:c>
      <x:c r="V1237" s="57" t="n">
        <x:v>-7.476242339382379</x:v>
      </x:c>
      <x:c r="W1237"/>
      <x:c r="X1237"/>
      <x:c r="Y1237" s="38" t="n">
        <x:v>0.6409090909090909</x:v>
      </x:c>
      <x:c r="Z1237" s="38" t="n">
        <x:v>0.6275845905541696</x:v>
      </x:c>
      <x:c r="AA1237" t="str">
        <x:v>NON_POSITIVE_ENTERPRISE_VALUE|NON_POSITIVE_EQUITY_VALUE|NON_POSITIVE_TERMINAL_FCF</x:v>
      </x:c>
    </x:row>
    <x:row r="1238">
      <x:c r="A1238" s="54" t="n">
        <x:v>44651</x:v>
      </x:c>
      <x:c r="B1238" t="n">
        <x:v>44651.624999988424</x:v>
      </x:c>
      <x:c r="C1238" t="str">
        <x:v>004770</x:v>
      </x:c>
      <x:c r="D1238" t="str">
        <x:v>써니전자</x:v>
      </x:c>
      <x:c r="E1238" t="str">
        <x:v>KOSPI</x:v>
      </x:c>
      <x:c r="F1238" t="str">
        <x:v>SMALL</x:v>
      </x:c>
      <x:c r="G1238" t="str">
        <x:v>ELIGIBLE</x:v>
      </x:c>
      <x:c r="H1238"/>
      <x:c r="I1238" s="54" t="n">
        <x:v>44651</x:v>
      </x:c>
      <x:c r="J1238" s="55" t="n">
        <x:v>3465</x:v>
      </x:c>
      <x:c r="K1238" s="55" t="n">
        <x:v>120737963115</x:v>
      </x:c>
      <x:c r="L1238" s="55" t="n">
        <x:v>34845011</x:v>
      </x:c>
      <x:c r="M1238" t="str">
        <x:v>20220317001263</x:v>
      </x:c>
      <x:c r="N1238" t="n">
        <x:v>44637.624999988424</x:v>
      </x:c>
      <x:c r="O1238" s="54" t="n">
        <x:v>44561</x:v>
      </x:c>
      <x:c r="P1238" t="str">
        <x:v>False</x:v>
      </x:c>
      <x:c r="Q1238" t="str">
        <x:v>96afd5ff88e93a440895a2ef3c3555963864d98f79a3f40b55a3030c9ac83275</x:v>
      </x:c>
      <x:c r="R1238" t="str">
        <x:v>315d574a8e7ff6895d0fe91250c34ca69416ac523b54c4bd4c1637bd7502cfe0</x:v>
      </x:c>
      <x:c r="S1238" t="n">
        <x:v>7</x:v>
      </x:c>
      <x:c r="T1238" t="str">
        <x:v>2018-12-31|2019-12-31|2020-12-31|2021-12-31</x:v>
      </x:c>
      <x:c r="U1238" s="57" t="n">
        <x:v>438.3487472789498</x:v>
      </x:c>
      <x:c r="V1238" s="57" t="n">
        <x:v>-0.8734924250277201</x:v>
      </x:c>
      <x:c r="W1238" t="n">
        <x:v>62</x:v>
      </x:c>
      <x:c r="X1238" t="n">
        <x:v>5</x:v>
      </x:c>
      <x:c r="Y1238" s="38" t="n">
        <x:v>0.6409090909090909</x:v>
      </x:c>
      <x:c r="Z1238" s="38" t="n">
        <x:v>0.5912288589103638</x:v>
      </x:c>
      <x:c r="AA1238"/>
    </x:row>
    <x:row r="1239">
      <x:c r="A1239" s="54" t="n">
        <x:v>44651</x:v>
      </x:c>
      <x:c r="B1239" t="n">
        <x:v>44651.624999988424</x:v>
      </x:c>
      <x:c r="C1239" t="str">
        <x:v>000890</x:v>
      </x:c>
      <x:c r="D1239" t="str">
        <x:v>보해양조</x:v>
      </x:c>
      <x:c r="E1239" t="str">
        <x:v>KOSPI</x:v>
      </x:c>
      <x:c r="F1239" t="str">
        <x:v>SMALL</x:v>
      </x:c>
      <x:c r="G1239" t="str">
        <x:v>DCF_SCREENING_EXCLUSION</x:v>
      </x:c>
      <x:c r="H1239" t="str">
        <x:v>NON_POSITIVE_ENTERPRISE_VALUE|NON_POSITIVE_EQUITY_VALUE|NON_POSITIVE_TERMINAL_FCF</x:v>
      </x:c>
      <x:c r="I1239" s="54" t="n">
        <x:v>44651</x:v>
      </x:c>
      <x:c r="J1239" s="55" t="n">
        <x:v>892</x:v>
      </x:c>
      <x:c r="K1239" s="55" t="n">
        <x:v>123766408468</x:v>
      </x:c>
      <x:c r="L1239" s="55" t="n">
        <x:v>138751579</x:v>
      </x:c>
      <x:c r="M1239" t="str">
        <x:v>20220315001204</x:v>
      </x:c>
      <x:c r="N1239" t="n">
        <x:v>44635.624999988424</x:v>
      </x:c>
      <x:c r="O1239" s="54" t="n">
        <x:v>44561</x:v>
      </x:c>
      <x:c r="P1239" t="str">
        <x:v>False</x:v>
      </x:c>
      <x:c r="Q1239" t="str">
        <x:v>4f3ed550dbfc0dd5e61bfd9eb0276a90fe74344e195b742fb38ee19fbad0ab35</x:v>
      </x:c>
      <x:c r="R1239" t="str">
        <x:v>1347a18563b5f21cfb5ce6f3d0c9d3d99ff6559586f97774c7bfaba7fc01c9d5</x:v>
      </x:c>
      <x:c r="S1239" t="n">
        <x:v>6</x:v>
      </x:c>
      <x:c r="T1239" t="str">
        <x:v>2018-12-31|2019-12-31|2020-12-31|2021-12-31</x:v>
      </x:c>
      <x:c r="U1239" s="57" t="n">
        <x:v>-293.4694208601181</x:v>
      </x:c>
      <x:c r="V1239" s="57" t="n">
        <x:v>-1.329001592892509</x:v>
      </x:c>
      <x:c r="W1239"/>
      <x:c r="X1239"/>
      <x:c r="Y1239" s="38" t="n">
        <x:v>0.6409090909090909</x:v>
      </x:c>
      <x:c r="Z1239" s="38" t="n">
        <x:v>0.7670157626789917</x:v>
      </x:c>
      <x:c r="AA1239" t="str">
        <x:v>NON_POSITIVE_ENTERPRISE_VALUE|NON_POSITIVE_EQUITY_VALUE|NON_POSITIVE_TERMINAL_FCF</x:v>
      </x:c>
    </x:row>
    <x:row r="1240">
      <x:c r="A1240" s="54" t="n">
        <x:v>44651</x:v>
      </x:c>
      <x:c r="B1240" t="n">
        <x:v>44651.624999988424</x:v>
      </x:c>
      <x:c r="C1240" t="str">
        <x:v>021050</x:v>
      </x:c>
      <x:c r="D1240" t="str">
        <x:v>서원</x:v>
      </x:c>
      <x:c r="E1240" t="str">
        <x:v>KOSPI</x:v>
      </x:c>
      <x:c r="F1240" t="str">
        <x:v>SMALL</x:v>
      </x:c>
      <x:c r="G1240" t="str">
        <x:v>DCF_SCREENING_EXCLUSION</x:v>
      </x:c>
      <x:c r="H1240" t="str">
        <x:v>NON_POSITIVE_EQUITY_VALUE</x:v>
      </x:c>
      <x:c r="I1240" s="54" t="n">
        <x:v>44651</x:v>
      </x:c>
      <x:c r="J1240" s="55" t="n">
        <x:v>2135</x:v>
      </x:c>
      <x:c r="K1240" s="55" t="n">
        <x:v>101358249650</x:v>
      </x:c>
      <x:c r="L1240" s="55" t="n">
        <x:v>47474590</x:v>
      </x:c>
      <x:c r="M1240" t="str">
        <x:v>20220323001011</x:v>
      </x:c>
      <x:c r="N1240" t="n">
        <x:v>44643.624999988424</x:v>
      </x:c>
      <x:c r="O1240" s="54" t="n">
        <x:v>44561</x:v>
      </x:c>
      <x:c r="P1240" t="str">
        <x:v>False</x:v>
      </x:c>
      <x:c r="Q1240" t="str">
        <x:v>728db08f6242cb663662a22c7cc9b8856ff1f56ee217b4c6eab69943d55cdcce</x:v>
      </x:c>
      <x:c r="R1240" t="str">
        <x:v>76ca0092bd955e887eb44f7cdabc306396f0cfdc39cfb96a7c6e40765f37fe85</x:v>
      </x:c>
      <x:c r="S1240" t="n">
        <x:v>6</x:v>
      </x:c>
      <x:c r="T1240" t="str">
        <x:v>2018-12-31|2019-12-31|2020-12-31|2021-12-31</x:v>
      </x:c>
      <x:c r="U1240" s="57" t="n">
        <x:v>-239.7253914947342</x:v>
      </x:c>
      <x:c r="V1240" s="57" t="n">
        <x:v>-1.1122835557352384</x:v>
      </x:c>
      <x:c r="W1240"/>
      <x:c r="X1240"/>
      <x:c r="Y1240" s="38" t="n">
        <x:v>0.6409090909090909</x:v>
      </x:c>
      <x:c r="Z1240" s="38" t="n">
        <x:v>0.47383600945035365</x:v>
      </x:c>
      <x:c r="AA1240" t="str">
        <x:v>NON_POSITIVE_EQUITY_VALUE</x:v>
      </x:c>
    </x:row>
    <x:row r="1241">
      <x:c r="A1241" s="54" t="n">
        <x:v>44651</x:v>
      </x:c>
      <x:c r="B1241" t="n">
        <x:v>44651.624999988424</x:v>
      </x:c>
      <x:c r="C1241" t="str">
        <x:v>134790</x:v>
      </x:c>
      <x:c r="D1241" t="str">
        <x:v>시디즈</x:v>
      </x:c>
      <x:c r="E1241" t="str">
        <x:v>KOSPI</x:v>
      </x:c>
      <x:c r="F1241" t="str">
        <x:v>SMALL</x:v>
      </x:c>
      <x:c r="G1241" t="str">
        <x:v>ELIGIBLE</x:v>
      </x:c>
      <x:c r="H1241"/>
      <x:c r="I1241" s="54" t="n">
        <x:v>44651</x:v>
      </x:c>
      <x:c r="J1241" s="55" t="n">
        <x:v>58800</x:v>
      </x:c>
      <x:c r="K1241" s="55" t="n">
        <x:v>117600000000</x:v>
      </x:c>
      <x:c r="L1241" s="55" t="n">
        <x:v>2000000</x:v>
      </x:c>
      <x:c r="M1241" t="str">
        <x:v>20220317000781</x:v>
      </x:c>
      <x:c r="N1241" t="n">
        <x:v>44637.624999988424</x:v>
      </x:c>
      <x:c r="O1241" s="54" t="n">
        <x:v>44561</x:v>
      </x:c>
      <x:c r="P1241" t="str">
        <x:v>False</x:v>
      </x:c>
      <x:c r="Q1241" t="str">
        <x:v>4308c99f85d1a0ac826a28e107e6174e67b2fb4796810f42928bc80c83f97ebd</x:v>
      </x:c>
      <x:c r="R1241" t="str">
        <x:v>6ab50170c91f93cd835bb0b19e6fb945a84f345f4b3fa2024ae07cb3bed7abc5</x:v>
      </x:c>
      <x:c r="S1241" t="n">
        <x:v>5</x:v>
      </x:c>
      <x:c r="T1241" t="str">
        <x:v>2018-12-31|2019-12-31|2020-12-31|2021-12-31</x:v>
      </x:c>
      <x:c r="U1241" s="57" t="n">
        <x:v>55596.38736945861</x:v>
      </x:c>
      <x:c r="V1241" s="57" t="n">
        <x:v>-0.05448320800240459</x:v>
      </x:c>
      <x:c r="W1241" t="n">
        <x:v>18</x:v>
      </x:c>
      <x:c r="X1241" t="n">
        <x:v>2</x:v>
      </x:c>
      <x:c r="Y1241" s="38" t="n">
        <x:v>0.6409090909090909</x:v>
      </x:c>
      <x:c r="Z1241" s="38" t="n">
        <x:v>0.6659522181200753</x:v>
      </x:c>
      <x:c r="AA1241"/>
    </x:row>
    <x:row r="1242">
      <x:c r="A1242" s="54" t="n">
        <x:v>44651</x:v>
      </x:c>
      <x:c r="B1242" t="n">
        <x:v>44651.624999988424</x:v>
      </x:c>
      <x:c r="C1242" t="str">
        <x:v>004920</x:v>
      </x:c>
      <x:c r="D1242" t="str">
        <x:v>씨아이테크</x:v>
      </x:c>
      <x:c r="E1242" t="str">
        <x:v>KOSPI</x:v>
      </x:c>
      <x:c r="F1242" t="str">
        <x:v>SMALL</x:v>
      </x:c>
      <x:c r="G1242" t="str">
        <x:v>DCF_SCREENING_EXCLUSION</x:v>
      </x:c>
      <x:c r="H1242" t="str">
        <x:v>NON_POSITIVE_ENTERPRISE_VALUE|NON_POSITIVE_EQUITY_VALUE|NON_POSITIVE_TERMINAL_FCF</x:v>
      </x:c>
      <x:c r="I1242" s="54" t="n">
        <x:v>44651</x:v>
      </x:c>
      <x:c r="J1242" s="55" t="n">
        <x:v>1085</x:v>
      </x:c>
      <x:c r="K1242" s="55" t="n">
        <x:v>43347615115</x:v>
      </x:c>
      <x:c r="L1242" s="55" t="n">
        <x:v>39951719</x:v>
      </x:c>
      <x:c r="M1242" t="str">
        <x:v>20220323000416</x:v>
      </x:c>
      <x:c r="N1242" t="n">
        <x:v>44643.624999988424</x:v>
      </x:c>
      <x:c r="O1242" s="54" t="n">
        <x:v>44561</x:v>
      </x:c>
      <x:c r="P1242" t="str">
        <x:v>False</x:v>
      </x:c>
      <x:c r="Q1242" t="str">
        <x:v>bc631a13505aed08ce97000cf7b9071df32539a077808cccfe6ae4e6f78467f5</x:v>
      </x:c>
      <x:c r="R1242" t="str">
        <x:v>c9c172bbc3807fa6892038fce7dbfcfc380dc2c55fa88fb63070f0e5428c567c</x:v>
      </x:c>
      <x:c r="S1242" t="n">
        <x:v>6</x:v>
      </x:c>
      <x:c r="T1242" t="str">
        <x:v>2018-12-31|2019-12-31|2020-12-31|2021-12-31</x:v>
      </x:c>
      <x:c r="U1242" s="57" t="n">
        <x:v>-778.5000327442182</x:v>
      </x:c>
      <x:c r="V1242" s="57" t="n">
        <x:v>-1.7175115509163301</x:v>
      </x:c>
      <x:c r="W1242"/>
      <x:c r="X1242"/>
      <x:c r="Y1242" s="38" t="n">
        <x:v>0.6409090909090909</x:v>
      </x:c>
      <x:c r="Z1242" s="38" t="n">
        <x:v>0.7574042557637609</x:v>
      </x:c>
      <x:c r="AA1242" t="str">
        <x:v>NON_POSITIVE_ENTERPRISE_VALUE|NON_POSITIVE_EQUITY_VALUE|NON_POSITIVE_TERMINAL_FCF</x:v>
      </x:c>
    </x:row>
    <x:row r="1243">
      <x:c r="A1243" s="54" t="n">
        <x:v>44651</x:v>
      </x:c>
      <x:c r="B1243" t="n">
        <x:v>44651.624999988424</x:v>
      </x:c>
      <x:c r="C1243" t="str">
        <x:v>058730</x:v>
      </x:c>
      <x:c r="D1243" t="str">
        <x:v>다스코</x:v>
      </x:c>
      <x:c r="E1243" t="str">
        <x:v>KOSPI</x:v>
      </x:c>
      <x:c r="F1243" t="str">
        <x:v>SMALL</x:v>
      </x:c>
      <x:c r="G1243" t="str">
        <x:v>DCF_SCREENING_EXCLUSION</x:v>
      </x:c>
      <x:c r="H1243" t="str">
        <x:v>NON_POSITIVE_ENTERPRISE_VALUE|NON_POSITIVE_EQUITY_VALUE|NON_POSITIVE_TERMINAL_FCF</x:v>
      </x:c>
      <x:c r="I1243" s="54" t="n">
        <x:v>44651</x:v>
      </x:c>
      <x:c r="J1243" s="55" t="n">
        <x:v>5040</x:v>
      </x:c>
      <x:c r="K1243" s="55" t="n">
        <x:v>85057867440</x:v>
      </x:c>
      <x:c r="L1243" s="55" t="n">
        <x:v>16876561</x:v>
      </x:c>
      <x:c r="M1243" t="str">
        <x:v>20220323001354</x:v>
      </x:c>
      <x:c r="N1243" t="n">
        <x:v>44643.624999988424</x:v>
      </x:c>
      <x:c r="O1243" s="54" t="n">
        <x:v>44561</x:v>
      </x:c>
      <x:c r="P1243" t="str">
        <x:v>False</x:v>
      </x:c>
      <x:c r="Q1243" t="str">
        <x:v>31a372716b0b0797c231af764411657c8bb3ac079a0b2ee9abf923d57ea698f3</x:v>
      </x:c>
      <x:c r="R1243" t="str">
        <x:v>9f9cd135e3640d6e5aebb1963d7d145474437c2ac4581114ddbb55a5e0b6316f</x:v>
      </x:c>
      <x:c r="S1243" t="n">
        <x:v>7</x:v>
      </x:c>
      <x:c r="T1243" t="str">
        <x:v>2019-12-31|2020-12-31|2021-12-31</x:v>
      </x:c>
      <x:c r="U1243" s="57" t="n">
        <x:v>-14240.802127128132</x:v>
      </x:c>
      <x:c r="V1243" s="57" t="n">
        <x:v>-3.8255559776047883</x:v>
      </x:c>
      <x:c r="W1243"/>
      <x:c r="X1243"/>
      <x:c r="Y1243" s="38" t="n">
        <x:v>0.6409090909090909</x:v>
      </x:c>
      <x:c r="Z1243" s="38" t="n">
        <x:v>0.5339702325685373</x:v>
      </x:c>
      <x:c r="AA1243" t="str">
        <x:v>NON_POSITIVE_ENTERPRISE_VALUE|NON_POSITIVE_EQUITY_VALUE|NON_POSITIVE_TERMINAL_FCF</x:v>
      </x:c>
    </x:row>
    <x:row r="1244">
      <x:c r="A1244" s="54" t="n">
        <x:v>44651</x:v>
      </x:c>
      <x:c r="B1244" t="n">
        <x:v>44651.624999988424</x:v>
      </x:c>
      <x:c r="C1244" t="str">
        <x:v>465770</x:v>
      </x:c>
      <x:c r="D1244" t="str">
        <x:v>STX그린로지스</x:v>
      </x:c>
      <x:c r="E1244" t="str">
        <x:v>KOSPI</x:v>
      </x:c>
      <x:c r="F1244" t="str">
        <x:v>SMALL</x:v>
      </x:c>
      <x:c r="G1244" t="str">
        <x:v>NOT_LISTED_OR_NO_PRICE</x:v>
      </x:c>
      <x:c r="H1244"/>
      <x:c r="I1244" s="54"/>
      <x:c r="J1244" s="55"/>
      <x:c r="K1244" s="55"/>
      <x:c r="L1244" s="55"/>
      <x:c r="M1244"/>
      <x:c r="N1244"/>
      <x:c r="O1244" s="54"/>
      <x:c r="P1244"/>
      <x:c r="Q1244"/>
      <x:c r="R1244"/>
      <x:c r="S1244"/>
      <x:c r="T1244"/>
      <x:c r="U1244" s="57"/>
      <x:c r="V1244" s="57"/>
      <x:c r="W1244"/>
      <x:c r="X1244"/>
      <x:c r="Y1244" s="38"/>
      <x:c r="Z1244" s="38"/>
      <x:c r="AA1244"/>
    </x:row>
    <x:row r="1245">
      <x:c r="A1245" s="54" t="n">
        <x:v>44651</x:v>
      </x:c>
      <x:c r="B1245" t="n">
        <x:v>44651.624999988424</x:v>
      </x:c>
      <x:c r="C1245" t="str">
        <x:v>000950</x:v>
      </x:c>
      <x:c r="D1245" t="str">
        <x:v>전방</x:v>
      </x:c>
      <x:c r="E1245" t="str">
        <x:v>KOSPI</x:v>
      </x:c>
      <x:c r="F1245" t="str">
        <x:v>SMALL</x:v>
      </x:c>
      <x:c r="G1245" t="str">
        <x:v>DCF_SCREENING_EXCLUSION</x:v>
      </x:c>
      <x:c r="H1245" t="str">
        <x:v>NON_POSITIVE_ENTERPRISE_VALUE|NON_POSITIVE_EQUITY_VALUE|NON_POSITIVE_TERMINAL_FCF|UNRELIABLE_TERMINAL_VALUE_SHARE</x:v>
      </x:c>
      <x:c r="I1245" s="54" t="n">
        <x:v>44651</x:v>
      </x:c>
      <x:c r="J1245" s="55" t="n">
        <x:v>43650</x:v>
      </x:c>
      <x:c r="K1245" s="55" t="n">
        <x:v>73332000000</x:v>
      </x:c>
      <x:c r="L1245" s="55" t="n">
        <x:v>1680000</x:v>
      </x:c>
      <x:c r="M1245" t="str">
        <x:v>20220317000094</x:v>
      </x:c>
      <x:c r="N1245" t="n">
        <x:v>44637.624999988424</x:v>
      </x:c>
      <x:c r="O1245" s="54" t="n">
        <x:v>44561</x:v>
      </x:c>
      <x:c r="P1245" t="str">
        <x:v>False</x:v>
      </x:c>
      <x:c r="Q1245" t="str">
        <x:v>0b7abe65190e1dd93439f729b035d4ca30f9dc8a5b289f10f1f04ee7ff1f114a</x:v>
      </x:c>
      <x:c r="R1245" t="str">
        <x:v>3f80d3cdb5c8533a3aa6523e95f45c4e35f75216281336deb0666429f4806a1a</x:v>
      </x:c>
      <x:c r="S1245" t="n">
        <x:v>6</x:v>
      </x:c>
      <x:c r="T1245" t="str">
        <x:v>2018-12-31|2019-12-31|2020-12-31|2021-12-31</x:v>
      </x:c>
      <x:c r="U1245" s="57" t="n">
        <x:v>-137666.84924181644</x:v>
      </x:c>
      <x:c r="V1245" s="57" t="n">
        <x:v>-4.153879707716299</x:v>
      </x:c>
      <x:c r="W1245"/>
      <x:c r="X1245"/>
      <x:c r="Y1245" s="38" t="n">
        <x:v>0.6409090909090909</x:v>
      </x:c>
      <x:c r="Z1245" s="38" t="n">
        <x:v>0.9658515454814297</x:v>
      </x:c>
      <x:c r="AA1245" t="str">
        <x:v>NON_POSITIVE_ENTERPRISE_VALUE|NON_POSITIVE_EQUITY_VALUE|NON_POSITIVE_TERMINAL_FCF|UNRELIABLE_TERMINAL_VALUE_SHARE</x:v>
      </x:c>
    </x:row>
    <x:row r="1246">
      <x:c r="A1246" s="54" t="n">
        <x:v>44651</x:v>
      </x:c>
      <x:c r="B1246" t="n">
        <x:v>44651.624999988424</x:v>
      </x:c>
      <x:c r="C1246" t="str">
        <x:v>019180</x:v>
      </x:c>
      <x:c r="D1246" t="str">
        <x:v>티에이치엔</x:v>
      </x:c>
      <x:c r="E1246" t="str">
        <x:v>KOSPI</x:v>
      </x:c>
      <x:c r="F1246" t="str">
        <x:v>SMALL</x:v>
      </x:c>
      <x:c r="G1246" t="str">
        <x:v>ELIGIBLE</x:v>
      </x:c>
      <x:c r="H1246"/>
      <x:c r="I1246" s="54" t="n">
        <x:v>44651</x:v>
      </x:c>
      <x:c r="J1246" s="55" t="n">
        <x:v>4405</x:v>
      </x:c>
      <x:c r="K1246" s="55" t="n">
        <x:v>79290000000</x:v>
      </x:c>
      <x:c r="L1246" s="55" t="n">
        <x:v>18000000</x:v>
      </x:c>
      <x:c r="M1246" t="str">
        <x:v>20220322000923</x:v>
      </x:c>
      <x:c r="N1246" t="n">
        <x:v>44642.624999988424</x:v>
      </x:c>
      <x:c r="O1246" s="54" t="n">
        <x:v>44561</x:v>
      </x:c>
      <x:c r="P1246" t="str">
        <x:v>False</x:v>
      </x:c>
      <x:c r="Q1246" t="str">
        <x:v>caaf496c38b71bf44a4d73b6d0c3032184070476eff4fd0e57ed140f23ab149b</x:v>
      </x:c>
      <x:c r="R1246" t="str">
        <x:v>91fbf763d4c2d389a11be96931fd690e2fea85838fd2e128a150d466e546820d</x:v>
      </x:c>
      <x:c r="S1246" t="n">
        <x:v>6</x:v>
      </x:c>
      <x:c r="T1246" t="str">
        <x:v>2018-12-31|2019-12-31|2020-12-31|2021-12-31</x:v>
      </x:c>
      <x:c r="U1246" s="57" t="n">
        <x:v>1268.1497161747438</x:v>
      </x:c>
      <x:c r="V1246" s="57" t="n">
        <x:v>-0.7121113016629412</x:v>
      </x:c>
      <x:c r="W1246" t="n">
        <x:v>51</x:v>
      </x:c>
      <x:c r="X1246" t="n">
        <x:v>4</x:v>
      </x:c>
      <x:c r="Y1246" s="38" t="n">
        <x:v>0.6409090909090909</x:v>
      </x:c>
      <x:c r="Z1246" s="38" t="n">
        <x:v>0.5976743403843328</x:v>
      </x:c>
      <x:c r="AA1246"/>
    </x:row>
    <x:row r="1247">
      <x:c r="A1247" s="54" t="n">
        <x:v>44651</x:v>
      </x:c>
      <x:c r="B1247" t="n">
        <x:v>44651.624999988424</x:v>
      </x:c>
      <x:c r="C1247" t="str">
        <x:v>020760</x:v>
      </x:c>
      <x:c r="D1247" t="str">
        <x:v>일진디스플</x:v>
      </x:c>
      <x:c r="E1247" t="str">
        <x:v>KOSPI</x:v>
      </x:c>
      <x:c r="F1247" t="str">
        <x:v>SMALL</x:v>
      </x:c>
      <x:c r="G1247" t="str">
        <x:v>DCF_SCREENING_EXCLUSION</x:v>
      </x:c>
      <x:c r="H1247" t="str">
        <x:v>NON_POSITIVE_ENTERPRISE_VALUE|NON_POSITIVE_EQUITY_VALUE|NON_POSITIVE_TERMINAL_FCF</x:v>
      </x:c>
      <x:c r="I1247" s="54" t="n">
        <x:v>44651</x:v>
      </x:c>
      <x:c r="J1247" s="55" t="n">
        <x:v>1850</x:v>
      </x:c>
      <x:c r="K1247" s="55" t="n">
        <x:v>95300420850</x:v>
      </x:c>
      <x:c r="L1247" s="55" t="n">
        <x:v>51513741</x:v>
      </x:c>
      <x:c r="M1247" t="str">
        <x:v>20220322001113</x:v>
      </x:c>
      <x:c r="N1247" t="n">
        <x:v>44642.624999988424</x:v>
      </x:c>
      <x:c r="O1247" s="54" t="n">
        <x:v>44561</x:v>
      </x:c>
      <x:c r="P1247" t="str">
        <x:v>False</x:v>
      </x:c>
      <x:c r="Q1247" t="str">
        <x:v>d5edcc806182a30c55f45f37c0aba3446c47cacb9db6901ad26ad6382598aa6a</x:v>
      </x:c>
      <x:c r="R1247" t="str">
        <x:v>57c5540cde337e2bde5d3310fe9b2de496ff3fb6b831a53b9d652eb4342556c4</x:v>
      </x:c>
      <x:c r="S1247" t="n">
        <x:v>6</x:v>
      </x:c>
      <x:c r="T1247" t="str">
        <x:v>2018-12-31|2019-12-31|2020-12-31|2021-12-31</x:v>
      </x:c>
      <x:c r="U1247" s="57" t="n">
        <x:v>-4015.0665610392907</x:v>
      </x:c>
      <x:c r="V1247" s="57" t="n">
        <x:v>-3.1703062492104275</x:v>
      </x:c>
      <x:c r="W1247"/>
      <x:c r="X1247"/>
      <x:c r="Y1247" s="38" t="n">
        <x:v>0.6409090909090909</x:v>
      </x:c>
      <x:c r="Z1247" s="38" t="n">
        <x:v>0.6095054406520231</x:v>
      </x:c>
      <x:c r="AA1247" t="str">
        <x:v>NON_POSITIVE_ENTERPRISE_VALUE|NON_POSITIVE_EQUITY_VALUE|NON_POSITIVE_TERMINAL_FCF</x:v>
      </x:c>
    </x:row>
    <x:row r="1248">
      <x:c r="A1248" s="54" t="n">
        <x:v>44651</x:v>
      </x:c>
      <x:c r="B1248" t="n">
        <x:v>44651.624999988424</x:v>
      </x:c>
      <x:c r="C1248" t="str">
        <x:v>069640</x:v>
      </x:c>
      <x:c r="D1248" t="str">
        <x:v>한세엠케이</x:v>
      </x:c>
      <x:c r="E1248" t="str">
        <x:v>KOSPI</x:v>
      </x:c>
      <x:c r="F1248" t="str">
        <x:v>SMALL</x:v>
      </x:c>
      <x:c r="G1248" t="str">
        <x:v>DCF_SCREENING_EXCLUSION</x:v>
      </x:c>
      <x:c r="H1248" t="str">
        <x:v>NON_POSITIVE_ENTERPRISE_VALUE|NON_POSITIVE_EQUITY_VALUE|NON_POSITIVE_TERMINAL_FCF</x:v>
      </x:c>
      <x:c r="I1248" s="54" t="n">
        <x:v>44651</x:v>
      </x:c>
      <x:c r="J1248" s="55" t="n">
        <x:v>4410</x:v>
      </x:c>
      <x:c r="K1248" s="55" t="n">
        <x:v>56930110020</x:v>
      </x:c>
      <x:c r="L1248" s="55" t="n">
        <x:v>12909322</x:v>
      </x:c>
      <x:c r="M1248" t="str">
        <x:v>20220321001199</x:v>
      </x:c>
      <x:c r="N1248" t="n">
        <x:v>44641.624999988424</x:v>
      </x:c>
      <x:c r="O1248" s="54" t="n">
        <x:v>44561</x:v>
      </x:c>
      <x:c r="P1248" t="str">
        <x:v>False</x:v>
      </x:c>
      <x:c r="Q1248" t="str">
        <x:v>3f80c2d04af8293ae6c99a854b89c2c902e52dcedc2f1f5c9879d54e57c6f979</x:v>
      </x:c>
      <x:c r="R1248" t="str">
        <x:v>264f926dfcbc54b8c4909755ecaba1143b7cd75939a7d72c263c8f1480b3a89e</x:v>
      </x:c>
      <x:c r="S1248" t="n">
        <x:v>6</x:v>
      </x:c>
      <x:c r="T1248" t="str">
        <x:v>2018-12-31|2019-12-31|2020-12-31|2021-12-31</x:v>
      </x:c>
      <x:c r="U1248" s="57" t="n">
        <x:v>-10983.883305243631</x:v>
      </x:c>
      <x:c r="V1248" s="57" t="n">
        <x:v>-3.4906764864498028</x:v>
      </x:c>
      <x:c r="W1248"/>
      <x:c r="X1248"/>
      <x:c r="Y1248" s="38" t="n">
        <x:v>0.6409090909090909</x:v>
      </x:c>
      <x:c r="Z1248" s="38" t="n">
        <x:v>0.6847834688748102</x:v>
      </x:c>
      <x:c r="AA1248" t="str">
        <x:v>NON_POSITIVE_ENTERPRISE_VALUE|NON_POSITIVE_EQUITY_VALUE|NON_POSITIVE_TERMINAL_FCF</x:v>
      </x:c>
    </x:row>
    <x:row r="1249">
      <x:c r="A1249" s="54" t="n">
        <x:v>44651</x:v>
      </x:c>
      <x:c r="B1249" t="n">
        <x:v>44651.624999988424</x:v>
      </x:c>
      <x:c r="C1249" t="str">
        <x:v>000040</x:v>
      </x:c>
      <x:c r="D1249" t="str">
        <x:v>KR모터스</x:v>
      </x:c>
      <x:c r="E1249" t="str">
        <x:v>KOSPI</x:v>
      </x:c>
      <x:c r="F1249" t="str">
        <x:v>SMALL</x:v>
      </x:c>
      <x:c r="G1249" t="str">
        <x:v>DCF_SCREENING_EXCLUSION</x:v>
      </x:c>
      <x:c r="H1249" t="str">
        <x:v>NON_POSITIVE_ENTERPRISE_VALUE|NON_POSITIVE_EQUITY_VALUE|NON_POSITIVE_TERMINAL_FCF</x:v>
      </x:c>
      <x:c r="I1249" s="54" t="n">
        <x:v>44651</x:v>
      </x:c>
      <x:c r="J1249" s="55" t="n">
        <x:v>889</x:v>
      </x:c>
      <x:c r="K1249" s="55" t="n">
        <x:v>85466120152</x:v>
      </x:c>
      <x:c r="L1249" s="55" t="n">
        <x:v>96137368</x:v>
      </x:c>
      <x:c r="M1249" t="str">
        <x:v>20220324000407</x:v>
      </x:c>
      <x:c r="N1249" t="n">
        <x:v>44644.624999988424</x:v>
      </x:c>
      <x:c r="O1249" s="54" t="n">
        <x:v>44561</x:v>
      </x:c>
      <x:c r="P1249" t="str">
        <x:v>False</x:v>
      </x:c>
      <x:c r="Q1249" t="str">
        <x:v>5a1720f4cb61a0db95f9b0d70fa36170b0f0e726e171410b4eb949d2fb48fc44</x:v>
      </x:c>
      <x:c r="R1249" t="str">
        <x:v>01f440a0fbc9e1fa38b0391617371fa0c0aa90224d84c121250672c0cffe1eaf</x:v>
      </x:c>
      <x:c r="S1249" t="n">
        <x:v>5</x:v>
      </x:c>
      <x:c r="T1249" t="str">
        <x:v>2018-12-31|2019-12-31|2020-12-31|2021-12-31</x:v>
      </x:c>
      <x:c r="U1249" s="57" t="n">
        <x:v>-1417.4055563581376</x:v>
      </x:c>
      <x:c r="V1249" s="57" t="n">
        <x:v>-2.59438195315876</x:v>
      </x:c>
      <x:c r="W1249"/>
      <x:c r="X1249"/>
      <x:c r="Y1249" s="38" t="n">
        <x:v>0.6409090909090909</x:v>
      </x:c>
      <x:c r="Z1249" s="38" t="n">
        <x:v>0.7415038976089445</x:v>
      </x:c>
      <x:c r="AA1249" t="str">
        <x:v>NON_POSITIVE_ENTERPRISE_VALUE|NON_POSITIVE_EQUITY_VALUE|NON_POSITIVE_TERMINAL_FCF</x:v>
      </x:c>
    </x:row>
    <x:row r="1250">
      <x:c r="A1250" s="54" t="n">
        <x:v>44651</x:v>
      </x:c>
      <x:c r="B1250" t="n">
        <x:v>44651.624999988424</x:v>
      </x:c>
      <x:c r="C1250" t="str">
        <x:v>003680</x:v>
      </x:c>
      <x:c r="D1250" t="str">
        <x:v>한성기업</x:v>
      </x:c>
      <x:c r="E1250" t="str">
        <x:v>KOSPI</x:v>
      </x:c>
      <x:c r="F1250" t="str">
        <x:v>SMALL</x:v>
      </x:c>
      <x:c r="G1250" t="str">
        <x:v>DCF_SCREENING_EXCLUSION</x:v>
      </x:c>
      <x:c r="H1250" t="str">
        <x:v>NON_POSITIVE_ENTERPRISE_VALUE|NON_POSITIVE_EQUITY_VALUE|NON_POSITIVE_TERMINAL_FCF</x:v>
      </x:c>
      <x:c r="I1250" s="54" t="n">
        <x:v>44651</x:v>
      </x:c>
      <x:c r="J1250" s="55" t="n">
        <x:v>9010</x:v>
      </x:c>
      <x:c r="K1250" s="55" t="n">
        <x:v>55947730150</x:v>
      </x:c>
      <x:c r="L1250" s="55" t="n">
        <x:v>6209515</x:v>
      </x:c>
      <x:c r="M1250" t="str">
        <x:v>20220321001488</x:v>
      </x:c>
      <x:c r="N1250" t="n">
        <x:v>44641.624999988424</x:v>
      </x:c>
      <x:c r="O1250" s="54" t="n">
        <x:v>44561</x:v>
      </x:c>
      <x:c r="P1250" t="str">
        <x:v>False</x:v>
      </x:c>
      <x:c r="Q1250" t="str">
        <x:v>43bde3681dcac138193c66ca8f3806fbe182a6a8ea7fce5f3d3cc3d321282198</x:v>
      </x:c>
      <x:c r="R1250" t="str">
        <x:v>3709be2ff5f6c286bb5dc5bba52f9fb66a16880af3f62e28828991ef5d6796d1</x:v>
      </x:c>
      <x:c r="S1250" t="n">
        <x:v>7</x:v>
      </x:c>
      <x:c r="T1250" t="str">
        <x:v>2018-12-31|2019-12-31|2020-12-31|2021-12-31</x:v>
      </x:c>
      <x:c r="U1250" s="57" t="n">
        <x:v>-14272.758559851622</x:v>
      </x:c>
      <x:c r="V1250" s="57" t="n">
        <x:v>-2.5841019489291477</x:v>
      </x:c>
      <x:c r="W1250"/>
      <x:c r="X1250"/>
      <x:c r="Y1250" s="38" t="n">
        <x:v>0.6409090909090909</x:v>
      </x:c>
      <x:c r="Z1250" s="38" t="n">
        <x:v>0.5733329809061016</x:v>
      </x:c>
      <x:c r="AA1250" t="str">
        <x:v>NON_POSITIVE_ENTERPRISE_VALUE|NON_POSITIVE_EQUITY_VALUE|NON_POSITIVE_TERMINAL_FCF</x:v>
      </x:c>
    </x:row>
    <x:row r="1251">
      <x:c r="A1251" s="54" t="n">
        <x:v>44651</x:v>
      </x:c>
      <x:c r="B1251" t="n">
        <x:v>44651.624999988424</x:v>
      </x:c>
      <x:c r="C1251" t="str">
        <x:v>008600</x:v>
      </x:c>
      <x:c r="D1251" t="str">
        <x:v>윌비스</x:v>
      </x:c>
      <x:c r="E1251" t="str">
        <x:v>KOSPI</x:v>
      </x:c>
      <x:c r="F1251" t="str">
        <x:v>SMALL</x:v>
      </x:c>
      <x:c r="G1251" t="str">
        <x:v>DCF_SCREENING_EXCLUSION</x:v>
      </x:c>
      <x:c r="H1251" t="str">
        <x:v>NON_POSITIVE_ENTERPRISE_VALUE|NON_POSITIVE_EQUITY_VALUE|NON_POSITIVE_TERMINAL_FCF|UNRELIABLE_TERMINAL_VALUE_SHARE</x:v>
      </x:c>
      <x:c r="I1251" s="54" t="n">
        <x:v>44651</x:v>
      </x:c>
      <x:c r="J1251" s="55" t="n">
        <x:v>1450</x:v>
      </x:c>
      <x:c r="K1251" s="55" t="n">
        <x:v>97492256550</x:v>
      </x:c>
      <x:c r="L1251" s="55" t="n">
        <x:v>67236039</x:v>
      </x:c>
      <x:c r="M1251" t="str">
        <x:v>20220331001744</x:v>
      </x:c>
      <x:c r="N1251" t="n">
        <x:v>44651.624999988424</x:v>
      </x:c>
      <x:c r="O1251" s="54" t="n">
        <x:v>44561</x:v>
      </x:c>
      <x:c r="P1251" t="str">
        <x:v>True</x:v>
      </x:c>
      <x:c r="Q1251" t="str">
        <x:v>c06ad4694bc113d1e51b9dbb0bd42570bd01d189068821a7c535f8685cc0e0ae</x:v>
      </x:c>
      <x:c r="R1251" t="str">
        <x:v>ca3e142ce13eb189904cd3f404c3ac8a1acf03f3a6852e1a41eb0613abd6b716</x:v>
      </x:c>
      <x:c r="S1251" t="n">
        <x:v>6</x:v>
      </x:c>
      <x:c r="T1251" t="str">
        <x:v>2018-12-31|2019-12-31|2020-12-31|2021-12-31</x:v>
      </x:c>
      <x:c r="U1251" s="57" t="n">
        <x:v>-1862.15439954397</x:v>
      </x:c>
      <x:c r="V1251" s="57" t="n">
        <x:v>-2.2842444134786</x:v>
      </x:c>
      <x:c r="W1251"/>
      <x:c r="X1251"/>
      <x:c r="Y1251" s="38" t="n">
        <x:v>0.6409090909090909</x:v>
      </x:c>
      <x:c r="Z1251" s="38" t="n">
        <x:v>4.288484296060114</x:v>
      </x:c>
      <x:c r="AA1251" t="str">
        <x:v>NON_POSITIVE_ENTERPRISE_VALUE|NON_POSITIVE_EQUITY_VALUE|NON_POSITIVE_TERMINAL_FCF|UNRELIABLE_TERMINAL_VALUE_SHARE</x:v>
      </x:c>
    </x:row>
    <x:row r="1252">
      <x:c r="A1252" s="54" t="n">
        <x:v>44651</x:v>
      </x:c>
      <x:c r="B1252" t="n">
        <x:v>44651.624999988424</x:v>
      </x:c>
      <x:c r="C1252" t="str">
        <x:v>018310</x:v>
      </x:c>
      <x:c r="D1252" t="str">
        <x:v>삼목에스폼</x:v>
      </x:c>
      <x:c r="E1252" t="str">
        <x:v>KOSDAQ</x:v>
      </x:c>
      <x:c r="F1252" t="str">
        <x:v>MID</x:v>
      </x:c>
      <x:c r="G1252" t="str">
        <x:v>DCF_SCREENING_EXCLUSION</x:v>
      </x:c>
      <x:c r="H1252" t="str">
        <x:v>NON_POSITIVE_ENTERPRISE_VALUE|NON_POSITIVE_TERMINAL_FCF</x:v>
      </x:c>
      <x:c r="I1252" s="54" t="n">
        <x:v>44651</x:v>
      </x:c>
      <x:c r="J1252" s="55" t="n">
        <x:v>28400</x:v>
      </x:c>
      <x:c r="K1252" s="55" t="n">
        <x:v>417480000000</x:v>
      </x:c>
      <x:c r="L1252" s="55" t="n">
        <x:v>14700000</x:v>
      </x:c>
      <x:c r="M1252" t="str">
        <x:v>20220323000977</x:v>
      </x:c>
      <x:c r="N1252" t="n">
        <x:v>44643.624999988424</x:v>
      </x:c>
      <x:c r="O1252" s="54" t="n">
        <x:v>44561</x:v>
      </x:c>
      <x:c r="P1252" t="str">
        <x:v>False</x:v>
      </x:c>
      <x:c r="Q1252" t="str">
        <x:v>d1ebb1411133b6a7d56774a05030aabd0bf8cee2bd5a239c5d370b46244cefb1</x:v>
      </x:c>
      <x:c r="R1252" t="str">
        <x:v>42ebc9293a6f093145e110022e48b25e5fa85800b871331707fcce500c7ff3c4</x:v>
      </x:c>
      <x:c r="S1252" t="n">
        <x:v>5</x:v>
      </x:c>
      <x:c r="T1252" t="str">
        <x:v>2018-12-31|2019-12-31|2020-12-31|2021-12-31</x:v>
      </x:c>
      <x:c r="U1252" s="57" t="n">
        <x:v>1113.724364776664</x:v>
      </x:c>
      <x:c r="V1252" s="57" t="n">
        <x:v>-0.9607843533529343</x:v>
      </x:c>
      <x:c r="W1252"/>
      <x:c r="X1252"/>
      <x:c r="Y1252" s="38" t="n">
        <x:v>0.6409090909090909</x:v>
      </x:c>
      <x:c r="Z1252" s="38" t="n">
        <x:v>0.5663530764565846</x:v>
      </x:c>
      <x:c r="AA1252" t="str">
        <x:v>NON_POSITIVE_ENTERPRISE_VALUE|NON_POSITIVE_TERMINAL_FCF</x:v>
      </x:c>
    </x:row>
    <x:row r="1253">
      <x:c r="A1253" s="54" t="n">
        <x:v>44651</x:v>
      </x:c>
      <x:c r="B1253" t="n">
        <x:v>44651.624999988424</x:v>
      </x:c>
      <x:c r="C1253" t="str">
        <x:v>090360</x:v>
      </x:c>
      <x:c r="D1253" t="str">
        <x:v>로보스타</x:v>
      </x:c>
      <x:c r="E1253" t="str">
        <x:v>KOSDAQ</x:v>
      </x:c>
      <x:c r="F1253" t="str">
        <x:v>MID</x:v>
      </x:c>
      <x:c r="G1253" t="str">
        <x:v>DCF_SCREENING_EXCLUSION</x:v>
      </x:c>
      <x:c r="H1253" t="str">
        <x:v>NON_POSITIVE_ENTERPRISE_VALUE|NON_POSITIVE_EQUITY_VALUE|NON_POSITIVE_TERMINAL_FCF</x:v>
      </x:c>
      <x:c r="I1253" s="54" t="n">
        <x:v>44651</x:v>
      </x:c>
      <x:c r="J1253" s="55" t="n">
        <x:v>25600</x:v>
      </x:c>
      <x:c r="K1253" s="55" t="n">
        <x:v>249600000000</x:v>
      </x:c>
      <x:c r="L1253" s="55" t="n">
        <x:v>9750000</x:v>
      </x:c>
      <x:c r="M1253" t="str">
        <x:v>20220317001258</x:v>
      </x:c>
      <x:c r="N1253" t="n">
        <x:v>44637.624999988424</x:v>
      </x:c>
      <x:c r="O1253" s="54" t="n">
        <x:v>44561</x:v>
      </x:c>
      <x:c r="P1253" t="str">
        <x:v>False</x:v>
      </x:c>
      <x:c r="Q1253" t="str">
        <x:v>812bd368813bd094b40d2783aa1307b6fc6259e07aa27686d1455fafdea88546</x:v>
      </x:c>
      <x:c r="R1253" t="str">
        <x:v>839ccc30141f7f3ff6b6c52030d341ea3b95aa66d0ba87ff0956f4b10439fb9d</x:v>
      </x:c>
      <x:c r="S1253" t="n">
        <x:v>5</x:v>
      </x:c>
      <x:c r="T1253" t="str">
        <x:v>2018-12-31|2019-12-31|2020-12-31|2021-12-31</x:v>
      </x:c>
      <x:c r="U1253" s="57" t="n">
        <x:v>-913.3084498688557</x:v>
      </x:c>
      <x:c r="V1253" s="57" t="n">
        <x:v>-1.0356761113230022</x:v>
      </x:c>
      <x:c r="W1253"/>
      <x:c r="X1253"/>
      <x:c r="Y1253" s="38" t="n">
        <x:v>0.6409090909090909</x:v>
      </x:c>
      <x:c r="Z1253" s="38" t="n">
        <x:v>0.7528044013043851</x:v>
      </x:c>
      <x:c r="AA1253" t="str">
        <x:v>NON_POSITIVE_ENTERPRISE_VALUE|NON_POSITIVE_EQUITY_VALUE|NON_POSITIVE_TERMINAL_FCF</x:v>
      </x:c>
    </x:row>
    <x:row r="1254">
      <x:c r="A1254" s="54" t="n">
        <x:v>44651</x:v>
      </x:c>
      <x:c r="B1254" t="n">
        <x:v>44651.624999988424</x:v>
      </x:c>
      <x:c r="C1254" t="str">
        <x:v>144960</x:v>
      </x:c>
      <x:c r="D1254" t="str">
        <x:v>뉴파워프라즈마</x:v>
      </x:c>
      <x:c r="E1254" t="str">
        <x:v>KOSDAQ</x:v>
      </x:c>
      <x:c r="F1254" t="str">
        <x:v>MID</x:v>
      </x:c>
      <x:c r="G1254" t="str">
        <x:v>ELIGIBLE</x:v>
      </x:c>
      <x:c r="H1254"/>
      <x:c r="I1254" s="54" t="n">
        <x:v>44651</x:v>
      </x:c>
      <x:c r="J1254" s="55" t="n">
        <x:v>5470</x:v>
      </x:c>
      <x:c r="K1254" s="55" t="n">
        <x:v>238998653280</x:v>
      </x:c>
      <x:c r="L1254" s="55" t="n">
        <x:v>43692624</x:v>
      </x:c>
      <x:c r="M1254" t="str">
        <x:v>20220322001019</x:v>
      </x:c>
      <x:c r="N1254" t="n">
        <x:v>44642.624999988424</x:v>
      </x:c>
      <x:c r="O1254" s="54" t="n">
        <x:v>44561</x:v>
      </x:c>
      <x:c r="P1254" t="str">
        <x:v>False</x:v>
      </x:c>
      <x:c r="Q1254" t="str">
        <x:v>ecc05b805a707a36118d073b359c72b5338598397c87140a6e23238691976794</x:v>
      </x:c>
      <x:c r="R1254" t="str">
        <x:v>55508e8788303cc40eab9d84bd6962b6d46e4c3a6e70ba427bee16963b8829fc</x:v>
      </x:c>
      <x:c r="S1254" t="n">
        <x:v>6</x:v>
      </x:c>
      <x:c r="T1254" t="str">
        <x:v>2018-12-31|2019-12-31|2020-12-31|2021-12-31</x:v>
      </x:c>
      <x:c r="U1254" s="57" t="n">
        <x:v>2143.7735145070833</x:v>
      </x:c>
      <x:c r="V1254" s="57" t="n">
        <x:v>-0.6080852807116849</x:v>
      </x:c>
      <x:c r="W1254" t="n">
        <x:v>44</x:v>
      </x:c>
      <x:c r="X1254" t="n">
        <x:v>4</x:v>
      </x:c>
      <x:c r="Y1254" s="38" t="n">
        <x:v>0.6409090909090909</x:v>
      </x:c>
      <x:c r="Z1254" s="38" t="n">
        <x:v>0.8073711628005346</x:v>
      </x:c>
      <x:c r="AA1254"/>
    </x:row>
    <x:row r="1255">
      <x:c r="A1255" s="54" t="n">
        <x:v>44651</x:v>
      </x:c>
      <x:c r="B1255" t="n">
        <x:v>44651.624999988424</x:v>
      </x:c>
      <x:c r="C1255" t="str">
        <x:v>065660</x:v>
      </x:c>
      <x:c r="D1255" t="str">
        <x:v>안트로젠</x:v>
      </x:c>
      <x:c r="E1255" t="str">
        <x:v>KOSDAQ</x:v>
      </x:c>
      <x:c r="F1255" t="str">
        <x:v>MID</x:v>
      </x:c>
      <x:c r="G1255" t="str">
        <x:v>DCF_SCREENING_EXCLUSION</x:v>
      </x:c>
      <x:c r="H1255" t="str">
        <x:v>NON_POSITIVE_ENTERPRISE_VALUE|NON_POSITIVE_EQUITY_VALUE|NON_POSITIVE_TERMINAL_FCF</x:v>
      </x:c>
      <x:c r="I1255" s="54" t="n">
        <x:v>44651</x:v>
      </x:c>
      <x:c r="J1255" s="55" t="n">
        <x:v>27250</x:v>
      </x:c>
      <x:c r="K1255" s="55" t="n">
        <x:v>265152664250</x:v>
      </x:c>
      <x:c r="L1255" s="55" t="n">
        <x:v>9730373</x:v>
      </x:c>
      <x:c r="M1255" t="str">
        <x:v>20220308000561</x:v>
      </x:c>
      <x:c r="N1255" t="n">
        <x:v>44628.624999988424</x:v>
      </x:c>
      <x:c r="O1255" s="54" t="n">
        <x:v>44561</x:v>
      </x:c>
      <x:c r="P1255" t="str">
        <x:v>False</x:v>
      </x:c>
      <x:c r="Q1255" t="str">
        <x:v>ca8cc1135227c8e4226125c29bdedc099d8a54cc791afacfe1af303aff51c30e</x:v>
      </x:c>
      <x:c r="R1255" t="str">
        <x:v>13f8c889046bf7ebd27422fe30c0fb9dc9a262859e07f3464507af3c877cf08d</x:v>
      </x:c>
      <x:c r="S1255" t="n">
        <x:v>6</x:v>
      </x:c>
      <x:c r="T1255" t="str">
        <x:v>2018-12-31|2019-12-31|2020-12-31|2021-12-31</x:v>
      </x:c>
      <x:c r="U1255" s="57" t="n">
        <x:v>-3288.171883146847</x:v>
      </x:c>
      <x:c r="V1255" s="57" t="n">
        <x:v>-1.120666858097132</x:v>
      </x:c>
      <x:c r="W1255"/>
      <x:c r="X1255"/>
      <x:c r="Y1255" s="38" t="n">
        <x:v>0.6409090909090909</x:v>
      </x:c>
      <x:c r="Z1255" s="38" t="n">
        <x:v>0.6635957394517747</x:v>
      </x:c>
      <x:c r="AA1255" t="str">
        <x:v>NON_POSITIVE_ENTERPRISE_VALUE|NON_POSITIVE_EQUITY_VALUE|NON_POSITIVE_TERMINAL_FCF</x:v>
      </x:c>
    </x:row>
    <x:row r="1256">
      <x:c r="A1256" s="54" t="n">
        <x:v>44651</x:v>
      </x:c>
      <x:c r="B1256" t="n">
        <x:v>44651.624999988424</x:v>
      </x:c>
      <x:c r="C1256" t="str">
        <x:v>255220</x:v>
      </x:c>
      <x:c r="D1256" t="str">
        <x:v>SG</x:v>
      </x:c>
      <x:c r="E1256" t="str">
        <x:v>KOSDAQ</x:v>
      </x:c>
      <x:c r="F1256" t="str">
        <x:v>MID</x:v>
      </x:c>
      <x:c r="G1256" t="str">
        <x:v>DCF_SCREENING_EXCLUSION</x:v>
      </x:c>
      <x:c r="H1256" t="str">
        <x:v>NON_POSITIVE_EQUITY_VALUE|UNRELIABLE_TERMINAL_VALUE_SHARE</x:v>
      </x:c>
      <x:c r="I1256" s="54" t="n">
        <x:v>44651</x:v>
      </x:c>
      <x:c r="J1256" s="55" t="n">
        <x:v>1905</x:v>
      </x:c>
      <x:c r="K1256" s="55" t="n">
        <x:v>84517492890</x:v>
      </x:c>
      <x:c r="L1256" s="55" t="n">
        <x:v>44366138</x:v>
      </x:c>
      <x:c r="M1256" t="str">
        <x:v>20220321001508</x:v>
      </x:c>
      <x:c r="N1256" t="n">
        <x:v>44641.624999988424</x:v>
      </x:c>
      <x:c r="O1256" s="54" t="n">
        <x:v>44561</x:v>
      </x:c>
      <x:c r="P1256" t="str">
        <x:v>False</x:v>
      </x:c>
      <x:c r="Q1256" t="str">
        <x:v>1b86b366626c70669b761c02c02e7034c559e1e273f524f16274296dbc93daac</x:v>
      </x:c>
      <x:c r="R1256" t="str">
        <x:v>ad4792edd5a6e8bc438acd96c825d1e6195a9e8002bf14347a1b0385288462a0</x:v>
      </x:c>
      <x:c r="S1256" t="n">
        <x:v>6</x:v>
      </x:c>
      <x:c r="T1256" t="str">
        <x:v>2018-12-31|2019-12-31|2020-12-31|2021-12-31</x:v>
      </x:c>
      <x:c r="U1256" s="57" t="n">
        <x:v>-1479.6794841705519</x:v>
      </x:c>
      <x:c r="V1256" s="57" t="n">
        <x:v>-1.7767346373598698</x:v>
      </x:c>
      <x:c r="W1256"/>
      <x:c r="X1256"/>
      <x:c r="Y1256" s="38" t="n">
        <x:v>0.6409090909090909</x:v>
      </x:c>
      <x:c r="Z1256" s="38" t="n">
        <x:v>1.263959186437666</x:v>
      </x:c>
      <x:c r="AA1256" t="str">
        <x:v>NON_POSITIVE_EQUITY_VALUE|UNRELIABLE_TERMINAL_VALUE_SHARE</x:v>
      </x:c>
    </x:row>
    <x:row r="1257">
      <x:c r="A1257" s="54" t="n">
        <x:v>44651</x:v>
      </x:c>
      <x:c r="B1257" t="n">
        <x:v>44651.624999988424</x:v>
      </x:c>
      <x:c r="C1257" t="str">
        <x:v>356680</x:v>
      </x:c>
      <x:c r="D1257" t="str">
        <x:v>엑스게이트</x:v>
      </x:c>
      <x:c r="E1257" t="str">
        <x:v>KOSDAQ</x:v>
      </x:c>
      <x:c r="F1257" t="str">
        <x:v>MID</x:v>
      </x:c>
      <x:c r="G1257" t="str">
        <x:v>NOT_LISTED_OR_NO_PRICE</x:v>
      </x:c>
      <x:c r="H1257"/>
      <x:c r="I1257" s="54"/>
      <x:c r="J1257" s="55"/>
      <x:c r="K1257" s="55"/>
      <x:c r="L1257" s="55"/>
      <x:c r="M1257"/>
      <x:c r="N1257"/>
      <x:c r="O1257" s="54"/>
      <x:c r="P1257"/>
      <x:c r="Q1257"/>
      <x:c r="R1257"/>
      <x:c r="S1257"/>
      <x:c r="T1257"/>
      <x:c r="U1257" s="57"/>
      <x:c r="V1257" s="57"/>
      <x:c r="W1257"/>
      <x:c r="X1257"/>
      <x:c r="Y1257" s="38"/>
      <x:c r="Z1257" s="38"/>
      <x:c r="AA1257"/>
    </x:row>
    <x:row r="1258">
      <x:c r="A1258" s="54" t="n">
        <x:v>44651</x:v>
      </x:c>
      <x:c r="B1258" t="n">
        <x:v>44651.624999988424</x:v>
      </x:c>
      <x:c r="C1258" t="str">
        <x:v>038390</x:v>
      </x:c>
      <x:c r="D1258" t="str">
        <x:v>레드캡투어</x:v>
      </x:c>
      <x:c r="E1258" t="str">
        <x:v>KOSDAQ</x:v>
      </x:c>
      <x:c r="F1258" t="str">
        <x:v>MID</x:v>
      </x:c>
      <x:c r="G1258" t="str">
        <x:v>ELIGIBLE</x:v>
      </x:c>
      <x:c r="H1258"/>
      <x:c r="I1258" s="54" t="n">
        <x:v>44651</x:v>
      </x:c>
      <x:c r="J1258" s="55" t="n">
        <x:v>24050</x:v>
      </x:c>
      <x:c r="K1258" s="55" t="n">
        <x:v>206576994000</x:v>
      </x:c>
      <x:c r="L1258" s="55" t="n">
        <x:v>8589480</x:v>
      </x:c>
      <x:c r="M1258" t="str">
        <x:v>20220317000890</x:v>
      </x:c>
      <x:c r="N1258" t="n">
        <x:v>44637.624999988424</x:v>
      </x:c>
      <x:c r="O1258" s="54" t="n">
        <x:v>44561</x:v>
      </x:c>
      <x:c r="P1258" t="str">
        <x:v>False</x:v>
      </x:c>
      <x:c r="Q1258" t="str">
        <x:v>8f8828ebfc53547c7e9043d8aae0f7cb754e7fca9b893a3ba8383e35f786d57c</x:v>
      </x:c>
      <x:c r="R1258" t="str">
        <x:v>48ae00dafefcd96cc7e08b1ef88b27681e65cc8aeebda312cebb3712c271f891</x:v>
      </x:c>
      <x:c r="S1258" t="n">
        <x:v>6</x:v>
      </x:c>
      <x:c r="T1258" t="str">
        <x:v>2018-12-31|2019-12-31|2020-12-31|2021-12-31</x:v>
      </x:c>
      <x:c r="U1258" s="57" t="n">
        <x:v>7949.727668580381</x:v>
      </x:c>
      <x:c r="V1258" s="57" t="n">
        <x:v>-0.6694499929904207</x:v>
      </x:c>
      <x:c r="W1258" t="n">
        <x:v>48</x:v>
      </x:c>
      <x:c r="X1258" t="n">
        <x:v>4</x:v>
      </x:c>
      <x:c r="Y1258" s="38" t="n">
        <x:v>0.6409090909090909</x:v>
      </x:c>
      <x:c r="Z1258" s="38" t="n">
        <x:v>0.6747690002838279</x:v>
      </x:c>
      <x:c r="AA1258"/>
    </x:row>
    <x:row r="1259">
      <x:c r="A1259" s="54" t="n">
        <x:v>44651</x:v>
      </x:c>
      <x:c r="B1259" t="n">
        <x:v>44651.624999988424</x:v>
      </x:c>
      <x:c r="C1259" t="str">
        <x:v>083930</x:v>
      </x:c>
      <x:c r="D1259" t="str">
        <x:v>아바코</x:v>
      </x:c>
      <x:c r="E1259" t="str">
        <x:v>KOSDAQ</x:v>
      </x:c>
      <x:c r="F1259" t="str">
        <x:v>MID</x:v>
      </x:c>
      <x:c r="G1259" t="str">
        <x:v>ELIGIBLE</x:v>
      </x:c>
      <x:c r="H1259"/>
      <x:c r="I1259" s="54" t="n">
        <x:v>44651</x:v>
      </x:c>
      <x:c r="J1259" s="55" t="n">
        <x:v>11850</x:v>
      </x:c>
      <x:c r="K1259" s="55" t="n">
        <x:v>182641656300</x:v>
      </x:c>
      <x:c r="L1259" s="55" t="n">
        <x:v>15412798</x:v>
      </x:c>
      <x:c r="M1259" t="str">
        <x:v>20220316001015</x:v>
      </x:c>
      <x:c r="N1259" t="n">
        <x:v>44636.624999988424</x:v>
      </x:c>
      <x:c r="O1259" s="54" t="n">
        <x:v>44561</x:v>
      </x:c>
      <x:c r="P1259" t="str">
        <x:v>False</x:v>
      </x:c>
      <x:c r="Q1259" t="str">
        <x:v>13ec73253691b8312436fcd403896a8a02f76f1e46471f47664b5cd6e8c102b8</x:v>
      </x:c>
      <x:c r="R1259" t="str">
        <x:v>17970807d024f4900434d2289a8ebb1b1aa8f88bc451d35e3d67e907d43fc45d</x:v>
      </x:c>
      <x:c r="S1259" t="n">
        <x:v>7</x:v>
      </x:c>
      <x:c r="T1259" t="str">
        <x:v>2018-12-31|2019-12-31|2020-12-31|2021-12-31</x:v>
      </x:c>
      <x:c r="U1259" s="57" t="n">
        <x:v>8873.73518255816</x:v>
      </x:c>
      <x:c r="V1259" s="57" t="n">
        <x:v>-0.25116158796977545</x:v>
      </x:c>
      <x:c r="W1259" t="n">
        <x:v>25</x:v>
      </x:c>
      <x:c r="X1259" t="n">
        <x:v>2</x:v>
      </x:c>
      <x:c r="Y1259" s="38" t="n">
        <x:v>0.6409090909090909</x:v>
      </x:c>
      <x:c r="Z1259" s="38" t="n">
        <x:v>0.6330261532715434</x:v>
      </x:c>
      <x:c r="AA1259"/>
    </x:row>
    <x:row r="1260">
      <x:c r="A1260" s="54" t="n">
        <x:v>44651</x:v>
      </x:c>
      <x:c r="B1260" t="n">
        <x:v>44651.624999988424</x:v>
      </x:c>
      <x:c r="C1260" t="str">
        <x:v>089600</x:v>
      </x:c>
      <x:c r="D1260" t="str">
        <x:v>KT나스미디어</x:v>
      </x:c>
      <x:c r="E1260" t="str">
        <x:v>KOSDAQ</x:v>
      </x:c>
      <x:c r="F1260" t="str">
        <x:v>MID</x:v>
      </x:c>
      <x:c r="G1260" t="str">
        <x:v>ELIGIBLE</x:v>
      </x:c>
      <x:c r="H1260"/>
      <x:c r="I1260" s="54" t="n">
        <x:v>44651</x:v>
      </x:c>
      <x:c r="J1260" s="55" t="n">
        <x:v>29200</x:v>
      </x:c>
      <x:c r="K1260" s="55" t="n">
        <x:v>280463372000</x:v>
      </x:c>
      <x:c r="L1260" s="55" t="n">
        <x:v>9604910</x:v>
      </x:c>
      <x:c r="M1260" t="str">
        <x:v>20220317000232</x:v>
      </x:c>
      <x:c r="N1260" t="n">
        <x:v>44637.624999988424</x:v>
      </x:c>
      <x:c r="O1260" s="54" t="n">
        <x:v>44561</x:v>
      </x:c>
      <x:c r="P1260" t="str">
        <x:v>False</x:v>
      </x:c>
      <x:c r="Q1260" t="str">
        <x:v>5302bde4f000b4a1536f675922fd423428599f72845c19dfc98fb7a4d88ef31d</x:v>
      </x:c>
      <x:c r="R1260" t="str">
        <x:v>a5b91bb22df7533e3783212ac90392a43db3f414ee8b6c1015c193b9e5609550</x:v>
      </x:c>
      <x:c r="S1260" t="n">
        <x:v>6</x:v>
      </x:c>
      <x:c r="T1260" t="str">
        <x:v>2019-12-31|2020-12-31|2021-12-31</x:v>
      </x:c>
      <x:c r="U1260" s="57" t="n">
        <x:v>36472.50831087055</x:v>
      </x:c>
      <x:c r="V1260" s="57" t="n">
        <x:v>0.2490585037969366</x:v>
      </x:c>
      <x:c r="W1260" t="n">
        <x:v>13</x:v>
      </x:c>
      <x:c r="X1260" t="n">
        <x:v>1</x:v>
      </x:c>
      <x:c r="Y1260" s="38" t="n">
        <x:v>0.6409090909090909</x:v>
      </x:c>
      <x:c r="Z1260" s="38" t="n">
        <x:v>0.6710290861971622</x:v>
      </x:c>
      <x:c r="AA1260"/>
    </x:row>
    <x:row r="1261">
      <x:c r="A1261" s="54" t="n">
        <x:v>44651</x:v>
      </x:c>
      <x:c r="B1261" t="n">
        <x:v>44651.624999988424</x:v>
      </x:c>
      <x:c r="C1261" t="str">
        <x:v>091120</x:v>
      </x:c>
      <x:c r="D1261" t="str">
        <x:v>이엠텍</x:v>
      </x:c>
      <x:c r="E1261" t="str">
        <x:v>KOSDAQ</x:v>
      </x:c>
      <x:c r="F1261" t="str">
        <x:v>MID</x:v>
      </x:c>
      <x:c r="G1261" t="str">
        <x:v>ELIGIBLE</x:v>
      </x:c>
      <x:c r="H1261"/>
      <x:c r="I1261" s="54" t="n">
        <x:v>44651</x:v>
      </x:c>
      <x:c r="J1261" s="55" t="n">
        <x:v>41400</x:v>
      </x:c>
      <x:c r="K1261" s="55" t="n">
        <x:v>657760550400</x:v>
      </x:c>
      <x:c r="L1261" s="55" t="n">
        <x:v>15887936</x:v>
      </x:c>
      <x:c r="M1261" t="str">
        <x:v>20220315000520</x:v>
      </x:c>
      <x:c r="N1261" t="n">
        <x:v>44635.624999988424</x:v>
      </x:c>
      <x:c r="O1261" s="54" t="n">
        <x:v>44561</x:v>
      </x:c>
      <x:c r="P1261" t="str">
        <x:v>False</x:v>
      </x:c>
      <x:c r="Q1261" t="str">
        <x:v>19299c3f04d71311dd627d515d667c8b0682275ff5e65e515557025aedacf394</x:v>
      </x:c>
      <x:c r="R1261" t="str">
        <x:v>2a3dfa1f875a53e601c207b9d997b3a3bb5a9a16bb99777e3424b29bf7659a4d</x:v>
      </x:c>
      <x:c r="S1261" t="n">
        <x:v>6</x:v>
      </x:c>
      <x:c r="T1261" t="str">
        <x:v>2018-12-31|2019-12-31|2020-12-31|2021-12-31</x:v>
      </x:c>
      <x:c r="U1261" s="57" t="n">
        <x:v>4621.120407547834</x:v>
      </x:c>
      <x:c r="V1261" s="57" t="n">
        <x:v>-0.8883787341172021</x:v>
      </x:c>
      <x:c r="W1261" t="n">
        <x:v>63</x:v>
      </x:c>
      <x:c r="X1261" t="n">
        <x:v>5</x:v>
      </x:c>
      <x:c r="Y1261" s="38" t="n">
        <x:v>0.6409090909090909</x:v>
      </x:c>
      <x:c r="Z1261" s="38" t="n">
        <x:v>0.1788426422228145</x:v>
      </x:c>
      <x:c r="AA1261"/>
    </x:row>
    <x:row r="1262">
      <x:c r="A1262" s="54" t="n">
        <x:v>44651</x:v>
      </x:c>
      <x:c r="B1262" t="n">
        <x:v>44651.624999988424</x:v>
      </x:c>
      <x:c r="C1262" t="str">
        <x:v>353810</x:v>
      </x:c>
      <x:c r="D1262" t="str">
        <x:v>이지바이오</x:v>
      </x:c>
      <x:c r="E1262" t="str">
        <x:v>KOSDAQ</x:v>
      </x:c>
      <x:c r="F1262" t="str">
        <x:v>MID</x:v>
      </x:c>
      <x:c r="G1262" t="str">
        <x:v>ELIGIBLE</x:v>
      </x:c>
      <x:c r="H1262"/>
      <x:c r="I1262" s="54" t="n">
        <x:v>44651</x:v>
      </x:c>
      <x:c r="J1262" s="55" t="n">
        <x:v>5390</x:v>
      </x:c>
      <x:c r="K1262" s="55" t="n">
        <x:v>184293370800</x:v>
      </x:c>
      <x:c r="L1262" s="55" t="n">
        <x:v>34191720</x:v>
      </x:c>
      <x:c r="M1262" t="str">
        <x:v>20220323000853</x:v>
      </x:c>
      <x:c r="N1262" t="n">
        <x:v>44643.624999988424</x:v>
      </x:c>
      <x:c r="O1262" s="54" t="n">
        <x:v>44561</x:v>
      </x:c>
      <x:c r="P1262" t="str">
        <x:v>False</x:v>
      </x:c>
      <x:c r="Q1262" t="str">
        <x:v>1ed3cea215e652a4a56305baf44e340c129acaa328d0ba672d6f2e628eb49202</x:v>
      </x:c>
      <x:c r="R1262" t="str">
        <x:v>1d358b2cb9a135490303ab760a8517a6356f68cd85ecb109e9f45ac8b38a5dc4</x:v>
      </x:c>
      <x:c r="S1262" t="n">
        <x:v>6</x:v>
      </x:c>
      <x:c r="T1262" t="str">
        <x:v>2021-12-31</x:v>
      </x:c>
      <x:c r="U1262" s="57" t="n">
        <x:v>3357.0058336309285</x:v>
      </x:c>
      <x:c r="V1262" s="57" t="n">
        <x:v>-0.3771788805879539</x:v>
      </x:c>
      <x:c r="W1262" t="n">
        <x:v>30</x:v>
      </x:c>
      <x:c r="X1262" t="n">
        <x:v>3</x:v>
      </x:c>
      <x:c r="Y1262" s="38" t="n">
        <x:v>0.6409090909090909</x:v>
      </x:c>
      <x:c r="Z1262" s="38" t="n">
        <x:v>0.6701769222689359</x:v>
      </x:c>
      <x:c r="AA1262"/>
    </x:row>
    <x:row r="1263">
      <x:c r="A1263" s="54" t="n">
        <x:v>44651</x:v>
      </x:c>
      <x:c r="B1263" t="n">
        <x:v>44651.624999988424</x:v>
      </x:c>
      <x:c r="C1263" t="str">
        <x:v>203650</x:v>
      </x:c>
      <x:c r="D1263" t="str">
        <x:v>드림시큐리티</x:v>
      </x:c>
      <x:c r="E1263" t="str">
        <x:v>KOSDAQ</x:v>
      </x:c>
      <x:c r="F1263" t="str">
        <x:v>MID</x:v>
      </x:c>
      <x:c r="G1263" t="str">
        <x:v>ELIGIBLE</x:v>
      </x:c>
      <x:c r="H1263"/>
      <x:c r="I1263" s="54" t="n">
        <x:v>44651</x:v>
      </x:c>
      <x:c r="J1263" s="55" t="n">
        <x:v>4535</x:v>
      </x:c>
      <x:c r="K1263" s="55" t="n">
        <x:v>229497094390</x:v>
      </x:c>
      <x:c r="L1263" s="55" t="n">
        <x:v>50605754</x:v>
      </x:c>
      <x:c r="M1263" t="str">
        <x:v>20220321001427</x:v>
      </x:c>
      <x:c r="N1263" t="n">
        <x:v>44641.624999988424</x:v>
      </x:c>
      <x:c r="O1263" s="54" t="n">
        <x:v>44561</x:v>
      </x:c>
      <x:c r="P1263" t="str">
        <x:v>False</x:v>
      </x:c>
      <x:c r="Q1263" t="str">
        <x:v>03cd60d2d6fbfed63a775cf91bfdcf044216a3e80e89c8ad88a2a37c93e2442e</x:v>
      </x:c>
      <x:c r="R1263" t="str">
        <x:v>802d3db02a94d16e80cd706bd0ba9503465cd3e44390d283f26677576ed21120</x:v>
      </x:c>
      <x:c r="S1263" t="n">
        <x:v>6</x:v>
      </x:c>
      <x:c r="T1263" t="str">
        <x:v>2018-12-31|2019-12-31|2020-12-31|2021-12-31</x:v>
      </x:c>
      <x:c r="U1263" s="57" t="n">
        <x:v>1991.1706549336343</x:v>
      </x:c>
      <x:c r="V1263" s="57" t="n">
        <x:v>-0.5609326008966627</x:v>
      </x:c>
      <x:c r="W1263" t="n">
        <x:v>38</x:v>
      </x:c>
      <x:c r="X1263" t="n">
        <x:v>3</x:v>
      </x:c>
      <x:c r="Y1263" s="38" t="n">
        <x:v>0.6409090909090909</x:v>
      </x:c>
      <x:c r="Z1263" s="38" t="n">
        <x:v>0.6784362615984412</x:v>
      </x:c>
      <x:c r="AA1263"/>
    </x:row>
    <x:row r="1264">
      <x:c r="A1264" s="54" t="n">
        <x:v>44651</x:v>
      </x:c>
      <x:c r="B1264" t="n">
        <x:v>44651.624999988424</x:v>
      </x:c>
      <x:c r="C1264" t="str">
        <x:v>251120</x:v>
      </x:c>
      <x:c r="D1264" t="str">
        <x:v>바이오에프디엔씨</x:v>
      </x:c>
      <x:c r="E1264" t="str">
        <x:v>KOSDAQ</x:v>
      </x:c>
      <x:c r="F1264" t="str">
        <x:v>MID</x:v>
      </x:c>
      <x:c r="G1264" t="str">
        <x:v>ELIGIBLE</x:v>
      </x:c>
      <x:c r="H1264"/>
      <x:c r="I1264" s="54" t="n">
        <x:v>44651</x:v>
      </x:c>
      <x:c r="J1264" s="55" t="n">
        <x:v>22350</x:v>
      </x:c>
      <x:c r="K1264" s="55" t="n">
        <x:v>194348895000</x:v>
      </x:c>
      <x:c r="L1264" s="55" t="n">
        <x:v>8695700</x:v>
      </x:c>
      <x:c r="M1264" t="str">
        <x:v>20220323000478</x:v>
      </x:c>
      <x:c r="N1264" t="n">
        <x:v>44643.624999988424</x:v>
      </x:c>
      <x:c r="O1264" s="54" t="n">
        <x:v>44561</x:v>
      </x:c>
      <x:c r="P1264" t="str">
        <x:v>False</x:v>
      </x:c>
      <x:c r="Q1264" t="str">
        <x:v>3501561cf0db4cbb7a87ac9eed8b10979b3381409f3a54df0cc284cabda093ba</x:v>
      </x:c>
      <x:c r="R1264" t="str">
        <x:v>0170a7270715039ddac784fcb111aedcac85232fde24a53bfd3d3499602b0a31</x:v>
      </x:c>
      <x:c r="S1264" t="n">
        <x:v>5</x:v>
      </x:c>
      <x:c r="T1264" t="str">
        <x:v>2021-12-31</x:v>
      </x:c>
      <x:c r="U1264" s="57" t="n">
        <x:v>3267.088249886076</x:v>
      </x:c>
      <x:c r="V1264" s="57" t="n">
        <x:v>-0.8538215548149407</x:v>
      </x:c>
      <x:c r="W1264" t="n">
        <x:v>61</x:v>
      </x:c>
      <x:c r="X1264" t="n">
        <x:v>5</x:v>
      </x:c>
      <x:c r="Y1264" s="38" t="n">
        <x:v>0.6409090909090909</x:v>
      </x:c>
      <x:c r="Z1264" s="38" t="n">
        <x:v>0.6701769222689359</x:v>
      </x:c>
      <x:c r="AA1264"/>
    </x:row>
    <x:row r="1265">
      <x:c r="A1265" s="54" t="n">
        <x:v>44651</x:v>
      </x:c>
      <x:c r="B1265" t="n">
        <x:v>44651.624999988424</x:v>
      </x:c>
      <x:c r="C1265" t="str">
        <x:v>094820</x:v>
      </x:c>
      <x:c r="D1265" t="str">
        <x:v>일진파워</x:v>
      </x:c>
      <x:c r="E1265" t="str">
        <x:v>KOSDAQ</x:v>
      </x:c>
      <x:c r="F1265" t="str">
        <x:v>MID</x:v>
      </x:c>
      <x:c r="G1265" t="str">
        <x:v>ELIGIBLE</x:v>
      </x:c>
      <x:c r="H1265"/>
      <x:c r="I1265" s="54" t="n">
        <x:v>44651</x:v>
      </x:c>
      <x:c r="J1265" s="55" t="n">
        <x:v>25050</x:v>
      </x:c>
      <x:c r="K1265" s="55" t="n">
        <x:v>377721660450</x:v>
      </x:c>
      <x:c r="L1265" s="55" t="n">
        <x:v>15078709</x:v>
      </x:c>
      <x:c r="M1265" t="str">
        <x:v>20220317001181</x:v>
      </x:c>
      <x:c r="N1265" t="n">
        <x:v>44637.624999988424</x:v>
      </x:c>
      <x:c r="O1265" s="54" t="n">
        <x:v>44561</x:v>
      </x:c>
      <x:c r="P1265" t="str">
        <x:v>False</x:v>
      </x:c>
      <x:c r="Q1265" t="str">
        <x:v>4b9effa524ed32f7a4097b4c4160b5ffed6dada3a972d752e6f198e408150f8e</x:v>
      </x:c>
      <x:c r="R1265" t="str">
        <x:v>0879e43ab16a65a9bbb1edd3b1e2d24a67dbf41806582b7956c356e41d0f0195</x:v>
      </x:c>
      <x:c r="S1265" t="n">
        <x:v>6</x:v>
      </x:c>
      <x:c r="T1265" t="str">
        <x:v>2018-12-31|2019-12-31|2020-12-31|2021-12-31</x:v>
      </x:c>
      <x:c r="U1265" s="57" t="n">
        <x:v>14804.504335591811</x:v>
      </x:c>
      <x:c r="V1265" s="57" t="n">
        <x:v>-0.4090018229304666</x:v>
      </x:c>
      <x:c r="W1265" t="n">
        <x:v>32</x:v>
      </x:c>
      <x:c r="X1265" t="n">
        <x:v>3</x:v>
      </x:c>
      <x:c r="Y1265" s="38" t="n">
        <x:v>0.6409090909090909</x:v>
      </x:c>
      <x:c r="Z1265" s="38" t="n">
        <x:v>0.6685223660850954</x:v>
      </x:c>
      <x:c r="AA1265"/>
    </x:row>
    <x:row r="1266">
      <x:c r="A1266" s="54" t="n">
        <x:v>44651</x:v>
      </x:c>
      <x:c r="B1266" t="n">
        <x:v>44651.624999988424</x:v>
      </x:c>
      <x:c r="C1266" t="str">
        <x:v>333430</x:v>
      </x:c>
      <x:c r="D1266" t="str">
        <x:v>일승</x:v>
      </x:c>
      <x:c r="E1266" t="str">
        <x:v>KOSDAQ</x:v>
      </x:c>
      <x:c r="F1266" t="str">
        <x:v>MID</x:v>
      </x:c>
      <x:c r="G1266" t="str">
        <x:v>ELIGIBLE</x:v>
      </x:c>
      <x:c r="H1266"/>
      <x:c r="I1266" s="54" t="n">
        <x:v>44651</x:v>
      </x:c>
      <x:c r="J1266" s="55" t="n">
        <x:v>2880</x:v>
      </x:c>
      <x:c r="K1266" s="55" t="n">
        <x:v>88493031360</x:v>
      </x:c>
      <x:c r="L1266" s="55" t="n">
        <x:v>30726747</x:v>
      </x:c>
      <x:c r="M1266" t="str">
        <x:v>20220321000901</x:v>
      </x:c>
      <x:c r="N1266" t="n">
        <x:v>44641.624999988424</x:v>
      </x:c>
      <x:c r="O1266" s="54" t="n">
        <x:v>44561</x:v>
      </x:c>
      <x:c r="P1266" t="str">
        <x:v>False</x:v>
      </x:c>
      <x:c r="Q1266" t="str">
        <x:v>b53dc9765db4a8c234836a9ff600c9c99787fb1358df24b429a4638d676c9f42</x:v>
      </x:c>
      <x:c r="R1266" t="str">
        <x:v>0e53d637c2971ddf00b56e034098422abf1d3f8c23c45147a446572ceb638abc</x:v>
      </x:c>
      <x:c r="S1266" t="n">
        <x:v>6</x:v>
      </x:c>
      <x:c r="T1266" t="str">
        <x:v>2021-12-31</x:v>
      </x:c>
      <x:c r="U1266" s="57" t="n">
        <x:v>706.0565520511188</x:v>
      </x:c>
      <x:c r="V1266" s="57" t="n">
        <x:v>-0.7548414749822504</x:v>
      </x:c>
      <x:c r="W1266" t="n">
        <x:v>53</x:v>
      </x:c>
      <x:c r="X1266" t="n">
        <x:v>4</x:v>
      </x:c>
      <x:c r="Y1266" s="38" t="n">
        <x:v>0.6409090909090909</x:v>
      </x:c>
      <x:c r="Z1266" s="38" t="n">
        <x:v>0.6701769222689359</x:v>
      </x:c>
      <x:c r="AA1266"/>
    </x:row>
    <x:row r="1267">
      <x:c r="A1267" s="54" t="n">
        <x:v>44651</x:v>
      </x:c>
      <x:c r="B1267" t="n">
        <x:v>44651.624999988424</x:v>
      </x:c>
      <x:c r="C1267" t="str">
        <x:v>041440</x:v>
      </x:c>
      <x:c r="D1267" t="str">
        <x:v>현대에버다임</x:v>
      </x:c>
      <x:c r="E1267" t="str">
        <x:v>KOSDAQ</x:v>
      </x:c>
      <x:c r="F1267" t="str">
        <x:v>MID</x:v>
      </x:c>
      <x:c r="G1267" t="str">
        <x:v>DCF_SCREENING_EXCLUSION</x:v>
      </x:c>
      <x:c r="H1267" t="str">
        <x:v>NON_POSITIVE_ENTERPRISE_VALUE|NON_POSITIVE_EQUITY_VALUE|UNRELIABLE_TERMINAL_VALUE_SHARE</x:v>
      </x:c>
      <x:c r="I1267" s="54" t="n">
        <x:v>44651</x:v>
      </x:c>
      <x:c r="J1267" s="55" t="n">
        <x:v>5510</x:v>
      </x:c>
      <x:c r="K1267" s="55" t="n">
        <x:v>98716851440</x:v>
      </x:c>
      <x:c r="L1267" s="55" t="n">
        <x:v>17915944</x:v>
      </x:c>
      <x:c r="M1267" t="str">
        <x:v>20220318000828</x:v>
      </x:c>
      <x:c r="N1267" t="n">
        <x:v>44638.624999988424</x:v>
      </x:c>
      <x:c r="O1267" s="54" t="n">
        <x:v>44561</x:v>
      </x:c>
      <x:c r="P1267" t="str">
        <x:v>False</x:v>
      </x:c>
      <x:c r="Q1267" t="str">
        <x:v>233d25aca3dd16875696f480814215acee6e161d6bff94e6bd0eb55697d20a52</x:v>
      </x:c>
      <x:c r="R1267" t="str">
        <x:v>c3c9ba2e625a007d3e3a68beb916b800548f63e35d576e817bc46ec00ea87714</x:v>
      </x:c>
      <x:c r="S1267" t="n">
        <x:v>7</x:v>
      </x:c>
      <x:c r="T1267" t="str">
        <x:v>2018-12-31|2019-12-31|2020-12-31|2021-12-31</x:v>
      </x:c>
      <x:c r="U1267" s="57" t="n">
        <x:v>-1086.4361798862215</x:v>
      </x:c>
      <x:c r="V1267" s="57" t="n">
        <x:v>-1.197175350251583</x:v>
      </x:c>
      <x:c r="W1267"/>
      <x:c r="X1267"/>
      <x:c r="Y1267" s="38" t="n">
        <x:v>0.6409090909090909</x:v>
      </x:c>
      <x:c r="Z1267" s="38" t="n">
        <x:v>-0.7010819502366538</x:v>
      </x:c>
      <x:c r="AA1267" t="str">
        <x:v>NON_POSITIVE_ENTERPRISE_VALUE|NON_POSITIVE_EQUITY_VALUE|UNRELIABLE_TERMINAL_VALUE_SHARE</x:v>
      </x:c>
    </x:row>
    <x:row r="1268">
      <x:c r="A1268" s="54" t="n">
        <x:v>44651</x:v>
      </x:c>
      <x:c r="B1268" t="n">
        <x:v>44651.624999988424</x:v>
      </x:c>
      <x:c r="C1268" t="str">
        <x:v>067990</x:v>
      </x:c>
      <x:c r="D1268" t="str">
        <x:v>도이치모터스</x:v>
      </x:c>
      <x:c r="E1268" t="str">
        <x:v>KOSDAQ</x:v>
      </x:c>
      <x:c r="F1268" t="str">
        <x:v>MID</x:v>
      </x:c>
      <x:c r="G1268" t="str">
        <x:v>DCF_SCREENING_EXCLUSION</x:v>
      </x:c>
      <x:c r="H1268" t="str">
        <x:v>NON_POSITIVE_EQUITY_VALUE|UNRELIABLE_TERMINAL_VALUE_SHARE</x:v>
      </x:c>
      <x:c r="I1268" s="54" t="n">
        <x:v>44651</x:v>
      </x:c>
      <x:c r="J1268" s="55" t="n">
        <x:v>9800</x:v>
      </x:c>
      <x:c r="K1268" s="55" t="n">
        <x:v>291734367400</x:v>
      </x:c>
      <x:c r="L1268" s="55" t="n">
        <x:v>29768813</x:v>
      </x:c>
      <x:c r="M1268" t="str">
        <x:v>20220318001141</x:v>
      </x:c>
      <x:c r="N1268" t="n">
        <x:v>44638.624999988424</x:v>
      </x:c>
      <x:c r="O1268" s="54" t="n">
        <x:v>44561</x:v>
      </x:c>
      <x:c r="P1268" t="str">
        <x:v>False</x:v>
      </x:c>
      <x:c r="Q1268" t="str">
        <x:v>71ba1d6be49545c71bed8dc3caf1d8ffe2c800da4e94d6f804e856ea70e7146f</x:v>
      </x:c>
      <x:c r="R1268" t="str">
        <x:v>51a72ecd10c90084d78182e3eeed636558e9bac540f0e1f366aa3aadaba1a609</x:v>
      </x:c>
      <x:c r="S1268" t="n">
        <x:v>6</x:v>
      </x:c>
      <x:c r="T1268" t="str">
        <x:v>2016-12-31|2018-12-31|2019-12-31|2020-12-31|2021-12-31</x:v>
      </x:c>
      <x:c r="U1268" s="57" t="n">
        <x:v>-9800.233778230024</x:v>
      </x:c>
      <x:c r="V1268" s="57" t="n">
        <x:v>-2.000023854921431</x:v>
      </x:c>
      <x:c r="W1268"/>
      <x:c r="X1268"/>
      <x:c r="Y1268" s="38" t="n">
        <x:v>0.6409090909090909</x:v>
      </x:c>
      <x:c r="Z1268" s="38" t="n">
        <x:v>0.8856781578573619</x:v>
      </x:c>
      <x:c r="AA1268" t="str">
        <x:v>NON_POSITIVE_EQUITY_VALUE|UNRELIABLE_TERMINAL_VALUE_SHARE</x:v>
      </x:c>
    </x:row>
    <x:row r="1269">
      <x:c r="A1269" s="54" t="n">
        <x:v>44651</x:v>
      </x:c>
      <x:c r="B1269" t="n">
        <x:v>44651.624999988424</x:v>
      </x:c>
      <x:c r="C1269" t="str">
        <x:v>037070</x:v>
      </x:c>
      <x:c r="D1269" t="str">
        <x:v>파세코</x:v>
      </x:c>
      <x:c r="E1269" t="str">
        <x:v>KOSDAQ</x:v>
      </x:c>
      <x:c r="F1269" t="str">
        <x:v>MID</x:v>
      </x:c>
      <x:c r="G1269" t="str">
        <x:v>ELIGIBLE</x:v>
      </x:c>
      <x:c r="H1269"/>
      <x:c r="I1269" s="54" t="n">
        <x:v>44651</x:v>
      </x:c>
      <x:c r="J1269" s="55" t="n">
        <x:v>18600</x:v>
      </x:c>
      <x:c r="K1269" s="55" t="n">
        <x:v>372000000000</x:v>
      </x:c>
      <x:c r="L1269" s="55" t="n">
        <x:v>20000000</x:v>
      </x:c>
      <x:c r="M1269" t="str">
        <x:v>20220322000560</x:v>
      </x:c>
      <x:c r="N1269" t="n">
        <x:v>44642.624999988424</x:v>
      </x:c>
      <x:c r="O1269" s="54" t="n">
        <x:v>44561</x:v>
      </x:c>
      <x:c r="P1269" t="str">
        <x:v>False</x:v>
      </x:c>
      <x:c r="Q1269" t="str">
        <x:v>77642086bc05230e6266eebe6de03d61da7865f9800e099e5de46fd3d4f15e09</x:v>
      </x:c>
      <x:c r="R1269" t="str">
        <x:v>5bc386879a8f8b8e43d095f4dc93835706b0f996a413c7cb7b8d4d6a743f905c</x:v>
      </x:c>
      <x:c r="S1269" t="n">
        <x:v>7</x:v>
      </x:c>
      <x:c r="T1269" t="str">
        <x:v>2018-12-31|2019-12-31|2020-12-31|2021-12-31</x:v>
      </x:c>
      <x:c r="U1269" s="57" t="n">
        <x:v>7862.71670004411</x:v>
      </x:c>
      <x:c r="V1269" s="57" t="n">
        <x:v>-0.5772732956965532</x:v>
      </x:c>
      <x:c r="W1269" t="n">
        <x:v>40</x:v>
      </x:c>
      <x:c r="X1269" t="n">
        <x:v>3</x:v>
      </x:c>
      <x:c r="Y1269" s="38" t="n">
        <x:v>0.6409090909090909</x:v>
      </x:c>
      <x:c r="Z1269" s="38" t="n">
        <x:v>0.6740869943779537</x:v>
      </x:c>
      <x:c r="AA1269"/>
    </x:row>
    <x:row r="1270">
      <x:c r="A1270" s="54" t="n">
        <x:v>44651</x:v>
      </x:c>
      <x:c r="B1270" t="n">
        <x:v>44651.624999988424</x:v>
      </x:c>
      <x:c r="C1270" t="str">
        <x:v>365330</x:v>
      </x:c>
      <x:c r="D1270" t="str">
        <x:v>에스와이스틸텍</x:v>
      </x:c>
      <x:c r="E1270" t="str">
        <x:v>KOSDAQ</x:v>
      </x:c>
      <x:c r="F1270" t="str">
        <x:v>MID</x:v>
      </x:c>
      <x:c r="G1270" t="str">
        <x:v>NOT_LISTED_OR_NO_PRICE</x:v>
      </x:c>
      <x:c r="H1270"/>
      <x:c r="I1270" s="54"/>
      <x:c r="J1270" s="55"/>
      <x:c r="K1270" s="55"/>
      <x:c r="L1270" s="55"/>
      <x:c r="M1270"/>
      <x:c r="N1270"/>
      <x:c r="O1270" s="54"/>
      <x:c r="P1270"/>
      <x:c r="Q1270"/>
      <x:c r="R1270"/>
      <x:c r="S1270"/>
      <x:c r="T1270"/>
      <x:c r="U1270" s="57"/>
      <x:c r="V1270" s="57"/>
      <x:c r="W1270"/>
      <x:c r="X1270"/>
      <x:c r="Y1270" s="38"/>
      <x:c r="Z1270" s="38"/>
      <x:c r="AA1270"/>
    </x:row>
    <x:row r="1271">
      <x:c r="A1271" s="54" t="n">
        <x:v>44651</x:v>
      </x:c>
      <x:c r="B1271" t="n">
        <x:v>44651.624999988424</x:v>
      </x:c>
      <x:c r="C1271" t="str">
        <x:v>086960</x:v>
      </x:c>
      <x:c r="D1271" t="str">
        <x:v>MDS테크</x:v>
      </x:c>
      <x:c r="E1271" t="str">
        <x:v>KOSDAQ</x:v>
      </x:c>
      <x:c r="F1271" t="str">
        <x:v>MID</x:v>
      </x:c>
      <x:c r="G1271" t="str">
        <x:v>ELIGIBLE</x:v>
      </x:c>
      <x:c r="H1271"/>
      <x:c r="I1271" s="54" t="n">
        <x:v>44651</x:v>
      </x:c>
      <x:c r="J1271" s="55" t="n">
        <x:v>22950</x:v>
      </x:c>
      <x:c r="K1271" s="55" t="n">
        <x:v>203396853600</x:v>
      </x:c>
      <x:c r="L1271" s="55" t="n">
        <x:v>8862608</x:v>
      </x:c>
      <x:c r="M1271" t="str">
        <x:v>20220316000839</x:v>
      </x:c>
      <x:c r="N1271" t="n">
        <x:v>44636.624999988424</x:v>
      </x:c>
      <x:c r="O1271" s="54" t="n">
        <x:v>44561</x:v>
      </x:c>
      <x:c r="P1271" t="str">
        <x:v>False</x:v>
      </x:c>
      <x:c r="Q1271" t="str">
        <x:v>5f0b235a703db54a6a970650321046b5bde0ef2b5d9f86c6a19a6a5468214a72</x:v>
      </x:c>
      <x:c r="R1271" t="str">
        <x:v>2ed332938082503a4d5306fb50a7c223ac55382ea096b2b7fe974aec1efdd1c9</x:v>
      </x:c>
      <x:c r="S1271" t="n">
        <x:v>6</x:v>
      </x:c>
      <x:c r="T1271" t="str">
        <x:v>2018-12-31|2019-12-31|2020-12-31|2021-12-31</x:v>
      </x:c>
      <x:c r="U1271" s="57" t="n">
        <x:v>4393.349608873193</x:v>
      </x:c>
      <x:c r="V1271" s="57" t="n">
        <x:v>-0.8085686444935428</x:v>
      </x:c>
      <x:c r="W1271" t="n">
        <x:v>54</x:v>
      </x:c>
      <x:c r="X1271" t="n">
        <x:v>5</x:v>
      </x:c>
      <x:c r="Y1271" s="38" t="n">
        <x:v>0.6409090909090909</x:v>
      </x:c>
      <x:c r="Z1271" s="38" t="n">
        <x:v>0.705283246086619</x:v>
      </x:c>
      <x:c r="AA1271"/>
    </x:row>
    <x:row r="1272">
      <x:c r="A1272" s="54" t="n">
        <x:v>44651</x:v>
      </x:c>
      <x:c r="B1272" t="n">
        <x:v>44651.624999988424</x:v>
      </x:c>
      <x:c r="C1272" t="str">
        <x:v>014970</x:v>
      </x:c>
      <x:c r="D1272" t="str">
        <x:v>삼륭물산</x:v>
      </x:c>
      <x:c r="E1272" t="str">
        <x:v>KOSDAQ</x:v>
      </x:c>
      <x:c r="F1272" t="str">
        <x:v>MID</x:v>
      </x:c>
      <x:c r="G1272" t="str">
        <x:v>DCF_SCREENING_EXCLUSION</x:v>
      </x:c>
      <x:c r="H1272" t="str">
        <x:v>NON_POSITIVE_ENTERPRISE_VALUE|NON_POSITIVE_EQUITY_VALUE|NON_POSITIVE_TERMINAL_FCF</x:v>
      </x:c>
      <x:c r="I1272" s="54" t="n">
        <x:v>44651</x:v>
      </x:c>
      <x:c r="J1272" s="55" t="n">
        <x:v>6550</x:v>
      </x:c>
      <x:c r="K1272" s="55" t="n">
        <x:v>99068750000</x:v>
      </x:c>
      <x:c r="L1272" s="55" t="n">
        <x:v>15125000</x:v>
      </x:c>
      <x:c r="M1272" t="str">
        <x:v>20220322000992</x:v>
      </x:c>
      <x:c r="N1272" t="n">
        <x:v>44642.624999988424</x:v>
      </x:c>
      <x:c r="O1272" s="54" t="n">
        <x:v>44561</x:v>
      </x:c>
      <x:c r="P1272" t="str">
        <x:v>False</x:v>
      </x:c>
      <x:c r="Q1272" t="str">
        <x:v>2613df30be116011c2be6f65338d1d4d4c82cc581b0124c2e7d24aadb5bf4b20</x:v>
      </x:c>
      <x:c r="R1272" t="str">
        <x:v>9669861e6d563729d42489fd1ec4d9f3cbcb586b3142b627dfb54b85658d3d3d</x:v>
      </x:c>
      <x:c r="S1272" t="n">
        <x:v>6</x:v>
      </x:c>
      <x:c r="T1272" t="str">
        <x:v>2018-12-31|2019-12-31|2020-12-31|2021-12-31</x:v>
      </x:c>
      <x:c r="U1272" s="57" t="n">
        <x:v>-1380.103199626044</x:v>
      </x:c>
      <x:c r="V1272" s="57" t="n">
        <x:v>-1.2107027785688618</x:v>
      </x:c>
      <x:c r="W1272"/>
      <x:c r="X1272"/>
      <x:c r="Y1272" s="38" t="n">
        <x:v>0.6409090909090909</x:v>
      </x:c>
      <x:c r="Z1272" s="38" t="n">
        <x:v>0.5764974774013089</x:v>
      </x:c>
      <x:c r="AA1272" t="str">
        <x:v>NON_POSITIVE_ENTERPRISE_VALUE|NON_POSITIVE_EQUITY_VALUE|NON_POSITIVE_TERMINAL_FCF</x:v>
      </x:c>
    </x:row>
    <x:row r="1273">
      <x:c r="A1273" s="54" t="n">
        <x:v>44651</x:v>
      </x:c>
      <x:c r="B1273" t="n">
        <x:v>44651.624999988424</x:v>
      </x:c>
      <x:c r="C1273" t="str">
        <x:v>088390</x:v>
      </x:c>
      <x:c r="D1273" t="str">
        <x:v>이녹스</x:v>
      </x:c>
      <x:c r="E1273" t="str">
        <x:v>KOSDAQ</x:v>
      </x:c>
      <x:c r="F1273" t="str">
        <x:v>MID</x:v>
      </x:c>
      <x:c r="G1273" t="str">
        <x:v>ELIGIBLE</x:v>
      </x:c>
      <x:c r="H1273"/>
      <x:c r="I1273" s="54" t="n">
        <x:v>44651</x:v>
      </x:c>
      <x:c r="J1273" s="55" t="n">
        <x:v>24000</x:v>
      </x:c>
      <x:c r="K1273" s="55" t="n">
        <x:v>225260256000</x:v>
      </x:c>
      <x:c r="L1273" s="55" t="n">
        <x:v>9385844</x:v>
      </x:c>
      <x:c r="M1273" t="str">
        <x:v>20220316000787</x:v>
      </x:c>
      <x:c r="N1273" t="n">
        <x:v>44636.624999988424</x:v>
      </x:c>
      <x:c r="O1273" s="54" t="n">
        <x:v>44561</x:v>
      </x:c>
      <x:c r="P1273" t="str">
        <x:v>False</x:v>
      </x:c>
      <x:c r="Q1273" t="str">
        <x:v>6cbbad5ef424db8018b61b68a740ab01891ec62dced7d230359387f7853c2893</x:v>
      </x:c>
      <x:c r="R1273" t="str">
        <x:v>b40afc16ecd0d554e6fd2034104c1287ec282dd77b38fa4363f66d4307817ce4</x:v>
      </x:c>
      <x:c r="S1273" t="n">
        <x:v>6</x:v>
      </x:c>
      <x:c r="T1273" t="str">
        <x:v>2018-12-31|2019-12-31|2020-12-31|2021-12-31</x:v>
      </x:c>
      <x:c r="U1273" s="57" t="n">
        <x:v>14642.20085175624</x:v>
      </x:c>
      <x:c r="V1273" s="57" t="n">
        <x:v>-0.38990829784348996</x:v>
      </x:c>
      <x:c r="W1273" t="n">
        <x:v>31</x:v>
      </x:c>
      <x:c r="X1273" t="n">
        <x:v>3</x:v>
      </x:c>
      <x:c r="Y1273" s="38" t="n">
        <x:v>0.6409090909090909</x:v>
      </x:c>
      <x:c r="Z1273" s="38" t="n">
        <x:v>0.558573452567217</x:v>
      </x:c>
      <x:c r="AA1273"/>
    </x:row>
    <x:row r="1274">
      <x:c r="A1274" s="54" t="n">
        <x:v>44651</x:v>
      </x:c>
      <x:c r="B1274" t="n">
        <x:v>44651.624999988424</x:v>
      </x:c>
      <x:c r="C1274" t="str">
        <x:v>170920</x:v>
      </x:c>
      <x:c r="D1274" t="str">
        <x:v>엘티씨</x:v>
      </x:c>
      <x:c r="E1274" t="str">
        <x:v>KOSDAQ</x:v>
      </x:c>
      <x:c r="F1274" t="str">
        <x:v>MID</x:v>
      </x:c>
      <x:c r="G1274" t="str">
        <x:v>DCF_SCREENING_EXCLUSION</x:v>
      </x:c>
      <x:c r="H1274" t="str">
        <x:v>NON_POSITIVE_ENTERPRISE_VALUE|NON_POSITIVE_EQUITY_VALUE|UNRELIABLE_TERMINAL_VALUE_SHARE</x:v>
      </x:c>
      <x:c r="I1274" s="54" t="n">
        <x:v>44651</x:v>
      </x:c>
      <x:c r="J1274" s="55" t="n">
        <x:v>11300</x:v>
      </x:c>
      <x:c r="K1274" s="55" t="n">
        <x:v>90618801900</x:v>
      </x:c>
      <x:c r="L1274" s="55" t="n">
        <x:v>8019363</x:v>
      </x:c>
      <x:c r="M1274" t="str">
        <x:v>20220321001027</x:v>
      </x:c>
      <x:c r="N1274" t="n">
        <x:v>44641.624999988424</x:v>
      </x:c>
      <x:c r="O1274" s="54" t="n">
        <x:v>44561</x:v>
      </x:c>
      <x:c r="P1274" t="str">
        <x:v>False</x:v>
      </x:c>
      <x:c r="Q1274" t="str">
        <x:v>c31ea1711439ee62df6eea540291a40d1aadb3cbd2fc5ad16cbfcd104e015fdd</x:v>
      </x:c>
      <x:c r="R1274" t="str">
        <x:v>e6a957fe77c598d18ce422ef44b848d85cbc07a029d302f4bfa18a765f5e9dbe</x:v>
      </x:c>
      <x:c r="S1274" t="n">
        <x:v>6</x:v>
      </x:c>
      <x:c r="T1274" t="str">
        <x:v>2018-12-31|2019-12-31|2020-12-31|2021-12-31</x:v>
      </x:c>
      <x:c r="U1274" s="57" t="n">
        <x:v>-3954.648060566158</x:v>
      </x:c>
      <x:c r="V1274" s="57" t="n">
        <x:v>-1.3499688549173592</x:v>
      </x:c>
      <x:c r="W1274"/>
      <x:c r="X1274"/>
      <x:c r="Y1274" s="38" t="n">
        <x:v>0.6409090909090909</x:v>
      </x:c>
      <x:c r="Z1274" s="38" t="n">
        <x:v>-2.2353620034548816</x:v>
      </x:c>
      <x:c r="AA1274" t="str">
        <x:v>NON_POSITIVE_ENTERPRISE_VALUE|NON_POSITIVE_EQUITY_VALUE|UNRELIABLE_TERMINAL_VALUE_SHARE</x:v>
      </x:c>
    </x:row>
    <x:row r="1275">
      <x:c r="A1275" s="54" t="n">
        <x:v>44651</x:v>
      </x:c>
      <x:c r="B1275" t="n">
        <x:v>44651.624999988424</x:v>
      </x:c>
      <x:c r="C1275" t="str">
        <x:v>021080</x:v>
      </x:c>
      <x:c r="D1275" t="str">
        <x:v>에이티넘인베스트</x:v>
      </x:c>
      <x:c r="E1275" t="str">
        <x:v>KOSDAQ</x:v>
      </x:c>
      <x:c r="F1275" t="str">
        <x:v>MID</x:v>
      </x:c>
      <x:c r="G1275" t="str">
        <x:v>ELIGIBLE</x:v>
      </x:c>
      <x:c r="H1275"/>
      <x:c r="I1275" s="54" t="n">
        <x:v>44651</x:v>
      </x:c>
      <x:c r="J1275" s="55" t="n">
        <x:v>5300</x:v>
      </x:c>
      <x:c r="K1275" s="55" t="n">
        <x:v>254400000000</x:v>
      </x:c>
      <x:c r="L1275" s="55" t="n">
        <x:v>48000000</x:v>
      </x:c>
      <x:c r="M1275" t="str">
        <x:v>20220315001124</x:v>
      </x:c>
      <x:c r="N1275" t="n">
        <x:v>44635.624999988424</x:v>
      </x:c>
      <x:c r="O1275" s="54" t="n">
        <x:v>44561</x:v>
      </x:c>
      <x:c r="P1275" t="str">
        <x:v>False</x:v>
      </x:c>
      <x:c r="Q1275" t="str">
        <x:v>a795f008e81c0c9fb6ce25b7d59e30379d4f9ca332d7e7688348b696d0f67d34</x:v>
      </x:c>
      <x:c r="R1275" t="str">
        <x:v>6e1c969bcc08ffb861fee1971a7fd0e672780df9b4121316059a34d9a1614af9</x:v>
      </x:c>
      <x:c r="S1275" t="n">
        <x:v>5</x:v>
      </x:c>
      <x:c r="T1275" t="str">
        <x:v>2018-12-31|2019-12-31|2020-12-31|2021-12-31</x:v>
      </x:c>
      <x:c r="U1275" s="57" t="n">
        <x:v>11240.4103910266</x:v>
      </x:c>
      <x:c r="V1275" s="57" t="n">
        <x:v>1.120832149250302</x:v>
      </x:c>
      <x:c r="W1275" t="n">
        <x:v>5</x:v>
      </x:c>
      <x:c r="X1275" t="n">
        <x:v>1</x:v>
      </x:c>
      <x:c r="Y1275" s="38" t="n">
        <x:v>0.6409090909090909</x:v>
      </x:c>
      <x:c r="Z1275" s="38" t="n">
        <x:v>0.6847587029208964</x:v>
      </x:c>
      <x:c r="AA1275"/>
    </x:row>
    <x:row r="1276">
      <x:c r="A1276" s="54" t="n">
        <x:v>44651</x:v>
      </x:c>
      <x:c r="B1276" t="n">
        <x:v>44651.624999988424</x:v>
      </x:c>
      <x:c r="C1276" t="str">
        <x:v>302550</x:v>
      </x:c>
      <x:c r="D1276" t="str">
        <x:v>리메드</x:v>
      </x:c>
      <x:c r="E1276" t="str">
        <x:v>KOSDAQ</x:v>
      </x:c>
      <x:c r="F1276" t="str">
        <x:v>MID</x:v>
      </x:c>
      <x:c r="G1276" t="str">
        <x:v>ELIGIBLE</x:v>
      </x:c>
      <x:c r="H1276"/>
      <x:c r="I1276" s="54" t="n">
        <x:v>44651</x:v>
      </x:c>
      <x:c r="J1276" s="55" t="n">
        <x:v>22300</x:v>
      </x:c>
      <x:c r="K1276" s="55" t="n">
        <x:v>136645836800</x:v>
      </x:c>
      <x:c r="L1276" s="55" t="n">
        <x:v>6127616</x:v>
      </x:c>
      <x:c r="M1276" t="str">
        <x:v>20220318000588</x:v>
      </x:c>
      <x:c r="N1276" t="n">
        <x:v>44638.624999988424</x:v>
      </x:c>
      <x:c r="O1276" s="54" t="n">
        <x:v>44561</x:v>
      </x:c>
      <x:c r="P1276" t="str">
        <x:v>False</x:v>
      </x:c>
      <x:c r="Q1276" t="str">
        <x:v>e9e7a60f1aebf723bb1cd1bc376d275c0d0c3d009d2a6798b589c1f714f07bd4</x:v>
      </x:c>
      <x:c r="R1276" t="str">
        <x:v>10e9944e8e3b196b35f02515fd6ab5310d2c46ae10aa5e28dda2e1e3f7c0c2a1</x:v>
      </x:c>
      <x:c r="S1276" t="n">
        <x:v>5</x:v>
      </x:c>
      <x:c r="T1276" t="str">
        <x:v>2019-12-31|2020-12-31|2021-12-31</x:v>
      </x:c>
      <x:c r="U1276" s="57" t="n">
        <x:v>4100.758120032042</x:v>
      </x:c>
      <x:c r="V1276" s="57" t="n">
        <x:v>-0.8161095013438546</x:v>
      </x:c>
      <x:c r="W1276" t="n">
        <x:v>55</x:v>
      </x:c>
      <x:c r="X1276" t="n">
        <x:v>5</x:v>
      </x:c>
      <x:c r="Y1276" s="38" t="n">
        <x:v>0.6409090909090909</x:v>
      </x:c>
      <x:c r="Z1276" s="38" t="n">
        <x:v>0.7707391455939948</x:v>
      </x:c>
      <x:c r="AA1276"/>
    </x:row>
    <x:row r="1277">
      <x:c r="A1277" s="54" t="n">
        <x:v>44651</x:v>
      </x:c>
      <x:c r="B1277" t="n">
        <x:v>44651.624999988424</x:v>
      </x:c>
      <x:c r="C1277" t="str">
        <x:v>011760</x:v>
      </x:c>
      <x:c r="D1277" t="str">
        <x:v>현대코퍼레이션</x:v>
      </x:c>
      <x:c r="E1277" t="str">
        <x:v>KOSPI</x:v>
      </x:c>
      <x:c r="F1277" t="str">
        <x:v>MID</x:v>
      </x:c>
      <x:c r="G1277" t="str">
        <x:v>DCF_SCREENING_EXCLUSION</x:v>
      </x:c>
      <x:c r="H1277" t="str">
        <x:v>NON_POSITIVE_EQUITY_VALUE</x:v>
      </x:c>
      <x:c r="I1277" s="54" t="n">
        <x:v>44651</x:v>
      </x:c>
      <x:c r="J1277" s="55" t="n">
        <x:v>16400</x:v>
      </x:c>
      <x:c r="K1277" s="55" t="n">
        <x:v>216955042400</x:v>
      </x:c>
      <x:c r="L1277" s="55" t="n">
        <x:v>13228966</x:v>
      </x:c>
      <x:c r="M1277" t="str">
        <x:v>20220322000850</x:v>
      </x:c>
      <x:c r="N1277" t="n">
        <x:v>44642.624999988424</x:v>
      </x:c>
      <x:c r="O1277" s="54" t="n">
        <x:v>44561</x:v>
      </x:c>
      <x:c r="P1277" t="str">
        <x:v>False</x:v>
      </x:c>
      <x:c r="Q1277" t="str">
        <x:v>099bfc1ab82fd79f99a7e0b8f4bec45d890efdd6405d41b5afb4080f2939023f</x:v>
      </x:c>
      <x:c r="R1277" t="str">
        <x:v>d21f6ebac0ac8694a30b566950084bdad44862d5622fb7e5ed9c4d3baf150081</x:v>
      </x:c>
      <x:c r="S1277" t="n">
        <x:v>6</x:v>
      </x:c>
      <x:c r="T1277" t="str">
        <x:v>2018-12-31|2019-12-31|2020-12-31|2021-12-31</x:v>
      </x:c>
      <x:c r="U1277" s="57" t="n">
        <x:v>-11068.169193106498</x:v>
      </x:c>
      <x:c r="V1277" s="57" t="n">
        <x:v>-1.674888365433323</x:v>
      </x:c>
      <x:c r="W1277"/>
      <x:c r="X1277"/>
      <x:c r="Y1277" s="38" t="n">
        <x:v>0.6409090909090909</x:v>
      </x:c>
      <x:c r="Z1277" s="38" t="n">
        <x:v>0.6790710168575033</x:v>
      </x:c>
      <x:c r="AA1277" t="str">
        <x:v>NON_POSITIVE_EQUITY_VALUE</x:v>
      </x:c>
    </x:row>
    <x:row r="1278">
      <x:c r="A1278" s="54" t="n">
        <x:v>44651</x:v>
      </x:c>
      <x:c r="B1278" t="n">
        <x:v>44651.624999988424</x:v>
      </x:c>
      <x:c r="C1278" t="str">
        <x:v>010690</x:v>
      </x:c>
      <x:c r="D1278" t="str">
        <x:v>화신</x:v>
      </x:c>
      <x:c r="E1278" t="str">
        <x:v>KOSPI</x:v>
      </x:c>
      <x:c r="F1278" t="str">
        <x:v>MID</x:v>
      </x:c>
      <x:c r="G1278" t="str">
        <x:v>DCF_SCREENING_EXCLUSION</x:v>
      </x:c>
      <x:c r="H1278" t="str">
        <x:v>NON_POSITIVE_ENTERPRISE_VALUE|NON_POSITIVE_EQUITY_VALUE|NON_POSITIVE_TERMINAL_FCF</x:v>
      </x:c>
      <x:c r="I1278" s="54" t="n">
        <x:v>44651</x:v>
      </x:c>
      <x:c r="J1278" s="55" t="n">
        <x:v>7360</x:v>
      </x:c>
      <x:c r="K1278" s="55" t="n">
        <x:v>257014217600</x:v>
      </x:c>
      <x:c r="L1278" s="55" t="n">
        <x:v>34920410</x:v>
      </x:c>
      <x:c r="M1278" t="str">
        <x:v>20220321001215</x:v>
      </x:c>
      <x:c r="N1278" t="n">
        <x:v>44641.624999988424</x:v>
      </x:c>
      <x:c r="O1278" s="54" t="n">
        <x:v>44561</x:v>
      </x:c>
      <x:c r="P1278" t="str">
        <x:v>False</x:v>
      </x:c>
      <x:c r="Q1278" t="str">
        <x:v>0cf96cfa209d746266e6c4849aca1a0964cb395d303c35dcb71c75d49ad3383e</x:v>
      </x:c>
      <x:c r="R1278" t="str">
        <x:v>2fa378b86e1d87fdc61a53db9d7a0085fe40cf513bfad4fec6796e17a4c6533a</x:v>
      </x:c>
      <x:c r="S1278" t="n">
        <x:v>6</x:v>
      </x:c>
      <x:c r="T1278" t="str">
        <x:v>2018-12-31|2019-12-31|2020-12-31|2021-12-31</x:v>
      </x:c>
      <x:c r="U1278" s="57" t="n">
        <x:v>-17727.972190762088</x:v>
      </x:c>
      <x:c r="V1278" s="57" t="n">
        <x:v>-3.4086918737448486</x:v>
      </x:c>
      <x:c r="W1278"/>
      <x:c r="X1278"/>
      <x:c r="Y1278" s="38" t="n">
        <x:v>0.6409090909090909</x:v>
      </x:c>
      <x:c r="Z1278" s="38" t="n">
        <x:v>0.7207690520545919</x:v>
      </x:c>
      <x:c r="AA1278" t="str">
        <x:v>NON_POSITIVE_ENTERPRISE_VALUE|NON_POSITIVE_EQUITY_VALUE|NON_POSITIVE_TERMINAL_FCF</x:v>
      </x:c>
    </x:row>
    <x:row r="1279">
      <x:c r="A1279" s="54" t="n">
        <x:v>44651</x:v>
      </x:c>
      <x:c r="B1279" t="n">
        <x:v>44651.624999988424</x:v>
      </x:c>
      <x:c r="C1279" t="str">
        <x:v>029460</x:v>
      </x:c>
      <x:c r="D1279" t="str">
        <x:v>케이씨</x:v>
      </x:c>
      <x:c r="E1279" t="str">
        <x:v>KOSPI</x:v>
      </x:c>
      <x:c r="F1279" t="str">
        <x:v>MID</x:v>
      </x:c>
      <x:c r="G1279" t="str">
        <x:v>ELIGIBLE</x:v>
      </x:c>
      <x:c r="H1279"/>
      <x:c r="I1279" s="54" t="n">
        <x:v>44651</x:v>
      </x:c>
      <x:c r="J1279" s="55" t="n">
        <x:v>22600</x:v>
      </x:c>
      <x:c r="K1279" s="55" t="n">
        <x:v>306321394400</x:v>
      </x:c>
      <x:c r="L1279" s="55" t="n">
        <x:v>13554044</x:v>
      </x:c>
      <x:c r="M1279" t="str">
        <x:v>20220321000938</x:v>
      </x:c>
      <x:c r="N1279" t="n">
        <x:v>44641.624999988424</x:v>
      </x:c>
      <x:c r="O1279" s="54" t="n">
        <x:v>44561</x:v>
      </x:c>
      <x:c r="P1279" t="str">
        <x:v>False</x:v>
      </x:c>
      <x:c r="Q1279" t="str">
        <x:v>7990398da750779e98cdabb4c9eb463b85f1ae129963b0a8a83ccf72f66d7ec9</x:v>
      </x:c>
      <x:c r="R1279" t="str">
        <x:v>b1740a5e137b094c6c4f36ced93b37b4bb1b5ee1193537044d37bf5ed2a57d5c</x:v>
      </x:c>
      <x:c r="S1279" t="n">
        <x:v>7</x:v>
      </x:c>
      <x:c r="T1279" t="str">
        <x:v>2018-12-31|2019-12-31|2020-12-31|2021-12-31</x:v>
      </x:c>
      <x:c r="U1279" s="57" t="n">
        <x:v>38835.80598528565</x:v>
      </x:c>
      <x:c r="V1279" s="57" t="n">
        <x:v>0.7183984949241439</x:v>
      </x:c>
      <x:c r="W1279" t="n">
        <x:v>8</x:v>
      </x:c>
      <x:c r="X1279" t="n">
        <x:v>1</x:v>
      </x:c>
      <x:c r="Y1279" s="38" t="n">
        <x:v>0.6409090909090909</x:v>
      </x:c>
      <x:c r="Z1279" s="38" t="n">
        <x:v>0.6797227260709177</x:v>
      </x:c>
      <x:c r="AA1279"/>
    </x:row>
    <x:row r="1280">
      <x:c r="A1280" s="54" t="n">
        <x:v>44651</x:v>
      </x:c>
      <x:c r="B1280" t="n">
        <x:v>44651.624999988424</x:v>
      </x:c>
      <x:c r="C1280" t="str">
        <x:v>122900</x:v>
      </x:c>
      <x:c r="D1280" t="str">
        <x:v>아이마켓코리아</x:v>
      </x:c>
      <x:c r="E1280" t="str">
        <x:v>KOSPI</x:v>
      </x:c>
      <x:c r="F1280" t="str">
        <x:v>MID</x:v>
      </x:c>
      <x:c r="G1280" t="str">
        <x:v>ELIGIBLE</x:v>
      </x:c>
      <x:c r="H1280"/>
      <x:c r="I1280" s="54" t="n">
        <x:v>44651</x:v>
      </x:c>
      <x:c r="J1280" s="55" t="n">
        <x:v>10850</x:v>
      </x:c>
      <x:c r="K1280" s="55" t="n">
        <x:v>362702914000</x:v>
      </x:c>
      <x:c r="L1280" s="55" t="n">
        <x:v>33428840</x:v>
      </x:c>
      <x:c r="M1280" t="str">
        <x:v>20220322000751</x:v>
      </x:c>
      <x:c r="N1280" t="n">
        <x:v>44642.624999988424</x:v>
      </x:c>
      <x:c r="O1280" s="54" t="n">
        <x:v>44561</x:v>
      </x:c>
      <x:c r="P1280" t="str">
        <x:v>False</x:v>
      </x:c>
      <x:c r="Q1280" t="str">
        <x:v>b259e827b070061f4ae50eecae5c99d0628008976e645d93bfa331cd61be8f30</x:v>
      </x:c>
      <x:c r="R1280" t="str">
        <x:v>23ab80e21333384a7c38b881259a6c4d6a7539fa6909c5eccf1aaca52c0581df</x:v>
      </x:c>
      <x:c r="S1280" t="n">
        <x:v>7</x:v>
      </x:c>
      <x:c r="T1280" t="str">
        <x:v>2018-12-31|2019-12-31|2020-12-31|2021-12-31</x:v>
      </x:c>
      <x:c r="U1280" s="57" t="n">
        <x:v>7621.586787115335</x:v>
      </x:c>
      <x:c r="V1280" s="57" t="n">
        <x:v>-0.2975496048741627</x:v>
      </x:c>
      <x:c r="W1280" t="n">
        <x:v>27</x:v>
      </x:c>
      <x:c r="X1280" t="n">
        <x:v>2</x:v>
      </x:c>
      <x:c r="Y1280" s="38" t="n">
        <x:v>0.6409090909090909</x:v>
      </x:c>
      <x:c r="Z1280" s="38" t="n">
        <x:v>0.6654434098575983</x:v>
      </x:c>
      <x:c r="AA1280"/>
    </x:row>
    <x:row r="1281">
      <x:c r="A1281" s="54" t="n">
        <x:v>44651</x:v>
      </x:c>
      <x:c r="B1281" t="n">
        <x:v>44651.624999988424</x:v>
      </x:c>
      <x:c r="C1281" t="str">
        <x:v>001820</x:v>
      </x:c>
      <x:c r="D1281" t="str">
        <x:v>삼화콘덴서</x:v>
      </x:c>
      <x:c r="E1281" t="str">
        <x:v>KOSPI</x:v>
      </x:c>
      <x:c r="F1281" t="str">
        <x:v>MID</x:v>
      </x:c>
      <x:c r="G1281" t="str">
        <x:v>ELIGIBLE</x:v>
      </x:c>
      <x:c r="H1281"/>
      <x:c r="I1281" s="54" t="n">
        <x:v>44651</x:v>
      </x:c>
      <x:c r="J1281" s="55" t="n">
        <x:v>56500</x:v>
      </x:c>
      <x:c r="K1281" s="55" t="n">
        <x:v>587317500000</x:v>
      </x:c>
      <x:c r="L1281" s="55" t="n">
        <x:v>10395000</x:v>
      </x:c>
      <x:c r="M1281" t="str">
        <x:v>20220317000863</x:v>
      </x:c>
      <x:c r="N1281" t="n">
        <x:v>44637.624999988424</x:v>
      </x:c>
      <x:c r="O1281" s="54" t="n">
        <x:v>44561</x:v>
      </x:c>
      <x:c r="P1281" t="str">
        <x:v>False</x:v>
      </x:c>
      <x:c r="Q1281" t="str">
        <x:v>41d4c3f670049ce822e3e8797ac27f2bb7d6cc9f1154c4d75ff3d0f432b9f08e</x:v>
      </x:c>
      <x:c r="R1281" t="str">
        <x:v>f586c4b9742e8353ab8dd3b80dc35df23281949a6aaa5e4d28a26d535935c7b7</x:v>
      </x:c>
      <x:c r="S1281" t="n">
        <x:v>6</x:v>
      </x:c>
      <x:c r="T1281" t="str">
        <x:v>2018-12-31|2019-12-31|2020-12-31|2021-12-31</x:v>
      </x:c>
      <x:c r="U1281" s="57" t="n">
        <x:v>22632.273036284816</x:v>
      </x:c>
      <x:c r="V1281" s="57" t="n">
        <x:v>-0.5994287958179678</x:v>
      </x:c>
      <x:c r="W1281" t="n">
        <x:v>43</x:v>
      </x:c>
      <x:c r="X1281" t="n">
        <x:v>4</x:v>
      </x:c>
      <x:c r="Y1281" s="38" t="n">
        <x:v>0.6409090909090909</x:v>
      </x:c>
      <x:c r="Z1281" s="38" t="n">
        <x:v>0.6670606110582535</x:v>
      </x:c>
      <x:c r="AA1281"/>
    </x:row>
    <x:row r="1282">
      <x:c r="A1282" s="54" t="n">
        <x:v>44651</x:v>
      </x:c>
      <x:c r="B1282" t="n">
        <x:v>44651.624999988424</x:v>
      </x:c>
      <x:c r="C1282" t="str">
        <x:v>001790</x:v>
      </x:c>
      <x:c r="D1282" t="str">
        <x:v>대한제당</x:v>
      </x:c>
      <x:c r="E1282" t="str">
        <x:v>KOSPI</x:v>
      </x:c>
      <x:c r="F1282" t="str">
        <x:v>MID</x:v>
      </x:c>
      <x:c r="G1282" t="str">
        <x:v>ELIGIBLE</x:v>
      </x:c>
      <x:c r="H1282"/>
      <x:c r="I1282" s="54" t="n">
        <x:v>44651</x:v>
      </x:c>
      <x:c r="J1282" s="55" t="n">
        <x:v>2890</x:v>
      </x:c>
      <x:c r="K1282" s="55" t="n">
        <x:v>259223116200</x:v>
      </x:c>
      <x:c r="L1282" s="55" t="n">
        <x:v>89696580</x:v>
      </x:c>
      <x:c r="M1282" t="str">
        <x:v>20220317000728</x:v>
      </x:c>
      <x:c r="N1282" t="n">
        <x:v>44637.624999988424</x:v>
      </x:c>
      <x:c r="O1282" s="54" t="n">
        <x:v>44561</x:v>
      </x:c>
      <x:c r="P1282" t="str">
        <x:v>False</x:v>
      </x:c>
      <x:c r="Q1282" t="str">
        <x:v>fcdc3a13ee9dd76aa9798177cec4b35a242d11208fba1d39d433983586abd3cf</x:v>
      </x:c>
      <x:c r="R1282" t="str">
        <x:v>384750aef1f962d54928ed7d80660330c0c7c0a0df14c2fb3ecaa31c8ffaff09</x:v>
      </x:c>
      <x:c r="S1282" t="n">
        <x:v>6</x:v>
      </x:c>
      <x:c r="T1282" t="str">
        <x:v>2018-12-31|2019-12-31|2020-12-31|2021-12-31</x:v>
      </x:c>
      <x:c r="U1282" s="57" t="n">
        <x:v>1193.117638754748</x:v>
      </x:c>
      <x:c r="V1282" s="57" t="n">
        <x:v>-0.5871565263824401</x:v>
      </x:c>
      <x:c r="W1282" t="n">
        <x:v>42</x:v>
      </x:c>
      <x:c r="X1282" t="n">
        <x:v>4</x:v>
      </x:c>
      <x:c r="Y1282" s="38" t="n">
        <x:v>0.6409090909090909</x:v>
      </x:c>
      <x:c r="Z1282" s="38" t="n">
        <x:v>0.6304165082883136</x:v>
      </x:c>
      <x:c r="AA1282"/>
    </x:row>
    <x:row r="1283">
      <x:c r="A1283" s="54" t="n">
        <x:v>44651</x:v>
      </x:c>
      <x:c r="B1283" t="n">
        <x:v>44651.624999988424</x:v>
      </x:c>
      <x:c r="C1283" t="str">
        <x:v>001340</x:v>
      </x:c>
      <x:c r="D1283" t="str">
        <x:v>PKC</x:v>
      </x:c>
      <x:c r="E1283" t="str">
        <x:v>KOSPI</x:v>
      </x:c>
      <x:c r="F1283" t="str">
        <x:v>MID</x:v>
      </x:c>
      <x:c r="G1283" t="str">
        <x:v>DCF_SCREENING_EXCLUSION</x:v>
      </x:c>
      <x:c r="H1283" t="str">
        <x:v>NON_POSITIVE_EQUITY_VALUE</x:v>
      </x:c>
      <x:c r="I1283" s="54" t="n">
        <x:v>44651</x:v>
      </x:c>
      <x:c r="J1283" s="55" t="n">
        <x:v>5050</x:v>
      </x:c>
      <x:c r="K1283" s="55" t="n">
        <x:v>226837955350</x:v>
      </x:c>
      <x:c r="L1283" s="55" t="n">
        <x:v>44918407</x:v>
      </x:c>
      <x:c r="M1283" t="str">
        <x:v>20220316000411</x:v>
      </x:c>
      <x:c r="N1283" t="n">
        <x:v>44636.624999988424</x:v>
      </x:c>
      <x:c r="O1283" s="54" t="n">
        <x:v>44561</x:v>
      </x:c>
      <x:c r="P1283" t="str">
        <x:v>False</x:v>
      </x:c>
      <x:c r="Q1283" t="str">
        <x:v>c50eabab0b5ec29ee023ad61d21d4413c1e9c5ab7bd8de1e1630c201325cd207</x:v>
      </x:c>
      <x:c r="R1283" t="str">
        <x:v>82e32e558df84cf48ba41bcba8c2452f77ee1041cd1bf1e4acf99011782c8082</x:v>
      </x:c>
      <x:c r="S1283" t="n">
        <x:v>6</x:v>
      </x:c>
      <x:c r="T1283" t="str">
        <x:v>2016-12-31|2017-12-31|2018-12-31|2019-12-31|2020-12-31|2021-12-31</x:v>
      </x:c>
      <x:c r="U1283" s="57" t="n">
        <x:v>-539.5628118252989</x:v>
      </x:c>
      <x:c r="V1283" s="57" t="n">
        <x:v>-1.1068441211535245</x:v>
      </x:c>
      <x:c r="W1283"/>
      <x:c r="X1283"/>
      <x:c r="Y1283" s="38" t="n">
        <x:v>0.6409090909090909</x:v>
      </x:c>
      <x:c r="Z1283" s="38" t="n">
        <x:v>0.6348909598465705</x:v>
      </x:c>
      <x:c r="AA1283" t="str">
        <x:v>NON_POSITIVE_EQUITY_VALUE</x:v>
      </x:c>
    </x:row>
    <x:row r="1284">
      <x:c r="A1284" s="54" t="n">
        <x:v>44651</x:v>
      </x:c>
      <x:c r="B1284" t="n">
        <x:v>44651.624999988424</x:v>
      </x:c>
      <x:c r="C1284" t="str">
        <x:v>096760</x:v>
      </x:c>
      <x:c r="D1284" t="str">
        <x:v>JW홀딩스</x:v>
      </x:c>
      <x:c r="E1284" t="str">
        <x:v>KOSPI</x:v>
      </x:c>
      <x:c r="F1284" t="str">
        <x:v>MID</x:v>
      </x:c>
      <x:c r="G1284" t="str">
        <x:v>EXCLUDED_ARCHETYPE</x:v>
      </x:c>
      <x:c r="H1284" t="str">
        <x:v>FCFF_NOT_COMPARABLE_FOR_FINANCE_OR_HOLDING_HINT</x:v>
      </x:c>
      <x:c r="I1284" s="54"/>
      <x:c r="J1284" s="55"/>
      <x:c r="K1284" s="55"/>
      <x:c r="L1284" s="55"/>
      <x:c r="M1284"/>
      <x:c r="N1284"/>
      <x:c r="O1284" s="54"/>
      <x:c r="P1284"/>
      <x:c r="Q1284"/>
      <x:c r="R1284"/>
      <x:c r="S1284"/>
      <x:c r="T1284"/>
      <x:c r="U1284" s="57"/>
      <x:c r="V1284" s="57"/>
      <x:c r="W1284"/>
      <x:c r="X1284"/>
      <x:c r="Y1284" s="38"/>
      <x:c r="Z1284" s="38"/>
      <x:c r="AA1284"/>
    </x:row>
    <x:row r="1285">
      <x:c r="A1285" s="54" t="n">
        <x:v>44651</x:v>
      </x:c>
      <x:c r="B1285" t="n">
        <x:v>44651.624999988424</x:v>
      </x:c>
      <x:c r="C1285" t="str">
        <x:v>005010</x:v>
      </x:c>
      <x:c r="D1285" t="str">
        <x:v>휴스틸</x:v>
      </x:c>
      <x:c r="E1285" t="str">
        <x:v>KOSPI</x:v>
      </x:c>
      <x:c r="F1285" t="str">
        <x:v>MID</x:v>
      </x:c>
      <x:c r="G1285" t="str">
        <x:v>ELIGIBLE</x:v>
      </x:c>
      <x:c r="H1285"/>
      <x:c r="I1285" s="54" t="n">
        <x:v>44651</x:v>
      </x:c>
      <x:c r="J1285" s="55" t="n">
        <x:v>17650</x:v>
      </x:c>
      <x:c r="K1285" s="55" t="n">
        <x:v>138333904750</x:v>
      </x:c>
      <x:c r="L1285" s="55" t="n">
        <x:v>7837615</x:v>
      </x:c>
      <x:c r="M1285" t="str">
        <x:v>20220323001079</x:v>
      </x:c>
      <x:c r="N1285" t="n">
        <x:v>44643.624999988424</x:v>
      </x:c>
      <x:c r="O1285" s="54" t="n">
        <x:v>44561</x:v>
      </x:c>
      <x:c r="P1285" t="str">
        <x:v>False</x:v>
      </x:c>
      <x:c r="Q1285" t="str">
        <x:v>945051d840ca3edc9dac918a4058a8d2dbd8221edb5a3c5af970da22dbd89b76</x:v>
      </x:c>
      <x:c r="R1285" t="str">
        <x:v>e86ec943c7105178fb1f56724e90afbd76738b2e2ad9f0cb278b8f61015b7138</x:v>
      </x:c>
      <x:c r="S1285" t="n">
        <x:v>7</x:v>
      </x:c>
      <x:c r="T1285" t="str">
        <x:v>2018-12-31|2019-12-31|2020-12-31|2021-12-31</x:v>
      </x:c>
      <x:c r="U1285" s="57" t="n">
        <x:v>18115.01362036872</x:v>
      </x:c>
      <x:c r="V1285" s="57" t="n">
        <x:v>0.026346380757434642</x:v>
      </x:c>
      <x:c r="W1285" t="n">
        <x:v>16</x:v>
      </x:c>
      <x:c r="X1285" t="n">
        <x:v>2</x:v>
      </x:c>
      <x:c r="Y1285" s="38" t="n">
        <x:v>0.6409090909090909</x:v>
      </x:c>
      <x:c r="Z1285" s="38" t="n">
        <x:v>0.33371724080942344</x:v>
      </x:c>
      <x:c r="AA1285"/>
    </x:row>
    <x:row r="1286">
      <x:c r="A1286" s="54" t="n">
        <x:v>44651</x:v>
      </x:c>
      <x:c r="B1286" t="n">
        <x:v>44651.624999988424</x:v>
      </x:c>
      <x:c r="C1286" t="str">
        <x:v>001630</x:v>
      </x:c>
      <x:c r="D1286" t="str">
        <x:v>종근당홀딩스</x:v>
      </x:c>
      <x:c r="E1286" t="str">
        <x:v>KOSPI</x:v>
      </x:c>
      <x:c r="F1286" t="str">
        <x:v>MID</x:v>
      </x:c>
      <x:c r="G1286" t="str">
        <x:v>EXCLUDED_ARCHETYPE</x:v>
      </x:c>
      <x:c r="H1286" t="str">
        <x:v>FCFF_NOT_COMPARABLE_FOR_FINANCE_OR_HOLDING_HINT</x:v>
      </x:c>
      <x:c r="I1286" s="54"/>
      <x:c r="J1286" s="55"/>
      <x:c r="K1286" s="55"/>
      <x:c r="L1286" s="55"/>
      <x:c r="M1286"/>
      <x:c r="N1286"/>
      <x:c r="O1286" s="54"/>
      <x:c r="P1286"/>
      <x:c r="Q1286"/>
      <x:c r="R1286"/>
      <x:c r="S1286"/>
      <x:c r="T1286"/>
      <x:c r="U1286" s="57"/>
      <x:c r="V1286" s="57"/>
      <x:c r="W1286"/>
      <x:c r="X1286"/>
      <x:c r="Y1286" s="38"/>
      <x:c r="Z1286" s="38"/>
      <x:c r="AA1286"/>
    </x:row>
    <x:row r="1287">
      <x:c r="A1287" s="54" t="n">
        <x:v>44651</x:v>
      </x:c>
      <x:c r="B1287" t="n">
        <x:v>44651.624999988424</x:v>
      </x:c>
      <x:c r="C1287" t="str">
        <x:v>005680</x:v>
      </x:c>
      <x:c r="D1287" t="str">
        <x:v>삼영전자</x:v>
      </x:c>
      <x:c r="E1287" t="str">
        <x:v>KOSPI</x:v>
      </x:c>
      <x:c r="F1287" t="str">
        <x:v>MID</x:v>
      </x:c>
      <x:c r="G1287" t="str">
        <x:v>ELIGIBLE</x:v>
      </x:c>
      <x:c r="H1287"/>
      <x:c r="I1287" s="54" t="n">
        <x:v>44651</x:v>
      </x:c>
      <x:c r="J1287" s="55" t="n">
        <x:v>10750</x:v>
      </x:c>
      <x:c r="K1287" s="55" t="n">
        <x:v>215000000000</x:v>
      </x:c>
      <x:c r="L1287" s="55" t="n">
        <x:v>20000000</x:v>
      </x:c>
      <x:c r="M1287" t="str">
        <x:v>20220310001191</x:v>
      </x:c>
      <x:c r="N1287" t="n">
        <x:v>44630.624999988424</x:v>
      </x:c>
      <x:c r="O1287" s="54" t="n">
        <x:v>44561</x:v>
      </x:c>
      <x:c r="P1287" t="str">
        <x:v>False</x:v>
      </x:c>
      <x:c r="Q1287" t="str">
        <x:v>7bde21400f9091b9d1afc58a9981e9ed312b08fc1962b509c3c6978778d15175</x:v>
      </x:c>
      <x:c r="R1287" t="str">
        <x:v>cd5bd6578495a21e28c14ed9349ea3c6c56d60ceaaf40a3a073db8a22f485c4a</x:v>
      </x:c>
      <x:c r="S1287" t="n">
        <x:v>6</x:v>
      </x:c>
      <x:c r="T1287" t="str">
        <x:v>2018-12-31|2019-12-31|2020-12-31|2021-12-31</x:v>
      </x:c>
      <x:c r="U1287" s="57" t="n">
        <x:v>5134.734268963097</x:v>
      </x:c>
      <x:c r="V1287" s="57" t="n">
        <x:v>-0.5223503005615724</x:v>
      </x:c>
      <x:c r="W1287" t="n">
        <x:v>36</x:v>
      </x:c>
      <x:c r="X1287" t="n">
        <x:v>3</x:v>
      </x:c>
      <x:c r="Y1287" s="38" t="n">
        <x:v>0.6409090909090909</x:v>
      </x:c>
      <x:c r="Z1287" s="38" t="n">
        <x:v>0.5881027523780626</x:v>
      </x:c>
      <x:c r="AA1287"/>
    </x:row>
    <x:row r="1288">
      <x:c r="A1288" s="54" t="n">
        <x:v>44651</x:v>
      </x:c>
      <x:c r="B1288" t="n">
        <x:v>44651.624999988424</x:v>
      </x:c>
      <x:c r="C1288" t="str">
        <x:v>028100</x:v>
      </x:c>
      <x:c r="D1288" t="str">
        <x:v>동아지질</x:v>
      </x:c>
      <x:c r="E1288" t="str">
        <x:v>KOSPI</x:v>
      </x:c>
      <x:c r="F1288" t="str">
        <x:v>MID</x:v>
      </x:c>
      <x:c r="G1288" t="str">
        <x:v>ELIGIBLE</x:v>
      </x:c>
      <x:c r="H1288"/>
      <x:c r="I1288" s="54" t="n">
        <x:v>44651</x:v>
      </x:c>
      <x:c r="J1288" s="55" t="n">
        <x:v>18100</x:v>
      </x:c>
      <x:c r="K1288" s="55" t="n">
        <x:v>254352892600</x:v>
      </x:c>
      <x:c r="L1288" s="55" t="n">
        <x:v>14052646</x:v>
      </x:c>
      <x:c r="M1288" t="str">
        <x:v>20220315001251</x:v>
      </x:c>
      <x:c r="N1288" t="n">
        <x:v>44635.624999988424</x:v>
      </x:c>
      <x:c r="O1288" s="54" t="n">
        <x:v>44561</x:v>
      </x:c>
      <x:c r="P1288" t="str">
        <x:v>False</x:v>
      </x:c>
      <x:c r="Q1288" t="str">
        <x:v>0ef7bdc2b69cc7308dfffeeae10d7ff81e874f024016366d07d7bf5e6a5733a9</x:v>
      </x:c>
      <x:c r="R1288" t="str">
        <x:v>f3fed0f2b8f0b5e45a61eebe2665ed1a3e1e29b033817c4db2f8095fa5398038</x:v>
      </x:c>
      <x:c r="S1288" t="n">
        <x:v>7</x:v>
      </x:c>
      <x:c r="T1288" t="str">
        <x:v>2018-12-31|2019-12-31|2020-12-31|2021-12-31</x:v>
      </x:c>
      <x:c r="U1288" s="57" t="n">
        <x:v>7574.5375060645765</x:v>
      </x:c>
      <x:c r="V1288" s="57" t="n">
        <x:v>-0.5815172648583107</x:v>
      </x:c>
      <x:c r="W1288" t="n">
        <x:v>41</x:v>
      </x:c>
      <x:c r="X1288" t="n">
        <x:v>4</x:v>
      </x:c>
      <x:c r="Y1288" s="38" t="n">
        <x:v>0.6409090909090909</x:v>
      </x:c>
      <x:c r="Z1288" s="38" t="n">
        <x:v>0.7841782203292177</x:v>
      </x:c>
      <x:c r="AA1288"/>
    </x:row>
    <x:row r="1289">
      <x:c r="A1289" s="54" t="n">
        <x:v>44651</x:v>
      </x:c>
      <x:c r="B1289" t="n">
        <x:v>44651.624999988424</x:v>
      </x:c>
      <x:c r="C1289" t="str">
        <x:v>001750</x:v>
      </x:c>
      <x:c r="D1289" t="str">
        <x:v>한양증권</x:v>
      </x:c>
      <x:c r="E1289" t="str">
        <x:v>KOSPI</x:v>
      </x:c>
      <x:c r="F1289" t="str">
        <x:v>MID</x:v>
      </x:c>
      <x:c r="G1289" t="str">
        <x:v>EXCLUDED_ARCHETYPE</x:v>
      </x:c>
      <x:c r="H1289" t="str">
        <x:v>FCFF_NOT_COMPARABLE_FOR_FINANCE_OR_HOLDING_HINT</x:v>
      </x:c>
      <x:c r="I1289" s="54"/>
      <x:c r="J1289" s="55"/>
      <x:c r="K1289" s="55"/>
      <x:c r="L1289" s="55"/>
      <x:c r="M1289"/>
      <x:c r="N1289"/>
      <x:c r="O1289" s="54"/>
      <x:c r="P1289"/>
      <x:c r="Q1289"/>
      <x:c r="R1289"/>
      <x:c r="S1289"/>
      <x:c r="T1289"/>
      <x:c r="U1289" s="57"/>
      <x:c r="V1289" s="57"/>
      <x:c r="W1289"/>
      <x:c r="X1289"/>
      <x:c r="Y1289" s="38"/>
      <x:c r="Z1289" s="38"/>
      <x:c r="AA1289"/>
    </x:row>
    <x:row r="1290">
      <x:c r="A1290" s="54" t="n">
        <x:v>44651</x:v>
      </x:c>
      <x:c r="B1290" t="n">
        <x:v>44651.624999988424</x:v>
      </x:c>
      <x:c r="C1290" t="str">
        <x:v>102460</x:v>
      </x:c>
      <x:c r="D1290" t="str">
        <x:v>이연제약</x:v>
      </x:c>
      <x:c r="E1290" t="str">
        <x:v>KOSPI</x:v>
      </x:c>
      <x:c r="F1290" t="str">
        <x:v>MID</x:v>
      </x:c>
      <x:c r="G1290" t="str">
        <x:v>ELIGIBLE</x:v>
      </x:c>
      <x:c r="H1290"/>
      <x:c r="I1290" s="54" t="n">
        <x:v>44651</x:v>
      </x:c>
      <x:c r="J1290" s="55" t="n">
        <x:v>29900</x:v>
      </x:c>
      <x:c r="K1290" s="55" t="n">
        <x:v>538157452300</x:v>
      </x:c>
      <x:c r="L1290" s="55" t="n">
        <x:v>17998577</x:v>
      </x:c>
      <x:c r="M1290" t="str">
        <x:v>20220322000922</x:v>
      </x:c>
      <x:c r="N1290" t="n">
        <x:v>44642.624999988424</x:v>
      </x:c>
      <x:c r="O1290" s="54" t="n">
        <x:v>44561</x:v>
      </x:c>
      <x:c r="P1290" t="str">
        <x:v>False</x:v>
      </x:c>
      <x:c r="Q1290" t="str">
        <x:v>b45ea7a82754f8f5b4af4a81987f009a90ea14f20b45b9194a834b785983ef7c</x:v>
      </x:c>
      <x:c r="R1290" t="str">
        <x:v>6700a022cf30d3ef006448b0f2c3129224598050b6ec6f44f22905556baddd71</x:v>
      </x:c>
      <x:c r="S1290" t="n">
        <x:v>4</x:v>
      </x:c>
      <x:c r="T1290" t="str">
        <x:v>2018-12-31|2019-12-31|2020-12-31|2021-12-31</x:v>
      </x:c>
      <x:c r="U1290" s="57" t="n">
        <x:v>4614.415679788735</x:v>
      </x:c>
      <x:c r="V1290" s="57" t="n">
        <x:v>-0.8456717163950256</x:v>
      </x:c>
      <x:c r="W1290" t="n">
        <x:v>59</x:v>
      </x:c>
      <x:c r="X1290" t="n">
        <x:v>5</x:v>
      </x:c>
      <x:c r="Y1290" s="38" t="n">
        <x:v>0.6409090909090909</x:v>
      </x:c>
      <x:c r="Z1290" s="38" t="n">
        <x:v>0.8011386169947403</x:v>
      </x:c>
      <x:c r="AA1290"/>
    </x:row>
    <x:row r="1291">
      <x:c r="A1291" s="54" t="n">
        <x:v>44651</x:v>
      </x:c>
      <x:c r="B1291" t="n">
        <x:v>44651.624999988424</x:v>
      </x:c>
      <x:c r="C1291" t="str">
        <x:v>053690</x:v>
      </x:c>
      <x:c r="D1291" t="str">
        <x:v>한미글로벌</x:v>
      </x:c>
      <x:c r="E1291" t="str">
        <x:v>KOSPI</x:v>
      </x:c>
      <x:c r="F1291" t="str">
        <x:v>MID</x:v>
      </x:c>
      <x:c r="G1291" t="str">
        <x:v>ELIGIBLE</x:v>
      </x:c>
      <x:c r="H1291"/>
      <x:c r="I1291" s="54" t="n">
        <x:v>44651</x:v>
      </x:c>
      <x:c r="J1291" s="55" t="n">
        <x:v>14150</x:v>
      </x:c>
      <x:c r="K1291" s="55" t="n">
        <x:v>155049332500</x:v>
      </x:c>
      <x:c r="L1291" s="55" t="n">
        <x:v>10957550</x:v>
      </x:c>
      <x:c r="M1291" t="str">
        <x:v>20220316001319</x:v>
      </x:c>
      <x:c r="N1291" t="n">
        <x:v>44636.624999988424</x:v>
      </x:c>
      <x:c r="O1291" s="54" t="n">
        <x:v>44561</x:v>
      </x:c>
      <x:c r="P1291" t="str">
        <x:v>False</x:v>
      </x:c>
      <x:c r="Q1291" t="str">
        <x:v>ab189e9c43818e1e4ebb16bb8d84046ee7babbf2d29f0fd94544f2ab5fe397f9</x:v>
      </x:c>
      <x:c r="R1291" t="str">
        <x:v>02ac55b27184ff05039f39afcd7480d2809b52d8c53d309b1261c14f0028ca5e</x:v>
      </x:c>
      <x:c r="S1291" t="n">
        <x:v>6</x:v>
      </x:c>
      <x:c r="T1291" t="str">
        <x:v>2018-12-31|2019-12-31|2020-12-31|2021-12-31</x:v>
      </x:c>
      <x:c r="U1291" s="57" t="n">
        <x:v>19774.17782610372</x:v>
      </x:c>
      <x:c r="V1291" s="57" t="n">
        <x:v>0.3974683976045033</x:v>
      </x:c>
      <x:c r="W1291" t="n">
        <x:v>10</x:v>
      </x:c>
      <x:c r="X1291" t="n">
        <x:v>1</x:v>
      </x:c>
      <x:c r="Y1291" s="38" t="n">
        <x:v>0.6409090909090909</x:v>
      </x:c>
      <x:c r="Z1291" s="38" t="n">
        <x:v>0.6833165297703682</x:v>
      </x:c>
      <x:c r="AA1291"/>
    </x:row>
    <x:row r="1292">
      <x:c r="A1292" s="54" t="n">
        <x:v>44651</x:v>
      </x:c>
      <x:c r="B1292" t="n">
        <x:v>44651.624999988424</x:v>
      </x:c>
      <x:c r="C1292" t="str">
        <x:v>213500</x:v>
      </x:c>
      <x:c r="D1292" t="str">
        <x:v>한솔제지</x:v>
      </x:c>
      <x:c r="E1292" t="str">
        <x:v>KOSPI</x:v>
      </x:c>
      <x:c r="F1292" t="str">
        <x:v>MID</x:v>
      </x:c>
      <x:c r="G1292" t="str">
        <x:v>ELIGIBLE</x:v>
      </x:c>
      <x:c r="H1292"/>
      <x:c r="I1292" s="54" t="n">
        <x:v>44651</x:v>
      </x:c>
      <x:c r="J1292" s="55" t="n">
        <x:v>13400</x:v>
      </x:c>
      <x:c r="K1292" s="55" t="n">
        <x:v>318927718400</x:v>
      </x:c>
      <x:c r="L1292" s="55" t="n">
        <x:v>23800576</x:v>
      </x:c>
      <x:c r="M1292" t="str">
        <x:v>20220315001234</x:v>
      </x:c>
      <x:c r="N1292" t="n">
        <x:v>44635.624999988424</x:v>
      </x:c>
      <x:c r="O1292" s="54" t="n">
        <x:v>44561</x:v>
      </x:c>
      <x:c r="P1292" t="str">
        <x:v>False</x:v>
      </x:c>
      <x:c r="Q1292" t="str">
        <x:v>afe287d5f0f93c98221a065a8ee480258d597b2bf6acca15421809ee674ef84a</x:v>
      </x:c>
      <x:c r="R1292" t="str">
        <x:v>26e87a2c105e49e33d901563ab4a31b95d090c9f5281b76e2311feb43f9e138a</x:v>
      </x:c>
      <x:c r="S1292" t="n">
        <x:v>6</x:v>
      </x:c>
      <x:c r="T1292" t="str">
        <x:v>2018-12-31|2019-12-31|2020-12-31|2021-12-31</x:v>
      </x:c>
      <x:c r="U1292" s="57" t="n">
        <x:v>13574.502606796379</x:v>
      </x:c>
      <x:c r="V1292" s="57" t="n">
        <x:v>0.013022582596744652</x:v>
      </x:c>
      <x:c r="W1292" t="n">
        <x:v>17</x:v>
      </x:c>
      <x:c r="X1292" t="n">
        <x:v>2</x:v>
      </x:c>
      <x:c r="Y1292" s="38" t="n">
        <x:v>0.6409090909090909</x:v>
      </x:c>
      <x:c r="Z1292" s="38" t="n">
        <x:v>0.7791505392550995</x:v>
      </x:c>
      <x:c r="AA1292"/>
    </x:row>
    <x:row r="1293">
      <x:c r="A1293" s="54" t="n">
        <x:v>44651</x:v>
      </x:c>
      <x:c r="B1293" t="n">
        <x:v>44651.624999988424</x:v>
      </x:c>
      <x:c r="C1293" t="str">
        <x:v>005430</x:v>
      </x:c>
      <x:c r="D1293" t="str">
        <x:v>한국공항</x:v>
      </x:c>
      <x:c r="E1293" t="str">
        <x:v>KOSPI</x:v>
      </x:c>
      <x:c r="F1293" t="str">
        <x:v>MID</x:v>
      </x:c>
      <x:c r="G1293" t="str">
        <x:v>ELIGIBLE</x:v>
      </x:c>
      <x:c r="H1293"/>
      <x:c r="I1293" s="54" t="n">
        <x:v>44651</x:v>
      </x:c>
      <x:c r="J1293" s="55" t="n">
        <x:v>49900</x:v>
      </x:c>
      <x:c r="K1293" s="55" t="n">
        <x:v>158001114500</x:v>
      </x:c>
      <x:c r="L1293" s="55" t="n">
        <x:v>3166355</x:v>
      </x:c>
      <x:c r="M1293" t="str">
        <x:v>20220315001111</x:v>
      </x:c>
      <x:c r="N1293" t="n">
        <x:v>44635.624999988424</x:v>
      </x:c>
      <x:c r="O1293" s="54" t="n">
        <x:v>44561</x:v>
      </x:c>
      <x:c r="P1293" t="str">
        <x:v>False</x:v>
      </x:c>
      <x:c r="Q1293" t="str">
        <x:v>eddd391d8ced6decbf06d7a0a762609a13efea282c2a696d1b028890b1c580f1</x:v>
      </x:c>
      <x:c r="R1293" t="str">
        <x:v>52627e6dde84c85b4630d13366475d7c946cc072f50d725aea58844899cd5c84</x:v>
      </x:c>
      <x:c r="S1293" t="n">
        <x:v>7</x:v>
      </x:c>
      <x:c r="T1293" t="str">
        <x:v>2018-12-31|2019-12-31|2020-12-31|2021-12-31</x:v>
      </x:c>
      <x:c r="U1293" s="57" t="n">
        <x:v>58170.54373799912</x:v>
      </x:c>
      <x:c r="V1293" s="57" t="n">
        <x:v>0.16574235947894034</x:v>
      </x:c>
      <x:c r="W1293" t="n">
        <x:v>14</x:v>
      </x:c>
      <x:c r="X1293" t="n">
        <x:v>1</x:v>
      </x:c>
      <x:c r="Y1293" s="38" t="n">
        <x:v>0.6409090909090909</x:v>
      </x:c>
      <x:c r="Z1293" s="38" t="n">
        <x:v>0.7506799838267476</x:v>
      </x:c>
      <x:c r="AA1293"/>
    </x:row>
    <x:row r="1294">
      <x:c r="A1294" s="54" t="n">
        <x:v>44651</x:v>
      </x:c>
      <x:c r="B1294" t="n">
        <x:v>44651.624999988424</x:v>
      </x:c>
      <x:c r="C1294" t="str">
        <x:v>003460</x:v>
      </x:c>
      <x:c r="D1294" t="str">
        <x:v>유화증권</x:v>
      </x:c>
      <x:c r="E1294" t="str">
        <x:v>KOSPI</x:v>
      </x:c>
      <x:c r="F1294" t="str">
        <x:v>MID</x:v>
      </x:c>
      <x:c r="G1294" t="str">
        <x:v>EXCLUDED_ARCHETYPE</x:v>
      </x:c>
      <x:c r="H1294" t="str">
        <x:v>FCFF_NOT_COMPARABLE_FOR_FINANCE_OR_HOLDING_HINT</x:v>
      </x:c>
      <x:c r="I1294" s="54"/>
      <x:c r="J1294" s="55"/>
      <x:c r="K1294" s="55"/>
      <x:c r="L1294" s="55"/>
      <x:c r="M1294"/>
      <x:c r="N1294"/>
      <x:c r="O1294" s="54"/>
      <x:c r="P1294"/>
      <x:c r="Q1294"/>
      <x:c r="R1294"/>
      <x:c r="S1294"/>
      <x:c r="T1294"/>
      <x:c r="U1294" s="57"/>
      <x:c r="V1294" s="57"/>
      <x:c r="W1294"/>
      <x:c r="X1294"/>
      <x:c r="Y1294" s="38"/>
      <x:c r="Z1294" s="38"/>
      <x:c r="AA1294"/>
    </x:row>
    <x:row r="1295">
      <x:c r="A1295" s="54" t="n">
        <x:v>44651</x:v>
      </x:c>
      <x:c r="B1295" t="n">
        <x:v>44651.624999988424</x:v>
      </x:c>
      <x:c r="C1295" t="str">
        <x:v>004140</x:v>
      </x:c>
      <x:c r="D1295" t="str">
        <x:v>동방</x:v>
      </x:c>
      <x:c r="E1295" t="str">
        <x:v>KOSPI</x:v>
      </x:c>
      <x:c r="F1295" t="str">
        <x:v>MID</x:v>
      </x:c>
      <x:c r="G1295" t="str">
        <x:v>DCF_SCREENING_EXCLUSION</x:v>
      </x:c>
      <x:c r="H1295" t="str">
        <x:v>NON_POSITIVE_EQUITY_VALUE</x:v>
      </x:c>
      <x:c r="I1295" s="54" t="n">
        <x:v>44651</x:v>
      </x:c>
      <x:c r="J1295" s="55" t="n">
        <x:v>3945</x:v>
      </x:c>
      <x:c r="K1295" s="55" t="n">
        <x:v>189248616870</x:v>
      </x:c>
      <x:c r="L1295" s="55" t="n">
        <x:v>47971766</x:v>
      </x:c>
      <x:c r="M1295" t="str">
        <x:v>20220317001208</x:v>
      </x:c>
      <x:c r="N1295" t="n">
        <x:v>44637.624999988424</x:v>
      </x:c>
      <x:c r="O1295" s="54" t="n">
        <x:v>44561</x:v>
      </x:c>
      <x:c r="P1295" t="str">
        <x:v>False</x:v>
      </x:c>
      <x:c r="Q1295" t="str">
        <x:v>2ec7a4ce6f35bcabe04e9598c56e6c3f76c37f5ae200fe83edf6c256370a53fd</x:v>
      </x:c>
      <x:c r="R1295" t="str">
        <x:v>6a2d823b0bb72c5e2c0fba1c34fc411907f242e79c4a3b7d04e72ad6aaa4e39f</x:v>
      </x:c>
      <x:c r="S1295" t="n">
        <x:v>7</x:v>
      </x:c>
      <x:c r="T1295" t="str">
        <x:v>2013-12-31|2014-12-31|2015-12-31|2016-12-31|2018-12-31|2019-12-31|2020-12-31|2021-12-31</x:v>
      </x:c>
      <x:c r="U1295" s="57" t="n">
        <x:v>-1069.8647959827435</x:v>
      </x:c>
      <x:c r="V1295" s="57" t="n">
        <x:v>-1.271195132061532</x:v>
      </x:c>
      <x:c r="W1295"/>
      <x:c r="X1295"/>
      <x:c r="Y1295" s="38" t="n">
        <x:v>0.6409090909090909</x:v>
      </x:c>
      <x:c r="Z1295" s="38" t="n">
        <x:v>0.27600380609333103</x:v>
      </x:c>
      <x:c r="AA1295" t="str">
        <x:v>NON_POSITIVE_EQUITY_VALUE</x:v>
      </x:c>
    </x:row>
    <x:row r="1296">
      <x:c r="A1296" s="54" t="n">
        <x:v>44651</x:v>
      </x:c>
      <x:c r="B1296" t="n">
        <x:v>44651.624999988424</x:v>
      </x:c>
      <x:c r="C1296" t="str">
        <x:v>317400</x:v>
      </x:c>
      <x:c r="D1296" t="str">
        <x:v>자이에스앤디</x:v>
      </x:c>
      <x:c r="E1296" t="str">
        <x:v>KOSPI</x:v>
      </x:c>
      <x:c r="F1296" t="str">
        <x:v>MID</x:v>
      </x:c>
      <x:c r="G1296" t="str">
        <x:v>ELIGIBLE</x:v>
      </x:c>
      <x:c r="H1296"/>
      <x:c r="I1296" s="54" t="n">
        <x:v>44651</x:v>
      </x:c>
      <x:c r="J1296" s="55" t="n">
        <x:v>9400</x:v>
      </x:c>
      <x:c r="K1296" s="55" t="n">
        <x:v>364555688000</x:v>
      </x:c>
      <x:c r="L1296" s="55" t="n">
        <x:v>38782520</x:v>
      </x:c>
      <x:c r="M1296" t="str">
        <x:v>20220317000700</x:v>
      </x:c>
      <x:c r="N1296" t="n">
        <x:v>44637.624999988424</x:v>
      </x:c>
      <x:c r="O1296" s="54" t="n">
        <x:v>44561</x:v>
      </x:c>
      <x:c r="P1296" t="str">
        <x:v>False</x:v>
      </x:c>
      <x:c r="Q1296" t="str">
        <x:v>226f68c6aa1b8d3f2ad5797c8d3b9c3b02a0a9d504d6ab33130b732a81b0ebde</x:v>
      </x:c>
      <x:c r="R1296" t="str">
        <x:v>68c8d85b8d9adc107395a6cdf5d68e3f46a1acd9f85d12e905760e44056e2ef0</x:v>
      </x:c>
      <x:c r="S1296" t="n">
        <x:v>6</x:v>
      </x:c>
      <x:c r="T1296" t="str">
        <x:v>2019-12-31|2020-12-31|2021-12-31</x:v>
      </x:c>
      <x:c r="U1296" s="57" t="n">
        <x:v>12746.103573389322</x:v>
      </x:c>
      <x:c r="V1296" s="57" t="n">
        <x:v>0.35596846525418313</x:v>
      </x:c>
      <x:c r="W1296" t="n">
        <x:v>12</x:v>
      </x:c>
      <x:c r="X1296" t="n">
        <x:v>1</x:v>
      </x:c>
      <x:c r="Y1296" s="38" t="n">
        <x:v>0.6409090909090909</x:v>
      </x:c>
      <x:c r="Z1296" s="38" t="n">
        <x:v>0.6401924820596153</x:v>
      </x:c>
      <x:c r="AA1296"/>
    </x:row>
    <x:row r="1297">
      <x:c r="A1297" s="54" t="n">
        <x:v>44651</x:v>
      </x:c>
      <x:c r="B1297" t="n">
        <x:v>44651.624999988424</x:v>
      </x:c>
      <x:c r="C1297" t="str">
        <x:v>077500</x:v>
      </x:c>
      <x:c r="D1297" t="str">
        <x:v>유니퀘스트</x:v>
      </x:c>
      <x:c r="E1297" t="str">
        <x:v>KOSPI</x:v>
      </x:c>
      <x:c r="F1297" t="str">
        <x:v>MID</x:v>
      </x:c>
      <x:c r="G1297" t="str">
        <x:v>ELIGIBLE</x:v>
      </x:c>
      <x:c r="H1297"/>
      <x:c r="I1297" s="54" t="n">
        <x:v>44651</x:v>
      </x:c>
      <x:c r="J1297" s="55" t="n">
        <x:v>11200</x:v>
      </x:c>
      <x:c r="K1297" s="55" t="n">
        <x:v>306241320000</x:v>
      </x:c>
      <x:c r="L1297" s="55" t="n">
        <x:v>27342975</x:v>
      </x:c>
      <x:c r="M1297" t="str">
        <x:v>20220317000373</x:v>
      </x:c>
      <x:c r="N1297" t="n">
        <x:v>44637.624999988424</x:v>
      </x:c>
      <x:c r="O1297" s="54" t="n">
        <x:v>44561</x:v>
      </x:c>
      <x:c r="P1297" t="str">
        <x:v>False</x:v>
      </x:c>
      <x:c r="Q1297" t="str">
        <x:v>210a8f5e5d5697c53bf6c4a8a660c872a2ae67e91d5750be078b7007a90af8b2</x:v>
      </x:c>
      <x:c r="R1297" t="str">
        <x:v>5e1a5480a4c2e1658cee90ab36c955f78b5cb3446e3a3df99144669848292c6c</x:v>
      </x:c>
      <x:c r="S1297" t="n">
        <x:v>6</x:v>
      </x:c>
      <x:c r="T1297" t="str">
        <x:v>2011-12-31|2012-12-31|2013-12-31|2014-12-31|2015-12-31|2016-12-31|2017-12-31|2018-12-31|2019-12-31|2020-12-31|2021-12-31</x:v>
      </x:c>
      <x:c r="U1297" s="57" t="n">
        <x:v>5737.976499568611</x:v>
      </x:c>
      <x:c r="V1297" s="57" t="n">
        <x:v>-0.487680669681374</x:v>
      </x:c>
      <x:c r="W1297" t="n">
        <x:v>33</x:v>
      </x:c>
      <x:c r="X1297" t="n">
        <x:v>3</x:v>
      </x:c>
      <x:c r="Y1297" s="38" t="n">
        <x:v>0.6409090909090909</x:v>
      </x:c>
      <x:c r="Z1297" s="38" t="n">
        <x:v>0.6400227791268169</x:v>
      </x:c>
      <x:c r="AA1297"/>
    </x:row>
    <x:row r="1298">
      <x:c r="A1298" s="54" t="n">
        <x:v>44651</x:v>
      </x:c>
      <x:c r="B1298" t="n">
        <x:v>44651.624999988424</x:v>
      </x:c>
      <x:c r="C1298" t="str">
        <x:v>012800</x:v>
      </x:c>
      <x:c r="D1298" t="str">
        <x:v>대창</x:v>
      </x:c>
      <x:c r="E1298" t="str">
        <x:v>KOSPI</x:v>
      </x:c>
      <x:c r="F1298" t="str">
        <x:v>MID</x:v>
      </x:c>
      <x:c r="G1298" t="str">
        <x:v>DCF_SCREENING_EXCLUSION</x:v>
      </x:c>
      <x:c r="H1298" t="str">
        <x:v>NON_POSITIVE_EQUITY_VALUE</x:v>
      </x:c>
      <x:c r="I1298" s="54" t="n">
        <x:v>44651</x:v>
      </x:c>
      <x:c r="J1298" s="55" t="n">
        <x:v>2070</x:v>
      </x:c>
      <x:c r="K1298" s="55" t="n">
        <x:v>188660832930</x:v>
      </x:c>
      <x:c r="L1298" s="55" t="n">
        <x:v>91140499</x:v>
      </x:c>
      <x:c r="M1298" t="str">
        <x:v>20220322000499</x:v>
      </x:c>
      <x:c r="N1298" t="n">
        <x:v>44642.624999988424</x:v>
      </x:c>
      <x:c r="O1298" s="54" t="n">
        <x:v>44561</x:v>
      </x:c>
      <x:c r="P1298" t="str">
        <x:v>False</x:v>
      </x:c>
      <x:c r="Q1298" t="str">
        <x:v>4b5d8bf4f702613c1e649a2a157096e03b3185abe22447fd66c1415e31c2a6d8</x:v>
      </x:c>
      <x:c r="R1298" t="str">
        <x:v>741796de1fea00e082c57e998dafac41ec18c097ca0506df49a34431f1aff24f</x:v>
      </x:c>
      <x:c r="S1298" t="n">
        <x:v>6</x:v>
      </x:c>
      <x:c r="T1298" t="str">
        <x:v>2018-12-31|2019-12-31|2020-12-31|2021-12-31</x:v>
      </x:c>
      <x:c r="U1298" s="57" t="n">
        <x:v>-259.90853479790894</x:v>
      </x:c>
      <x:c r="V1298" s="57" t="n">
        <x:v>-1.1255596786463329</x:v>
      </x:c>
      <x:c r="W1298"/>
      <x:c r="X1298"/>
      <x:c r="Y1298" s="38" t="n">
        <x:v>0.6409090909090909</x:v>
      </x:c>
      <x:c r="Z1298" s="38" t="n">
        <x:v>0.5511862681987276</x:v>
      </x:c>
      <x:c r="AA1298" t="str">
        <x:v>NON_POSITIVE_EQUITY_VALUE</x:v>
      </x:c>
    </x:row>
    <x:row r="1299">
      <x:c r="A1299" s="54" t="n">
        <x:v>44651</x:v>
      </x:c>
      <x:c r="B1299" t="n">
        <x:v>44651.624999988424</x:v>
      </x:c>
      <x:c r="C1299" t="str">
        <x:v>063160</x:v>
      </x:c>
      <x:c r="D1299" t="str">
        <x:v>종근당바이오</x:v>
      </x:c>
      <x:c r="E1299" t="str">
        <x:v>KOSPI</x:v>
      </x:c>
      <x:c r="F1299" t="str">
        <x:v>MID</x:v>
      </x:c>
      <x:c r="G1299" t="str">
        <x:v>DCF_SCREENING_EXCLUSION</x:v>
      </x:c>
      <x:c r="H1299" t="str">
        <x:v>NON_POSITIVE_ENTERPRISE_VALUE|NON_POSITIVE_EQUITY_VALUE|NON_POSITIVE_TERMINAL_FCF</x:v>
      </x:c>
      <x:c r="I1299" s="54" t="n">
        <x:v>44651</x:v>
      </x:c>
      <x:c r="J1299" s="55" t="n">
        <x:v>36450</x:v>
      </x:c>
      <x:c r="K1299" s="55" t="n">
        <x:v>199963314900</x:v>
      </x:c>
      <x:c r="L1299" s="55" t="n">
        <x:v>5485962</x:v>
      </x:c>
      <x:c r="M1299" t="str">
        <x:v>20220317000204</x:v>
      </x:c>
      <x:c r="N1299" t="n">
        <x:v>44637.624999988424</x:v>
      </x:c>
      <x:c r="O1299" s="54" t="n">
        <x:v>44561</x:v>
      </x:c>
      <x:c r="P1299" t="str">
        <x:v>False</x:v>
      </x:c>
      <x:c r="Q1299" t="str">
        <x:v>7dbafeb68bb26a75a078a298a4527a6155a3315721f924f523f7000faa18d6cc</x:v>
      </x:c>
      <x:c r="R1299" t="str">
        <x:v>bb8086828333cb453e40bfc3e0dc0a959bee118a213721442a2a260fe54a337f</x:v>
      </x:c>
      <x:c r="S1299" t="n">
        <x:v>6</x:v>
      </x:c>
      <x:c r="T1299" t="str">
        <x:v>2018-12-31|2019-12-31|2020-12-31|2021-12-31</x:v>
      </x:c>
      <x:c r="U1299" s="57" t="n">
        <x:v>-13995.88727853284</x:v>
      </x:c>
      <x:c r="V1299" s="57" t="n">
        <x:v>-1.3839749596305306</x:v>
      </x:c>
      <x:c r="W1299"/>
      <x:c r="X1299"/>
      <x:c r="Y1299" s="38" t="n">
        <x:v>0.6409090909090909</x:v>
      </x:c>
      <x:c r="Z1299" s="38" t="n">
        <x:v>0.1680586412084802</x:v>
      </x:c>
      <x:c r="AA1299" t="str">
        <x:v>NON_POSITIVE_ENTERPRISE_VALUE|NON_POSITIVE_EQUITY_VALUE|NON_POSITIVE_TERMINAL_FCF</x:v>
      </x:c>
    </x:row>
    <x:row r="1300">
      <x:c r="A1300" s="54" t="n">
        <x:v>44651</x:v>
      </x:c>
      <x:c r="B1300" t="n">
        <x:v>44651.624999988424</x:v>
      </x:c>
      <x:c r="C1300" t="str">
        <x:v>013570</x:v>
      </x:c>
      <x:c r="D1300" t="str">
        <x:v>디와이</x:v>
      </x:c>
      <x:c r="E1300" t="str">
        <x:v>KOSPI</x:v>
      </x:c>
      <x:c r="F1300" t="str">
        <x:v>MID</x:v>
      </x:c>
      <x:c r="G1300" t="str">
        <x:v>ELIGIBLE</x:v>
      </x:c>
      <x:c r="H1300"/>
      <x:c r="I1300" s="54" t="n">
        <x:v>44651</x:v>
      </x:c>
      <x:c r="J1300" s="55" t="n">
        <x:v>10150</x:v>
      </x:c>
      <x:c r="K1300" s="55" t="n">
        <x:v>267144274950</x:v>
      </x:c>
      <x:c r="L1300" s="55" t="n">
        <x:v>26319633</x:v>
      </x:c>
      <x:c r="M1300" t="str">
        <x:v>20220316000565</x:v>
      </x:c>
      <x:c r="N1300" t="n">
        <x:v>44636.624999988424</x:v>
      </x:c>
      <x:c r="O1300" s="54" t="n">
        <x:v>44561</x:v>
      </x:c>
      <x:c r="P1300" t="str">
        <x:v>False</x:v>
      </x:c>
      <x:c r="Q1300" t="str">
        <x:v>bc0483c8afae055bed93059d24ec68d80da6c133c8bdd50000c20e0e83e7f8bf</x:v>
      </x:c>
      <x:c r="R1300" t="str">
        <x:v>74a2c3deb7f5611d74289606a3fe2a600f496dc6706f1e7a0439d844fb334ae2</x:v>
      </x:c>
      <x:c r="S1300" t="n">
        <x:v>6</x:v>
      </x:c>
      <x:c r="T1300" t="str">
        <x:v>2018-12-31|2019-12-31|2020-12-31|2021-12-31</x:v>
      </x:c>
      <x:c r="U1300" s="57" t="n">
        <x:v>8272.677688519547</x:v>
      </x:c>
      <x:c r="V1300" s="57" t="n">
        <x:v>-0.1849578632000446</x:v>
      </x:c>
      <x:c r="W1300" t="n">
        <x:v>23</x:v>
      </x:c>
      <x:c r="X1300" t="n">
        <x:v>2</x:v>
      </x:c>
      <x:c r="Y1300" s="38" t="n">
        <x:v>0.6409090909090909</x:v>
      </x:c>
      <x:c r="Z1300" s="38" t="n">
        <x:v>0.6060132143974482</x:v>
      </x:c>
      <x:c r="AA1300"/>
    </x:row>
    <x:row r="1301">
      <x:c r="A1301" s="54" t="n">
        <x:v>44651</x:v>
      </x:c>
      <x:c r="B1301" t="n">
        <x:v>44651.624999988424</x:v>
      </x:c>
      <x:c r="C1301" t="str">
        <x:v>227840</x:v>
      </x:c>
      <x:c r="D1301" t="str">
        <x:v>현대코퍼레이션홀딩스</x:v>
      </x:c>
      <x:c r="E1301" t="str">
        <x:v>KOSPI</x:v>
      </x:c>
      <x:c r="F1301" t="str">
        <x:v>MID</x:v>
      </x:c>
      <x:c r="G1301" t="str">
        <x:v>EXCLUDED_ARCHETYPE</x:v>
      </x:c>
      <x:c r="H1301" t="str">
        <x:v>FCFF_NOT_COMPARABLE_FOR_FINANCE_OR_HOLDING_HINT</x:v>
      </x:c>
      <x:c r="I1301" s="54"/>
      <x:c r="J1301" s="55"/>
      <x:c r="K1301" s="55"/>
      <x:c r="L1301" s="55"/>
      <x:c r="M1301"/>
      <x:c r="N1301"/>
      <x:c r="O1301" s="54"/>
      <x:c r="P1301"/>
      <x:c r="Q1301"/>
      <x:c r="R1301"/>
      <x:c r="S1301"/>
      <x:c r="T1301"/>
      <x:c r="U1301" s="57"/>
      <x:c r="V1301" s="57"/>
      <x:c r="W1301"/>
      <x:c r="X1301"/>
      <x:c r="Y1301" s="38"/>
      <x:c r="Z1301" s="38"/>
      <x:c r="AA1301"/>
    </x:row>
    <x:row r="1302">
      <x:c r="A1302" s="54" t="n">
        <x:v>44651</x:v>
      </x:c>
      <x:c r="B1302" t="n">
        <x:v>44651.624999988424</x:v>
      </x:c>
      <x:c r="C1302" t="str">
        <x:v>247540</x:v>
      </x:c>
      <x:c r="D1302" t="str">
        <x:v>에코프로비엠</x:v>
      </x:c>
      <x:c r="E1302" t="str">
        <x:v>KOSDAQ</x:v>
      </x:c>
      <x:c r="F1302" t="str">
        <x:v>LARGE</x:v>
      </x:c>
      <x:c r="G1302" t="str">
        <x:v>DCF_SCREENING_EXCLUSION</x:v>
      </x:c>
      <x:c r="H1302" t="str">
        <x:v>NON_POSITIVE_EQUITY_VALUE|UNRELIABLE_TERMINAL_VALUE_SHARE</x:v>
      </x:c>
      <x:c r="I1302" s="54" t="n">
        <x:v>44651</x:v>
      </x:c>
      <x:c r="J1302" s="55" t="n">
        <x:v>397700</x:v>
      </x:c>
      <x:c r="K1302" s="55" t="n">
        <x:v>9115071628200</x:v>
      </x:c>
      <x:c r="L1302" s="55" t="n">
        <x:v>22919466</x:v>
      </x:c>
      <x:c r="M1302" t="str">
        <x:v>20220321001523</x:v>
      </x:c>
      <x:c r="N1302" t="n">
        <x:v>44641.624999988424</x:v>
      </x:c>
      <x:c r="O1302" s="54" t="n">
        <x:v>44561</x:v>
      </x:c>
      <x:c r="P1302" t="str">
        <x:v>False</x:v>
      </x:c>
      <x:c r="Q1302" t="str">
        <x:v>cbc91e0ba83b283028e5f5e5e3e7a50ae5602f35d2cca94cdd6ec5c547e0804e</x:v>
      </x:c>
      <x:c r="R1302" t="str">
        <x:v>350f169b8fc77369ffdf00edf5ba19785da465fb26fc9f8f7eab14f69a37cb9e</x:v>
      </x:c>
      <x:c r="S1302" t="n">
        <x:v>5</x:v>
      </x:c>
      <x:c r="T1302" t="str">
        <x:v>2018-12-31|2019-12-31|2020-12-31|2021-12-31</x:v>
      </x:c>
      <x:c r="U1302" s="57" t="n">
        <x:v>-5616.639310611734</x:v>
      </x:c>
      <x:c r="V1302" s="57" t="n">
        <x:v>-1.01412280440184</x:v>
      </x:c>
      <x:c r="W1302"/>
      <x:c r="X1302"/>
      <x:c r="Y1302" s="38" t="n">
        <x:v>0.6409090909090909</x:v>
      </x:c>
      <x:c r="Z1302" s="38" t="n">
        <x:v>0.9384923696568169</x:v>
      </x:c>
      <x:c r="AA1302" t="str">
        <x:v>NON_POSITIVE_EQUITY_VALUE|UNRELIABLE_TERMINAL_VALUE_SHARE</x:v>
      </x:c>
    </x:row>
    <x:row r="1303">
      <x:c r="A1303" s="54" t="n">
        <x:v>44651</x:v>
      </x:c>
      <x:c r="B1303" t="n">
        <x:v>44651.624999988424</x:v>
      </x:c>
      <x:c r="C1303" t="str">
        <x:v>086520</x:v>
      </x:c>
      <x:c r="D1303" t="str">
        <x:v>에코프로</x:v>
      </x:c>
      <x:c r="E1303" t="str">
        <x:v>KOSDAQ</x:v>
      </x:c>
      <x:c r="F1303" t="str">
        <x:v>LARGE</x:v>
      </x:c>
      <x:c r="G1303" t="str">
        <x:v>DCF_SCREENING_EXCLUSION</x:v>
      </x:c>
      <x:c r="H1303" t="str">
        <x:v>UNRELIABLE_TERMINAL_VALUE_SHARE</x:v>
      </x:c>
      <x:c r="I1303" s="54" t="n">
        <x:v>44651</x:v>
      </x:c>
      <x:c r="J1303" s="55" t="n">
        <x:v>92100</x:v>
      </x:c>
      <x:c r="K1303" s="55" t="n">
        <x:v>2208159391200</x:v>
      </x:c>
      <x:c r="L1303" s="55" t="n">
        <x:v>23975672</x:v>
      </x:c>
      <x:c r="M1303" t="str">
        <x:v>20220323000932</x:v>
      </x:c>
      <x:c r="N1303" t="n">
        <x:v>44643.624999988424</x:v>
      </x:c>
      <x:c r="O1303" s="54" t="n">
        <x:v>44561</x:v>
      </x:c>
      <x:c r="P1303" t="str">
        <x:v>True</x:v>
      </x:c>
      <x:c r="Q1303" t="str">
        <x:v>8adc28c165c1572b07cf2b5c793cbfaa4c6d44199ae5527404703617eb878f41</x:v>
      </x:c>
      <x:c r="R1303" t="str">
        <x:v>985940aa2f06e6644941bb3525395cfb3167d3968304358edf4823452a801e4d</x:v>
      </x:c>
      <x:c r="S1303" t="n">
        <x:v>5</x:v>
      </x:c>
      <x:c r="T1303" t="str">
        <x:v>2018-12-31|2019-12-31|2020-12-31|2021-12-31</x:v>
      </x:c>
      <x:c r="U1303" s="57" t="n">
        <x:v>15731.898535892366</x:v>
      </x:c>
      <x:c r="V1303" s="57" t="n">
        <x:v>-0.8291867694257072</x:v>
      </x:c>
      <x:c r="W1303"/>
      <x:c r="X1303"/>
      <x:c r="Y1303" s="38" t="n">
        <x:v>0.6409090909090909</x:v>
      </x:c>
      <x:c r="Z1303" s="38" t="n">
        <x:v>2.075070518961312</x:v>
      </x:c>
      <x:c r="AA1303" t="str">
        <x:v>UNRELIABLE_TERMINAL_VALUE_SHARE</x:v>
      </x:c>
    </x:row>
    <x:row r="1304">
      <x:c r="A1304" s="54" t="n">
        <x:v>44651</x:v>
      </x:c>
      <x:c r="B1304" t="n">
        <x:v>44651.624999988424</x:v>
      </x:c>
      <x:c r="C1304" t="str">
        <x:v>214450</x:v>
      </x:c>
      <x:c r="D1304" t="str">
        <x:v>파마리서치</x:v>
      </x:c>
      <x:c r="E1304" t="str">
        <x:v>KOSDAQ</x:v>
      </x:c>
      <x:c r="F1304" t="str">
        <x:v>LARGE</x:v>
      </x:c>
      <x:c r="G1304" t="str">
        <x:v>ELIGIBLE</x:v>
      </x:c>
      <x:c r="H1304"/>
      <x:c r="I1304" s="54" t="n">
        <x:v>44651</x:v>
      </x:c>
      <x:c r="J1304" s="55" t="n">
        <x:v>91800</x:v>
      </x:c>
      <x:c r="K1304" s="55" t="n">
        <x:v>928275174000</x:v>
      </x:c>
      <x:c r="L1304" s="55" t="n">
        <x:v>10111930</x:v>
      </x:c>
      <x:c r="M1304" t="str">
        <x:v>20220317001307</x:v>
      </x:c>
      <x:c r="N1304" t="n">
        <x:v>44637.624999988424</x:v>
      </x:c>
      <x:c r="O1304" s="54" t="n">
        <x:v>44561</x:v>
      </x:c>
      <x:c r="P1304" t="str">
        <x:v>False</x:v>
      </x:c>
      <x:c r="Q1304" t="str">
        <x:v>8d6bae46fbfb31b6d128e6b9a8938ba814530b27c8f04e829cb262023d17b010</x:v>
      </x:c>
      <x:c r="R1304" t="str">
        <x:v>5effc880785d8f2e3d64e31643f34760bab7dc5fa0382dc758541ce74ae7ed40</x:v>
      </x:c>
      <x:c r="S1304" t="n">
        <x:v>6</x:v>
      </x:c>
      <x:c r="T1304" t="str">
        <x:v>2018-12-31|2019-12-31|2020-12-31|2021-12-31</x:v>
      </x:c>
      <x:c r="U1304" s="57" t="n">
        <x:v>45713.68277668952</x:v>
      </x:c>
      <x:c r="V1304" s="57" t="n">
        <x:v>-0.5020295993824672</x:v>
      </x:c>
      <x:c r="W1304" t="n">
        <x:v>34</x:v>
      </x:c>
      <x:c r="X1304" t="n">
        <x:v>3</x:v>
      </x:c>
      <x:c r="Y1304" s="38" t="n">
        <x:v>0.6409090909090909</x:v>
      </x:c>
      <x:c r="Z1304" s="38" t="n">
        <x:v>0.682474677265348</x:v>
      </x:c>
      <x:c r="AA1304"/>
    </x:row>
    <x:row r="1305">
      <x:c r="A1305" s="54" t="n">
        <x:v>44651</x:v>
      </x:c>
      <x:c r="B1305" t="n">
        <x:v>44651.624999988424</x:v>
      </x:c>
      <x:c r="C1305" t="str">
        <x:v>277810</x:v>
      </x:c>
      <x:c r="D1305" t="str">
        <x:v>레인보우로보틱스</x:v>
      </x:c>
      <x:c r="E1305" t="str">
        <x:v>KOSDAQ</x:v>
      </x:c>
      <x:c r="F1305" t="str">
        <x:v>LARGE</x:v>
      </x:c>
      <x:c r="G1305" t="str">
        <x:v>DCF_SCREENING_EXCLUSION</x:v>
      </x:c>
      <x:c r="H1305" t="str">
        <x:v>NON_POSITIVE_ENTERPRISE_VALUE|NON_POSITIVE_TERMINAL_FCF</x:v>
      </x:c>
      <x:c r="I1305" s="54" t="n">
        <x:v>44651</x:v>
      </x:c>
      <x:c r="J1305" s="55" t="n">
        <x:v>24200</x:v>
      </x:c>
      <x:c r="K1305" s="55" t="n">
        <x:v>390472178800</x:v>
      </x:c>
      <x:c r="L1305" s="55" t="n">
        <x:v>16135214</x:v>
      </x:c>
      <x:c r="M1305" t="str">
        <x:v>20220323000415</x:v>
      </x:c>
      <x:c r="N1305" t="n">
        <x:v>44643.624999988424</x:v>
      </x:c>
      <x:c r="O1305" s="54" t="n">
        <x:v>44561</x:v>
      </x:c>
      <x:c r="P1305" t="str">
        <x:v>False</x:v>
      </x:c>
      <x:c r="Q1305" t="str">
        <x:v>2256f4cbe30f0bf27f0505b5e4329833072712c67563a64c2bd2cbb0af612f14</x:v>
      </x:c>
      <x:c r="R1305" t="str">
        <x:v>e1a682af07c87f355dbbe79a6f3caf1188e3e4d7445cfb8d37dd813706b514ac</x:v>
      </x:c>
      <x:c r="S1305" t="n">
        <x:v>6</x:v>
      </x:c>
      <x:c r="T1305" t="str">
        <x:v>2020-12-31|2021-12-31</x:v>
      </x:c>
      <x:c r="U1305" s="57" t="n">
        <x:v>551.5976669407456</x:v>
      </x:c>
      <x:c r="V1305" s="57" t="n">
        <x:v>-0.9772067079776552</x:v>
      </x:c>
      <x:c r="W1305"/>
      <x:c r="X1305"/>
      <x:c r="Y1305" s="38" t="n">
        <x:v>0.6409090909090909</x:v>
      </x:c>
      <x:c r="Z1305" s="38" t="n">
        <x:v>0.7216980722373881</x:v>
      </x:c>
      <x:c r="AA1305" t="str">
        <x:v>NON_POSITIVE_ENTERPRISE_VALUE|NON_POSITIVE_TERMINAL_FCF</x:v>
      </x:c>
    </x:row>
    <x:row r="1306">
      <x:c r="A1306" s="54" t="n">
        <x:v>44651</x:v>
      </x:c>
      <x:c r="B1306" t="n">
        <x:v>44651.624999988424</x:v>
      </x:c>
      <x:c r="C1306" t="str">
        <x:v>310210</x:v>
      </x:c>
      <x:c r="D1306" t="str">
        <x:v>보로노이</x:v>
      </x:c>
      <x:c r="E1306" t="str">
        <x:v>KOSDAQ</x:v>
      </x:c>
      <x:c r="F1306" t="str">
        <x:v>LARGE</x:v>
      </x:c>
      <x:c r="G1306" t="str">
        <x:v>NOT_LISTED_OR_NO_PRICE</x:v>
      </x:c>
      <x:c r="H1306"/>
      <x:c r="I1306" s="54"/>
      <x:c r="J1306" s="55"/>
      <x:c r="K1306" s="55"/>
      <x:c r="L1306" s="55"/>
      <x:c r="M1306"/>
      <x:c r="N1306"/>
      <x:c r="O1306" s="54"/>
      <x:c r="P1306"/>
      <x:c r="Q1306"/>
      <x:c r="R1306"/>
      <x:c r="S1306"/>
      <x:c r="T1306"/>
      <x:c r="U1306" s="57"/>
      <x:c r="V1306" s="57"/>
      <x:c r="W1306"/>
      <x:c r="X1306"/>
      <x:c r="Y1306" s="38"/>
      <x:c r="Z1306" s="38"/>
      <x:c r="AA1306"/>
    </x:row>
    <x:row r="1307">
      <x:c r="A1307" s="54" t="n">
        <x:v>44651</x:v>
      </x:c>
      <x:c r="B1307" t="n">
        <x:v>44651.624999988424</x:v>
      </x:c>
      <x:c r="C1307" t="str">
        <x:v>195940</x:v>
      </x:c>
      <x:c r="D1307" t="str">
        <x:v>HK이노엔</x:v>
      </x:c>
      <x:c r="E1307" t="str">
        <x:v>KOSDAQ</x:v>
      </x:c>
      <x:c r="F1307" t="str">
        <x:v>LARGE</x:v>
      </x:c>
      <x:c r="G1307" t="str">
        <x:v>ELIGIBLE</x:v>
      </x:c>
      <x:c r="H1307"/>
      <x:c r="I1307" s="54" t="n">
        <x:v>44651</x:v>
      </x:c>
      <x:c r="J1307" s="55" t="n">
        <x:v>45000</x:v>
      </x:c>
      <x:c r="K1307" s="55" t="n">
        <x:v>1300702455000</x:v>
      </x:c>
      <x:c r="L1307" s="55" t="n">
        <x:v>28904499</x:v>
      </x:c>
      <x:c r="M1307" t="str">
        <x:v>20220317000877</x:v>
      </x:c>
      <x:c r="N1307" t="n">
        <x:v>44637.624999988424</x:v>
      </x:c>
      <x:c r="O1307" s="54" t="n">
        <x:v>44561</x:v>
      </x:c>
      <x:c r="P1307" t="str">
        <x:v>False</x:v>
      </x:c>
      <x:c r="Q1307" t="str">
        <x:v>b6d1bbf87d4fa02415fe4deb61455b58001d9c504e850a2bec8d1c783ae6d1aa</x:v>
      </x:c>
      <x:c r="R1307" t="str">
        <x:v>74da26fae4176c1daa7df7aff6286f12100338600444927a1c8078663d316480</x:v>
      </x:c>
      <x:c r="S1307" t="n">
        <x:v>6</x:v>
      </x:c>
      <x:c r="T1307" t="str">
        <x:v>2021-12-31</x:v>
      </x:c>
      <x:c r="U1307" s="57" t="n">
        <x:v>7082.6390942903845</x:v>
      </x:c>
      <x:c r="V1307" s="57" t="n">
        <x:v>-0.8426080201268803</x:v>
      </x:c>
      <x:c r="W1307" t="n">
        <x:v>58</x:v>
      </x:c>
      <x:c r="X1307" t="n">
        <x:v>5</x:v>
      </x:c>
      <x:c r="Y1307" s="38" t="n">
        <x:v>0.6409090909090909</x:v>
      </x:c>
      <x:c r="Z1307" s="38" t="n">
        <x:v>0.7013426708992583</x:v>
      </x:c>
      <x:c r="AA1307"/>
    </x:row>
    <x:row r="1308">
      <x:c r="A1308" s="54" t="n">
        <x:v>44651</x:v>
      </x:c>
      <x:c r="B1308" t="n">
        <x:v>44651.624999988424</x:v>
      </x:c>
      <x:c r="C1308" t="str">
        <x:v>039200</x:v>
      </x:c>
      <x:c r="D1308" t="str">
        <x:v>오스코텍</x:v>
      </x:c>
      <x:c r="E1308" t="str">
        <x:v>KOSDAQ</x:v>
      </x:c>
      <x:c r="F1308" t="str">
        <x:v>LARGE</x:v>
      </x:c>
      <x:c r="G1308" t="str">
        <x:v>FINANCIAL_DISCONTINUITY</x:v>
      </x:c>
      <x:c r="H1308" t="str">
        <x:v>LATEST_REVENUE_RATIO_OUTSIDE_0.1_TO_10:0.08977831891691337528407323719</x:v>
      </x:c>
      <x:c r="I1308" s="54" t="n">
        <x:v>44651</x:v>
      </x:c>
      <x:c r="J1308" s="55" t="n">
        <x:v>28050</x:v>
      </x:c>
      <x:c r="K1308" s="55" t="n">
        <x:v>847293026250</x:v>
      </x:c>
      <x:c r="L1308" s="55" t="n">
        <x:v>30206525</x:v>
      </x:c>
      <x:c r="M1308" t="str">
        <x:v>20220314001077</x:v>
      </x:c>
      <x:c r="N1308" t="n">
        <x:v>44634.624999988424</x:v>
      </x:c>
      <x:c r="O1308" s="54" t="n">
        <x:v>44561</x:v>
      </x:c>
      <x:c r="P1308" t="str">
        <x:v>False</x:v>
      </x:c>
      <x:c r="Q1308" t="str">
        <x:v>eac12db12722c707f5c12bbd7321ecfc067e71a955c358625551ebc702c8ab53</x:v>
      </x:c>
      <x:c r="R1308" t="str">
        <x:v>4925d1e99e161c68b6b8473ea2462bd2f278cc4a944b997bd93488d0893678fb</x:v>
      </x:c>
      <x:c r="S1308" t="n">
        <x:v>6</x:v>
      </x:c>
      <x:c r="T1308" t="str">
        <x:v>2018-12-31|2019-12-31|2020-12-31|2021-12-31</x:v>
      </x:c>
      <x:c r="U1308" s="57"/>
      <x:c r="V1308" s="57"/>
      <x:c r="W1308"/>
      <x:c r="X1308"/>
      <x:c r="Y1308" s="38"/>
      <x:c r="Z1308" s="38"/>
      <x:c r="AA1308"/>
    </x:row>
    <x:row r="1309">
      <x:c r="A1309" s="54" t="n">
        <x:v>44651</x:v>
      </x:c>
      <x:c r="B1309" t="n">
        <x:v>44651.624999988424</x:v>
      </x:c>
      <x:c r="C1309" t="str">
        <x:v>084370</x:v>
      </x:c>
      <x:c r="D1309" t="str">
        <x:v>유진테크</x:v>
      </x:c>
      <x:c r="E1309" t="str">
        <x:v>KOSDAQ</x:v>
      </x:c>
      <x:c r="F1309" t="str">
        <x:v>LARGE</x:v>
      </x:c>
      <x:c r="G1309" t="str">
        <x:v>ELIGIBLE</x:v>
      </x:c>
      <x:c r="H1309"/>
      <x:c r="I1309" s="54" t="n">
        <x:v>44651</x:v>
      </x:c>
      <x:c r="J1309" s="55" t="n">
        <x:v>48400</x:v>
      </x:c>
      <x:c r="K1309" s="55" t="n">
        <x:v>1109136432800</x:v>
      </x:c>
      <x:c r="L1309" s="55" t="n">
        <x:v>22916042</x:v>
      </x:c>
      <x:c r="M1309" t="str">
        <x:v>20220315001157</x:v>
      </x:c>
      <x:c r="N1309" t="n">
        <x:v>44635.624999988424</x:v>
      </x:c>
      <x:c r="O1309" s="54" t="n">
        <x:v>44561</x:v>
      </x:c>
      <x:c r="P1309" t="str">
        <x:v>False</x:v>
      </x:c>
      <x:c r="Q1309" t="str">
        <x:v>ba66255b29a640ce08b39f96987638ea7e9439520d8e3e11d923a92aadaba95e</x:v>
      </x:c>
      <x:c r="R1309" t="str">
        <x:v>21d7e5b6106b5291425e4efc78d2215f7384d23adcfbd979041b7b38d44bdb9a</x:v>
      </x:c>
      <x:c r="S1309" t="n">
        <x:v>5</x:v>
      </x:c>
      <x:c r="T1309" t="str">
        <x:v>2018-12-31|2019-12-31|2020-12-31|2021-12-31</x:v>
      </x:c>
      <x:c r="U1309" s="57" t="n">
        <x:v>17562.323572803878</x:v>
      </x:c>
      <x:c r="V1309" s="57" t="n">
        <x:v>-0.6371420749420686</x:v>
      </x:c>
      <x:c r="W1309" t="n">
        <x:v>46</x:v>
      </x:c>
      <x:c r="X1309" t="n">
        <x:v>4</x:v>
      </x:c>
      <x:c r="Y1309" s="38" t="n">
        <x:v>0.6409090909090909</x:v>
      </x:c>
      <x:c r="Z1309" s="38" t="n">
        <x:v>0.6142442229678472</x:v>
      </x:c>
      <x:c r="AA1309"/>
    </x:row>
    <x:row r="1310">
      <x:c r="A1310" s="54" t="n">
        <x:v>44651</x:v>
      </x:c>
      <x:c r="B1310" t="n">
        <x:v>44651.624999988424</x:v>
      </x:c>
      <x:c r="C1310" t="str">
        <x:v>160190</x:v>
      </x:c>
      <x:c r="D1310" t="str">
        <x:v>하이젠알앤엠</x:v>
      </x:c>
      <x:c r="E1310" t="str">
        <x:v>KOSDAQ</x:v>
      </x:c>
      <x:c r="F1310" t="str">
        <x:v>LARGE</x:v>
      </x:c>
      <x:c r="G1310" t="str">
        <x:v>NOT_LISTED_OR_NO_PRICE</x:v>
      </x:c>
      <x:c r="H1310"/>
      <x:c r="I1310" s="54"/>
      <x:c r="J1310" s="55"/>
      <x:c r="K1310" s="55"/>
      <x:c r="L1310" s="55"/>
      <x:c r="M1310"/>
      <x:c r="N1310"/>
      <x:c r="O1310" s="54"/>
      <x:c r="P1310"/>
      <x:c r="Q1310"/>
      <x:c r="R1310"/>
      <x:c r="S1310"/>
      <x:c r="T1310"/>
      <x:c r="U1310" s="57"/>
      <x:c r="V1310" s="57"/>
      <x:c r="W1310"/>
      <x:c r="X1310"/>
      <x:c r="Y1310" s="38"/>
      <x:c r="Z1310" s="38"/>
      <x:c r="AA1310"/>
    </x:row>
    <x:row r="1311">
      <x:c r="A1311" s="54" t="n">
        <x:v>44651</x:v>
      </x:c>
      <x:c r="B1311" t="n">
        <x:v>44651.624999988424</x:v>
      </x:c>
      <x:c r="C1311" t="str">
        <x:v>281740</x:v>
      </x:c>
      <x:c r="D1311" t="str">
        <x:v>레이크머티리얼즈</x:v>
      </x:c>
      <x:c r="E1311" t="str">
        <x:v>KOSDAQ</x:v>
      </x:c>
      <x:c r="F1311" t="str">
        <x:v>LARGE</x:v>
      </x:c>
      <x:c r="G1311" t="str">
        <x:v>ELIGIBLE</x:v>
      </x:c>
      <x:c r="H1311"/>
      <x:c r="I1311" s="54" t="n">
        <x:v>44651</x:v>
      </x:c>
      <x:c r="J1311" s="55" t="n">
        <x:v>4790</x:v>
      </x:c>
      <x:c r="K1311" s="55" t="n">
        <x:v>314849324920</x:v>
      </x:c>
      <x:c r="L1311" s="55" t="n">
        <x:v>65730548</x:v>
      </x:c>
      <x:c r="M1311" t="str">
        <x:v>20220328000299</x:v>
      </x:c>
      <x:c r="N1311" t="n">
        <x:v>44648.624999988424</x:v>
      </x:c>
      <x:c r="O1311" s="54" t="n">
        <x:v>44561</x:v>
      </x:c>
      <x:c r="P1311" t="str">
        <x:v>True</x:v>
      </x:c>
      <x:c r="Q1311" t="str">
        <x:v>6cf027b604a41b80d074658e23b64178171cc96f7f73135ed52966f74c1c7c2a</x:v>
      </x:c>
      <x:c r="R1311" t="str">
        <x:v>bb80be86695d7b0a381afeb5fca37f8a53662525e7f1f2df5166e6a9df582ef9</x:v>
      </x:c>
      <x:c r="S1311" t="n">
        <x:v>6</x:v>
      </x:c>
      <x:c r="T1311" t="str">
        <x:v>2020-12-31|2021-12-31</x:v>
      </x:c>
      <x:c r="U1311" s="57" t="n">
        <x:v>1701.6250919791116</x:v>
      </x:c>
      <x:c r="V1311" s="57" t="n">
        <x:v>-0.6447546780836928</x:v>
      </x:c>
      <x:c r="W1311" t="n">
        <x:v>47</x:v>
      </x:c>
      <x:c r="X1311" t="n">
        <x:v>4</x:v>
      </x:c>
      <x:c r="Y1311" s="38" t="n">
        <x:v>0.6409090909090909</x:v>
      </x:c>
      <x:c r="Z1311" s="38" t="n">
        <x:v>0.6793926263967092</x:v>
      </x:c>
      <x:c r="AA1311"/>
    </x:row>
    <x:row r="1312">
      <x:c r="A1312" s="54" t="n">
        <x:v>44651</x:v>
      </x:c>
      <x:c r="B1312" t="n">
        <x:v>44651.624999988424</x:v>
      </x:c>
      <x:c r="C1312" t="str">
        <x:v>078130</x:v>
      </x:c>
      <x:c r="D1312" t="str">
        <x:v>국일제지</x:v>
      </x:c>
      <x:c r="E1312" t="str">
        <x:v>KOSDAQ</x:v>
      </x:c>
      <x:c r="F1312" t="str">
        <x:v>LARGE</x:v>
      </x:c>
      <x:c r="G1312" t="str">
        <x:v>DCF_SCREENING_EXCLUSION</x:v>
      </x:c>
      <x:c r="H1312" t="str">
        <x:v>NON_POSITIVE_ENTERPRISE_VALUE|NON_POSITIVE_EQUITY_VALUE|UNRELIABLE_TERMINAL_VALUE_SHARE</x:v>
      </x:c>
      <x:c r="I1312" s="54" t="n">
        <x:v>44651</x:v>
      </x:c>
      <x:c r="J1312" s="55" t="n">
        <x:v>3580</x:v>
      </x:c>
      <x:c r="K1312" s="55" t="n">
        <x:v>456870553340</x:v>
      </x:c>
      <x:c r="L1312" s="55" t="n">
        <x:v>127617473</x:v>
      </x:c>
      <x:c r="M1312" t="str">
        <x:v>20220321001299</x:v>
      </x:c>
      <x:c r="N1312" t="n">
        <x:v>44641.624999988424</x:v>
      </x:c>
      <x:c r="O1312" s="54" t="n">
        <x:v>44561</x:v>
      </x:c>
      <x:c r="P1312" t="str">
        <x:v>False</x:v>
      </x:c>
      <x:c r="Q1312" t="str">
        <x:v>eba50d65089a3c2cb1033c9b240144d8cc7c44765d3689bd26b67f91551b7f96</x:v>
      </x:c>
      <x:c r="R1312" t="str">
        <x:v>90b22a7ab23a3c05c33a45bf126a9351b411446cc29cb893c1c47cd23432e601</x:v>
      </x:c>
      <x:c r="S1312" t="n">
        <x:v>7</x:v>
      </x:c>
      <x:c r="T1312" t="str">
        <x:v>2018-12-31|2019-12-31|2020-12-31|2021-12-31</x:v>
      </x:c>
      <x:c r="U1312" s="57" t="n">
        <x:v>-293.18932146531364</x:v>
      </x:c>
      <x:c r="V1312" s="57" t="n">
        <x:v>-1.081896458509864</x:v>
      </x:c>
      <x:c r="W1312"/>
      <x:c r="X1312"/>
      <x:c r="Y1312" s="38" t="n">
        <x:v>0.6409090909090909</x:v>
      </x:c>
      <x:c r="Z1312" s="38" t="n">
        <x:v>-22.090761592354845</x:v>
      </x:c>
      <x:c r="AA1312" t="str">
        <x:v>NON_POSITIVE_ENTERPRISE_VALUE|NON_POSITIVE_EQUITY_VALUE|UNRELIABLE_TERMINAL_VALUE_SHARE</x:v>
      </x:c>
    </x:row>
    <x:row r="1313">
      <x:c r="A1313" s="54" t="n">
        <x:v>44651</x:v>
      </x:c>
      <x:c r="B1313" t="n">
        <x:v>44651.624999988424</x:v>
      </x:c>
      <x:c r="C1313" t="str">
        <x:v>131970</x:v>
      </x:c>
      <x:c r="D1313" t="str">
        <x:v>두산테스나</x:v>
      </x:c>
      <x:c r="E1313" t="str">
        <x:v>KOSDAQ</x:v>
      </x:c>
      <x:c r="F1313" t="str">
        <x:v>LARGE</x:v>
      </x:c>
      <x:c r="G1313" t="str">
        <x:v>ELIGIBLE</x:v>
      </x:c>
      <x:c r="H1313"/>
      <x:c r="I1313" s="54" t="n">
        <x:v>44651</x:v>
      </x:c>
      <x:c r="J1313" s="55" t="n">
        <x:v>42650</x:v>
      </x:c>
      <x:c r="K1313" s="55" t="n">
        <x:v>629495959050</x:v>
      </x:c>
      <x:c r="L1313" s="55" t="n">
        <x:v>14759577</x:v>
      </x:c>
      <x:c r="M1313" t="str">
        <x:v>20220321001055</x:v>
      </x:c>
      <x:c r="N1313" t="n">
        <x:v>44641.624999988424</x:v>
      </x:c>
      <x:c r="O1313" s="54" t="n">
        <x:v>44561</x:v>
      </x:c>
      <x:c r="P1313" t="str">
        <x:v>False</x:v>
      </x:c>
      <x:c r="Q1313" t="str">
        <x:v>97dab3f189e66aef81c095e114dcd880ce69b87540e1cd7975c5252d852b3239</x:v>
      </x:c>
      <x:c r="R1313" t="str">
        <x:v>3204cdfa88c0c4b81fa1a8f8361ff1720e693e2eae8b99cc60b74fd5cb4cb37c</x:v>
      </x:c>
      <x:c r="S1313" t="n">
        <x:v>5</x:v>
      </x:c>
      <x:c r="T1313" t="str">
        <x:v>2018-12-31|2019-12-31|2020-12-31|2021-12-31</x:v>
      </x:c>
      <x:c r="U1313" s="57" t="n">
        <x:v>34782.1914507577</x:v>
      </x:c>
      <x:c r="V1313" s="57" t="n">
        <x:v>-0.18447382295996012</x:v>
      </x:c>
      <x:c r="W1313" t="n">
        <x:v>22</x:v>
      </x:c>
      <x:c r="X1313" t="n">
        <x:v>2</x:v>
      </x:c>
      <x:c r="Y1313" s="38" t="n">
        <x:v>0.6409090909090909</x:v>
      </x:c>
      <x:c r="Z1313" s="38" t="n">
        <x:v>0.7121290266414918</x:v>
      </x:c>
      <x:c r="AA1313"/>
    </x:row>
    <x:row r="1314">
      <x:c r="A1314" s="54" t="n">
        <x:v>44651</x:v>
      </x:c>
      <x:c r="B1314" t="n">
        <x:v>44651.624999988424</x:v>
      </x:c>
      <x:c r="C1314" t="str">
        <x:v>025320</x:v>
      </x:c>
      <x:c r="D1314" t="str">
        <x:v>시노펙스</x:v>
      </x:c>
      <x:c r="E1314" t="str">
        <x:v>KOSDAQ</x:v>
      </x:c>
      <x:c r="F1314" t="str">
        <x:v>LARGE</x:v>
      </x:c>
      <x:c r="G1314" t="str">
        <x:v>DCF_SCREENING_EXCLUSION</x:v>
      </x:c>
      <x:c r="H1314" t="str">
        <x:v>NON_POSITIVE_ENTERPRISE_VALUE|NON_POSITIVE_EQUITY_VALUE|NON_POSITIVE_TERMINAL_FCF</x:v>
      </x:c>
      <x:c r="I1314" s="54" t="n">
        <x:v>44651</x:v>
      </x:c>
      <x:c r="J1314" s="55" t="n">
        <x:v>2805</x:v>
      </x:c>
      <x:c r="K1314" s="55" t="n">
        <x:v>205446497190</x:v>
      </x:c>
      <x:c r="L1314" s="55" t="n">
        <x:v>73242958</x:v>
      </x:c>
      <x:c r="M1314" t="str">
        <x:v>20220318000396</x:v>
      </x:c>
      <x:c r="N1314" t="n">
        <x:v>44638.624999988424</x:v>
      </x:c>
      <x:c r="O1314" s="54" t="n">
        <x:v>44561</x:v>
      </x:c>
      <x:c r="P1314" t="str">
        <x:v>False</x:v>
      </x:c>
      <x:c r="Q1314" t="str">
        <x:v>964f25029a64df18763da066afb2fe972836cab3bbc80567f2535cf6d4bf6a48</x:v>
      </x:c>
      <x:c r="R1314" t="str">
        <x:v>bd2a792cfe84e3fe25c53f7de5d27e0763a735d587d0f47b19d92bdcd029a344</x:v>
      </x:c>
      <x:c r="S1314" t="n">
        <x:v>6</x:v>
      </x:c>
      <x:c r="T1314" t="str">
        <x:v>2018-12-31|2019-12-31|2020-12-31|2021-12-31</x:v>
      </x:c>
      <x:c r="U1314" s="57" t="n">
        <x:v>-1531.7442933407262</x:v>
      </x:c>
      <x:c r="V1314" s="57" t="n">
        <x:v>-1.546076396912915</x:v>
      </x:c>
      <x:c r="W1314"/>
      <x:c r="X1314"/>
      <x:c r="Y1314" s="38" t="n">
        <x:v>0.6409090909090909</x:v>
      </x:c>
      <x:c r="Z1314" s="38" t="n">
        <x:v>0.7059904894392338</x:v>
      </x:c>
      <x:c r="AA1314" t="str">
        <x:v>NON_POSITIVE_ENTERPRISE_VALUE|NON_POSITIVE_EQUITY_VALUE|NON_POSITIVE_TERMINAL_FCF</x:v>
      </x:c>
    </x:row>
    <x:row r="1315">
      <x:c r="A1315" s="54" t="n">
        <x:v>44651</x:v>
      </x:c>
      <x:c r="B1315" t="n">
        <x:v>44651.624999988424</x:v>
      </x:c>
      <x:c r="C1315" t="str">
        <x:v>347700</x:v>
      </x:c>
      <x:c r="D1315" t="str">
        <x:v>스피어</x:v>
      </x:c>
      <x:c r="E1315" t="str">
        <x:v>KOSDAQ</x:v>
      </x:c>
      <x:c r="F1315" t="str">
        <x:v>LARGE</x:v>
      </x:c>
      <x:c r="G1315" t="str">
        <x:v>DCF_SCREENING_EXCLUSION</x:v>
      </x:c>
      <x:c r="H1315" t="str">
        <x:v>NON_POSITIVE_ENTERPRISE_VALUE|NON_POSITIVE_TERMINAL_FCF</x:v>
      </x:c>
      <x:c r="I1315" s="54" t="n">
        <x:v>44651</x:v>
      </x:c>
      <x:c r="J1315" s="55" t="n">
        <x:v>8300</x:v>
      </x:c>
      <x:c r="K1315" s="55" t="n">
        <x:v>83994091000</x:v>
      </x:c>
      <x:c r="L1315" s="55" t="n">
        <x:v>10119770</x:v>
      </x:c>
      <x:c r="M1315" t="str">
        <x:v>20220323000809</x:v>
      </x:c>
      <x:c r="N1315" t="n">
        <x:v>44643.624999988424</x:v>
      </x:c>
      <x:c r="O1315" s="54" t="n">
        <x:v>44561</x:v>
      </x:c>
      <x:c r="P1315" t="str">
        <x:v>False</x:v>
      </x:c>
      <x:c r="Q1315" t="str">
        <x:v>f7f3af7a28d62cd0586f5ef87d8ce77a1131375c4801e17cc5605778fa4bef58</x:v>
      </x:c>
      <x:c r="R1315" t="str">
        <x:v>8dac81ca8df4f2c77dc27b30369e4da6bdb6a1c1ff8d5d11d7b6d89f7609ffaa</x:v>
      </x:c>
      <x:c r="S1315" t="n">
        <x:v>6</x:v>
      </x:c>
      <x:c r="T1315" t="str">
        <x:v>2020-12-31|2021-12-31</x:v>
      </x:c>
      <x:c r="U1315" s="57" t="n">
        <x:v>253.19966982448943</x:v>
      </x:c>
      <x:c r="V1315" s="57" t="n">
        <x:v>-0.9694940156837965</x:v>
      </x:c>
      <x:c r="W1315"/>
      <x:c r="X1315"/>
      <x:c r="Y1315" s="38" t="n">
        <x:v>0.6409090909090909</x:v>
      </x:c>
      <x:c r="Z1315" s="38" t="n">
        <x:v>0.7149594422554854</x:v>
      </x:c>
      <x:c r="AA1315" t="str">
        <x:v>NON_POSITIVE_ENTERPRISE_VALUE|NON_POSITIVE_TERMINAL_FCF</x:v>
      </x:c>
    </x:row>
    <x:row r="1316">
      <x:c r="A1316" s="54" t="n">
        <x:v>44651</x:v>
      </x:c>
      <x:c r="B1316" t="n">
        <x:v>44651.624999988424</x:v>
      </x:c>
      <x:c r="C1316" t="str">
        <x:v>119850</x:v>
      </x:c>
      <x:c r="D1316" t="str">
        <x:v>지엔씨에너지</x:v>
      </x:c>
      <x:c r="E1316" t="str">
        <x:v>KOSDAQ</x:v>
      </x:c>
      <x:c r="F1316" t="str">
        <x:v>LARGE</x:v>
      </x:c>
      <x:c r="G1316" t="str">
        <x:v>ELIGIBLE</x:v>
      </x:c>
      <x:c r="H1316"/>
      <x:c r="I1316" s="54" t="n">
        <x:v>44651</x:v>
      </x:c>
      <x:c r="J1316" s="55" t="n">
        <x:v>4755</x:v>
      </x:c>
      <x:c r="K1316" s="55" t="n">
        <x:v>78214562295</x:v>
      </x:c>
      <x:c r="L1316" s="55" t="n">
        <x:v>16448909</x:v>
      </x:c>
      <x:c r="M1316" t="str">
        <x:v>20220318001122</x:v>
      </x:c>
      <x:c r="N1316" t="n">
        <x:v>44638.624999988424</x:v>
      </x:c>
      <x:c r="O1316" s="54" t="n">
        <x:v>44561</x:v>
      </x:c>
      <x:c r="P1316" t="str">
        <x:v>False</x:v>
      </x:c>
      <x:c r="Q1316" t="str">
        <x:v>ae73d3d4b2895b6be9878c551cbd20c4f4233ec1da8abc62cfd96d371b094769</x:v>
      </x:c>
      <x:c r="R1316" t="str">
        <x:v>8c951c3d87768f8fd968f2cc3671b45872eaa12e9d2ef96931743473e6738e02</x:v>
      </x:c>
      <x:c r="S1316" t="n">
        <x:v>6</x:v>
      </x:c>
      <x:c r="T1316" t="str">
        <x:v>2018-12-31|2019-12-31|2020-12-31|2021-12-31</x:v>
      </x:c>
      <x:c r="U1316" s="57" t="n">
        <x:v>4357.199500773308</x:v>
      </x:c>
      <x:c r="V1316" s="57" t="n">
        <x:v>-0.0836594109835316</x:v>
      </x:c>
      <x:c r="W1316" t="n">
        <x:v>20</x:v>
      </x:c>
      <x:c r="X1316" t="n">
        <x:v>2</x:v>
      </x:c>
      <x:c r="Y1316" s="38" t="n">
        <x:v>0.6409090909090909</x:v>
      </x:c>
      <x:c r="Z1316" s="38" t="n">
        <x:v>0.7218340444865093</x:v>
      </x:c>
      <x:c r="AA1316"/>
    </x:row>
    <x:row r="1317">
      <x:c r="A1317" s="54" t="n">
        <x:v>44651</x:v>
      </x:c>
      <x:c r="B1317" t="n">
        <x:v>44651.624999988424</x:v>
      </x:c>
      <x:c r="C1317" t="str">
        <x:v>084110</x:v>
      </x:c>
      <x:c r="D1317" t="str">
        <x:v>휴온스글로벌</x:v>
      </x:c>
      <x:c r="E1317" t="str">
        <x:v>KOSDAQ</x:v>
      </x:c>
      <x:c r="F1317" t="str">
        <x:v>LARGE</x:v>
      </x:c>
      <x:c r="G1317" t="str">
        <x:v>ELIGIBLE</x:v>
      </x:c>
      <x:c r="H1317"/>
      <x:c r="I1317" s="54" t="n">
        <x:v>44651</x:v>
      </x:c>
      <x:c r="J1317" s="55" t="n">
        <x:v>30850</x:v>
      </x:c>
      <x:c r="K1317" s="55" t="n">
        <x:v>371134415650</x:v>
      </x:c>
      <x:c r="L1317" s="55" t="n">
        <x:v>12030289</x:v>
      </x:c>
      <x:c r="M1317" t="str">
        <x:v>20220323001316</x:v>
      </x:c>
      <x:c r="N1317" t="n">
        <x:v>44643.624999988424</x:v>
      </x:c>
      <x:c r="O1317" s="54" t="n">
        <x:v>44561</x:v>
      </x:c>
      <x:c r="P1317" t="str">
        <x:v>False</x:v>
      </x:c>
      <x:c r="Q1317" t="str">
        <x:v>61a4106ca1436439b115b45b309307d670f88550d1c4e65f1054441ff8bd1773</x:v>
      </x:c>
      <x:c r="R1317" t="str">
        <x:v>6c138f9c4fafd5af82b56441fab7e4bb491dd9e4aa5589ba5dbc716b961c2ab1</x:v>
      </x:c>
      <x:c r="S1317" t="n">
        <x:v>6</x:v>
      </x:c>
      <x:c r="T1317" t="str">
        <x:v>2018-12-31|2019-12-31|2020-12-31|2021-12-31</x:v>
      </x:c>
      <x:c r="U1317" s="57" t="n">
        <x:v>65415.10205199787</x:v>
      </x:c>
      <x:c r="V1317" s="57" t="n">
        <x:v>1.1204247018475808</x:v>
      </x:c>
      <x:c r="W1317" t="n">
        <x:v>6</x:v>
      </x:c>
      <x:c r="X1317" t="n">
        <x:v>1</x:v>
      </x:c>
      <x:c r="Y1317" s="38" t="n">
        <x:v>0.6409090909090909</x:v>
      </x:c>
      <x:c r="Z1317" s="38" t="n">
        <x:v>0.7784114693524872</x:v>
      </x:c>
      <x:c r="AA1317"/>
    </x:row>
    <x:row r="1318">
      <x:c r="A1318" s="54" t="n">
        <x:v>44651</x:v>
      </x:c>
      <x:c r="B1318" t="n">
        <x:v>44651.624999988424</x:v>
      </x:c>
      <x:c r="C1318" t="str">
        <x:v>206650</x:v>
      </x:c>
      <x:c r="D1318" t="str">
        <x:v>유바이오로직스</x:v>
      </x:c>
      <x:c r="E1318" t="str">
        <x:v>KOSDAQ</x:v>
      </x:c>
      <x:c r="F1318" t="str">
        <x:v>LARGE</x:v>
      </x:c>
      <x:c r="G1318" t="str">
        <x:v>DCF_SCREENING_EXCLUSION</x:v>
      </x:c>
      <x:c r="H1318" t="str">
        <x:v>NON_POSITIVE_ENTERPRISE_VALUE|NON_POSITIVE_EQUITY_VALUE|NON_POSITIVE_TERMINAL_FCF</x:v>
      </x:c>
      <x:c r="I1318" s="54" t="n">
        <x:v>44651</x:v>
      </x:c>
      <x:c r="J1318" s="55" t="n">
        <x:v>24700</x:v>
      </x:c>
      <x:c r="K1318" s="55" t="n">
        <x:v>896284132900</x:v>
      </x:c>
      <x:c r="L1318" s="55" t="n">
        <x:v>36286807</x:v>
      </x:c>
      <x:c r="M1318" t="str">
        <x:v>20220321001422</x:v>
      </x:c>
      <x:c r="N1318" t="n">
        <x:v>44641.624999988424</x:v>
      </x:c>
      <x:c r="O1318" s="54" t="n">
        <x:v>44561</x:v>
      </x:c>
      <x:c r="P1318" t="str">
        <x:v>False</x:v>
      </x:c>
      <x:c r="Q1318" t="str">
        <x:v>8d3c86f36f05bae65484262e1b74a0fa313abb7a6c116331476fa851286ef5c7</x:v>
      </x:c>
      <x:c r="R1318" t="str">
        <x:v>564bf2b7d7951fd138746a041006be1e2d10426a4995177d1a5cf063ce57effe</x:v>
      </x:c>
      <x:c r="S1318" t="n">
        <x:v>5</x:v>
      </x:c>
      <x:c r="T1318" t="str">
        <x:v>2018-12-31|2019-12-31|2020-12-31|2021-12-31</x:v>
      </x:c>
      <x:c r="U1318" s="57" t="n">
        <x:v>-689.7108421994742</x:v>
      </x:c>
      <x:c r="V1318" s="57" t="n">
        <x:v>-1.0279235158785212</x:v>
      </x:c>
      <x:c r="W1318"/>
      <x:c r="X1318"/>
      <x:c r="Y1318" s="38" t="n">
        <x:v>0.6409090909090909</x:v>
      </x:c>
      <x:c r="Z1318" s="38" t="n">
        <x:v>0.09988018003939338</x:v>
      </x:c>
      <x:c r="AA1318" t="str">
        <x:v>NON_POSITIVE_ENTERPRISE_VALUE|NON_POSITIVE_EQUITY_VALUE|NON_POSITIVE_TERMINAL_FCF</x:v>
      </x:c>
    </x:row>
    <x:row r="1319">
      <x:c r="A1319" s="54" t="n">
        <x:v>44651</x:v>
      </x:c>
      <x:c r="B1319" t="n">
        <x:v>44651.624999988424</x:v>
      </x:c>
      <x:c r="C1319" t="str">
        <x:v>365340</x:v>
      </x:c>
      <x:c r="D1319" t="str">
        <x:v>성일하이텍</x:v>
      </x:c>
      <x:c r="E1319" t="str">
        <x:v>KOSDAQ</x:v>
      </x:c>
      <x:c r="F1319" t="str">
        <x:v>LARGE</x:v>
      </x:c>
      <x:c r="G1319" t="str">
        <x:v>NOT_LISTED_OR_NO_PRICE</x:v>
      </x:c>
      <x:c r="H1319"/>
      <x:c r="I1319" s="54"/>
      <x:c r="J1319" s="55"/>
      <x:c r="K1319" s="55"/>
      <x:c r="L1319" s="55"/>
      <x:c r="M1319"/>
      <x:c r="N1319"/>
      <x:c r="O1319" s="54"/>
      <x:c r="P1319"/>
      <x:c r="Q1319"/>
      <x:c r="R1319"/>
      <x:c r="S1319"/>
      <x:c r="T1319"/>
      <x:c r="U1319" s="57"/>
      <x:c r="V1319" s="57"/>
      <x:c r="W1319"/>
      <x:c r="X1319"/>
      <x:c r="Y1319" s="38"/>
      <x:c r="Z1319" s="38"/>
      <x:c r="AA1319"/>
    </x:row>
    <x:row r="1320">
      <x:c r="A1320" s="54" t="n">
        <x:v>44651</x:v>
      </x:c>
      <x:c r="B1320" t="n">
        <x:v>44651.624999988424</x:v>
      </x:c>
      <x:c r="C1320" t="str">
        <x:v>030530</x:v>
      </x:c>
      <x:c r="D1320" t="str">
        <x:v>원익홀딩스</x:v>
      </x:c>
      <x:c r="E1320" t="str">
        <x:v>KOSDAQ</x:v>
      </x:c>
      <x:c r="F1320" t="str">
        <x:v>LARGE</x:v>
      </x:c>
      <x:c r="G1320" t="str">
        <x:v>EXCLUDED_ARCHETYPE</x:v>
      </x:c>
      <x:c r="H1320" t="str">
        <x:v>FCFF_NOT_COMPARABLE_FOR_FINANCE_OR_HOLDING_HINT</x:v>
      </x:c>
      <x:c r="I1320" s="54"/>
      <x:c r="J1320" s="55"/>
      <x:c r="K1320" s="55"/>
      <x:c r="L1320" s="55"/>
      <x:c r="M1320"/>
      <x:c r="N1320"/>
      <x:c r="O1320" s="54"/>
      <x:c r="P1320"/>
      <x:c r="Q1320"/>
      <x:c r="R1320"/>
      <x:c r="S1320"/>
      <x:c r="T1320"/>
      <x:c r="U1320" s="57"/>
      <x:c r="V1320" s="57"/>
      <x:c r="W1320"/>
      <x:c r="X1320"/>
      <x:c r="Y1320" s="38"/>
      <x:c r="Z1320" s="38"/>
      <x:c r="AA1320"/>
    </x:row>
    <x:row r="1321">
      <x:c r="A1321" s="54" t="n">
        <x:v>44651</x:v>
      </x:c>
      <x:c r="B1321" t="n">
        <x:v>44651.624999988424</x:v>
      </x:c>
      <x:c r="C1321" t="str">
        <x:v>220100</x:v>
      </x:c>
      <x:c r="D1321" t="str">
        <x:v>퓨쳐켐</x:v>
      </x:c>
      <x:c r="E1321" t="str">
        <x:v>KOSDAQ</x:v>
      </x:c>
      <x:c r="F1321" t="str">
        <x:v>LARGE</x:v>
      </x:c>
      <x:c r="G1321" t="str">
        <x:v>DCF_SCREENING_EXCLUSION</x:v>
      </x:c>
      <x:c r="H1321" t="str">
        <x:v>NON_POSITIVE_ENTERPRISE_VALUE|NON_POSITIVE_EQUITY_VALUE|NON_POSITIVE_TERMINAL_FCF</x:v>
      </x:c>
      <x:c r="I1321" s="54" t="n">
        <x:v>44651</x:v>
      </x:c>
      <x:c r="J1321" s="55" t="n">
        <x:v>16400</x:v>
      </x:c>
      <x:c r="K1321" s="55" t="n">
        <x:v>223793924400</x:v>
      </x:c>
      <x:c r="L1321" s="55" t="n">
        <x:v>13645971</x:v>
      </x:c>
      <x:c r="M1321" t="str">
        <x:v>20220318000211</x:v>
      </x:c>
      <x:c r="N1321" t="n">
        <x:v>44638.624999988424</x:v>
      </x:c>
      <x:c r="O1321" s="54" t="n">
        <x:v>44561</x:v>
      </x:c>
      <x:c r="P1321" t="str">
        <x:v>False</x:v>
      </x:c>
      <x:c r="Q1321" t="str">
        <x:v>e8465716d8b100d2e997996432799dfdee4265e4572a8ee6033f260045ff58bc</x:v>
      </x:c>
      <x:c r="R1321" t="str">
        <x:v>52e7ad1c2657d6c9f0668d0401e9f6d92724dbb8e5787c654c50a7a789b1fdce</x:v>
      </x:c>
      <x:c r="S1321" t="n">
        <x:v>5</x:v>
      </x:c>
      <x:c r="T1321" t="str">
        <x:v>2018-12-31|2019-12-31|2020-12-31|2021-12-31</x:v>
      </x:c>
      <x:c r="U1321" s="57" t="n">
        <x:v>-2883.8529303422415</x:v>
      </x:c>
      <x:c r="V1321" s="57" t="n">
        <x:v>-1.175844690874527</x:v>
      </x:c>
      <x:c r="W1321"/>
      <x:c r="X1321"/>
      <x:c r="Y1321" s="38" t="n">
        <x:v>0.6409090909090909</x:v>
      </x:c>
      <x:c r="Z1321" s="38" t="n">
        <x:v>0.7090268120204184</x:v>
      </x:c>
      <x:c r="AA1321" t="str">
        <x:v>NON_POSITIVE_ENTERPRISE_VALUE|NON_POSITIVE_EQUITY_VALUE|NON_POSITIVE_TERMINAL_FCF</x:v>
      </x:c>
    </x:row>
    <x:row r="1322">
      <x:c r="A1322" s="54" t="n">
        <x:v>44651</x:v>
      </x:c>
      <x:c r="B1322" t="n">
        <x:v>44651.624999988424</x:v>
      </x:c>
      <x:c r="C1322" t="str">
        <x:v>416180</x:v>
      </x:c>
      <x:c r="D1322" t="str">
        <x:v>신성에스티</x:v>
      </x:c>
      <x:c r="E1322" t="str">
        <x:v>KOSDAQ</x:v>
      </x:c>
      <x:c r="F1322" t="str">
        <x:v>LARGE</x:v>
      </x:c>
      <x:c r="G1322" t="str">
        <x:v>NOT_LISTED_OR_NO_PRICE</x:v>
      </x:c>
      <x:c r="H1322"/>
      <x:c r="I1322" s="54"/>
      <x:c r="J1322" s="55"/>
      <x:c r="K1322" s="55"/>
      <x:c r="L1322" s="55"/>
      <x:c r="M1322"/>
      <x:c r="N1322"/>
      <x:c r="O1322" s="54"/>
      <x:c r="P1322"/>
      <x:c r="Q1322"/>
      <x:c r="R1322"/>
      <x:c r="S1322"/>
      <x:c r="T1322"/>
      <x:c r="U1322" s="57"/>
      <x:c r="V1322" s="57"/>
      <x:c r="W1322"/>
      <x:c r="X1322"/>
      <x:c r="Y1322" s="38"/>
      <x:c r="Z1322" s="38"/>
      <x:c r="AA1322"/>
    </x:row>
    <x:row r="1323">
      <x:c r="A1323" s="54" t="n">
        <x:v>44651</x:v>
      </x:c>
      <x:c r="B1323" t="n">
        <x:v>44651.624999988424</x:v>
      </x:c>
      <x:c r="C1323" t="str">
        <x:v>082800</x:v>
      </x:c>
      <x:c r="D1323" t="str">
        <x:v>비보존제약</x:v>
      </x:c>
      <x:c r="E1323" t="str">
        <x:v>KOSDAQ</x:v>
      </x:c>
      <x:c r="F1323" t="str">
        <x:v>LARGE</x:v>
      </x:c>
      <x:c r="G1323" t="str">
        <x:v>DCF_SCREENING_EXCLUSION</x:v>
      </x:c>
      <x:c r="H1323" t="str">
        <x:v>NON_POSITIVE_ENTERPRISE_VALUE|NON_POSITIVE_EQUITY_VALUE|NON_POSITIVE_TERMINAL_FCF</x:v>
      </x:c>
      <x:c r="I1323" s="54" t="n">
        <x:v>44651</x:v>
      </x:c>
      <x:c r="J1323" s="55" t="n">
        <x:v>1130</x:v>
      </x:c>
      <x:c r="K1323" s="55" t="n">
        <x:v>191994722420</x:v>
      </x:c>
      <x:c r="L1323" s="55" t="n">
        <x:v>169906834</x:v>
      </x:c>
      <x:c r="M1323" t="str">
        <x:v>20220322001054</x:v>
      </x:c>
      <x:c r="N1323" t="n">
        <x:v>44642.624999988424</x:v>
      </x:c>
      <x:c r="O1323" s="54" t="n">
        <x:v>44561</x:v>
      </x:c>
      <x:c r="P1323" t="str">
        <x:v>False</x:v>
      </x:c>
      <x:c r="Q1323" t="str">
        <x:v>820cf4c032f000effbeb91015ea835a7ed85a97711c4da65866bffc882b75481</x:v>
      </x:c>
      <x:c r="R1323" t="str">
        <x:v>0ba73a80bcd09bcb3b400361043e667381365829e8bd5f8a943ea7de6cb12aa6</x:v>
      </x:c>
      <x:c r="S1323" t="n">
        <x:v>7</x:v>
      </x:c>
      <x:c r="T1323" t="str">
        <x:v>2018-12-31|2019-12-31|2020-12-31|2021-12-31</x:v>
      </x:c>
      <x:c r="U1323" s="57" t="n">
        <x:v>-1448.1031040346213</x:v>
      </x:c>
      <x:c r="V1323" s="57" t="n">
        <x:v>-2.2815071717120543</x:v>
      </x:c>
      <x:c r="W1323"/>
      <x:c r="X1323"/>
      <x:c r="Y1323" s="38" t="n">
        <x:v>0.6409090909090909</x:v>
      </x:c>
      <x:c r="Z1323" s="38" t="n">
        <x:v>0.701328758981148</x:v>
      </x:c>
      <x:c r="AA1323" t="str">
        <x:v>NON_POSITIVE_ENTERPRISE_VALUE|NON_POSITIVE_EQUITY_VALUE|NON_POSITIVE_TERMINAL_FCF</x:v>
      </x:c>
    </x:row>
    <x:row r="1324">
      <x:c r="A1324" s="54" t="n">
        <x:v>44651</x:v>
      </x:c>
      <x:c r="B1324" t="n">
        <x:v>44651.624999988424</x:v>
      </x:c>
      <x:c r="C1324" t="str">
        <x:v>204620</x:v>
      </x:c>
      <x:c r="D1324" t="str">
        <x:v>글로벌텍스프리</x:v>
      </x:c>
      <x:c r="E1324" t="str">
        <x:v>KOSDAQ</x:v>
      </x:c>
      <x:c r="F1324" t="str">
        <x:v>LARGE</x:v>
      </x:c>
      <x:c r="G1324" t="str">
        <x:v>DCF_SCREENING_EXCLUSION</x:v>
      </x:c>
      <x:c r="H1324" t="str">
        <x:v>NON_POSITIVE_ENTERPRISE_VALUE|NON_POSITIVE_EQUITY_VALUE|NON_POSITIVE_TERMINAL_FCF</x:v>
      </x:c>
      <x:c r="I1324" s="54" t="n">
        <x:v>44651</x:v>
      </x:c>
      <x:c r="J1324" s="55" t="n">
        <x:v>3435</x:v>
      </x:c>
      <x:c r="K1324" s="55" t="n">
        <x:v>167410533585</x:v>
      </x:c>
      <x:c r="L1324" s="55" t="n">
        <x:v>48736691</x:v>
      </x:c>
      <x:c r="M1324" t="str">
        <x:v>20220328000575</x:v>
      </x:c>
      <x:c r="N1324" t="n">
        <x:v>44648.624999988424</x:v>
      </x:c>
      <x:c r="O1324" s="54" t="n">
        <x:v>44561</x:v>
      </x:c>
      <x:c r="P1324" t="str">
        <x:v>False</x:v>
      </x:c>
      <x:c r="Q1324" t="str">
        <x:v>ad6efd924325363a5a5e8534853e368bbf0095f00c8bcafafab24abcc74366c1</x:v>
      </x:c>
      <x:c r="R1324" t="str">
        <x:v>247640f1dc6260e1a5a00834f9889d8635be9870a599ab26ac54ade02ba0cf4d</x:v>
      </x:c>
      <x:c r="S1324" t="n">
        <x:v>7</x:v>
      </x:c>
      <x:c r="T1324" t="str">
        <x:v>2018-12-31|2019-12-31|2020-12-31|2021-12-31</x:v>
      </x:c>
      <x:c r="U1324" s="57" t="n">
        <x:v>-699.055013792357</x:v>
      </x:c>
      <x:c r="V1324" s="57" t="n">
        <x:v>-1.2035094654417342</x:v>
      </x:c>
      <x:c r="W1324"/>
      <x:c r="X1324"/>
      <x:c r="Y1324" s="38" t="n">
        <x:v>0.6409090909090909</x:v>
      </x:c>
      <x:c r="Z1324" s="38" t="n">
        <x:v>0.6847952001444609</x:v>
      </x:c>
      <x:c r="AA1324" t="str">
        <x:v>NON_POSITIVE_ENTERPRISE_VALUE|NON_POSITIVE_EQUITY_VALUE|NON_POSITIVE_TERMINAL_FCF</x:v>
      </x:c>
    </x:row>
    <x:row r="1325">
      <x:c r="A1325" s="54" t="n">
        <x:v>44651</x:v>
      </x:c>
      <x:c r="B1325" t="n">
        <x:v>44651.624999988424</x:v>
      </x:c>
      <x:c r="C1325" t="str">
        <x:v>445090</x:v>
      </x:c>
      <x:c r="D1325" t="str">
        <x:v>에이직랜드</x:v>
      </x:c>
      <x:c r="E1325" t="str">
        <x:v>KOSDAQ</x:v>
      </x:c>
      <x:c r="F1325" t="str">
        <x:v>LARGE</x:v>
      </x:c>
      <x:c r="G1325" t="str">
        <x:v>NOT_LISTED_OR_NO_PRICE</x:v>
      </x:c>
      <x:c r="H1325"/>
      <x:c r="I1325" s="54"/>
      <x:c r="J1325" s="55"/>
      <x:c r="K1325" s="55"/>
      <x:c r="L1325" s="55"/>
      <x:c r="M1325"/>
      <x:c r="N1325"/>
      <x:c r="O1325" s="54"/>
      <x:c r="P1325"/>
      <x:c r="Q1325"/>
      <x:c r="R1325"/>
      <x:c r="S1325"/>
      <x:c r="T1325"/>
      <x:c r="U1325" s="57"/>
      <x:c r="V1325" s="57"/>
      <x:c r="W1325"/>
      <x:c r="X1325"/>
      <x:c r="Y1325" s="38"/>
      <x:c r="Z1325" s="38"/>
      <x:c r="AA1325"/>
    </x:row>
    <x:row r="1326">
      <x:c r="A1326" s="54" t="n">
        <x:v>44651</x:v>
      </x:c>
      <x:c r="B1326" t="n">
        <x:v>44651.624999988424</x:v>
      </x:c>
      <x:c r="C1326" t="str">
        <x:v>115450</x:v>
      </x:c>
      <x:c r="D1326" t="str">
        <x:v>HLB테라퓨틱스</x:v>
      </x:c>
      <x:c r="E1326" t="str">
        <x:v>KOSDAQ</x:v>
      </x:c>
      <x:c r="F1326" t="str">
        <x:v>LARGE</x:v>
      </x:c>
      <x:c r="G1326" t="str">
        <x:v>DCF_SCREENING_EXCLUSION</x:v>
      </x:c>
      <x:c r="H1326" t="str">
        <x:v>NON_POSITIVE_ENTERPRISE_VALUE|NON_POSITIVE_EQUITY_VALUE|NON_POSITIVE_TERMINAL_FCF</x:v>
      </x:c>
      <x:c r="I1326" s="54" t="n">
        <x:v>44651</x:v>
      </x:c>
      <x:c r="J1326" s="55" t="n">
        <x:v>10200</x:v>
      </x:c>
      <x:c r="K1326" s="55" t="n">
        <x:v>319619152200</x:v>
      </x:c>
      <x:c r="L1326" s="55" t="n">
        <x:v>31335211</x:v>
      </x:c>
      <x:c r="M1326" t="str">
        <x:v>20220318000493</x:v>
      </x:c>
      <x:c r="N1326" t="n">
        <x:v>44638.624999988424</x:v>
      </x:c>
      <x:c r="O1326" s="54" t="n">
        <x:v>44561</x:v>
      </x:c>
      <x:c r="P1326" t="str">
        <x:v>False</x:v>
      </x:c>
      <x:c r="Q1326" t="str">
        <x:v>19b116bac11eca83c7aadf1511c40a12d291bf58cb4fdf0f9751796946cf89f7</x:v>
      </x:c>
      <x:c r="R1326" t="str">
        <x:v>6796f979a22130ce741de8d61f21d0c70b7305365e669634e21b3a9acc14c7e4</x:v>
      </x:c>
      <x:c r="S1326" t="n">
        <x:v>6</x:v>
      </x:c>
      <x:c r="T1326" t="str">
        <x:v>2018-12-31|2019-12-31|2020-12-31|2021-12-31</x:v>
      </x:c>
      <x:c r="U1326" s="57" t="n">
        <x:v>-2031.1495374094657</x:v>
      </x:c>
      <x:c r="V1326" s="57" t="n">
        <x:v>-1.1991323075891633</x:v>
      </x:c>
      <x:c r="W1326"/>
      <x:c r="X1326"/>
      <x:c r="Y1326" s="38" t="n">
        <x:v>0.6409090909090909</x:v>
      </x:c>
      <x:c r="Z1326" s="38" t="n">
        <x:v>0.7008058105901518</x:v>
      </x:c>
      <x:c r="AA1326" t="str">
        <x:v>NON_POSITIVE_ENTERPRISE_VALUE|NON_POSITIVE_EQUITY_VALUE|NON_POSITIVE_TERMINAL_FCF</x:v>
      </x:c>
    </x:row>
    <x:row r="1327">
      <x:c r="A1327" s="54" t="n">
        <x:v>44651</x:v>
      </x:c>
      <x:c r="B1327" t="n">
        <x:v>44651.624999988424</x:v>
      </x:c>
      <x:c r="C1327" t="str">
        <x:v>035420</x:v>
      </x:c>
      <x:c r="D1327" t="str">
        <x:v>NAVER</x:v>
      </x:c>
      <x:c r="E1327" t="str">
        <x:v>KOSPI</x:v>
      </x:c>
      <x:c r="F1327" t="str">
        <x:v>LARGE</x:v>
      </x:c>
      <x:c r="G1327" t="str">
        <x:v>ELIGIBLE</x:v>
      </x:c>
      <x:c r="H1327"/>
      <x:c r="I1327" s="54" t="n">
        <x:v>44651</x:v>
      </x:c>
      <x:c r="J1327" s="55" t="n">
        <x:v>340500</x:v>
      </x:c>
      <x:c r="K1327" s="55" t="n">
        <x:v>55858713442500</x:v>
      </x:c>
      <x:c r="L1327" s="55" t="n">
        <x:v>164049085</x:v>
      </x:c>
      <x:c r="M1327" t="str">
        <x:v>20220304000687</x:v>
      </x:c>
      <x:c r="N1327" t="n">
        <x:v>44624.624999988424</x:v>
      </x:c>
      <x:c r="O1327" s="54" t="n">
        <x:v>44561</x:v>
      </x:c>
      <x:c r="P1327" t="str">
        <x:v>False</x:v>
      </x:c>
      <x:c r="Q1327" t="str">
        <x:v>8062dc2efd520120838c1783c4c22ec37df88a95ada7b3f569c86f66bca19e98</x:v>
      </x:c>
      <x:c r="R1327" t="str">
        <x:v>b699f0151426f842e3bf3a89f7ccc2473161a634c6656b22467bbaf7ada9edd3</x:v>
      </x:c>
      <x:c r="S1327" t="n">
        <x:v>6</x:v>
      </x:c>
      <x:c r="T1327" t="str">
        <x:v>2018-12-31|2019-12-31|2020-12-31|2021-12-31</x:v>
      </x:c>
      <x:c r="U1327" s="57" t="n">
        <x:v>90110.51803973874</x:v>
      </x:c>
      <x:c r="V1327" s="57" t="n">
        <x:v>-0.7353582436424706</x:v>
      </x:c>
      <x:c r="W1327" t="n">
        <x:v>52</x:v>
      </x:c>
      <x:c r="X1327" t="n">
        <x:v>4</x:v>
      </x:c>
      <x:c r="Y1327" s="38" t="n">
        <x:v>0.6409090909090909</x:v>
      </x:c>
      <x:c r="Z1327" s="38" t="n">
        <x:v>0.7130098333809185</x:v>
      </x:c>
      <x:c r="AA1327"/>
    </x:row>
    <x:row r="1328">
      <x:c r="A1328" s="54" t="n">
        <x:v>44651</x:v>
      </x:c>
      <x:c r="B1328" t="n">
        <x:v>44651.624999988424</x:v>
      </x:c>
      <x:c r="C1328" t="str">
        <x:v>030200</x:v>
      </x:c>
      <x:c r="D1328" t="str">
        <x:v>KT</x:v>
      </x:c>
      <x:c r="E1328" t="str">
        <x:v>KOSPI</x:v>
      </x:c>
      <x:c r="F1328" t="str">
        <x:v>LARGE</x:v>
      </x:c>
      <x:c r="G1328" t="str">
        <x:v>ELIGIBLE</x:v>
      </x:c>
      <x:c r="H1328"/>
      <x:c r="I1328" s="54" t="n">
        <x:v>44651</x:v>
      </x:c>
      <x:c r="J1328" s="55" t="n">
        <x:v>35700</x:v>
      </x:c>
      <x:c r="K1328" s="55" t="n">
        <x:v>9321691545600</x:v>
      </x:c>
      <x:c r="L1328" s="55" t="n">
        <x:v>261111808</x:v>
      </x:c>
      <x:c r="M1328" t="str">
        <x:v>20220323001025</x:v>
      </x:c>
      <x:c r="N1328" t="n">
        <x:v>44643.624999988424</x:v>
      </x:c>
      <x:c r="O1328" s="54" t="n">
        <x:v>44561</x:v>
      </x:c>
      <x:c r="P1328" t="str">
        <x:v>False</x:v>
      </x:c>
      <x:c r="Q1328" t="str">
        <x:v>9773eff6dca32e975b54776fef1d2328155afd728302ed27a21c95f6964efe30</x:v>
      </x:c>
      <x:c r="R1328" t="str">
        <x:v>6f61742c132190f81273700516063bc7041cd22ce8b158d3b049602bffce13e3</x:v>
      </x:c>
      <x:c r="S1328" t="n">
        <x:v>6</x:v>
      </x:c>
      <x:c r="T1328" t="str">
        <x:v>2018-12-31|2019-12-31|2020-12-31|2021-12-31</x:v>
      </x:c>
      <x:c r="U1328" s="57" t="n">
        <x:v>49888.059619663385</x:v>
      </x:c>
      <x:c r="V1328" s="57" t="n">
        <x:v>0.39742463920625726</x:v>
      </x:c>
      <x:c r="W1328" t="n">
        <x:v>11</x:v>
      </x:c>
      <x:c r="X1328" t="n">
        <x:v>1</x:v>
      </x:c>
      <x:c r="Y1328" s="38" t="n">
        <x:v>0.6409090909090909</x:v>
      </x:c>
      <x:c r="Z1328" s="38" t="n">
        <x:v>0.664036442335115</x:v>
      </x:c>
      <x:c r="AA1328"/>
    </x:row>
    <x:row r="1329">
      <x:c r="A1329" s="54" t="n">
        <x:v>44651</x:v>
      </x:c>
      <x:c r="B1329" t="n">
        <x:v>44651.624999988424</x:v>
      </x:c>
      <x:c r="C1329" t="str">
        <x:v>018260</x:v>
      </x:c>
      <x:c r="D1329" t="str">
        <x:v>삼성에스디에스</x:v>
      </x:c>
      <x:c r="E1329" t="str">
        <x:v>KOSPI</x:v>
      </x:c>
      <x:c r="F1329" t="str">
        <x:v>LARGE</x:v>
      </x:c>
      <x:c r="G1329" t="str">
        <x:v>ELIGIBLE</x:v>
      </x:c>
      <x:c r="H1329"/>
      <x:c r="I1329" s="54" t="n">
        <x:v>44651</x:v>
      </x:c>
      <x:c r="J1329" s="55" t="n">
        <x:v>138500</x:v>
      </x:c>
      <x:c r="K1329" s="55" t="n">
        <x:v>10716825300000</x:v>
      </x:c>
      <x:c r="L1329" s="55" t="n">
        <x:v>77377800</x:v>
      </x:c>
      <x:c r="M1329" t="str">
        <x:v>20220308000737</x:v>
      </x:c>
      <x:c r="N1329" t="n">
        <x:v>44628.624999988424</x:v>
      </x:c>
      <x:c r="O1329" s="54" t="n">
        <x:v>44561</x:v>
      </x:c>
      <x:c r="P1329" t="str">
        <x:v>False</x:v>
      </x:c>
      <x:c r="Q1329" t="str">
        <x:v>38aa268ec71e5b47b845550cd28018f2fe3009e7cc818f7b44ace1b7a237b51e</x:v>
      </x:c>
      <x:c r="R1329" t="str">
        <x:v>cf1d658682de167bf9e49e741d4c7221903595ba111cb88043d08f3bbe7a9e90</x:v>
      </x:c>
      <x:c r="S1329" t="n">
        <x:v>6</x:v>
      </x:c>
      <x:c r="T1329" t="str">
        <x:v>2018-12-31|2019-12-31|2020-12-31|2021-12-31</x:v>
      </x:c>
      <x:c r="U1329" s="57" t="n">
        <x:v>148624.48194424633</x:v>
      </x:c>
      <x:c r="V1329" s="57" t="n">
        <x:v>0.07310095266603853</x:v>
      </x:c>
      <x:c r="W1329" t="n">
        <x:v>15</x:v>
      </x:c>
      <x:c r="X1329" t="n">
        <x:v>2</x:v>
      </x:c>
      <x:c r="Y1329" s="38" t="n">
        <x:v>0.6409090909090909</x:v>
      </x:c>
      <x:c r="Z1329" s="38" t="n">
        <x:v>0.7444527110580923</x:v>
      </x:c>
      <x:c r="AA1329"/>
    </x:row>
    <x:row r="1330">
      <x:c r="A1330" s="54" t="n">
        <x:v>44651</x:v>
      </x:c>
      <x:c r="B1330" t="n">
        <x:v>44651.624999988424</x:v>
      </x:c>
      <x:c r="C1330" t="str">
        <x:v>090430</x:v>
      </x:c>
      <x:c r="D1330" t="str">
        <x:v>아모레퍼시픽</x:v>
      </x:c>
      <x:c r="E1330" t="str">
        <x:v>KOSPI</x:v>
      </x:c>
      <x:c r="F1330" t="str">
        <x:v>LARGE</x:v>
      </x:c>
      <x:c r="G1330" t="str">
        <x:v>ELIGIBLE</x:v>
      </x:c>
      <x:c r="H1330"/>
      <x:c r="I1330" s="54" t="n">
        <x:v>44651</x:v>
      </x:c>
      <x:c r="J1330" s="55" t="n">
        <x:v>160000</x:v>
      </x:c>
      <x:c r="K1330" s="55" t="n">
        <x:v>9358841440000</x:v>
      </x:c>
      <x:c r="L1330" s="55" t="n">
        <x:v>58492759</x:v>
      </x:c>
      <x:c r="M1330" t="str">
        <x:v>20220316000772</x:v>
      </x:c>
      <x:c r="N1330" t="n">
        <x:v>44636.624999988424</x:v>
      </x:c>
      <x:c r="O1330" s="54" t="n">
        <x:v>44561</x:v>
      </x:c>
      <x:c r="P1330" t="str">
        <x:v>False</x:v>
      </x:c>
      <x:c r="Q1330" t="str">
        <x:v>1f2a22cf38a5f17871d37e4f5dc35c86496866290651a5413ea91f13146c364c</x:v>
      </x:c>
      <x:c r="R1330" t="str">
        <x:v>be8f83dd3d5391a7945fa7f9ac094116afd24bcf4680ddf025b3cbf1c916208e</x:v>
      </x:c>
      <x:c r="S1330" t="n">
        <x:v>6</x:v>
      </x:c>
      <x:c r="T1330" t="str">
        <x:v>2018-12-31|2019-12-31|2020-12-31|2021-12-31</x:v>
      </x:c>
      <x:c r="U1330" s="57" t="n">
        <x:v>51339.05035733971</x:v>
      </x:c>
      <x:c r="V1330" s="57" t="n">
        <x:v>-0.6791309352666268</x:v>
      </x:c>
      <x:c r="W1330" t="n">
        <x:v>49</x:v>
      </x:c>
      <x:c r="X1330" t="n">
        <x:v>4</x:v>
      </x:c>
      <x:c r="Y1330" s="38" t="n">
        <x:v>0.6409090909090909</x:v>
      </x:c>
      <x:c r="Z1330" s="38" t="n">
        <x:v>0.7160228310475385</x:v>
      </x:c>
      <x:c r="AA1330"/>
    </x:row>
    <x:row r="1331">
      <x:c r="A1331" s="54" t="n">
        <x:v>44651</x:v>
      </x:c>
      <x:c r="B1331" t="n">
        <x:v>44651.624999988424</x:v>
      </x:c>
      <x:c r="C1331" t="str">
        <x:v>278470</x:v>
      </x:c>
      <x:c r="D1331" t="str">
        <x:v>에이피알</x:v>
      </x:c>
      <x:c r="E1331" t="str">
        <x:v>KOSPI</x:v>
      </x:c>
      <x:c r="F1331" t="str">
        <x:v>LARGE</x:v>
      </x:c>
      <x:c r="G1331" t="str">
        <x:v>NOT_LISTED_OR_NO_PRICE</x:v>
      </x:c>
      <x:c r="H1331"/>
      <x:c r="I1331" s="54"/>
      <x:c r="J1331" s="55"/>
      <x:c r="K1331" s="55"/>
      <x:c r="L1331" s="55"/>
      <x:c r="M1331"/>
      <x:c r="N1331"/>
      <x:c r="O1331" s="54"/>
      <x:c r="P1331"/>
      <x:c r="Q1331"/>
      <x:c r="R1331"/>
      <x:c r="S1331"/>
      <x:c r="T1331"/>
      <x:c r="U1331" s="57"/>
      <x:c r="V1331" s="57"/>
      <x:c r="W1331"/>
      <x:c r="X1331"/>
      <x:c r="Y1331" s="38"/>
      <x:c r="Z1331" s="38"/>
      <x:c r="AA1331"/>
    </x:row>
    <x:row r="1332">
      <x:c r="A1332" s="54" t="n">
        <x:v>44651</x:v>
      </x:c>
      <x:c r="B1332" t="n">
        <x:v>44651.624999988424</x:v>
      </x:c>
      <x:c r="C1332" t="str">
        <x:v>006260</x:v>
      </x:c>
      <x:c r="D1332" t="str">
        <x:v>LS</x:v>
      </x:c>
      <x:c r="E1332" t="str">
        <x:v>KOSPI</x:v>
      </x:c>
      <x:c r="F1332" t="str">
        <x:v>LARGE</x:v>
      </x:c>
      <x:c r="G1332" t="str">
        <x:v>ELIGIBLE</x:v>
      </x:c>
      <x:c r="H1332"/>
      <x:c r="I1332" s="54" t="n">
        <x:v>44651</x:v>
      </x:c>
      <x:c r="J1332" s="55" t="n">
        <x:v>52800</x:v>
      </x:c>
      <x:c r="K1332" s="55" t="n">
        <x:v>1700160000000</x:v>
      </x:c>
      <x:c r="L1332" s="55" t="n">
        <x:v>32200000</x:v>
      </x:c>
      <x:c r="M1332" t="str">
        <x:v>20220321001306</x:v>
      </x:c>
      <x:c r="N1332" t="n">
        <x:v>44641.624999988424</x:v>
      </x:c>
      <x:c r="O1332" s="54" t="n">
        <x:v>44561</x:v>
      </x:c>
      <x:c r="P1332" t="str">
        <x:v>False</x:v>
      </x:c>
      <x:c r="Q1332" t="str">
        <x:v>fc618c60adc023ca76aeeab8e90a7b9805e086e0e9a3002a54c537bc55178ab9</x:v>
      </x:c>
      <x:c r="R1332" t="str">
        <x:v>ee4dce741094d997c599cb5bd8d6799ab50260dd452eea046c6ccbcbf3e86bb1</x:v>
      </x:c>
      <x:c r="S1332" t="n">
        <x:v>6</x:v>
      </x:c>
      <x:c r="T1332" t="str">
        <x:v>2017-12-31|2018-12-31|2019-12-31|2020-12-31|2021-12-31</x:v>
      </x:c>
      <x:c r="U1332" s="57" t="n">
        <x:v>97062.99213156228</x:v>
      </x:c>
      <x:c r="V1332" s="57" t="n">
        <x:v>0.8383142449159522</x:v>
      </x:c>
      <x:c r="W1332" t="n">
        <x:v>7</x:v>
      </x:c>
      <x:c r="X1332" t="n">
        <x:v>1</x:v>
      </x:c>
      <x:c r="Y1332" s="38" t="n">
        <x:v>0.6409090909090909</x:v>
      </x:c>
      <x:c r="Z1332" s="38" t="n">
        <x:v>0.7104670417334864</x:v>
      </x:c>
      <x:c r="AA1332"/>
    </x:row>
    <x:row r="1333">
      <x:c r="A1333" s="54" t="n">
        <x:v>44651</x:v>
      </x:c>
      <x:c r="B1333" t="n">
        <x:v>44651.624999988424</x:v>
      </x:c>
      <x:c r="C1333" t="str">
        <x:v>454910</x:v>
      </x:c>
      <x:c r="D1333" t="str">
        <x:v>두산로보틱스</x:v>
      </x:c>
      <x:c r="E1333" t="str">
        <x:v>KOSPI</x:v>
      </x:c>
      <x:c r="F1333" t="str">
        <x:v>LARGE</x:v>
      </x:c>
      <x:c r="G1333" t="str">
        <x:v>NOT_LISTED_OR_NO_PRICE</x:v>
      </x:c>
      <x:c r="H1333"/>
      <x:c r="I1333" s="54"/>
      <x:c r="J1333" s="55"/>
      <x:c r="K1333" s="55"/>
      <x:c r="L1333" s="55"/>
      <x:c r="M1333"/>
      <x:c r="N1333"/>
      <x:c r="O1333" s="54"/>
      <x:c r="P1333"/>
      <x:c r="Q1333"/>
      <x:c r="R1333"/>
      <x:c r="S1333"/>
      <x:c r="T1333"/>
      <x:c r="U1333" s="57"/>
      <x:c r="V1333" s="57"/>
      <x:c r="W1333"/>
      <x:c r="X1333"/>
      <x:c r="Y1333" s="38"/>
      <x:c r="Z1333" s="38"/>
      <x:c r="AA1333"/>
    </x:row>
    <x:row r="1334">
      <x:c r="A1334" s="54" t="n">
        <x:v>44651</x:v>
      </x:c>
      <x:c r="B1334" t="n">
        <x:v>44651.624999988424</x:v>
      </x:c>
      <x:c r="C1334" t="str">
        <x:v>012750</x:v>
      </x:c>
      <x:c r="D1334" t="str">
        <x:v>에스원</x:v>
      </x:c>
      <x:c r="E1334" t="str">
        <x:v>KOSPI</x:v>
      </x:c>
      <x:c r="F1334" t="str">
        <x:v>LARGE</x:v>
      </x:c>
      <x:c r="G1334" t="str">
        <x:v>ELIGIBLE</x:v>
      </x:c>
      <x:c r="H1334"/>
      <x:c r="I1334" s="54" t="n">
        <x:v>44651</x:v>
      </x:c>
      <x:c r="J1334" s="55" t="n">
        <x:v>71300</x:v>
      </x:c>
      <x:c r="K1334" s="55" t="n">
        <x:v>2709341391400</x:v>
      </x:c>
      <x:c r="L1334" s="55" t="n">
        <x:v>37999178</x:v>
      </x:c>
      <x:c r="M1334" t="str">
        <x:v>20220308000980</x:v>
      </x:c>
      <x:c r="N1334" t="n">
        <x:v>44628.624999988424</x:v>
      </x:c>
      <x:c r="O1334" s="54" t="n">
        <x:v>44561</x:v>
      </x:c>
      <x:c r="P1334" t="str">
        <x:v>False</x:v>
      </x:c>
      <x:c r="Q1334" t="str">
        <x:v>cec7e2443b6d929ff3ce1f705e82edd95d1335ba81c3abd09d81ee04ce512714</x:v>
      </x:c>
      <x:c r="R1334" t="str">
        <x:v>d0def0bed3ea87eb005eb2ae3f4fbfca3ad3a18c84025c562c37472834ad011a</x:v>
      </x:c>
      <x:c r="S1334" t="n">
        <x:v>6</x:v>
      </x:c>
      <x:c r="T1334" t="str">
        <x:v>2018-12-31|2019-12-31|2020-12-31|2021-12-31</x:v>
      </x:c>
      <x:c r="U1334" s="57" t="n">
        <x:v>47044.103793118324</x:v>
      </x:c>
      <x:c r="V1334" s="57" t="n">
        <x:v>-0.34019489771222544</x:v>
      </x:c>
      <x:c r="W1334" t="n">
        <x:v>29</x:v>
      </x:c>
      <x:c r="X1334" t="n">
        <x:v>3</x:v>
      </x:c>
      <x:c r="Y1334" s="38" t="n">
        <x:v>0.6409090909090909</x:v>
      </x:c>
      <x:c r="Z1334" s="38" t="n">
        <x:v>0.7281119900370651</x:v>
      </x:c>
      <x:c r="AA1334"/>
    </x:row>
    <x:row r="1335">
      <x:c r="A1335" s="54" t="n">
        <x:v>44651</x:v>
      </x:c>
      <x:c r="B1335" t="n">
        <x:v>44651.624999988424</x:v>
      </x:c>
      <x:c r="C1335" t="str">
        <x:v>081660</x:v>
      </x:c>
      <x:c r="D1335" t="str">
        <x:v>미스토홀딩스</x:v>
      </x:c>
      <x:c r="E1335" t="str">
        <x:v>KOSPI</x:v>
      </x:c>
      <x:c r="F1335" t="str">
        <x:v>LARGE</x:v>
      </x:c>
      <x:c r="G1335" t="str">
        <x:v>EXCLUDED_ARCHETYPE</x:v>
      </x:c>
      <x:c r="H1335" t="str">
        <x:v>FCFF_NOT_COMPARABLE_FOR_FINANCE_OR_HOLDING_HINT</x:v>
      </x:c>
      <x:c r="I1335" s="54"/>
      <x:c r="J1335" s="55"/>
      <x:c r="K1335" s="55"/>
      <x:c r="L1335" s="55"/>
      <x:c r="M1335"/>
      <x:c r="N1335"/>
      <x:c r="O1335" s="54"/>
      <x:c r="P1335"/>
      <x:c r="Q1335"/>
      <x:c r="R1335"/>
      <x:c r="S1335"/>
      <x:c r="T1335"/>
      <x:c r="U1335" s="57"/>
      <x:c r="V1335" s="57"/>
      <x:c r="W1335"/>
      <x:c r="X1335"/>
      <x:c r="Y1335" s="38"/>
      <x:c r="Z1335" s="38"/>
      <x:c r="AA1335"/>
    </x:row>
    <x:row r="1336">
      <x:c r="A1336" s="54" t="n">
        <x:v>44651</x:v>
      </x:c>
      <x:c r="B1336" t="n">
        <x:v>44651.624999988424</x:v>
      </x:c>
      <x:c r="C1336" t="str">
        <x:v>282330</x:v>
      </x:c>
      <x:c r="D1336" t="str">
        <x:v>BGF리테일</x:v>
      </x:c>
      <x:c r="E1336" t="str">
        <x:v>KOSPI</x:v>
      </x:c>
      <x:c r="F1336" t="str">
        <x:v>LARGE</x:v>
      </x:c>
      <x:c r="G1336" t="str">
        <x:v>ELIGIBLE</x:v>
      </x:c>
      <x:c r="H1336"/>
      <x:c r="I1336" s="54" t="n">
        <x:v>44651</x:v>
      </x:c>
      <x:c r="J1336" s="55" t="n">
        <x:v>174500</x:v>
      </x:c>
      <x:c r="K1336" s="55" t="n">
        <x:v>3016041597000</x:v>
      </x:c>
      <x:c r="L1336" s="55" t="n">
        <x:v>17283906</x:v>
      </x:c>
      <x:c r="M1336" t="str">
        <x:v>20220321001041</x:v>
      </x:c>
      <x:c r="N1336" t="n">
        <x:v>44641.624999988424</x:v>
      </x:c>
      <x:c r="O1336" s="54" t="n">
        <x:v>44561</x:v>
      </x:c>
      <x:c r="P1336" t="str">
        <x:v>False</x:v>
      </x:c>
      <x:c r="Q1336" t="str">
        <x:v>651736971ff0b9b9188968659f9c2f1ffeb75f8c2930c8ac2af586a189e0cfba</x:v>
      </x:c>
      <x:c r="R1336" t="str">
        <x:v>e0b4f923f8575e89ee093b500db780d210168598911d0b837e7d4ca63024d313</x:v>
      </x:c>
      <x:c r="S1336" t="n">
        <x:v>6</x:v>
      </x:c>
      <x:c r="T1336" t="str">
        <x:v>2018-12-31|2019-12-31|2020-12-31|2021-12-31</x:v>
      </x:c>
      <x:c r="U1336" s="57" t="n">
        <x:v>84617.55770400933</x:v>
      </x:c>
      <x:c r="V1336" s="57" t="n">
        <x:v>-0.5150856292033849</x:v>
      </x:c>
      <x:c r="W1336" t="n">
        <x:v>35</x:v>
      </x:c>
      <x:c r="X1336" t="n">
        <x:v>3</x:v>
      </x:c>
      <x:c r="Y1336" s="38" t="n">
        <x:v>0.6409090909090909</x:v>
      </x:c>
      <x:c r="Z1336" s="38" t="n">
        <x:v>0.7132111125746716</x:v>
      </x:c>
      <x:c r="AA1336"/>
    </x:row>
    <x:row r="1337">
      <x:c r="A1337" s="54" t="n">
        <x:v>44651</x:v>
      </x:c>
      <x:c r="B1337" t="n">
        <x:v>44651.624999988424</x:v>
      </x:c>
      <x:c r="C1337" t="str">
        <x:v>023590</x:v>
      </x:c>
      <x:c r="D1337" t="str">
        <x:v>다우기술</x:v>
      </x:c>
      <x:c r="E1337" t="str">
        <x:v>KOSPI</x:v>
      </x:c>
      <x:c r="F1337" t="str">
        <x:v>LARGE</x:v>
      </x:c>
      <x:c r="G1337" t="str">
        <x:v>ELIGIBLE</x:v>
      </x:c>
      <x:c r="H1337"/>
      <x:c r="I1337" s="54" t="n">
        <x:v>44651</x:v>
      </x:c>
      <x:c r="J1337" s="55" t="n">
        <x:v>22200</x:v>
      </x:c>
      <x:c r="K1337" s="55" t="n">
        <x:v>996038897400</x:v>
      </x:c>
      <x:c r="L1337" s="55" t="n">
        <x:v>44866617</x:v>
      </x:c>
      <x:c r="M1337" t="str">
        <x:v>20220324000698</x:v>
      </x:c>
      <x:c r="N1337" t="n">
        <x:v>44644.624999988424</x:v>
      </x:c>
      <x:c r="O1337" s="54" t="n">
        <x:v>44561</x:v>
      </x:c>
      <x:c r="P1337" t="str">
        <x:v>True</x:v>
      </x:c>
      <x:c r="Q1337" t="str">
        <x:v>d0a46c46e27c8ae567a1dfc53454f300052035b327ed42abee11ed73f4655af4</x:v>
      </x:c>
      <x:c r="R1337" t="str">
        <x:v>8cf29e2e38938abfb231b4a20cb9ee8fe75d696d12fdb390fc02fa850ff809a7</x:v>
      </x:c>
      <x:c r="S1337" t="n">
        <x:v>7</x:v>
      </x:c>
      <x:c r="T1337" t="str">
        <x:v>2015-12-31|2016-12-31|2017-12-31|2018-12-31|2019-12-31|2020-12-31|2021-12-31</x:v>
      </x:c>
      <x:c r="U1337" s="57" t="n">
        <x:v>93413.85451487372</x:v>
      </x:c>
      <x:c r="V1337" s="57" t="n">
        <x:v>3.2078312844537713</x:v>
      </x:c>
      <x:c r="W1337" t="n">
        <x:v>2</x:v>
      </x:c>
      <x:c r="X1337" t="n">
        <x:v>1</x:v>
      </x:c>
      <x:c r="Y1337" s="38" t="n">
        <x:v>0.6409090909090909</x:v>
      </x:c>
      <x:c r="Z1337" s="38" t="n">
        <x:v>0.7191763171494087</x:v>
      </x:c>
      <x:c r="AA1337"/>
    </x:row>
    <x:row r="1338">
      <x:c r="A1338" s="54" t="n">
        <x:v>44651</x:v>
      </x:c>
      <x:c r="B1338" t="n">
        <x:v>44651.624999988424</x:v>
      </x:c>
      <x:c r="C1338" t="str">
        <x:v>300720</x:v>
      </x:c>
      <x:c r="D1338" t="str">
        <x:v>한일시멘트</x:v>
      </x:c>
      <x:c r="E1338" t="str">
        <x:v>KOSPI</x:v>
      </x:c>
      <x:c r="F1338" t="str">
        <x:v>LARGE</x:v>
      </x:c>
      <x:c r="G1338" t="str">
        <x:v>ELIGIBLE</x:v>
      </x:c>
      <x:c r="H1338"/>
      <x:c r="I1338" s="54" t="n">
        <x:v>44651</x:v>
      </x:c>
      <x:c r="J1338" s="55" t="n">
        <x:v>21100</x:v>
      </x:c>
      <x:c r="K1338" s="55" t="n">
        <x:v>1461418494000</x:v>
      </x:c>
      <x:c r="L1338" s="55" t="n">
        <x:v>69261540</x:v>
      </x:c>
      <x:c r="M1338" t="str">
        <x:v>20220318000879</x:v>
      </x:c>
      <x:c r="N1338" t="n">
        <x:v>44638.624999988424</x:v>
      </x:c>
      <x:c r="O1338" s="54" t="n">
        <x:v>44561</x:v>
      </x:c>
      <x:c r="P1338" t="str">
        <x:v>False</x:v>
      </x:c>
      <x:c r="Q1338" t="str">
        <x:v>b196a80dcf59e61dbe3d67ba0a09efff25d1f6208c8248f423e92d47fe25d712</x:v>
      </x:c>
      <x:c r="R1338" t="str">
        <x:v>ad87301155d8a4e6539ee50da42c0e93e9271ccfed51cff4c306a5b90517ff77</x:v>
      </x:c>
      <x:c r="S1338" t="n">
        <x:v>6</x:v>
      </x:c>
      <x:c r="T1338" t="str">
        <x:v>2019-12-31|2020-12-31|2021-12-31</x:v>
      </x:c>
      <x:c r="U1338" s="57" t="n">
        <x:v>16562.403284589214</x:v>
      </x:c>
      <x:c r="V1338" s="57" t="n">
        <x:v>-0.21505197703368645</x:v>
      </x:c>
      <x:c r="W1338" t="n">
        <x:v>24</x:v>
      </x:c>
      <x:c r="X1338" t="n">
        <x:v>2</x:v>
      </x:c>
      <x:c r="Y1338" s="38" t="n">
        <x:v>0.6409090909090909</x:v>
      </x:c>
      <x:c r="Z1338" s="38" t="n">
        <x:v>0.7149594422554854</x:v>
      </x:c>
      <x:c r="AA1338"/>
    </x:row>
    <x:row r="1339">
      <x:c r="A1339" s="54" t="n">
        <x:v>44651</x:v>
      </x:c>
      <x:c r="B1339" t="n">
        <x:v>44651.624999988424</x:v>
      </x:c>
      <x:c r="C1339" t="str">
        <x:v>007070</x:v>
      </x:c>
      <x:c r="D1339" t="str">
        <x:v>GS리테일</x:v>
      </x:c>
      <x:c r="E1339" t="str">
        <x:v>KOSPI</x:v>
      </x:c>
      <x:c r="F1339" t="str">
        <x:v>LARGE</x:v>
      </x:c>
      <x:c r="G1339" t="str">
        <x:v>DCF_SCREENING_EXCLUSION</x:v>
      </x:c>
      <x:c r="H1339" t="str">
        <x:v>NON_POSITIVE_EQUITY_VALUE</x:v>
      </x:c>
      <x:c r="I1339" s="54" t="n">
        <x:v>44651</x:v>
      </x:c>
      <x:c r="J1339" s="55" t="n">
        <x:v>28350</x:v>
      </x:c>
      <x:c r="K1339" s="55" t="n">
        <x:v>2968753088700</x:v>
      </x:c>
      <x:c r="L1339" s="55" t="n">
        <x:v>104717922</x:v>
      </x:c>
      <x:c r="M1339" t="str">
        <x:v>20220317001215</x:v>
      </x:c>
      <x:c r="N1339" t="n">
        <x:v>44637.624999988424</x:v>
      </x:c>
      <x:c r="O1339" s="54" t="n">
        <x:v>44561</x:v>
      </x:c>
      <x:c r="P1339" t="str">
        <x:v>False</x:v>
      </x:c>
      <x:c r="Q1339" t="str">
        <x:v>f64b3c79e40a2ceb1645ef31fe31ccca916ab600cdc6d604592b2c3031c2f744</x:v>
      </x:c>
      <x:c r="R1339" t="str">
        <x:v>e9b2f019099ecb24a9c28a1127d88758685b3d86aa672865957d93c7ccc37d57</x:v>
      </x:c>
      <x:c r="S1339" t="n">
        <x:v>6</x:v>
      </x:c>
      <x:c r="T1339" t="str">
        <x:v>2018-12-31|2019-12-31|2020-12-31|2021-12-31</x:v>
      </x:c>
      <x:c r="U1339" s="57" t="n">
        <x:v>-3644.2924059700817</x:v>
      </x:c>
      <x:c r="V1339" s="57" t="n">
        <x:v>-1.1285464693463874</x:v>
      </x:c>
      <x:c r="W1339"/>
      <x:c r="X1339"/>
      <x:c r="Y1339" s="38" t="n">
        <x:v>0.6409090909090909</x:v>
      </x:c>
      <x:c r="Z1339" s="38" t="n">
        <x:v>0.7332893647436171</x:v>
      </x:c>
      <x:c r="AA1339" t="str">
        <x:v>NON_POSITIVE_EQUITY_VALUE</x:v>
      </x:c>
    </x:row>
    <x:row r="1340">
      <x:c r="A1340" s="54" t="n">
        <x:v>44651</x:v>
      </x:c>
      <x:c r="B1340" t="n">
        <x:v>44651.624999988424</x:v>
      </x:c>
      <x:c r="C1340" t="str">
        <x:v>280360</x:v>
      </x:c>
      <x:c r="D1340" t="str">
        <x:v>롯데웰푸드</x:v>
      </x:c>
      <x:c r="E1340" t="str">
        <x:v>KOSPI</x:v>
      </x:c>
      <x:c r="F1340" t="str">
        <x:v>LARGE</x:v>
      </x:c>
      <x:c r="G1340" t="str">
        <x:v>ELIGIBLE</x:v>
      </x:c>
      <x:c r="H1340"/>
      <x:c r="I1340" s="54" t="n">
        <x:v>44651</x:v>
      </x:c>
      <x:c r="J1340" s="55" t="n">
        <x:v>117500</x:v>
      </x:c>
      <x:c r="K1340" s="55" t="n">
        <x:v>753964247500</x:v>
      </x:c>
      <x:c r="L1340" s="55" t="n">
        <x:v>6416717</x:v>
      </x:c>
      <x:c r="M1340" t="str">
        <x:v>20220315001046</x:v>
      </x:c>
      <x:c r="N1340" t="n">
        <x:v>44635.624999988424</x:v>
      </x:c>
      <x:c r="O1340" s="54" t="n">
        <x:v>44561</x:v>
      </x:c>
      <x:c r="P1340" t="str">
        <x:v>False</x:v>
      </x:c>
      <x:c r="Q1340" t="str">
        <x:v>f16cc84e5e84a78e01941a6d8724081baed110f487f36c5f2e64119753cf828a</x:v>
      </x:c>
      <x:c r="R1340" t="str">
        <x:v>bbe3dc1762297940426e40878e7befb3db43e1bb0b5e630c135b1803aa2730fd</x:v>
      </x:c>
      <x:c r="S1340" t="n">
        <x:v>5</x:v>
      </x:c>
      <x:c r="T1340" t="str">
        <x:v>2018-12-31|2019-12-31|2020-12-31|2021-12-31</x:v>
      </x:c>
      <x:c r="U1340" s="57" t="n">
        <x:v>298475.4004246722</x:v>
      </x:c>
      <x:c r="V1340" s="57" t="n">
        <x:v>1.5402161738269973</x:v>
      </x:c>
      <x:c r="W1340" t="n">
        <x:v>4</x:v>
      </x:c>
      <x:c r="X1340" t="n">
        <x:v>1</x:v>
      </x:c>
      <x:c r="Y1340" s="38" t="n">
        <x:v>0.6409090909090909</x:v>
      </x:c>
      <x:c r="Z1340" s="38" t="n">
        <x:v>0.7026857389622789</x:v>
      </x:c>
      <x:c r="AA1340"/>
    </x:row>
    <x:row r="1341">
      <x:c r="A1341" s="54" t="n">
        <x:v>44651</x:v>
      </x:c>
      <x:c r="B1341" t="n">
        <x:v>44651.624999988424</x:v>
      </x:c>
      <x:c r="C1341" t="str">
        <x:v>039130</x:v>
      </x:c>
      <x:c r="D1341" t="str">
        <x:v>하나투어</x:v>
      </x:c>
      <x:c r="E1341" t="str">
        <x:v>KOSPI</x:v>
      </x:c>
      <x:c r="F1341" t="str">
        <x:v>LARGE</x:v>
      </x:c>
      <x:c r="G1341" t="str">
        <x:v>DCF_SCREENING_EXCLUSION</x:v>
      </x:c>
      <x:c r="H1341" t="str">
        <x:v>NON_POSITIVE_ENTERPRISE_VALUE|NON_POSITIVE_EQUITY_VALUE|NON_POSITIVE_TERMINAL_FCF</x:v>
      </x:c>
      <x:c r="I1341" s="54" t="n">
        <x:v>44651</x:v>
      </x:c>
      <x:c r="J1341" s="55" t="n">
        <x:v>85000</x:v>
      </x:c>
      <x:c r="K1341" s="55" t="n">
        <x:v>1184830725000</x:v>
      </x:c>
      <x:c r="L1341" s="55" t="n">
        <x:v>13939185</x:v>
      </x:c>
      <x:c r="M1341" t="str">
        <x:v>20220317001007</x:v>
      </x:c>
      <x:c r="N1341" t="n">
        <x:v>44637.624999988424</x:v>
      </x:c>
      <x:c r="O1341" s="54" t="n">
        <x:v>44561</x:v>
      </x:c>
      <x:c r="P1341" t="str">
        <x:v>False</x:v>
      </x:c>
      <x:c r="Q1341" t="str">
        <x:v>5bcb1f2d50c33aafa6183c4f95a41750ae45bdd4edec6bb6a16bbf23458b852a</x:v>
      </x:c>
      <x:c r="R1341" t="str">
        <x:v>05ecb0980a80addf75d2f505184039d4bcbadff414cd00cf37a1f651754c284f</x:v>
      </x:c>
      <x:c r="S1341" t="n">
        <x:v>5</x:v>
      </x:c>
      <x:c r="T1341" t="str">
        <x:v>2018-12-31|2019-12-31|2020-12-31|2021-12-31</x:v>
      </x:c>
      <x:c r="U1341" s="57" t="n">
        <x:v>-13983.261160385266</x:v>
      </x:c>
      <x:c r="V1341" s="57" t="n">
        <x:v>-1.164508954828062</x:v>
      </x:c>
      <x:c r="W1341"/>
      <x:c r="X1341"/>
      <x:c r="Y1341" s="38" t="n">
        <x:v>0.6409090909090909</x:v>
      </x:c>
      <x:c r="Z1341" s="38" t="n">
        <x:v>0.6865240790654953</x:v>
      </x:c>
      <x:c r="AA1341" t="str">
        <x:v>NON_POSITIVE_ENTERPRISE_VALUE|NON_POSITIVE_EQUITY_VALUE|NON_POSITIVE_TERMINAL_FCF</x:v>
      </x:c>
    </x:row>
    <x:row r="1342">
      <x:c r="A1342" s="54" t="n">
        <x:v>44651</x:v>
      </x:c>
      <x:c r="B1342" t="n">
        <x:v>44651.624999988424</x:v>
      </x:c>
      <x:c r="C1342" t="str">
        <x:v>005690</x:v>
      </x:c>
      <x:c r="D1342" t="str">
        <x:v>파미셀</x:v>
      </x:c>
      <x:c r="E1342" t="str">
        <x:v>KOSPI</x:v>
      </x:c>
      <x:c r="F1342" t="str">
        <x:v>LARGE</x:v>
      </x:c>
      <x:c r="G1342" t="str">
        <x:v>ELIGIBLE</x:v>
      </x:c>
      <x:c r="H1342"/>
      <x:c r="I1342" s="54" t="n">
        <x:v>44651</x:v>
      </x:c>
      <x:c r="J1342" s="55" t="n">
        <x:v>11350</x:v>
      </x:c>
      <x:c r="K1342" s="55" t="n">
        <x:v>680534082500</x:v>
      </x:c>
      <x:c r="L1342" s="55" t="n">
        <x:v>59958950</x:v>
      </x:c>
      <x:c r="M1342" t="str">
        <x:v>20220315000612</x:v>
      </x:c>
      <x:c r="N1342" t="n">
        <x:v>44635.624999988424</x:v>
      </x:c>
      <x:c r="O1342" s="54" t="n">
        <x:v>44561</x:v>
      </x:c>
      <x:c r="P1342" t="str">
        <x:v>False</x:v>
      </x:c>
      <x:c r="Q1342" t="str">
        <x:v>c771552e6714a123b5de4fae842ee329f4a2e13c3bf0d7fb1e618ef6fa88916f</x:v>
      </x:c>
      <x:c r="R1342" t="str">
        <x:v>286775aaf5d0ab80a4885d275e6e2006e3ac08a907600682c39f41a095f54439</x:v>
      </x:c>
      <x:c r="S1342" t="n">
        <x:v>6</x:v>
      </x:c>
      <x:c r="T1342" t="str">
        <x:v>2018-12-31|2019-12-31|2020-12-31|2021-12-31</x:v>
      </x:c>
      <x:c r="U1342" s="57" t="n">
        <x:v>942.2444826082835</x:v>
      </x:c>
      <x:c r="V1342" s="57" t="n">
        <x:v>-0.9169828649684332</x:v>
      </x:c>
      <x:c r="W1342" t="n">
        <x:v>65</x:v>
      </x:c>
      <x:c r="X1342" t="n">
        <x:v>5</x:v>
      </x:c>
      <x:c r="Y1342" s="38" t="n">
        <x:v>0.6409090909090909</x:v>
      </x:c>
      <x:c r="Z1342" s="38" t="n">
        <x:v>0.7272764453764741</x:v>
      </x:c>
      <x:c r="AA1342"/>
    </x:row>
    <x:row r="1343">
      <x:c r="A1343" s="54" t="n">
        <x:v>44651</x:v>
      </x:c>
      <x:c r="B1343" t="n">
        <x:v>44651.624999988424</x:v>
      </x:c>
      <x:c r="C1343" t="str">
        <x:v>002030</x:v>
      </x:c>
      <x:c r="D1343" t="str">
        <x:v>아세아</x:v>
      </x:c>
      <x:c r="E1343" t="str">
        <x:v>KOSPI</x:v>
      </x:c>
      <x:c r="F1343" t="str">
        <x:v>LARGE</x:v>
      </x:c>
      <x:c r="G1343" t="str">
        <x:v>ELIGIBLE</x:v>
      </x:c>
      <x:c r="H1343"/>
      <x:c r="I1343" s="54" t="n">
        <x:v>44651</x:v>
      </x:c>
      <x:c r="J1343" s="55" t="n">
        <x:v>158500</x:v>
      </x:c>
      <x:c r="K1343" s="55" t="n">
        <x:v>347277304000</x:v>
      </x:c>
      <x:c r="L1343" s="55" t="n">
        <x:v>2191024</x:v>
      </x:c>
      <x:c r="M1343" t="str">
        <x:v>20220310001179</x:v>
      </x:c>
      <x:c r="N1343" t="n">
        <x:v>44630.624999988424</x:v>
      </x:c>
      <x:c r="O1343" s="54" t="n">
        <x:v>44561</x:v>
      </x:c>
      <x:c r="P1343" t="str">
        <x:v>False</x:v>
      </x:c>
      <x:c r="Q1343" t="str">
        <x:v>e8aa48af423f31c6f0ec59de3ffc4b0afef8af58c02763e735a75a1958951553</x:v>
      </x:c>
      <x:c r="R1343" t="str">
        <x:v>a686171d78d58caea12ee58aef85969ccf53c09680455e066e53afd9bc4b440e</x:v>
      </x:c>
      <x:c r="S1343" t="n">
        <x:v>6</x:v>
      </x:c>
      <x:c r="T1343" t="str">
        <x:v>2018-12-31|2019-12-31|2020-12-31|2021-12-31</x:v>
      </x:c>
      <x:c r="U1343" s="57" t="n">
        <x:v>656764.7552904254</x:v>
      </x:c>
      <x:c r="V1343" s="57" t="n">
        <x:v>3.143626216343378</x:v>
      </x:c>
      <x:c r="W1343" t="n">
        <x:v>3</x:v>
      </x:c>
      <x:c r="X1343" t="n">
        <x:v>1</x:v>
      </x:c>
      <x:c r="Y1343" s="38" t="n">
        <x:v>0.6409090909090909</x:v>
      </x:c>
      <x:c r="Z1343" s="38" t="n">
        <x:v>0.6683222274422937</x:v>
      </x:c>
      <x:c r="AA1343"/>
    </x:row>
    <x:row r="1344">
      <x:c r="A1344" s="54" t="n">
        <x:v>44651</x:v>
      </x:c>
      <x:c r="B1344" t="n">
        <x:v>44651.624999988424</x:v>
      </x:c>
      <x:c r="C1344" t="str">
        <x:v>009410</x:v>
      </x:c>
      <x:c r="D1344" t="str">
        <x:v>태영건설</x:v>
      </x:c>
      <x:c r="E1344" t="str">
        <x:v>KOSPI</x:v>
      </x:c>
      <x:c r="F1344" t="str">
        <x:v>LARGE</x:v>
      </x:c>
      <x:c r="G1344" t="str">
        <x:v>ELIGIBLE</x:v>
      </x:c>
      <x:c r="H1344"/>
      <x:c r="I1344" s="54" t="n">
        <x:v>44651</x:v>
      </x:c>
      <x:c r="J1344" s="55" t="n">
        <x:v>10200</x:v>
      </x:c>
      <x:c r="K1344" s="55" t="n">
        <x:v>396770799600</x:v>
      </x:c>
      <x:c r="L1344" s="55" t="n">
        <x:v>38899098</x:v>
      </x:c>
      <x:c r="M1344" t="str">
        <x:v>20220310001209</x:v>
      </x:c>
      <x:c r="N1344" t="n">
        <x:v>44630.624999988424</x:v>
      </x:c>
      <x:c r="O1344" s="54" t="n">
        <x:v>44561</x:v>
      </x:c>
      <x:c r="P1344" t="str">
        <x:v>False</x:v>
      </x:c>
      <x:c r="Q1344" t="str">
        <x:v>c3c8e2fb094477028fc3b807a9becd53f2d3fcf08a783fff5e8c5b89be705e0c</x:v>
      </x:c>
      <x:c r="R1344" t="str">
        <x:v>7a89d73d15b371faead427ed33d6e7853e8b10667ea5c57638e3913f076fd16b</x:v>
      </x:c>
      <x:c r="S1344" t="n">
        <x:v>6</x:v>
      </x:c>
      <x:c r="T1344" t="str">
        <x:v>2018-12-31|2019-12-31|2020-12-31|2021-12-31</x:v>
      </x:c>
      <x:c r="U1344" s="57" t="n">
        <x:v>54474.001680438516</x:v>
      </x:c>
      <x:c r="V1344" s="57" t="n">
        <x:v>4.340588400042992</x:v>
      </x:c>
      <x:c r="W1344" t="n">
        <x:v>1</x:v>
      </x:c>
      <x:c r="X1344" t="n">
        <x:v>1</x:v>
      </x:c>
      <x:c r="Y1344" s="38" t="n">
        <x:v>0.6409090909090909</x:v>
      </x:c>
      <x:c r="Z1344" s="38" t="n">
        <x:v>0.7547903731869546</x:v>
      </x:c>
      <x:c r="AA1344"/>
    </x:row>
    <x:row r="1345">
      <x:c r="A1345" s="54" t="n">
        <x:v>44651</x:v>
      </x:c>
      <x:c r="B1345" t="n">
        <x:v>44651.624999988424</x:v>
      </x:c>
      <x:c r="C1345" t="str">
        <x:v>010780</x:v>
      </x:c>
      <x:c r="D1345" t="str">
        <x:v>아이에스동서</x:v>
      </x:c>
      <x:c r="E1345" t="str">
        <x:v>KOSPI</x:v>
      </x:c>
      <x:c r="F1345" t="str">
        <x:v>LARGE</x:v>
      </x:c>
      <x:c r="G1345" t="str">
        <x:v>ELIGIBLE</x:v>
      </x:c>
      <x:c r="H1345"/>
      <x:c r="I1345" s="54" t="n">
        <x:v>44651</x:v>
      </x:c>
      <x:c r="J1345" s="55" t="n">
        <x:v>57000</x:v>
      </x:c>
      <x:c r="K1345" s="55" t="n">
        <x:v>1760878542000</x:v>
      </x:c>
      <x:c r="L1345" s="55" t="n">
        <x:v>30892606</x:v>
      </x:c>
      <x:c r="M1345" t="str">
        <x:v>20220317001305</x:v>
      </x:c>
      <x:c r="N1345" t="n">
        <x:v>44637.624999988424</x:v>
      </x:c>
      <x:c r="O1345" s="54" t="n">
        <x:v>44561</x:v>
      </x:c>
      <x:c r="P1345" t="str">
        <x:v>False</x:v>
      </x:c>
      <x:c r="Q1345" t="str">
        <x:v>c05e73b24baa90ac74b979ae28f0970a58df3cdddce5db19d9c196bad8831469</x:v>
      </x:c>
      <x:c r="R1345" t="str">
        <x:v>ef4e0e300d3d0d4e3d20d1f5488c803f7fc4c458e06071e652beec181eedc073</x:v>
      </x:c>
      <x:c r="S1345" t="n">
        <x:v>6</x:v>
      </x:c>
      <x:c r="T1345" t="str">
        <x:v>2018-12-31|2019-12-31|2020-12-31|2021-12-31</x:v>
      </x:c>
      <x:c r="U1345" s="57" t="n">
        <x:v>95452.99373152091</x:v>
      </x:c>
      <x:c r="V1345" s="57" t="n">
        <x:v>0.674613925114402</x:v>
      </x:c>
      <x:c r="W1345" t="n">
        <x:v>9</x:v>
      </x:c>
      <x:c r="X1345" t="n">
        <x:v>1</x:v>
      </x:c>
      <x:c r="Y1345" s="38" t="n">
        <x:v>0.6409090909090909</x:v>
      </x:c>
      <x:c r="Z1345" s="38" t="n">
        <x:v>0.7432360050182876</x:v>
      </x:c>
      <x:c r="AA1345"/>
    </x:row>
    <x:row r="1346">
      <x:c r="A1346" s="54" t="n">
        <x:v>44651</x:v>
      </x:c>
      <x:c r="B1346" t="n">
        <x:v>44651.624999988424</x:v>
      </x:c>
      <x:c r="C1346" t="str">
        <x:v>453340</x:v>
      </x:c>
      <x:c r="D1346" t="str">
        <x:v>현대그린푸드</x:v>
      </x:c>
      <x:c r="E1346" t="str">
        <x:v>KOSPI</x:v>
      </x:c>
      <x:c r="F1346" t="str">
        <x:v>LARGE</x:v>
      </x:c>
      <x:c r="G1346" t="str">
        <x:v>NOT_LISTED_OR_NO_PRICE</x:v>
      </x:c>
      <x:c r="H1346"/>
      <x:c r="I1346" s="54"/>
      <x:c r="J1346" s="55"/>
      <x:c r="K1346" s="55"/>
      <x:c r="L1346" s="55"/>
      <x:c r="M1346"/>
      <x:c r="N1346"/>
      <x:c r="O1346" s="54"/>
      <x:c r="P1346"/>
      <x:c r="Q1346"/>
      <x:c r="R1346"/>
      <x:c r="S1346"/>
      <x:c r="T1346"/>
      <x:c r="U1346" s="57"/>
      <x:c r="V1346" s="57"/>
      <x:c r="W1346"/>
      <x:c r="X1346"/>
      <x:c r="Y1346" s="38"/>
      <x:c r="Z1346" s="38"/>
      <x:c r="AA1346"/>
    </x:row>
    <x:row r="1347">
      <x:c r="A1347" s="54" t="n">
        <x:v>44651</x:v>
      </x:c>
      <x:c r="B1347" t="n">
        <x:v>44651.624999988424</x:v>
      </x:c>
      <x:c r="C1347" t="str">
        <x:v>006220</x:v>
      </x:c>
      <x:c r="D1347" t="str">
        <x:v>제주은행</x:v>
      </x:c>
      <x:c r="E1347" t="str">
        <x:v>KOSPI</x:v>
      </x:c>
      <x:c r="F1347" t="str">
        <x:v>LARGE</x:v>
      </x:c>
      <x:c r="G1347" t="str">
        <x:v>EXCLUDED_ARCHETYPE</x:v>
      </x:c>
      <x:c r="H1347" t="str">
        <x:v>FCFF_NOT_COMPARABLE_FOR_FINANCE_OR_HOLDING_HINT</x:v>
      </x:c>
      <x:c r="I1347" s="54"/>
      <x:c r="J1347" s="55"/>
      <x:c r="K1347" s="55"/>
      <x:c r="L1347" s="55"/>
      <x:c r="M1347"/>
      <x:c r="N1347"/>
      <x:c r="O1347" s="54"/>
      <x:c r="P1347"/>
      <x:c r="Q1347"/>
      <x:c r="R1347"/>
      <x:c r="S1347"/>
      <x:c r="T1347"/>
      <x:c r="U1347" s="57"/>
      <x:c r="V1347" s="57"/>
      <x:c r="W1347"/>
      <x:c r="X1347"/>
      <x:c r="Y1347" s="38"/>
      <x:c r="Z1347" s="38"/>
      <x:c r="AA1347"/>
    </x:row>
    <x:row r="1348">
      <x:c r="A1348" s="54" t="n">
        <x:v>44651</x:v>
      </x:c>
      <x:c r="B1348" t="n">
        <x:v>44651.624999988424</x:v>
      </x:c>
      <x:c r="C1348" t="str">
        <x:v>094800</x:v>
      </x:c>
      <x:c r="D1348" t="str">
        <x:v>맵스리얼티1</x:v>
      </x:c>
      <x:c r="E1348" t="str">
        <x:v>KOSPI</x:v>
      </x:c>
      <x:c r="F1348" t="str">
        <x:v>LARGE</x:v>
      </x:c>
      <x:c r="G1348" t="str">
        <x:v>NO_PIT_FINANCIALS</x:v>
      </x:c>
      <x:c r="H1348"/>
      <x:c r="I1348" s="54" t="n">
        <x:v>44651</x:v>
      </x:c>
      <x:c r="J1348" s="55" t="n">
        <x:v>4640</x:v>
      </x:c>
      <x:c r="K1348" s="55" t="n">
        <x:v>430751295840</x:v>
      </x:c>
      <x:c r="L1348" s="55" t="n">
        <x:v>92834331</x:v>
      </x:c>
      <x:c r="M1348"/>
      <x:c r="N1348"/>
      <x:c r="O1348" s="54"/>
      <x:c r="P1348"/>
      <x:c r="Q1348"/>
      <x:c r="R1348"/>
      <x:c r="S1348"/>
      <x:c r="T1348"/>
      <x:c r="U1348" s="57"/>
      <x:c r="V1348" s="57"/>
      <x:c r="W1348"/>
      <x:c r="X1348"/>
      <x:c r="Y1348" s="38"/>
      <x:c r="Z1348" s="38"/>
      <x:c r="AA1348"/>
    </x:row>
    <x:row r="1349">
      <x:c r="A1349" s="54" t="n">
        <x:v>44651</x:v>
      </x:c>
      <x:c r="B1349" t="n">
        <x:v>44651.624999988424</x:v>
      </x:c>
      <x:c r="C1349" t="str">
        <x:v>003160</x:v>
      </x:c>
      <x:c r="D1349" t="str">
        <x:v>디아이</x:v>
      </x:c>
      <x:c r="E1349" t="str">
        <x:v>KOSPI</x:v>
      </x:c>
      <x:c r="F1349" t="str">
        <x:v>LARGE</x:v>
      </x:c>
      <x:c r="G1349" t="str">
        <x:v>DCF_SCREENING_EXCLUSION</x:v>
      </x:c>
      <x:c r="H1349" t="str">
        <x:v>UNRELIABLE_TERMINAL_VALUE_SHARE</x:v>
      </x:c>
      <x:c r="I1349" s="54" t="n">
        <x:v>44651</x:v>
      </x:c>
      <x:c r="J1349" s="55" t="n">
        <x:v>8070</x:v>
      </x:c>
      <x:c r="K1349" s="55" t="n">
        <x:v>254179054950</x:v>
      </x:c>
      <x:c r="L1349" s="55" t="n">
        <x:v>31496785</x:v>
      </x:c>
      <x:c r="M1349" t="str">
        <x:v>20220317001034</x:v>
      </x:c>
      <x:c r="N1349" t="n">
        <x:v>44637.624999988424</x:v>
      </x:c>
      <x:c r="O1349" s="54" t="n">
        <x:v>44561</x:v>
      </x:c>
      <x:c r="P1349" t="str">
        <x:v>False</x:v>
      </x:c>
      <x:c r="Q1349" t="str">
        <x:v>f840bf80ccdf08030d39622021b7af1faf02c6755d42c5215f867726f3e69083</x:v>
      </x:c>
      <x:c r="R1349" t="str">
        <x:v>2b8b9a9b4b19408dccf729fe8d4593a595aa8d7e61e45153fcf6140e123bbc4d</x:v>
      </x:c>
      <x:c r="S1349" t="n">
        <x:v>6</x:v>
      </x:c>
      <x:c r="T1349" t="str">
        <x:v>2018-12-31|2019-12-31|2020-12-31|2021-12-31</x:v>
      </x:c>
      <x:c r="U1349" s="57" t="n">
        <x:v>869.8230903571238</x:v>
      </x:c>
      <x:c r="V1349" s="57" t="n">
        <x:v>-0.8922152304390181</x:v>
      </x:c>
      <x:c r="W1349"/>
      <x:c r="X1349"/>
      <x:c r="Y1349" s="38" t="n">
        <x:v>0.6409090909090909</x:v>
      </x:c>
      <x:c r="Z1349" s="38" t="n">
        <x:v>0.8713470186696386</x:v>
      </x:c>
      <x:c r="AA1349" t="str">
        <x:v>UNRELIABLE_TERMINAL_VALUE_SHARE</x:v>
      </x:c>
    </x:row>
    <x:row r="1350">
      <x:c r="A1350" s="54" t="n">
        <x:v>44651</x:v>
      </x:c>
      <x:c r="B1350" t="n">
        <x:v>44651.624999988424</x:v>
      </x:c>
      <x:c r="C1350" t="str">
        <x:v>001940</x:v>
      </x:c>
      <x:c r="D1350" t="str">
        <x:v>KISCO홀딩스</x:v>
      </x:c>
      <x:c r="E1350" t="str">
        <x:v>KOSPI</x:v>
      </x:c>
      <x:c r="F1350" t="str">
        <x:v>LARGE</x:v>
      </x:c>
      <x:c r="G1350" t="str">
        <x:v>EXCLUDED_ARCHETYPE</x:v>
      </x:c>
      <x:c r="H1350" t="str">
        <x:v>FCFF_NOT_COMPARABLE_FOR_FINANCE_OR_HOLDING_HINT</x:v>
      </x:c>
      <x:c r="I1350" s="54"/>
      <x:c r="J1350" s="55"/>
      <x:c r="K1350" s="55"/>
      <x:c r="L1350" s="55"/>
      <x:c r="M1350"/>
      <x:c r="N1350"/>
      <x:c r="O1350" s="54"/>
      <x:c r="P1350"/>
      <x:c r="Q1350"/>
      <x:c r="R1350"/>
      <x:c r="S1350"/>
      <x:c r="T1350"/>
      <x:c r="U1350" s="57"/>
      <x:c r="V1350" s="57"/>
      <x:c r="W1350"/>
      <x:c r="X1350"/>
      <x:c r="Y1350" s="38"/>
      <x:c r="Z1350" s="38"/>
      <x:c r="AA1350"/>
    </x:row>
    <x:row r="1351">
      <x:c r="A1351" s="54" t="n">
        <x:v>44651</x:v>
      </x:c>
      <x:c r="B1351" t="n">
        <x:v>44651.624999988424</x:v>
      </x:c>
      <x:c r="C1351" t="str">
        <x:v>009290</x:v>
      </x:c>
      <x:c r="D1351" t="str">
        <x:v>광동제약</x:v>
      </x:c>
      <x:c r="E1351" t="str">
        <x:v>KOSPI</x:v>
      </x:c>
      <x:c r="F1351" t="str">
        <x:v>LARGE</x:v>
      </x:c>
      <x:c r="G1351" t="str">
        <x:v>ELIGIBLE</x:v>
      </x:c>
      <x:c r="H1351"/>
      <x:c r="I1351" s="54" t="n">
        <x:v>44651</x:v>
      </x:c>
      <x:c r="J1351" s="55" t="n">
        <x:v>7520</x:v>
      </x:c>
      <x:c r="K1351" s="55" t="n">
        <x:v>394204799520</x:v>
      </x:c>
      <x:c r="L1351" s="55" t="n">
        <x:v>52420851</x:v>
      </x:c>
      <x:c r="M1351" t="str">
        <x:v>20220317000780</x:v>
      </x:c>
      <x:c r="N1351" t="n">
        <x:v>44637.624999988424</x:v>
      </x:c>
      <x:c r="O1351" s="54" t="n">
        <x:v>44561</x:v>
      </x:c>
      <x:c r="P1351" t="str">
        <x:v>False</x:v>
      </x:c>
      <x:c r="Q1351" t="str">
        <x:v>e44bc3d7ba370690742feb51621cea3aac8cb2c91d5b74a2a0d2498f719e465d</x:v>
      </x:c>
      <x:c r="R1351" t="str">
        <x:v>f31dc408005b1a30eaa364173e3ac5570532c4c28772770059a911b075764aae</x:v>
      </x:c>
      <x:c r="S1351" t="n">
        <x:v>6</x:v>
      </x:c>
      <x:c r="T1351" t="str">
        <x:v>2018-12-31|2019-12-31|2020-12-31|2021-12-31</x:v>
      </x:c>
      <x:c r="U1351" s="57" t="n">
        <x:v>6174.840700813396</x:v>
      </x:c>
      <x:c r="V1351" s="57" t="n">
        <x:v>-0.17887756638119723</x:v>
      </x:c>
      <x:c r="W1351" t="n">
        <x:v>21</x:v>
      </x:c>
      <x:c r="X1351" t="n">
        <x:v>2</x:v>
      </x:c>
      <x:c r="Y1351" s="38" t="n">
        <x:v>0.6409090909090909</x:v>
      </x:c>
      <x:c r="Z1351" s="38" t="n">
        <x:v>0.7309033788545352</x:v>
      </x:c>
      <x:c r="AA1351"/>
    </x:row>
    <x:row r="1352">
      <x:c r="A1352" s="54" t="n">
        <x:v>44742</x:v>
      </x:c>
      <x:c r="B1352" t="n">
        <x:v>44742.624999988424</x:v>
      </x:c>
      <x:c r="C1352" t="str">
        <x:v>168330</x:v>
      </x:c>
      <x:c r="D1352" t="str">
        <x:v>내츄럴엔도텍</x:v>
      </x:c>
      <x:c r="E1352" t="str">
        <x:v>KOSDAQ</x:v>
      </x:c>
      <x:c r="F1352" t="str">
        <x:v>SMALL</x:v>
      </x:c>
      <x:c r="G1352" t="str">
        <x:v>DCF_SCREENING_EXCLUSION</x:v>
      </x:c>
      <x:c r="H1352" t="str">
        <x:v>NON_POSITIVE_ENTERPRISE_VALUE|NON_POSITIVE_EQUITY_VALUE|NON_POSITIVE_TERMINAL_FCF</x:v>
      </x:c>
      <x:c r="I1352" s="54" t="n">
        <x:v>44742</x:v>
      </x:c>
      <x:c r="J1352" s="55" t="n">
        <x:v>4120</x:v>
      </x:c>
      <x:c r="K1352" s="55" t="n">
        <x:v>130830188000</x:v>
      </x:c>
      <x:c r="L1352" s="55" t="n">
        <x:v>31754900</x:v>
      </x:c>
      <x:c r="M1352" t="str">
        <x:v>20220321000680</x:v>
      </x:c>
      <x:c r="N1352" t="n">
        <x:v>44641.624999988424</x:v>
      </x:c>
      <x:c r="O1352" s="54" t="n">
        <x:v>44561</x:v>
      </x:c>
      <x:c r="P1352" t="str">
        <x:v>False</x:v>
      </x:c>
      <x:c r="Q1352" t="str">
        <x:v>a22a5e955f0d8d6304d77a81e230013a90d8fa1dbd4663cf29c710f31a85df12</x:v>
      </x:c>
      <x:c r="R1352" t="str">
        <x:v>4a4aae3091fc1f7611ddc20a26e3c3b2d9b6921dfb1cc13ffe134dc183433b0d</x:v>
      </x:c>
      <x:c r="S1352" t="n">
        <x:v>6</x:v>
      </x:c>
      <x:c r="T1352" t="str">
        <x:v>2018-12-31|2019-12-31|2020-12-31|2021-12-31</x:v>
      </x:c>
      <x:c r="U1352" s="57" t="n">
        <x:v>-1103.9311682589619</x:v>
      </x:c>
      <x:c r="V1352" s="57" t="n">
        <x:v>-1.267944458315282</x:v>
      </x:c>
      <x:c r="W1352"/>
      <x:c r="X1352"/>
      <x:c r="Y1352" s="38" t="n">
        <x:v>0.6409090909090909</x:v>
      </x:c>
      <x:c r="Z1352" s="38" t="n">
        <x:v>0.619354619431729</x:v>
      </x:c>
      <x:c r="AA1352" t="str">
        <x:v>NON_POSITIVE_ENTERPRISE_VALUE|NON_POSITIVE_EQUITY_VALUE|NON_POSITIVE_TERMINAL_FCF</x:v>
      </x:c>
    </x:row>
    <x:row r="1353">
      <x:c r="A1353" s="54" t="n">
        <x:v>44742</x:v>
      </x:c>
      <x:c r="B1353" t="n">
        <x:v>44742.624999988424</x:v>
      </x:c>
      <x:c r="C1353" t="str">
        <x:v>120240</x:v>
      </x:c>
      <x:c r="D1353" t="str">
        <x:v>대정화금</x:v>
      </x:c>
      <x:c r="E1353" t="str">
        <x:v>KOSDAQ</x:v>
      </x:c>
      <x:c r="F1353" t="str">
        <x:v>SMALL</x:v>
      </x:c>
      <x:c r="G1353" t="str">
        <x:v>DCF_SCREENING_EXCLUSION</x:v>
      </x:c>
      <x:c r="H1353" t="str">
        <x:v>UNRELIABLE_TERMINAL_VALUE_SHARE</x:v>
      </x:c>
      <x:c r="I1353" s="54" t="n">
        <x:v>44742</x:v>
      </x:c>
      <x:c r="J1353" s="55" t="n">
        <x:v>16500</x:v>
      </x:c>
      <x:c r="K1353" s="55" t="n">
        <x:v>118641451500</x:v>
      </x:c>
      <x:c r="L1353" s="55" t="n">
        <x:v>7190391</x:v>
      </x:c>
      <x:c r="M1353" t="str">
        <x:v>20220316000108</x:v>
      </x:c>
      <x:c r="N1353" t="n">
        <x:v>44636.624999988424</x:v>
      </x:c>
      <x:c r="O1353" s="54" t="n">
        <x:v>44561</x:v>
      </x:c>
      <x:c r="P1353" t="str">
        <x:v>False</x:v>
      </x:c>
      <x:c r="Q1353" t="str">
        <x:v>f2137e4cfbd7dad6e3845236ffc52f6936feb9f558511c760a15158653dc838a</x:v>
      </x:c>
      <x:c r="R1353" t="str">
        <x:v>61d3ec683bbb7c755de94613e6d870afb1cc1a462871743f7b15c8d0e5da5685</x:v>
      </x:c>
      <x:c r="S1353" t="n">
        <x:v>7</x:v>
      </x:c>
      <x:c r="T1353" t="str">
        <x:v>2018-12-31|2019-12-31|2020-12-31|2021-12-31</x:v>
      </x:c>
      <x:c r="U1353" s="57" t="n">
        <x:v>5596.37075362496</x:v>
      </x:c>
      <x:c r="V1353" s="57" t="n">
        <x:v>-0.6608260149318206</x:v>
      </x:c>
      <x:c r="W1353"/>
      <x:c r="X1353"/>
      <x:c r="Y1353" s="38" t="n">
        <x:v>0.6409090909090909</x:v>
      </x:c>
      <x:c r="Z1353" s="38" t="n">
        <x:v>0.905098847871658</x:v>
      </x:c>
      <x:c r="AA1353" t="str">
        <x:v>UNRELIABLE_TERMINAL_VALUE_SHARE</x:v>
      </x:c>
    </x:row>
    <x:row r="1354">
      <x:c r="A1354" s="54" t="n">
        <x:v>44742</x:v>
      </x:c>
      <x:c r="B1354" t="n">
        <x:v>44742.624999988424</x:v>
      </x:c>
      <x:c r="C1354" t="str">
        <x:v>348350</x:v>
      </x:c>
      <x:c r="D1354" t="str">
        <x:v>위드텍</x:v>
      </x:c>
      <x:c r="E1354" t="str">
        <x:v>KOSDAQ</x:v>
      </x:c>
      <x:c r="F1354" t="str">
        <x:v>SMALL</x:v>
      </x:c>
      <x:c r="G1354" t="str">
        <x:v>ELIGIBLE</x:v>
      </x:c>
      <x:c r="H1354"/>
      <x:c r="I1354" s="54" t="n">
        <x:v>44742</x:v>
      </x:c>
      <x:c r="J1354" s="55" t="n">
        <x:v>15000</x:v>
      </x:c>
      <x:c r="K1354" s="55" t="n">
        <x:v>152754000000</x:v>
      </x:c>
      <x:c r="L1354" s="55" t="n">
        <x:v>10183600</x:v>
      </x:c>
      <x:c r="M1354" t="str">
        <x:v>20220318000824</x:v>
      </x:c>
      <x:c r="N1354" t="n">
        <x:v>44638.624999988424</x:v>
      </x:c>
      <x:c r="O1354" s="54" t="n">
        <x:v>44561</x:v>
      </x:c>
      <x:c r="P1354" t="str">
        <x:v>False</x:v>
      </x:c>
      <x:c r="Q1354" t="str">
        <x:v>2729d0c33f8b488b8bb0a85b04599a9c0e44cecbb15645734153885029a189d7</x:v>
      </x:c>
      <x:c r="R1354" t="str">
        <x:v>58c9942c414bf9cc8cb27d803093fff949abdb014db6c15c233a2be5934a2cce</x:v>
      </x:c>
      <x:c r="S1354" t="n">
        <x:v>5</x:v>
      </x:c>
      <x:c r="T1354" t="str">
        <x:v>2020-12-31|2021-12-31</x:v>
      </x:c>
      <x:c r="U1354" s="57" t="n">
        <x:v>12305.808625906286</x:v>
      </x:c>
      <x:c r="V1354" s="57" t="n">
        <x:v>-0.17961275827291426</x:v>
      </x:c>
      <x:c r="W1354" t="n">
        <x:v>28</x:v>
      </x:c>
      <x:c r="X1354" t="n">
        <x:v>3</x:v>
      </x:c>
      <x:c r="Y1354" s="38" t="n">
        <x:v>0.6409090909090909</x:v>
      </x:c>
      <x:c r="Z1354" s="38" t="n">
        <x:v>0.6763585407839688</x:v>
      </x:c>
      <x:c r="AA1354"/>
    </x:row>
    <x:row r="1355">
      <x:c r="A1355" s="54" t="n">
        <x:v>44742</x:v>
      </x:c>
      <x:c r="B1355" t="n">
        <x:v>44742.624999988424</x:v>
      </x:c>
      <x:c r="C1355" t="str">
        <x:v>226330</x:v>
      </x:c>
      <x:c r="D1355" t="str">
        <x:v>신테카바이오</x:v>
      </x:c>
      <x:c r="E1355" t="str">
        <x:v>KOSDAQ</x:v>
      </x:c>
      <x:c r="F1355" t="str">
        <x:v>SMALL</x:v>
      </x:c>
      <x:c r="G1355" t="str">
        <x:v>DCF_SCREENING_EXCLUSION</x:v>
      </x:c>
      <x:c r="H1355" t="str">
        <x:v>NON_POSITIVE_ENTERPRISE_VALUE|NON_POSITIVE_TERMINAL_FCF</x:v>
      </x:c>
      <x:c r="I1355" s="54" t="n">
        <x:v>44742</x:v>
      </x:c>
      <x:c r="J1355" s="55" t="n">
        <x:v>9400</x:v>
      </x:c>
      <x:c r="K1355" s="55" t="n">
        <x:v>127066530400</x:v>
      </x:c>
      <x:c r="L1355" s="55" t="n">
        <x:v>13517716</x:v>
      </x:c>
      <x:c r="M1355" t="str">
        <x:v>20220325001075</x:v>
      </x:c>
      <x:c r="N1355" t="n">
        <x:v>44645.624999988424</x:v>
      </x:c>
      <x:c r="O1355" s="54" t="n">
        <x:v>44561</x:v>
      </x:c>
      <x:c r="P1355" t="str">
        <x:v>True</x:v>
      </x:c>
      <x:c r="Q1355" t="str">
        <x:v>f808ed36b40981ed378e9484ce7143a24e427cceb94dcd51686677ebe41823f1</x:v>
      </x:c>
      <x:c r="R1355" t="str">
        <x:v>c21a3b720ce6dc5dcc9b6ddd0e99c2b0090ed76e5c1b0da4deef579abead30de</x:v>
      </x:c>
      <x:c r="S1355" t="n">
        <x:v>5</x:v>
      </x:c>
      <x:c r="T1355" t="str">
        <x:v>2019-12-31|2020-12-31|2021-12-31</x:v>
      </x:c>
      <x:c r="U1355" s="57" t="n">
        <x:v>373.67636286010395</x:v>
      </x:c>
      <x:c r="V1355" s="57" t="n">
        <x:v>-0.9602471954404145</x:v>
      </x:c>
      <x:c r="W1355"/>
      <x:c r="X1355"/>
      <x:c r="Y1355" s="38" t="n">
        <x:v>0.6409090909090909</x:v>
      </x:c>
      <x:c r="Z1355" s="38" t="n">
        <x:v>0.6125806699299453</x:v>
      </x:c>
      <x:c r="AA1355" t="str">
        <x:v>NON_POSITIVE_ENTERPRISE_VALUE|NON_POSITIVE_TERMINAL_FCF</x:v>
      </x:c>
    </x:row>
    <x:row r="1356">
      <x:c r="A1356" s="54" t="n">
        <x:v>44742</x:v>
      </x:c>
      <x:c r="B1356" t="n">
        <x:v>44742.624999988424</x:v>
      </x:c>
      <x:c r="C1356" t="str">
        <x:v>215090</x:v>
      </x:c>
      <x:c r="D1356" t="str">
        <x:v>솔디펜스</x:v>
      </x:c>
      <x:c r="E1356" t="str">
        <x:v>KOSDAQ</x:v>
      </x:c>
      <x:c r="F1356" t="str">
        <x:v>SMALL</x:v>
      </x:c>
      <x:c r="G1356" t="str">
        <x:v>DCF_SCREENING_EXCLUSION</x:v>
      </x:c>
      <x:c r="H1356" t="str">
        <x:v>NON_POSITIVE_ENTERPRISE_VALUE|NON_POSITIVE_EQUITY_VALUE|NON_POSITIVE_TERMINAL_FCF</x:v>
      </x:c>
      <x:c r="I1356" s="54" t="n">
        <x:v>44742</x:v>
      </x:c>
      <x:c r="J1356" s="55" t="n">
        <x:v>1505</x:v>
      </x:c>
      <x:c r="K1356" s="55" t="n">
        <x:v>120843123170</x:v>
      </x:c>
      <x:c r="L1356" s="55" t="n">
        <x:v>80294434</x:v>
      </x:c>
      <x:c r="M1356" t="str">
        <x:v>20220322001144</x:v>
      </x:c>
      <x:c r="N1356" t="n">
        <x:v>44642.624999988424</x:v>
      </x:c>
      <x:c r="O1356" s="54" t="n">
        <x:v>44561</x:v>
      </x:c>
      <x:c r="P1356" t="str">
        <x:v>False</x:v>
      </x:c>
      <x:c r="Q1356" t="str">
        <x:v>40276901574d6aece73f7b57c55892afe00979d1d437551c5f2c2f5483865001</x:v>
      </x:c>
      <x:c r="R1356" t="str">
        <x:v>c26baaa7afd91d68dbd8e191261f96e0eecd1a4c9dbb6ccd89e0a539a09f04a2</x:v>
      </x:c>
      <x:c r="S1356" t="n">
        <x:v>5</x:v>
      </x:c>
      <x:c r="T1356" t="str">
        <x:v>2018-12-31|2019-12-31|2020-12-31|2021-12-31</x:v>
      </x:c>
      <x:c r="U1356" s="57" t="n">
        <x:v>-270.3993691558958</x:v>
      </x:c>
      <x:c r="V1356" s="57" t="n">
        <x:v>-1.179667354920861</x:v>
      </x:c>
      <x:c r="W1356"/>
      <x:c r="X1356"/>
      <x:c r="Y1356" s="38" t="n">
        <x:v>0.6409090909090909</x:v>
      </x:c>
      <x:c r="Z1356" s="38" t="n">
        <x:v>0.5457100409369903</x:v>
      </x:c>
      <x:c r="AA1356" t="str">
        <x:v>NON_POSITIVE_ENTERPRISE_VALUE|NON_POSITIVE_EQUITY_VALUE|NON_POSITIVE_TERMINAL_FCF</x:v>
      </x:c>
    </x:row>
    <x:row r="1357">
      <x:c r="A1357" s="54" t="n">
        <x:v>44742</x:v>
      </x:c>
      <x:c r="B1357" t="n">
        <x:v>44742.624999988424</x:v>
      </x:c>
      <x:c r="C1357" t="str">
        <x:v>185490</x:v>
      </x:c>
      <x:c r="D1357" t="str">
        <x:v>아이진</x:v>
      </x:c>
      <x:c r="E1357" t="str">
        <x:v>KOSDAQ</x:v>
      </x:c>
      <x:c r="F1357" t="str">
        <x:v>SMALL</x:v>
      </x:c>
      <x:c r="G1357" t="str">
        <x:v>DCF_SCREENING_EXCLUSION</x:v>
      </x:c>
      <x:c r="H1357" t="str">
        <x:v>NON_POSITIVE_ENTERPRISE_VALUE|NON_POSITIVE_EQUITY_VALUE|NON_POSITIVE_TERMINAL_FCF</x:v>
      </x:c>
      <x:c r="I1357" s="54" t="n">
        <x:v>44742</x:v>
      </x:c>
      <x:c r="J1357" s="55" t="n">
        <x:v>8380</x:v>
      </x:c>
      <x:c r="K1357" s="55" t="n">
        <x:v>179453325640</x:v>
      </x:c>
      <x:c r="L1357" s="55" t="n">
        <x:v>21414478</x:v>
      </x:c>
      <x:c r="M1357" t="str">
        <x:v>20220517000419</x:v>
      </x:c>
      <x:c r="N1357" t="n">
        <x:v>44699.624999988424</x:v>
      </x:c>
      <x:c r="O1357" s="54" t="n">
        <x:v>44561</x:v>
      </x:c>
      <x:c r="P1357" t="str">
        <x:v>True</x:v>
      </x:c>
      <x:c r="Q1357" t="str">
        <x:v>f4dbab5a9339a0a7c3ea97f743741cd5b1919cb5057738e37251f09b88911162</x:v>
      </x:c>
      <x:c r="R1357" t="str">
        <x:v>bd210d9a68e2dd4917f2f0b1eb65b0afad69632d8ca62da136bddf40bf3300b2</x:v>
      </x:c>
      <x:c r="S1357" t="n">
        <x:v>5</x:v>
      </x:c>
      <x:c r="T1357" t="str">
        <x:v>2018-12-31|2019-12-31|2020-12-31|2021-12-31</x:v>
      </x:c>
      <x:c r="U1357" s="57" t="n">
        <x:v>-139.3231062590447</x:v>
      </x:c>
      <x:c r="V1357" s="57" t="n">
        <x:v>-1.0166256690046593</x:v>
      </x:c>
      <x:c r="W1357"/>
      <x:c r="X1357"/>
      <x:c r="Y1357" s="38" t="n">
        <x:v>0.6409090909090909</x:v>
      </x:c>
      <x:c r="Z1357" s="38" t="n">
        <x:v>0.6188730723228777</x:v>
      </x:c>
      <x:c r="AA1357" t="str">
        <x:v>NON_POSITIVE_ENTERPRISE_VALUE|NON_POSITIVE_EQUITY_VALUE|NON_POSITIVE_TERMINAL_FCF</x:v>
      </x:c>
    </x:row>
    <x:row r="1358">
      <x:c r="A1358" s="54" t="n">
        <x:v>44742</x:v>
      </x:c>
      <x:c r="B1358" t="n">
        <x:v>44742.624999988424</x:v>
      </x:c>
      <x:c r="C1358" t="str">
        <x:v>333620</x:v>
      </x:c>
      <x:c r="D1358" t="str">
        <x:v>엔시스</x:v>
      </x:c>
      <x:c r="E1358" t="str">
        <x:v>KOSDAQ</x:v>
      </x:c>
      <x:c r="F1358" t="str">
        <x:v>SMALL</x:v>
      </x:c>
      <x:c r="G1358" t="str">
        <x:v>ELIGIBLE</x:v>
      </x:c>
      <x:c r="H1358"/>
      <x:c r="I1358" s="54" t="n">
        <x:v>44742</x:v>
      </x:c>
      <x:c r="J1358" s="55" t="n">
        <x:v>13050</x:v>
      </x:c>
      <x:c r="K1358" s="55" t="n">
        <x:v>137760289200</x:v>
      </x:c>
      <x:c r="L1358" s="55" t="n">
        <x:v>10556344</x:v>
      </x:c>
      <x:c r="M1358" t="str">
        <x:v>20220323000235</x:v>
      </x:c>
      <x:c r="N1358" t="n">
        <x:v>44643.624999988424</x:v>
      </x:c>
      <x:c r="O1358" s="54" t="n">
        <x:v>44561</x:v>
      </x:c>
      <x:c r="P1358" t="str">
        <x:v>False</x:v>
      </x:c>
      <x:c r="Q1358" t="str">
        <x:v>e79b7284eff2a90a38ec72f27d71732356db7a1e9c984d4a7d2b48c420d4b839</x:v>
      </x:c>
      <x:c r="R1358" t="str">
        <x:v>7e006979238b4411b427ffb934ead83cbe683db6f50d7f091e2667e348d04d7b</x:v>
      </x:c>
      <x:c r="S1358" t="n">
        <x:v>6</x:v>
      </x:c>
      <x:c r="T1358" t="str">
        <x:v>2020-12-31|2021-12-31</x:v>
      </x:c>
      <x:c r="U1358" s="57" t="n">
        <x:v>5977.9445546388615</x:v>
      </x:c>
      <x:c r="V1358" s="57" t="n">
        <x:v>-0.5419199574989378</x:v>
      </x:c>
      <x:c r="W1358" t="n">
        <x:v>44</x:v>
      </x:c>
      <x:c r="X1358" t="n">
        <x:v>4</x:v>
      </x:c>
      <x:c r="Y1358" s="38" t="n">
        <x:v>0.6409090909090909</x:v>
      </x:c>
      <x:c r="Z1358" s="38" t="n">
        <x:v>0.6935321663021952</x:v>
      </x:c>
      <x:c r="AA1358"/>
    </x:row>
    <x:row r="1359">
      <x:c r="A1359" s="54" t="n">
        <x:v>44742</x:v>
      </x:c>
      <x:c r="B1359" t="n">
        <x:v>44742.624999988424</x:v>
      </x:c>
      <x:c r="C1359" t="str">
        <x:v>036710</x:v>
      </x:c>
      <x:c r="D1359" t="str">
        <x:v>심텍홀딩스</x:v>
      </x:c>
      <x:c r="E1359" t="str">
        <x:v>KOSDAQ</x:v>
      </x:c>
      <x:c r="F1359" t="str">
        <x:v>SMALL</x:v>
      </x:c>
      <x:c r="G1359" t="str">
        <x:v>EXCLUDED_ARCHETYPE</x:v>
      </x:c>
      <x:c r="H1359" t="str">
        <x:v>FCFF_NOT_COMPARABLE_FOR_FINANCE_OR_HOLDING_HINT</x:v>
      </x:c>
      <x:c r="I1359" s="54"/>
      <x:c r="J1359" s="55"/>
      <x:c r="K1359" s="55"/>
      <x:c r="L1359" s="55"/>
      <x:c r="M1359"/>
      <x:c r="N1359"/>
      <x:c r="O1359" s="54"/>
      <x:c r="P1359"/>
      <x:c r="Q1359"/>
      <x:c r="R1359"/>
      <x:c r="S1359"/>
      <x:c r="T1359"/>
      <x:c r="U1359" s="57"/>
      <x:c r="V1359" s="57"/>
      <x:c r="W1359"/>
      <x:c r="X1359"/>
      <x:c r="Y1359" s="38"/>
      <x:c r="Z1359" s="38"/>
      <x:c r="AA1359"/>
    </x:row>
    <x:row r="1360">
      <x:c r="A1360" s="54" t="n">
        <x:v>44742</x:v>
      </x:c>
      <x:c r="B1360" t="n">
        <x:v>44742.624999988424</x:v>
      </x:c>
      <x:c r="C1360" t="str">
        <x:v>049480</x:v>
      </x:c>
      <x:c r="D1360" t="str">
        <x:v>오픈베이스</x:v>
      </x:c>
      <x:c r="E1360" t="str">
        <x:v>KOSDAQ</x:v>
      </x:c>
      <x:c r="F1360" t="str">
        <x:v>SMALL</x:v>
      </x:c>
      <x:c r="G1360" t="str">
        <x:v>ELIGIBLE</x:v>
      </x:c>
      <x:c r="H1360"/>
      <x:c r="I1360" s="54" t="n">
        <x:v>44742</x:v>
      </x:c>
      <x:c r="J1360" s="55" t="n">
        <x:v>2685</x:v>
      </x:c>
      <x:c r="K1360" s="55" t="n">
        <x:v>84369098355</x:v>
      </x:c>
      <x:c r="L1360" s="55" t="n">
        <x:v>31422383</x:v>
      </x:c>
      <x:c r="M1360" t="str">
        <x:v>20220331000651</x:v>
      </x:c>
      <x:c r="N1360" t="n">
        <x:v>44651.624999988424</x:v>
      </x:c>
      <x:c r="O1360" s="54" t="n">
        <x:v>44561</x:v>
      </x:c>
      <x:c r="P1360" t="str">
        <x:v>True</x:v>
      </x:c>
      <x:c r="Q1360" t="str">
        <x:v>cd2fefca2ce620b233077ae0bdfb74587d3594740b8d2de6a681f1e5c21247bb</x:v>
      </x:c>
      <x:c r="R1360" t="str">
        <x:v>ceae9fb7724f25d07ef1071bcc2056646414fd83d98510811882559b5191e7d6</x:v>
      </x:c>
      <x:c r="S1360" t="n">
        <x:v>6</x:v>
      </x:c>
      <x:c r="T1360" t="str">
        <x:v>2018-12-31|2019-12-31|2020-12-31|2021-12-31</x:v>
      </x:c>
      <x:c r="U1360" s="57" t="n">
        <x:v>1607.4184644032093</x:v>
      </x:c>
      <x:c r="V1360" s="57" t="n">
        <x:v>-0.4013339052502014</x:v>
      </x:c>
      <x:c r="W1360" t="n">
        <x:v>37</x:v>
      </x:c>
      <x:c r="X1360" t="n">
        <x:v>3</x:v>
      </x:c>
      <x:c r="Y1360" s="38" t="n">
        <x:v>0.6409090909090909</x:v>
      </x:c>
      <x:c r="Z1360" s="38" t="n">
        <x:v>0.5397986934105109</x:v>
      </x:c>
      <x:c r="AA1360"/>
    </x:row>
    <x:row r="1361">
      <x:c r="A1361" s="54" t="n">
        <x:v>44742</x:v>
      </x:c>
      <x:c r="B1361" t="n">
        <x:v>44742.624999988424</x:v>
      </x:c>
      <x:c r="C1361" t="str">
        <x:v>302430</x:v>
      </x:c>
      <x:c r="D1361" t="str">
        <x:v>이노메트리</x:v>
      </x:c>
      <x:c r="E1361" t="str">
        <x:v>KOSDAQ</x:v>
      </x:c>
      <x:c r="F1361" t="str">
        <x:v>SMALL</x:v>
      </x:c>
      <x:c r="G1361" t="str">
        <x:v>ELIGIBLE</x:v>
      </x:c>
      <x:c r="H1361"/>
      <x:c r="I1361" s="54" t="n">
        <x:v>44742</x:v>
      </x:c>
      <x:c r="J1361" s="55" t="n">
        <x:v>9420</x:v>
      </x:c>
      <x:c r="K1361" s="55" t="n">
        <x:v>92628819360</x:v>
      </x:c>
      <x:c r="L1361" s="55" t="n">
        <x:v>9833208</x:v>
      </x:c>
      <x:c r="M1361" t="str">
        <x:v>20220316000910</x:v>
      </x:c>
      <x:c r="N1361" t="n">
        <x:v>44636.624999988424</x:v>
      </x:c>
      <x:c r="O1361" s="54" t="n">
        <x:v>44561</x:v>
      </x:c>
      <x:c r="P1361" t="str">
        <x:v>False</x:v>
      </x:c>
      <x:c r="Q1361" t="str">
        <x:v>62f74c705c0287867a4c198ce0da7e369d5f1ba7b5afee44ee823211b781ac7d</x:v>
      </x:c>
      <x:c r="R1361" t="str">
        <x:v>1802b265b988d32d7ea737dd304269e072d114d979a13e4fa1f7d910c3227b5f</x:v>
      </x:c>
      <x:c r="S1361" t="n">
        <x:v>6</x:v>
      </x:c>
      <x:c r="T1361" t="str">
        <x:v>2018-12-31|2019-12-31|2020-12-31|2021-12-31</x:v>
      </x:c>
      <x:c r="U1361" s="57" t="n">
        <x:v>2119.7587558255723</x:v>
      </x:c>
      <x:c r="V1361" s="57" t="n">
        <x:v>-0.7749725312287078</x:v>
      </x:c>
      <x:c r="W1361" t="n">
        <x:v>56</x:v>
      </x:c>
      <x:c r="X1361" t="n">
        <x:v>5</x:v>
      </x:c>
      <x:c r="Y1361" s="38" t="n">
        <x:v>0.6409090909090909</x:v>
      </x:c>
      <x:c r="Z1361" s="38" t="n">
        <x:v>0.7873695239620717</x:v>
      </x:c>
      <x:c r="AA1361"/>
    </x:row>
    <x:row r="1362">
      <x:c r="A1362" s="54" t="n">
        <x:v>44742</x:v>
      </x:c>
      <x:c r="B1362" t="n">
        <x:v>44742.624999988424</x:v>
      </x:c>
      <x:c r="C1362" t="str">
        <x:v>288620</x:v>
      </x:c>
      <x:c r="D1362" t="str">
        <x:v>에스퓨얼셀</x:v>
      </x:c>
      <x:c r="E1362" t="str">
        <x:v>KOSDAQ</x:v>
      </x:c>
      <x:c r="F1362" t="str">
        <x:v>SMALL</x:v>
      </x:c>
      <x:c r="G1362" t="str">
        <x:v>DCF_SCREENING_EXCLUSION</x:v>
      </x:c>
      <x:c r="H1362" t="str">
        <x:v>NON_POSITIVE_EQUITY_VALUE|UNRELIABLE_TERMINAL_VALUE_SHARE</x:v>
      </x:c>
      <x:c r="I1362" s="54" t="n">
        <x:v>44742</x:v>
      </x:c>
      <x:c r="J1362" s="55" t="n">
        <x:v>23000</x:v>
      </x:c>
      <x:c r="K1362" s="55" t="n">
        <x:v>158109268000</x:v>
      </x:c>
      <x:c r="L1362" s="55" t="n">
        <x:v>6874316</x:v>
      </x:c>
      <x:c r="M1362" t="str">
        <x:v>20220316000858</x:v>
      </x:c>
      <x:c r="N1362" t="n">
        <x:v>44636.624999988424</x:v>
      </x:c>
      <x:c r="O1362" s="54" t="n">
        <x:v>44561</x:v>
      </x:c>
      <x:c r="P1362" t="str">
        <x:v>False</x:v>
      </x:c>
      <x:c r="Q1362" t="str">
        <x:v>c43ba4ca846bcc7a6ae957e8045ba55fbc4d2b00e8cd6ddd287a6026e0b76609</x:v>
      </x:c>
      <x:c r="R1362" t="str">
        <x:v>63f4d5399d531c1f92304b72d0f65d395dd887a64341d1f031e786d4613b1267</x:v>
      </x:c>
      <x:c r="S1362" t="n">
        <x:v>6</x:v>
      </x:c>
      <x:c r="T1362" t="str">
        <x:v>2018-12-31|2019-12-31|2020-12-31|2021-12-31</x:v>
      </x:c>
      <x:c r="U1362" s="57" t="n">
        <x:v>-1554.5731783956426</x:v>
      </x:c>
      <x:c r="V1362" s="57" t="n">
        <x:v>-1.0675901381911148</x:v>
      </x:c>
      <x:c r="W1362"/>
      <x:c r="X1362"/>
      <x:c r="Y1362" s="38" t="n">
        <x:v>0.6409090909090909</x:v>
      </x:c>
      <x:c r="Z1362" s="38" t="n">
        <x:v>1.56886999524186</x:v>
      </x:c>
      <x:c r="AA1362" t="str">
        <x:v>NON_POSITIVE_EQUITY_VALUE|UNRELIABLE_TERMINAL_VALUE_SHARE</x:v>
      </x:c>
    </x:row>
    <x:row r="1363">
      <x:c r="A1363" s="54" t="n">
        <x:v>44742</x:v>
      </x:c>
      <x:c r="B1363" t="n">
        <x:v>44742.624999988424</x:v>
      </x:c>
      <x:c r="C1363" t="str">
        <x:v>094840</x:v>
      </x:c>
      <x:c r="D1363" t="str">
        <x:v>슈프리마에이치큐</x:v>
      </x:c>
      <x:c r="E1363" t="str">
        <x:v>KOSDAQ</x:v>
      </x:c>
      <x:c r="F1363" t="str">
        <x:v>SMALL</x:v>
      </x:c>
      <x:c r="G1363" t="str">
        <x:v>ELIGIBLE</x:v>
      </x:c>
      <x:c r="H1363"/>
      <x:c r="I1363" s="54" t="n">
        <x:v>44742</x:v>
      </x:c>
      <x:c r="J1363" s="55" t="n">
        <x:v>5990</x:v>
      </x:c>
      <x:c r="K1363" s="55" t="n">
        <x:v>62726321600</x:v>
      </x:c>
      <x:c r="L1363" s="55" t="n">
        <x:v>10471840</x:v>
      </x:c>
      <x:c r="M1363" t="str">
        <x:v>20220315001144</x:v>
      </x:c>
      <x:c r="N1363" t="n">
        <x:v>44635.624999988424</x:v>
      </x:c>
      <x:c r="O1363" s="54" t="n">
        <x:v>44561</x:v>
      </x:c>
      <x:c r="P1363" t="str">
        <x:v>False</x:v>
      </x:c>
      <x:c r="Q1363" t="str">
        <x:v>3055b44bdf1a0bc3f1c2b63955ecab3f1f8befbe36f39b51c0ee4f27cc1e2216</x:v>
      </x:c>
      <x:c r="R1363" t="str">
        <x:v>0a9461d98757f448405ad4567d4387ef3bd81a693a35a4285e52fba80d932a13</x:v>
      </x:c>
      <x:c r="S1363" t="n">
        <x:v>6</x:v>
      </x:c>
      <x:c r="T1363" t="str">
        <x:v>2018-12-31|2019-12-31|2020-12-31|2021-12-31</x:v>
      </x:c>
      <x:c r="U1363" s="57" t="n">
        <x:v>5564.559591376181</x:v>
      </x:c>
      <x:c r="V1363" s="57" t="n">
        <x:v>-0.07102510995389302</x:v>
      </x:c>
      <x:c r="W1363" t="n">
        <x:v>24</x:v>
      </x:c>
      <x:c r="X1363" t="n">
        <x:v>2</x:v>
      </x:c>
      <x:c r="Y1363" s="38" t="n">
        <x:v>0.6409090909090909</x:v>
      </x:c>
      <x:c r="Z1363" s="38" t="n">
        <x:v>0.6038666227370082</x:v>
      </x:c>
      <x:c r="AA1363"/>
    </x:row>
    <x:row r="1364">
      <x:c r="A1364" s="54" t="n">
        <x:v>44742</x:v>
      </x:c>
      <x:c r="B1364" t="n">
        <x:v>44742.624999988424</x:v>
      </x:c>
      <x:c r="C1364" t="str">
        <x:v>019990</x:v>
      </x:c>
      <x:c r="D1364" t="str">
        <x:v>에너토크</x:v>
      </x:c>
      <x:c r="E1364" t="str">
        <x:v>KOSDAQ</x:v>
      </x:c>
      <x:c r="F1364" t="str">
        <x:v>SMALL</x:v>
      </x:c>
      <x:c r="G1364" t="str">
        <x:v>DCF_SCREENING_EXCLUSION</x:v>
      </x:c>
      <x:c r="H1364" t="str">
        <x:v>NON_POSITIVE_ENTERPRISE_VALUE|NON_POSITIVE_EQUITY_VALUE|NON_POSITIVE_TERMINAL_FCF</x:v>
      </x:c>
      <x:c r="I1364" s="54" t="n">
        <x:v>44742</x:v>
      </x:c>
      <x:c r="J1364" s="55" t="n">
        <x:v>10900</x:v>
      </x:c>
      <x:c r="K1364" s="55" t="n">
        <x:v>106341359200</x:v>
      </x:c>
      <x:c r="L1364" s="55" t="n">
        <x:v>9756088</x:v>
      </x:c>
      <x:c r="M1364" t="str">
        <x:v>20220317001066</x:v>
      </x:c>
      <x:c r="N1364" t="n">
        <x:v>44637.624999988424</x:v>
      </x:c>
      <x:c r="O1364" s="54" t="n">
        <x:v>44561</x:v>
      </x:c>
      <x:c r="P1364" t="str">
        <x:v>False</x:v>
      </x:c>
      <x:c r="Q1364" t="str">
        <x:v>089b7c92444a9ef621a7bf8f5273ef6fdef7220071b096c9fe7f43e742e55092</x:v>
      </x:c>
      <x:c r="R1364" t="str">
        <x:v>35368cfe0bb7705445e965c9724628dcf461681b5765679f98fd5eb478d15561</x:v>
      </x:c>
      <x:c r="S1364" t="n">
        <x:v>7</x:v>
      </x:c>
      <x:c r="T1364" t="str">
        <x:v>2018-12-31|2019-12-31|2020-12-31|2021-12-31</x:v>
      </x:c>
      <x:c r="U1364" s="57" t="n">
        <x:v>-456.7175493444326</x:v>
      </x:c>
      <x:c r="V1364" s="57" t="n">
        <x:v>-1.0419006926004066</x:v>
      </x:c>
      <x:c r="W1364"/>
      <x:c r="X1364"/>
      <x:c r="Y1364" s="38" t="n">
        <x:v>0.6409090909090909</x:v>
      </x:c>
      <x:c r="Z1364" s="38" t="n">
        <x:v>0.7116290567781939</x:v>
      </x:c>
      <x:c r="AA1364" t="str">
        <x:v>NON_POSITIVE_ENTERPRISE_VALUE|NON_POSITIVE_EQUITY_VALUE|NON_POSITIVE_TERMINAL_FCF</x:v>
      </x:c>
    </x:row>
    <x:row r="1365">
      <x:c r="A1365" s="54" t="n">
        <x:v>44742</x:v>
      </x:c>
      <x:c r="B1365" t="n">
        <x:v>44742.624999988424</x:v>
      </x:c>
      <x:c r="C1365" t="str">
        <x:v>024740</x:v>
      </x:c>
      <x:c r="D1365" t="str">
        <x:v>한일단조</x:v>
      </x:c>
      <x:c r="E1365" t="str">
        <x:v>KOSDAQ</x:v>
      </x:c>
      <x:c r="F1365" t="str">
        <x:v>SMALL</x:v>
      </x:c>
      <x:c r="G1365" t="str">
        <x:v>DCF_SCREENING_EXCLUSION</x:v>
      </x:c>
      <x:c r="H1365" t="str">
        <x:v>NON_POSITIVE_ENTERPRISE_VALUE|NON_POSITIVE_EQUITY_VALUE|NON_POSITIVE_TERMINAL_FCF</x:v>
      </x:c>
      <x:c r="I1365" s="54" t="n">
        <x:v>44742</x:v>
      </x:c>
      <x:c r="J1365" s="55" t="n">
        <x:v>2805</x:v>
      </x:c>
      <x:c r="K1365" s="55" t="n">
        <x:v>83845175040</x:v>
      </x:c>
      <x:c r="L1365" s="55" t="n">
        <x:v>29891328</x:v>
      </x:c>
      <x:c r="M1365" t="str">
        <x:v>20220321001231</x:v>
      </x:c>
      <x:c r="N1365" t="n">
        <x:v>44641.624999988424</x:v>
      </x:c>
      <x:c r="O1365" s="54" t="n">
        <x:v>44561</x:v>
      </x:c>
      <x:c r="P1365" t="str">
        <x:v>False</x:v>
      </x:c>
      <x:c r="Q1365" t="str">
        <x:v>077840fee17f9af01264f3120dec1ee29756194c7c19af5659e583de5ce8f598</x:v>
      </x:c>
      <x:c r="R1365" t="str">
        <x:v>9d7fb519c7e09e3d52a3f8a4abbfcc60bd191659ab3ce71252b605384b0a1be2</x:v>
      </x:c>
      <x:c r="S1365" t="n">
        <x:v>7</x:v>
      </x:c>
      <x:c r="T1365" t="str">
        <x:v>2018-12-31|2019-12-31|2020-12-31|2021-12-31</x:v>
      </x:c>
      <x:c r="U1365" s="57" t="n">
        <x:v>-3356.488536663042</x:v>
      </x:c>
      <x:c r="V1365" s="57" t="n">
        <x:v>-2.196609103979694</x:v>
      </x:c>
      <x:c r="W1365"/>
      <x:c r="X1365"/>
      <x:c r="Y1365" s="38" t="n">
        <x:v>0.6409090909090909</x:v>
      </x:c>
      <x:c r="Z1365" s="38" t="n">
        <x:v>0.40181597915254924</x:v>
      </x:c>
      <x:c r="AA1365" t="str">
        <x:v>NON_POSITIVE_ENTERPRISE_VALUE|NON_POSITIVE_EQUITY_VALUE|NON_POSITIVE_TERMINAL_FCF</x:v>
      </x:c>
    </x:row>
    <x:row r="1366">
      <x:c r="A1366" s="54" t="n">
        <x:v>44742</x:v>
      </x:c>
      <x:c r="B1366" t="n">
        <x:v>44742.624999988424</x:v>
      </x:c>
      <x:c r="C1366" t="str">
        <x:v>340930</x:v>
      </x:c>
      <x:c r="D1366" t="str">
        <x:v>유일에너테크</x:v>
      </x:c>
      <x:c r="E1366" t="str">
        <x:v>KOSDAQ</x:v>
      </x:c>
      <x:c r="F1366" t="str">
        <x:v>SMALL</x:v>
      </x:c>
      <x:c r="G1366" t="str">
        <x:v>DCF_SCREENING_EXCLUSION</x:v>
      </x:c>
      <x:c r="H1366" t="str">
        <x:v>NON_POSITIVE_ENTERPRISE_VALUE|NON_POSITIVE_EQUITY_VALUE|NON_POSITIVE_TERMINAL_FCF</x:v>
      </x:c>
      <x:c r="I1366" s="54" t="n">
        <x:v>44742</x:v>
      </x:c>
      <x:c r="J1366" s="55" t="n">
        <x:v>13200</x:v>
      </x:c>
      <x:c r="K1366" s="55" t="n">
        <x:v>140906620800</x:v>
      </x:c>
      <x:c r="L1366" s="55" t="n">
        <x:v>10674744</x:v>
      </x:c>
      <x:c r="M1366" t="str">
        <x:v>20220318000722</x:v>
      </x:c>
      <x:c r="N1366" t="n">
        <x:v>44638.624999988424</x:v>
      </x:c>
      <x:c r="O1366" s="54" t="n">
        <x:v>44561</x:v>
      </x:c>
      <x:c r="P1366" t="str">
        <x:v>False</x:v>
      </x:c>
      <x:c r="Q1366" t="str">
        <x:v>5f6ecf9486be838a497ea76fe0da0a07eabcebc686562bea432dae373ffb41f4</x:v>
      </x:c>
      <x:c r="R1366" t="str">
        <x:v>e1bf5039191c67e14f81124a563b41975ae52413d662967dad0faedd5dea4d4d</x:v>
      </x:c>
      <x:c r="S1366" t="n">
        <x:v>7</x:v>
      </x:c>
      <x:c r="T1366" t="str">
        <x:v>2020-12-31|2021-12-31</x:v>
      </x:c>
      <x:c r="U1366" s="57" t="n">
        <x:v>-2790.691513978419</x:v>
      </x:c>
      <x:c r="V1366" s="57" t="n">
        <x:v>-1.211416023786244</x:v>
      </x:c>
      <x:c r="W1366"/>
      <x:c r="X1366"/>
      <x:c r="Y1366" s="38" t="n">
        <x:v>0.6409090909090909</x:v>
      </x:c>
      <x:c r="Z1366" s="38" t="n">
        <x:v>0.4677358915820292</x:v>
      </x:c>
      <x:c r="AA1366" t="str">
        <x:v>NON_POSITIVE_ENTERPRISE_VALUE|NON_POSITIVE_EQUITY_VALUE|NON_POSITIVE_TERMINAL_FCF</x:v>
      </x:c>
    </x:row>
    <x:row r="1367">
      <x:c r="A1367" s="54" t="n">
        <x:v>44742</x:v>
      </x:c>
      <x:c r="B1367" t="n">
        <x:v>44742.624999988424</x:v>
      </x:c>
      <x:c r="C1367" t="str">
        <x:v>057030</x:v>
      </x:c>
      <x:c r="D1367" t="str">
        <x:v>YBM넷</x:v>
      </x:c>
      <x:c r="E1367" t="str">
        <x:v>KOSDAQ</x:v>
      </x:c>
      <x:c r="F1367" t="str">
        <x:v>SMALL</x:v>
      </x:c>
      <x:c r="G1367" t="str">
        <x:v>ELIGIBLE</x:v>
      </x:c>
      <x:c r="H1367"/>
      <x:c r="I1367" s="54" t="n">
        <x:v>44742</x:v>
      </x:c>
      <x:c r="J1367" s="55" t="n">
        <x:v>3750</x:v>
      </x:c>
      <x:c r="K1367" s="55" t="n">
        <x:v>61172613750</x:v>
      </x:c>
      <x:c r="L1367" s="55" t="n">
        <x:v>16312697</x:v>
      </x:c>
      <x:c r="M1367" t="str">
        <x:v>20220323000611</x:v>
      </x:c>
      <x:c r="N1367" t="n">
        <x:v>44643.624999988424</x:v>
      </x:c>
      <x:c r="O1367" s="54" t="n">
        <x:v>44561</x:v>
      </x:c>
      <x:c r="P1367" t="str">
        <x:v>False</x:v>
      </x:c>
      <x:c r="Q1367" t="str">
        <x:v>dc4ac923df63aa87ff0f05d94a32761eaf8531210ea4a0c55f38312873dded52</x:v>
      </x:c>
      <x:c r="R1367" t="str">
        <x:v>e2018870c912d1c93fb0f426f20643a07e04445245400f0986b4f4c4e693f540</x:v>
      </x:c>
      <x:c r="S1367" t="n">
        <x:v>6</x:v>
      </x:c>
      <x:c r="T1367" t="str">
        <x:v>2018-12-31|2019-12-31|2020-12-31|2021-12-31</x:v>
      </x:c>
      <x:c r="U1367" s="57" t="n">
        <x:v>690.8931499422238</x:v>
      </x:c>
      <x:c r="V1367" s="57" t="n">
        <x:v>-0.8157618266820736</x:v>
      </x:c>
      <x:c r="W1367" t="n">
        <x:v>60</x:v>
      </x:c>
      <x:c r="X1367" t="n">
        <x:v>5</x:v>
      </x:c>
      <x:c r="Y1367" s="38" t="n">
        <x:v>0.6409090909090909</x:v>
      </x:c>
      <x:c r="Z1367" s="38" t="n">
        <x:v>0.4546761969160054</x:v>
      </x:c>
      <x:c r="AA1367"/>
    </x:row>
    <x:row r="1368">
      <x:c r="A1368" s="54" t="n">
        <x:v>44742</x:v>
      </x:c>
      <x:c r="B1368" t="n">
        <x:v>44742.624999988424</x:v>
      </x:c>
      <x:c r="C1368" t="str">
        <x:v>053160</x:v>
      </x:c>
      <x:c r="D1368" t="str">
        <x:v>프리엠스</x:v>
      </x:c>
      <x:c r="E1368" t="str">
        <x:v>KOSDAQ</x:v>
      </x:c>
      <x:c r="F1368" t="str">
        <x:v>SMALL</x:v>
      </x:c>
      <x:c r="G1368" t="str">
        <x:v>DCF_SCREENING_EXCLUSION</x:v>
      </x:c>
      <x:c r="H1368" t="str">
        <x:v>NON_POSITIVE_TERMINAL_FCF|UNRELIABLE_TERMINAL_VALUE_SHARE</x:v>
      </x:c>
      <x:c r="I1368" s="54" t="n">
        <x:v>44742</x:v>
      </x:c>
      <x:c r="J1368" s="55" t="n">
        <x:v>9250</x:v>
      </x:c>
      <x:c r="K1368" s="55" t="n">
        <x:v>55500000000</x:v>
      </x:c>
      <x:c r="L1368" s="55" t="n">
        <x:v>6000000</x:v>
      </x:c>
      <x:c r="M1368" t="str">
        <x:v>20220317000916</x:v>
      </x:c>
      <x:c r="N1368" t="n">
        <x:v>44637.624999988424</x:v>
      </x:c>
      <x:c r="O1368" s="54" t="n">
        <x:v>44561</x:v>
      </x:c>
      <x:c r="P1368" t="str">
        <x:v>False</x:v>
      </x:c>
      <x:c r="Q1368" t="str">
        <x:v>c9366f65949a70b5d07b68596c98e467aa02812c80e144305fab8224d82e75a2</x:v>
      </x:c>
      <x:c r="R1368" t="str">
        <x:v>765cdd5f90ba326a7de3604289a4ecba090bd46f99e32947b126df0df8c9d6d4</x:v>
      </x:c>
      <x:c r="S1368" t="n">
        <x:v>7</x:v>
      </x:c>
      <x:c r="T1368" t="str">
        <x:v>2018-12-31|2019-12-31|2020-12-31|2021-12-31</x:v>
      </x:c>
      <x:c r="U1368" s="57" t="n">
        <x:v>24.451715793899197</x:v>
      </x:c>
      <x:c r="V1368" s="57" t="n">
        <x:v>-0.9973565712655245</x:v>
      </x:c>
      <x:c r="W1368"/>
      <x:c r="X1368"/>
      <x:c r="Y1368" s="38" t="n">
        <x:v>0.6409090909090909</x:v>
      </x:c>
      <x:c r="Z1368" s="38" t="n">
        <x:v>-1.086588492260703</x:v>
      </x:c>
      <x:c r="AA1368" t="str">
        <x:v>NON_POSITIVE_TERMINAL_FCF|UNRELIABLE_TERMINAL_VALUE_SHARE</x:v>
      </x:c>
    </x:row>
    <x:row r="1369">
      <x:c r="A1369" s="54" t="n">
        <x:v>44742</x:v>
      </x:c>
      <x:c r="B1369" t="n">
        <x:v>44742.624999988424</x:v>
      </x:c>
      <x:c r="C1369" t="str">
        <x:v>038620</x:v>
      </x:c>
      <x:c r="D1369" t="str">
        <x:v>위즈코프</x:v>
      </x:c>
      <x:c r="E1369" t="str">
        <x:v>KOSDAQ</x:v>
      </x:c>
      <x:c r="F1369" t="str">
        <x:v>SMALL</x:v>
      </x:c>
      <x:c r="G1369" t="str">
        <x:v>ELIGIBLE</x:v>
      </x:c>
      <x:c r="H1369"/>
      <x:c r="I1369" s="54" t="n">
        <x:v>44742</x:v>
      </x:c>
      <x:c r="J1369" s="55" t="n">
        <x:v>1070</x:v>
      </x:c>
      <x:c r="K1369" s="55" t="n">
        <x:v>71204717550</x:v>
      </x:c>
      <x:c r="L1369" s="55" t="n">
        <x:v>66546465</x:v>
      </x:c>
      <x:c r="M1369" t="str">
        <x:v>20220321000819</x:v>
      </x:c>
      <x:c r="N1369" t="n">
        <x:v>44641.624999988424</x:v>
      </x:c>
      <x:c r="O1369" s="54" t="n">
        <x:v>44561</x:v>
      </x:c>
      <x:c r="P1369" t="str">
        <x:v>False</x:v>
      </x:c>
      <x:c r="Q1369" t="str">
        <x:v>5c4454c4fe18996695981d70e069eb3386a0c108f2aa784feda5035cfc59d817</x:v>
      </x:c>
      <x:c r="R1369" t="str">
        <x:v>87c0bf9aa2b3eebed0be845f0abd88ba82914a06a6c03f61d58a885b537f4ed7</x:v>
      </x:c>
      <x:c r="S1369" t="n">
        <x:v>5</x:v>
      </x:c>
      <x:c r="T1369" t="str">
        <x:v>2018-12-31|2019-12-31|2020-12-31|2021-12-31</x:v>
      </x:c>
      <x:c r="U1369" s="57" t="n">
        <x:v>325.2219975429165</x:v>
      </x:c>
      <x:c r="V1369" s="57" t="n">
        <x:v>-0.6960542079038163</x:v>
      </x:c>
      <x:c r="W1369" t="n">
        <x:v>55</x:v>
      </x:c>
      <x:c r="X1369" t="n">
        <x:v>5</x:v>
      </x:c>
      <x:c r="Y1369" s="38" t="n">
        <x:v>0.6409090909090909</x:v>
      </x:c>
      <x:c r="Z1369" s="38" t="n">
        <x:v>0.6350884475468049</x:v>
      </x:c>
      <x:c r="AA1369"/>
    </x:row>
    <x:row r="1370">
      <x:c r="A1370" s="54" t="n">
        <x:v>44742</x:v>
      </x:c>
      <x:c r="B1370" t="n">
        <x:v>44742.624999988424</x:v>
      </x:c>
      <x:c r="C1370" t="str">
        <x:v>313760</x:v>
      </x:c>
      <x:c r="D1370" t="str">
        <x:v>캐리</x:v>
      </x:c>
      <x:c r="E1370" t="str">
        <x:v>KOSDAQ</x:v>
      </x:c>
      <x:c r="F1370" t="str">
        <x:v>SMALL</x:v>
      </x:c>
      <x:c r="G1370" t="str">
        <x:v>DCF_SCREENING_EXCLUSION</x:v>
      </x:c>
      <x:c r="H1370" t="str">
        <x:v>NON_POSITIVE_ENTERPRISE_VALUE|NON_POSITIVE_EQUITY_VALUE|NON_POSITIVE_TERMINAL_FCF</x:v>
      </x:c>
      <x:c r="I1370" s="54" t="n">
        <x:v>44742</x:v>
      </x:c>
      <x:c r="J1370" s="55" t="n">
        <x:v>12100</x:v>
      </x:c>
      <x:c r="K1370" s="55" t="n">
        <x:v>68820770700</x:v>
      </x:c>
      <x:c r="L1370" s="55" t="n">
        <x:v>5687667</x:v>
      </x:c>
      <x:c r="M1370" t="str">
        <x:v>20220317000439</x:v>
      </x:c>
      <x:c r="N1370" t="n">
        <x:v>44637.624999988424</x:v>
      </x:c>
      <x:c r="O1370" s="54" t="n">
        <x:v>44561</x:v>
      </x:c>
      <x:c r="P1370" t="str">
        <x:v>False</x:v>
      </x:c>
      <x:c r="Q1370" t="str">
        <x:v>9ae179f370a8494e92b8b80e132d8d1f7740bd521b07ed874fe6834451df534c</x:v>
      </x:c>
      <x:c r="R1370" t="str">
        <x:v>e39af1bd104c1f523a839ed3e0a9c6aee093df4b480e4f97b897847ee30d76b8</x:v>
      </x:c>
      <x:c r="S1370" t="n">
        <x:v>5</x:v>
      </x:c>
      <x:c r="T1370" t="str">
        <x:v>2019-12-31|2020-12-31|2021-12-31</x:v>
      </x:c>
      <x:c r="U1370" s="57" t="n">
        <x:v>-1404.5947285122056</x:v>
      </x:c>
      <x:c r="V1370" s="57" t="n">
        <x:v>-1.116082208967951</x:v>
      </x:c>
      <x:c r="W1370"/>
      <x:c r="X1370"/>
      <x:c r="Y1370" s="38" t="n">
        <x:v>0.6409090909090909</x:v>
      </x:c>
      <x:c r="Z1370" s="38" t="n">
        <x:v>0.4777823497031718</x:v>
      </x:c>
      <x:c r="AA1370" t="str">
        <x:v>NON_POSITIVE_ENTERPRISE_VALUE|NON_POSITIVE_EQUITY_VALUE|NON_POSITIVE_TERMINAL_FCF</x:v>
      </x:c>
    </x:row>
    <x:row r="1371">
      <x:c r="A1371" s="54" t="n">
        <x:v>44742</x:v>
      </x:c>
      <x:c r="B1371" t="n">
        <x:v>44742.624999988424</x:v>
      </x:c>
      <x:c r="C1371" t="str">
        <x:v>372800</x:v>
      </x:c>
      <x:c r="D1371" t="str">
        <x:v>아이티아이즈</x:v>
      </x:c>
      <x:c r="E1371" t="str">
        <x:v>KOSDAQ</x:v>
      </x:c>
      <x:c r="F1371" t="str">
        <x:v>SMALL</x:v>
      </x:c>
      <x:c r="G1371" t="str">
        <x:v>DCF_SCREENING_EXCLUSION</x:v>
      </x:c>
      <x:c r="H1371" t="str">
        <x:v>NON_POSITIVE_ENTERPRISE_VALUE|NON_POSITIVE_EQUITY_VALUE|NON_POSITIVE_TERMINAL_FCF</x:v>
      </x:c>
      <x:c r="I1371" s="54" t="n">
        <x:v>44742</x:v>
      </x:c>
      <x:c r="J1371" s="55" t="n">
        <x:v>9230</x:v>
      </x:c>
      <x:c r="K1371" s="55" t="n">
        <x:v>54244571550</x:v>
      </x:c>
      <x:c r="L1371" s="55" t="n">
        <x:v>5876985</x:v>
      </x:c>
      <x:c r="M1371" t="str">
        <x:v>20220321000273</x:v>
      </x:c>
      <x:c r="N1371" t="n">
        <x:v>44641.624999988424</x:v>
      </x:c>
      <x:c r="O1371" s="54" t="n">
        <x:v>44561</x:v>
      </x:c>
      <x:c r="P1371" t="str">
        <x:v>False</x:v>
      </x:c>
      <x:c r="Q1371" t="str">
        <x:v>1fb2381ef38295f6ab34b31f3ed31f3c71974814bd50d66980821de705c5c184</x:v>
      </x:c>
      <x:c r="R1371" t="str">
        <x:v>9a11bc02e8b82648c2bc87021ec17c2483a25563efed84a508393d719053c6b6</x:v>
      </x:c>
      <x:c r="S1371" t="n">
        <x:v>7</x:v>
      </x:c>
      <x:c r="T1371" t="str">
        <x:v>2021-12-31</x:v>
      </x:c>
      <x:c r="U1371" s="57" t="n">
        <x:v>-1130.1197541354964</x:v>
      </x:c>
      <x:c r="V1371" s="57" t="n">
        <x:v>-1.1224398433516247</x:v>
      </x:c>
      <x:c r="W1371"/>
      <x:c r="X1371"/>
      <x:c r="Y1371" s="38" t="n">
        <x:v>0.6409090909090909</x:v>
      </x:c>
      <x:c r="Z1371" s="38" t="n">
        <x:v>0.6264850986190418</x:v>
      </x:c>
      <x:c r="AA1371" t="str">
        <x:v>NON_POSITIVE_ENTERPRISE_VALUE|NON_POSITIVE_EQUITY_VALUE|NON_POSITIVE_TERMINAL_FCF</x:v>
      </x:c>
    </x:row>
    <x:row r="1372">
      <x:c r="A1372" s="54" t="n">
        <x:v>44742</x:v>
      </x:c>
      <x:c r="B1372" t="n">
        <x:v>44742.624999988424</x:v>
      </x:c>
      <x:c r="C1372" t="str">
        <x:v>332290</x:v>
      </x:c>
      <x:c r="D1372" t="str">
        <x:v>누보</x:v>
      </x:c>
      <x:c r="E1372" t="str">
        <x:v>KOSDAQ</x:v>
      </x:c>
      <x:c r="F1372" t="str">
        <x:v>SMALL</x:v>
      </x:c>
      <x:c r="G1372" t="str">
        <x:v>NO_PIT_FINANCIALS</x:v>
      </x:c>
      <x:c r="H1372"/>
      <x:c r="I1372" s="54" t="n">
        <x:v>44742</x:v>
      </x:c>
      <x:c r="J1372" s="55" t="n">
        <x:v>3185</x:v>
      </x:c>
      <x:c r="K1372" s="55" t="n">
        <x:v>100920938755</x:v>
      </x:c>
      <x:c r="L1372" s="55" t="n">
        <x:v>31686323</x:v>
      </x:c>
      <x:c r="M1372"/>
      <x:c r="N1372"/>
      <x:c r="O1372" s="54"/>
      <x:c r="P1372"/>
      <x:c r="Q1372"/>
      <x:c r="R1372"/>
      <x:c r="S1372"/>
      <x:c r="T1372"/>
      <x:c r="U1372" s="57"/>
      <x:c r="V1372" s="57"/>
      <x:c r="W1372"/>
      <x:c r="X1372"/>
      <x:c r="Y1372" s="38"/>
      <x:c r="Z1372" s="38"/>
      <x:c r="AA1372"/>
    </x:row>
    <x:row r="1373">
      <x:c r="A1373" s="54" t="n">
        <x:v>44742</x:v>
      </x:c>
      <x:c r="B1373" t="n">
        <x:v>44742.624999988424</x:v>
      </x:c>
      <x:c r="C1373" t="str">
        <x:v>059100</x:v>
      </x:c>
      <x:c r="D1373" t="str">
        <x:v>아이컴포넌트</x:v>
      </x:c>
      <x:c r="E1373" t="str">
        <x:v>KOSDAQ</x:v>
      </x:c>
      <x:c r="F1373" t="str">
        <x:v>SMALL</x:v>
      </x:c>
      <x:c r="G1373" t="str">
        <x:v>ELIGIBLE</x:v>
      </x:c>
      <x:c r="H1373"/>
      <x:c r="I1373" s="54" t="n">
        <x:v>44742</x:v>
      </x:c>
      <x:c r="J1373" s="55" t="n">
        <x:v>6100</x:v>
      </x:c>
      <x:c r="K1373" s="55" t="n">
        <x:v>43132246000</x:v>
      </x:c>
      <x:c r="L1373" s="55" t="n">
        <x:v>7070860</x:v>
      </x:c>
      <x:c r="M1373" t="str">
        <x:v>20220316000462</x:v>
      </x:c>
      <x:c r="N1373" t="n">
        <x:v>44636.624999988424</x:v>
      </x:c>
      <x:c r="O1373" s="54" t="n">
        <x:v>44561</x:v>
      </x:c>
      <x:c r="P1373" t="str">
        <x:v>False</x:v>
      </x:c>
      <x:c r="Q1373" t="str">
        <x:v>4d0291105bbc3a55906253b35bc66670f9096269357a961ca2dd66009b79d58e</x:v>
      </x:c>
      <x:c r="R1373" t="str">
        <x:v>f0273cce86345aff4a6350833e3d21c6376f41a431a3756460c69999c690aaff</x:v>
      </x:c>
      <x:c r="S1373" t="n">
        <x:v>7</x:v>
      </x:c>
      <x:c r="T1373" t="str">
        <x:v>2018-12-31|2019-12-31|2020-12-31|2021-12-31</x:v>
      </x:c>
      <x:c r="U1373" s="57" t="n">
        <x:v>1027.619480089783</x:v>
      </x:c>
      <x:c r="V1373" s="57" t="n">
        <x:v>-0.8315377901492159</x:v>
      </x:c>
      <x:c r="W1373" t="n">
        <x:v>62</x:v>
      </x:c>
      <x:c r="X1373" t="n">
        <x:v>5</x:v>
      </x:c>
      <x:c r="Y1373" s="38" t="n">
        <x:v>0.6409090909090909</x:v>
      </x:c>
      <x:c r="Z1373" s="38" t="n">
        <x:v>0.5799306062865924</x:v>
      </x:c>
      <x:c r="AA1373"/>
    </x:row>
    <x:row r="1374">
      <x:c r="A1374" s="54" t="n">
        <x:v>44742</x:v>
      </x:c>
      <x:c r="B1374" t="n">
        <x:v>44742.624999988424</x:v>
      </x:c>
      <x:c r="C1374" t="str">
        <x:v>060900</x:v>
      </x:c>
      <x:c r="D1374" t="str">
        <x:v>DGP</x:v>
      </x:c>
      <x:c r="E1374" t="str">
        <x:v>KOSDAQ</x:v>
      </x:c>
      <x:c r="F1374" t="str">
        <x:v>SMALL</x:v>
      </x:c>
      <x:c r="G1374" t="str">
        <x:v>DCF_SCREENING_EXCLUSION</x:v>
      </x:c>
      <x:c r="H1374" t="str">
        <x:v>NON_POSITIVE_ENTERPRISE_VALUE|NON_POSITIVE_EQUITY_VALUE|NON_POSITIVE_TERMINAL_FCF|UNRELIABLE_TERMINAL_VALUE_SHARE</x:v>
      </x:c>
      <x:c r="I1374" s="54" t="n">
        <x:v>44742</x:v>
      </x:c>
      <x:c r="J1374" s="55" t="n">
        <x:v>783</x:v>
      </x:c>
      <x:c r="K1374" s="55" t="n">
        <x:v>135292068315</x:v>
      </x:c>
      <x:c r="L1374" s="55" t="n">
        <x:v>172786805</x:v>
      </x:c>
      <x:c r="M1374" t="str">
        <x:v>20220321000578</x:v>
      </x:c>
      <x:c r="N1374" t="n">
        <x:v>44641.624999988424</x:v>
      </x:c>
      <x:c r="O1374" s="54" t="n">
        <x:v>44561</x:v>
      </x:c>
      <x:c r="P1374" t="str">
        <x:v>False</x:v>
      </x:c>
      <x:c r="Q1374" t="str">
        <x:v>a92665cbc375e381798994e6fb242db5536f90161fb11f4dfa1afeecd75781b8</x:v>
      </x:c>
      <x:c r="R1374" t="str">
        <x:v>8bfbd54d271afaeb9f19f19ed7e42e70f589576253436fa6c6bb117917e601ce</x:v>
      </x:c>
      <x:c r="S1374" t="n">
        <x:v>5</x:v>
      </x:c>
      <x:c r="T1374" t="str">
        <x:v>2018-12-31|2019-12-31|2021-12-31</x:v>
      </x:c>
      <x:c r="U1374" s="57" t="n">
        <x:v>-234.6173189772261</x:v>
      </x:c>
      <x:c r="V1374" s="57" t="n">
        <x:v>-1.2996389769824088</x:v>
      </x:c>
      <x:c r="W1374"/>
      <x:c r="X1374"/>
      <x:c r="Y1374" s="38" t="n">
        <x:v>0.6409090909090909</x:v>
      </x:c>
      <x:c r="Z1374" s="38" t="n">
        <x:v>0.8755789469224888</x:v>
      </x:c>
      <x:c r="AA1374" t="str">
        <x:v>NON_POSITIVE_ENTERPRISE_VALUE|NON_POSITIVE_EQUITY_VALUE|NON_POSITIVE_TERMINAL_FCF|UNRELIABLE_TERMINAL_VALUE_SHARE</x:v>
      </x:c>
    </x:row>
    <x:row r="1375">
      <x:c r="A1375" s="54" t="n">
        <x:v>44742</x:v>
      </x:c>
      <x:c r="B1375" t="n">
        <x:v>44742.624999988424</x:v>
      </x:c>
      <x:c r="C1375" t="str">
        <x:v>232830</x:v>
      </x:c>
      <x:c r="D1375" t="str">
        <x:v>아이티센피엔에스</x:v>
      </x:c>
      <x:c r="E1375" t="str">
        <x:v>KOSDAQ</x:v>
      </x:c>
      <x:c r="F1375" t="str">
        <x:v>SMALL</x:v>
      </x:c>
      <x:c r="G1375" t="str">
        <x:v>NO_PIT_FINANCIALS</x:v>
      </x:c>
      <x:c r="H1375"/>
      <x:c r="I1375" s="54" t="n">
        <x:v>44742</x:v>
      </x:c>
      <x:c r="J1375" s="55" t="n">
        <x:v>2980</x:v>
      </x:c>
      <x:c r="K1375" s="55" t="n">
        <x:v>28336915360</x:v>
      </x:c>
      <x:c r="L1375" s="55" t="n">
        <x:v>9509032</x:v>
      </x:c>
      <x:c r="M1375"/>
      <x:c r="N1375"/>
      <x:c r="O1375" s="54"/>
      <x:c r="P1375"/>
      <x:c r="Q1375"/>
      <x:c r="R1375"/>
      <x:c r="S1375"/>
      <x:c r="T1375"/>
      <x:c r="U1375" s="57"/>
      <x:c r="V1375" s="57"/>
      <x:c r="W1375"/>
      <x:c r="X1375"/>
      <x:c r="Y1375" s="38"/>
      <x:c r="Z1375" s="38"/>
      <x:c r="AA1375"/>
    </x:row>
    <x:row r="1376">
      <x:c r="A1376" s="54" t="n">
        <x:v>44742</x:v>
      </x:c>
      <x:c r="B1376" t="n">
        <x:v>44742.624999988424</x:v>
      </x:c>
      <x:c r="C1376" t="str">
        <x:v>070590</x:v>
      </x:c>
      <x:c r="D1376" t="str">
        <x:v>한솔인티큐브</x:v>
      </x:c>
      <x:c r="E1376" t="str">
        <x:v>KOSDAQ</x:v>
      </x:c>
      <x:c r="F1376" t="str">
        <x:v>SMALL</x:v>
      </x:c>
      <x:c r="G1376" t="str">
        <x:v>DCF_SCREENING_EXCLUSION</x:v>
      </x:c>
      <x:c r="H1376" t="str">
        <x:v>NON_POSITIVE_ENTERPRISE_VALUE|NON_POSITIVE_EQUITY_VALUE|NON_POSITIVE_TERMINAL_FCF</x:v>
      </x:c>
      <x:c r="I1376" s="54" t="n">
        <x:v>44742</x:v>
      </x:c>
      <x:c r="J1376" s="55" t="n">
        <x:v>1905</x:v>
      </x:c>
      <x:c r="K1376" s="55" t="n">
        <x:v>26440487505</x:v>
      </x:c>
      <x:c r="L1376" s="55" t="n">
        <x:v>13879521</x:v>
      </x:c>
      <x:c r="M1376" t="str">
        <x:v>20220315001188</x:v>
      </x:c>
      <x:c r="N1376" t="n">
        <x:v>44635.624999988424</x:v>
      </x:c>
      <x:c r="O1376" s="54" t="n">
        <x:v>44561</x:v>
      </x:c>
      <x:c r="P1376" t="str">
        <x:v>False</x:v>
      </x:c>
      <x:c r="Q1376" t="str">
        <x:v>c7321dabb1fdd428ccf91b048169ded522f1465a2910281adedcea5a06a65950</x:v>
      </x:c>
      <x:c r="R1376" t="str">
        <x:v>7e82e7d7ade04b9e6846d326f6c9283f560efb39fe2cbf26c5e10dc123288ea3</x:v>
      </x:c>
      <x:c r="S1376" t="n">
        <x:v>6</x:v>
      </x:c>
      <x:c r="T1376" t="str">
        <x:v>2018-12-31|2019-12-31|2020-12-31|2021-12-31</x:v>
      </x:c>
      <x:c r="U1376" s="57" t="n">
        <x:v>-119.30159571053062</x:v>
      </x:c>
      <x:c r="V1376" s="57" t="n">
        <x:v>-1.0626255095593338</x:v>
      </x:c>
      <x:c r="W1376"/>
      <x:c r="X1376"/>
      <x:c r="Y1376" s="38" t="n">
        <x:v>0.6409090909090909</x:v>
      </x:c>
      <x:c r="Z1376" s="38" t="n">
        <x:v>0.7222895576961198</x:v>
      </x:c>
      <x:c r="AA1376" t="str">
        <x:v>NON_POSITIVE_ENTERPRISE_VALUE|NON_POSITIVE_EQUITY_VALUE|NON_POSITIVE_TERMINAL_FCF</x:v>
      </x:c>
    </x:row>
    <x:row r="1377">
      <x:c r="A1377" s="54" t="n">
        <x:v>44742</x:v>
      </x:c>
      <x:c r="B1377" t="n">
        <x:v>44742.624999988424</x:v>
      </x:c>
      <x:c r="C1377" t="str">
        <x:v>163560</x:v>
      </x:c>
      <x:c r="D1377" t="str">
        <x:v>동일고무벨트</x:v>
      </x:c>
      <x:c r="E1377" t="str">
        <x:v>KOSPI</x:v>
      </x:c>
      <x:c r="F1377" t="str">
        <x:v>SMALL</x:v>
      </x:c>
      <x:c r="G1377" t="str">
        <x:v>ELIGIBLE</x:v>
      </x:c>
      <x:c r="H1377"/>
      <x:c r="I1377" s="54" t="n">
        <x:v>44742</x:v>
      </x:c>
      <x:c r="J1377" s="55" t="n">
        <x:v>6200</x:v>
      </x:c>
      <x:c r="K1377" s="55" t="n">
        <x:v>86180000000</x:v>
      </x:c>
      <x:c r="L1377" s="55" t="n">
        <x:v>13900000</x:v>
      </x:c>
      <x:c r="M1377" t="str">
        <x:v>20220315000862</x:v>
      </x:c>
      <x:c r="N1377" t="n">
        <x:v>44635.624999988424</x:v>
      </x:c>
      <x:c r="O1377" s="54" t="n">
        <x:v>44561</x:v>
      </x:c>
      <x:c r="P1377" t="str">
        <x:v>False</x:v>
      </x:c>
      <x:c r="Q1377" t="str">
        <x:v>a63ac20424bfa217e1c92290fcd14741bae792184f03195408029baab4c7741c</x:v>
      </x:c>
      <x:c r="R1377" t="str">
        <x:v>08269a80f2c9c042f51dc0592ab87e030407d354a4a176b22b8ef3a9f54f60c5</x:v>
      </x:c>
      <x:c r="S1377" t="n">
        <x:v>5</x:v>
      </x:c>
      <x:c r="T1377" t="str">
        <x:v>2018-12-31|2019-12-31|2020-12-31|2021-12-31</x:v>
      </x:c>
      <x:c r="U1377" s="57" t="n">
        <x:v>3225.2626379316716</x:v>
      </x:c>
      <x:c r="V1377" s="57" t="n">
        <x:v>-0.4797963487206981</x:v>
      </x:c>
      <x:c r="W1377" t="n">
        <x:v>41</x:v>
      </x:c>
      <x:c r="X1377" t="n">
        <x:v>4</x:v>
      </x:c>
      <x:c r="Y1377" s="38" t="n">
        <x:v>0.6409090909090909</x:v>
      </x:c>
      <x:c r="Z1377" s="38" t="n">
        <x:v>0.8360197484570959</x:v>
      </x:c>
      <x:c r="AA1377"/>
    </x:row>
    <x:row r="1378">
      <x:c r="A1378" s="54" t="n">
        <x:v>44742</x:v>
      </x:c>
      <x:c r="B1378" t="n">
        <x:v>44742.624999988424</x:v>
      </x:c>
      <x:c r="C1378" t="str">
        <x:v>004830</x:v>
      </x:c>
      <x:c r="D1378" t="str">
        <x:v>덕성</x:v>
      </x:c>
      <x:c r="E1378" t="str">
        <x:v>KOSPI</x:v>
      </x:c>
      <x:c r="F1378" t="str">
        <x:v>SMALL</x:v>
      </x:c>
      <x:c r="G1378" t="str">
        <x:v>ELIGIBLE</x:v>
      </x:c>
      <x:c r="H1378"/>
      <x:c r="I1378" s="54" t="n">
        <x:v>44742</x:v>
      </x:c>
      <x:c r="J1378" s="55" t="n">
        <x:v>6240</x:v>
      </x:c>
      <x:c r="K1378" s="55" t="n">
        <x:v>97843200000</x:v>
      </x:c>
      <x:c r="L1378" s="55" t="n">
        <x:v>15680000</x:v>
      </x:c>
      <x:c r="M1378" t="str">
        <x:v>20220318000680</x:v>
      </x:c>
      <x:c r="N1378" t="n">
        <x:v>44638.624999988424</x:v>
      </x:c>
      <x:c r="O1378" s="54" t="n">
        <x:v>44561</x:v>
      </x:c>
      <x:c r="P1378" t="str">
        <x:v>False</x:v>
      </x:c>
      <x:c r="Q1378" t="str">
        <x:v>d97580f7bf9ab35ec4c40d046ce948a9cc7791963fc5d4d70b88cc889cb946c4</x:v>
      </x:c>
      <x:c r="R1378" t="str">
        <x:v>70feffd024d7985472729225cf7d9b55b6d979dca06eec6cf12fd412aa8d2d31</x:v>
      </x:c>
      <x:c r="S1378" t="n">
        <x:v>7</x:v>
      </x:c>
      <x:c r="T1378" t="str">
        <x:v>2018-12-31|2019-12-31|2020-12-31|2021-12-31</x:v>
      </x:c>
      <x:c r="U1378" s="57" t="n">
        <x:v>692.3589943086391</x:v>
      </x:c>
      <x:c r="V1378" s="57" t="n">
        <x:v>-0.8890450329633591</x:v>
      </x:c>
      <x:c r="W1378" t="n">
        <x:v>65</x:v>
      </x:c>
      <x:c r="X1378" t="n">
        <x:v>5</x:v>
      </x:c>
      <x:c r="Y1378" s="38" t="n">
        <x:v>0.6409090909090909</x:v>
      </x:c>
      <x:c r="Z1378" s="38" t="n">
        <x:v>0.5893658841252093</x:v>
      </x:c>
      <x:c r="AA1378"/>
    </x:row>
    <x:row r="1379">
      <x:c r="A1379" s="54" t="n">
        <x:v>44742</x:v>
      </x:c>
      <x:c r="B1379" t="n">
        <x:v>44742.624999988424</x:v>
      </x:c>
      <x:c r="C1379" t="str">
        <x:v>014440</x:v>
      </x:c>
      <x:c r="D1379" t="str">
        <x:v>영보화학</x:v>
      </x:c>
      <x:c r="E1379" t="str">
        <x:v>KOSPI</x:v>
      </x:c>
      <x:c r="F1379" t="str">
        <x:v>SMALL</x:v>
      </x:c>
      <x:c r="G1379" t="str">
        <x:v>ELIGIBLE</x:v>
      </x:c>
      <x:c r="H1379"/>
      <x:c r="I1379" s="54" t="n">
        <x:v>44742</x:v>
      </x:c>
      <x:c r="J1379" s="55" t="n">
        <x:v>3560</x:v>
      </x:c>
      <x:c r="K1379" s="55" t="n">
        <x:v>71200000000</x:v>
      </x:c>
      <x:c r="L1379" s="55" t="n">
        <x:v>20000000</x:v>
      </x:c>
      <x:c r="M1379" t="str">
        <x:v>20220315000699</x:v>
      </x:c>
      <x:c r="N1379" t="n">
        <x:v>44635.624999988424</x:v>
      </x:c>
      <x:c r="O1379" s="54" t="n">
        <x:v>44561</x:v>
      </x:c>
      <x:c r="P1379" t="str">
        <x:v>False</x:v>
      </x:c>
      <x:c r="Q1379" t="str">
        <x:v>ce0ef300c9982a5ae96b8f38e938a76d55aacc2f5d6537116bf577a81156eb75</x:v>
      </x:c>
      <x:c r="R1379" t="str">
        <x:v>442ae15d0e3fed6330f21e670f5fc4175ec0ca53312f19dad42d5ebbb8cba72f</x:v>
      </x:c>
      <x:c r="S1379" t="n">
        <x:v>6</x:v>
      </x:c>
      <x:c r="T1379" t="str">
        <x:v>2018-12-31|2019-12-31|2020-12-31|2021-12-31</x:v>
      </x:c>
      <x:c r="U1379" s="57" t="n">
        <x:v>2132.3902686183465</x:v>
      </x:c>
      <x:c r="V1379" s="57" t="n">
        <x:v>-0.40101396948922857</x:v>
      </x:c>
      <x:c r="W1379" t="n">
        <x:v>36</x:v>
      </x:c>
      <x:c r="X1379" t="n">
        <x:v>3</x:v>
      </x:c>
      <x:c r="Y1379" s="38" t="n">
        <x:v>0.6409090909090909</x:v>
      </x:c>
      <x:c r="Z1379" s="38" t="n">
        <x:v>0.41435690759784355</x:v>
      </x:c>
      <x:c r="AA1379"/>
    </x:row>
    <x:row r="1380">
      <x:c r="A1380" s="54" t="n">
        <x:v>44742</x:v>
      </x:c>
      <x:c r="B1380" t="n">
        <x:v>44742.624999988424</x:v>
      </x:c>
      <x:c r="C1380" t="str">
        <x:v>009180</x:v>
      </x:c>
      <x:c r="D1380" t="str">
        <x:v>한솔로지스틱스</x:v>
      </x:c>
      <x:c r="E1380" t="str">
        <x:v>KOSPI</x:v>
      </x:c>
      <x:c r="F1380" t="str">
        <x:v>SMALL</x:v>
      </x:c>
      <x:c r="G1380" t="str">
        <x:v>ELIGIBLE</x:v>
      </x:c>
      <x:c r="H1380"/>
      <x:c r="I1380" s="54" t="n">
        <x:v>44742</x:v>
      </x:c>
      <x:c r="J1380" s="55" t="n">
        <x:v>3375</x:v>
      </x:c>
      <x:c r="K1380" s="55" t="n">
        <x:v>92736309375</x:v>
      </x:c>
      <x:c r="L1380" s="55" t="n">
        <x:v>27477425</x:v>
      </x:c>
      <x:c r="M1380" t="str">
        <x:v>20220222001884</x:v>
      </x:c>
      <x:c r="N1380" t="n">
        <x:v>44614.624999988424</x:v>
      </x:c>
      <x:c r="O1380" s="54" t="n">
        <x:v>44561</x:v>
      </x:c>
      <x:c r="P1380" t="str">
        <x:v>False</x:v>
      </x:c>
      <x:c r="Q1380" t="str">
        <x:v>26694f062af9291a1934db78e0057c6d1c59607b3fcd65037bf8e5402c498487</x:v>
      </x:c>
      <x:c r="R1380" t="str">
        <x:v>74296849c4685c4c473bf179f0651f096c64f6f6cfbf0f4ae22d104fb6d865fc</x:v>
      </x:c>
      <x:c r="S1380" t="n">
        <x:v>6</x:v>
      </x:c>
      <x:c r="T1380" t="str">
        <x:v>2018-12-31|2019-12-31|2020-12-31|2021-12-31</x:v>
      </x:c>
      <x:c r="U1380" s="57" t="n">
        <x:v>4019.894751293228</x:v>
      </x:c>
      <x:c r="V1380" s="57" t="n">
        <x:v>0.1910799263091046</x:v>
      </x:c>
      <x:c r="W1380" t="n">
        <x:v>18</x:v>
      </x:c>
      <x:c r="X1380" t="n">
        <x:v>2</x:v>
      </x:c>
      <x:c r="Y1380" s="38" t="n">
        <x:v>0.6409090909090909</x:v>
      </x:c>
      <x:c r="Z1380" s="38" t="n">
        <x:v>0.5552380150585722</x:v>
      </x:c>
      <x:c r="AA1380"/>
    </x:row>
    <x:row r="1381">
      <x:c r="A1381" s="54" t="n">
        <x:v>44742</x:v>
      </x:c>
      <x:c r="B1381" t="n">
        <x:v>44742.624999988424</x:v>
      </x:c>
      <x:c r="C1381" t="str">
        <x:v>004910</x:v>
      </x:c>
      <x:c r="D1381" t="str">
        <x:v>조광페인트</x:v>
      </x:c>
      <x:c r="E1381" t="str">
        <x:v>KOSPI</x:v>
      </x:c>
      <x:c r="F1381" t="str">
        <x:v>SMALL</x:v>
      </x:c>
      <x:c r="G1381" t="str">
        <x:v>DCF_SCREENING_EXCLUSION</x:v>
      </x:c>
      <x:c r="H1381" t="str">
        <x:v>NON_POSITIVE_ENTERPRISE_VALUE|NON_POSITIVE_EQUITY_VALUE|NON_POSITIVE_TERMINAL_FCF</x:v>
      </x:c>
      <x:c r="I1381" s="54" t="n">
        <x:v>44742</x:v>
      </x:c>
      <x:c r="J1381" s="55" t="n">
        <x:v>6240</x:v>
      </x:c>
      <x:c r="K1381" s="55" t="n">
        <x:v>79872000000</x:v>
      </x:c>
      <x:c r="L1381" s="55" t="n">
        <x:v>12800000</x:v>
      </x:c>
      <x:c r="M1381" t="str">
        <x:v>20220321001064</x:v>
      </x:c>
      <x:c r="N1381" t="n">
        <x:v>44641.624999988424</x:v>
      </x:c>
      <x:c r="O1381" s="54" t="n">
        <x:v>44561</x:v>
      </x:c>
      <x:c r="P1381" t="str">
        <x:v>False</x:v>
      </x:c>
      <x:c r="Q1381" t="str">
        <x:v>84e6a51a3221357d934f15413421961a602098414a50f2c8ab0a98016b56c007</x:v>
      </x:c>
      <x:c r="R1381" t="str">
        <x:v>5f7e12cbd335feb1261ccb21c89a1dbc5de96f5c90963cc3daeebbf2359610aa</x:v>
      </x:c>
      <x:c r="S1381" t="n">
        <x:v>6</x:v>
      </x:c>
      <x:c r="T1381" t="str">
        <x:v>2018-12-31|2019-12-31|2020-12-31|2021-12-31</x:v>
      </x:c>
      <x:c r="U1381" s="57" t="n">
        <x:v>-10182.360648113614</x:v>
      </x:c>
      <x:c r="V1381" s="57" t="n">
        <x:v>-2.6317885654028226</x:v>
      </x:c>
      <x:c r="W1381"/>
      <x:c r="X1381"/>
      <x:c r="Y1381" s="38" t="n">
        <x:v>0.6409090909090909</x:v>
      </x:c>
      <x:c r="Z1381" s="38" t="n">
        <x:v>0.5690463739969503</x:v>
      </x:c>
      <x:c r="AA1381" t="str">
        <x:v>NON_POSITIVE_ENTERPRISE_VALUE|NON_POSITIVE_EQUITY_VALUE|NON_POSITIVE_TERMINAL_FCF</x:v>
      </x:c>
    </x:row>
    <x:row r="1382">
      <x:c r="A1382" s="54" t="n">
        <x:v>44742</x:v>
      </x:c>
      <x:c r="B1382" t="n">
        <x:v>44742.624999988424</x:v>
      </x:c>
      <x:c r="C1382" t="str">
        <x:v>004870</x:v>
      </x:c>
      <x:c r="D1382" t="str">
        <x:v>티웨이홀딩스</x:v>
      </x:c>
      <x:c r="E1382" t="str">
        <x:v>KOSPI</x:v>
      </x:c>
      <x:c r="F1382" t="str">
        <x:v>SMALL</x:v>
      </x:c>
      <x:c r="G1382" t="str">
        <x:v>EXCLUDED_ARCHETYPE</x:v>
      </x:c>
      <x:c r="H1382" t="str">
        <x:v>FCFF_NOT_COMPARABLE_FOR_FINANCE_OR_HOLDING_HINT</x:v>
      </x:c>
      <x:c r="I1382" s="54"/>
      <x:c r="J1382" s="55"/>
      <x:c r="K1382" s="55"/>
      <x:c r="L1382" s="55"/>
      <x:c r="M1382"/>
      <x:c r="N1382"/>
      <x:c r="O1382" s="54"/>
      <x:c r="P1382"/>
      <x:c r="Q1382"/>
      <x:c r="R1382"/>
      <x:c r="S1382"/>
      <x:c r="T1382"/>
      <x:c r="U1382" s="57"/>
      <x:c r="V1382" s="57"/>
      <x:c r="W1382"/>
      <x:c r="X1382"/>
      <x:c r="Y1382" s="38"/>
      <x:c r="Z1382" s="38"/>
      <x:c r="AA1382"/>
    </x:row>
    <x:row r="1383">
      <x:c r="A1383" s="54" t="n">
        <x:v>44742</x:v>
      </x:c>
      <x:c r="B1383" t="n">
        <x:v>44742.624999988424</x:v>
      </x:c>
      <x:c r="C1383" t="str">
        <x:v>010770</x:v>
      </x:c>
      <x:c r="D1383" t="str">
        <x:v>평화홀딩스</x:v>
      </x:c>
      <x:c r="E1383" t="str">
        <x:v>KOSPI</x:v>
      </x:c>
      <x:c r="F1383" t="str">
        <x:v>SMALL</x:v>
      </x:c>
      <x:c r="G1383" t="str">
        <x:v>EXCLUDED_ARCHETYPE</x:v>
      </x:c>
      <x:c r="H1383" t="str">
        <x:v>FCFF_NOT_COMPARABLE_FOR_FINANCE_OR_HOLDING_HINT</x:v>
      </x:c>
      <x:c r="I1383" s="54"/>
      <x:c r="J1383" s="55"/>
      <x:c r="K1383" s="55"/>
      <x:c r="L1383" s="55"/>
      <x:c r="M1383"/>
      <x:c r="N1383"/>
      <x:c r="O1383" s="54"/>
      <x:c r="P1383"/>
      <x:c r="Q1383"/>
      <x:c r="R1383"/>
      <x:c r="S1383"/>
      <x:c r="T1383"/>
      <x:c r="U1383" s="57"/>
      <x:c r="V1383" s="57"/>
      <x:c r="W1383"/>
      <x:c r="X1383"/>
      <x:c r="Y1383" s="38"/>
      <x:c r="Z1383" s="38"/>
      <x:c r="AA1383"/>
    </x:row>
    <x:row r="1384">
      <x:c r="A1384" s="54" t="n">
        <x:v>44742</x:v>
      </x:c>
      <x:c r="B1384" t="n">
        <x:v>44742.624999988424</x:v>
      </x:c>
      <x:c r="C1384" t="str">
        <x:v>001290</x:v>
      </x:c>
      <x:c r="D1384" t="str">
        <x:v>상상인증권</x:v>
      </x:c>
      <x:c r="E1384" t="str">
        <x:v>KOSPI</x:v>
      </x:c>
      <x:c r="F1384" t="str">
        <x:v>SMALL</x:v>
      </x:c>
      <x:c r="G1384" t="str">
        <x:v>EXCLUDED_ARCHETYPE</x:v>
      </x:c>
      <x:c r="H1384" t="str">
        <x:v>FCFF_NOT_COMPARABLE_FOR_FINANCE_OR_HOLDING_HINT</x:v>
      </x:c>
      <x:c r="I1384" s="54"/>
      <x:c r="J1384" s="55"/>
      <x:c r="K1384" s="55"/>
      <x:c r="L1384" s="55"/>
      <x:c r="M1384"/>
      <x:c r="N1384"/>
      <x:c r="O1384" s="54"/>
      <x:c r="P1384"/>
      <x:c r="Q1384"/>
      <x:c r="R1384"/>
      <x:c r="S1384"/>
      <x:c r="T1384"/>
      <x:c r="U1384" s="57"/>
      <x:c r="V1384" s="57"/>
      <x:c r="W1384"/>
      <x:c r="X1384"/>
      <x:c r="Y1384" s="38"/>
      <x:c r="Z1384" s="38"/>
      <x:c r="AA1384"/>
    </x:row>
    <x:row r="1385">
      <x:c r="A1385" s="54" t="n">
        <x:v>44742</x:v>
      </x:c>
      <x:c r="B1385" t="n">
        <x:v>44742.624999988424</x:v>
      </x:c>
      <x:c r="C1385" t="str">
        <x:v>047400</x:v>
      </x:c>
      <x:c r="D1385" t="str">
        <x:v>유니온머티리얼</x:v>
      </x:c>
      <x:c r="E1385" t="str">
        <x:v>KOSPI</x:v>
      </x:c>
      <x:c r="F1385" t="str">
        <x:v>SMALL</x:v>
      </x:c>
      <x:c r="G1385" t="str">
        <x:v>DCF_SCREENING_EXCLUSION</x:v>
      </x:c>
      <x:c r="H1385" t="str">
        <x:v>NON_POSITIVE_ENTERPRISE_VALUE|NON_POSITIVE_EQUITY_VALUE|NON_POSITIVE_TERMINAL_FCF</x:v>
      </x:c>
      <x:c r="I1385" s="54" t="n">
        <x:v>44742</x:v>
      </x:c>
      <x:c r="J1385" s="55" t="n">
        <x:v>2110</x:v>
      </x:c>
      <x:c r="K1385" s="55" t="n">
        <x:v>88620000000</x:v>
      </x:c>
      <x:c r="L1385" s="55" t="n">
        <x:v>42000000</x:v>
      </x:c>
      <x:c r="M1385" t="str">
        <x:v>20220316001172</x:v>
      </x:c>
      <x:c r="N1385" t="n">
        <x:v>44636.624999988424</x:v>
      </x:c>
      <x:c r="O1385" s="54" t="n">
        <x:v>44561</x:v>
      </x:c>
      <x:c r="P1385" t="str">
        <x:v>False</x:v>
      </x:c>
      <x:c r="Q1385" t="str">
        <x:v>406ec7e9b4bfa064875ab47e84c695216a28d7343d3b7abfb30068d795b3070d</x:v>
      </x:c>
      <x:c r="R1385" t="str">
        <x:v>27bff9065a36277f472f0c455b64979643b6e8149ffcc63fea003d2d08170496</x:v>
      </x:c>
      <x:c r="S1385" t="n">
        <x:v>7</x:v>
      </x:c>
      <x:c r="T1385" t="str">
        <x:v>2018-12-31|2019-12-31|2020-12-31|2021-12-31</x:v>
      </x:c>
      <x:c r="U1385" s="57" t="n">
        <x:v>-2259.92542452363</x:v>
      </x:c>
      <x:c r="V1385" s="57" t="n">
        <x:v>-2.0710547035657014</x:v>
      </x:c>
      <x:c r="W1385"/>
      <x:c r="X1385"/>
      <x:c r="Y1385" s="38" t="n">
        <x:v>0.6409090909090909</x:v>
      </x:c>
      <x:c r="Z1385" s="38" t="n">
        <x:v>0.6434612713817982</x:v>
      </x:c>
      <x:c r="AA1385" t="str">
        <x:v>NON_POSITIVE_ENTERPRISE_VALUE|NON_POSITIVE_EQUITY_VALUE|NON_POSITIVE_TERMINAL_FCF</x:v>
      </x:c>
    </x:row>
    <x:row r="1386">
      <x:c r="A1386" s="54" t="n">
        <x:v>44742</x:v>
      </x:c>
      <x:c r="B1386" t="n">
        <x:v>44742.624999988424</x:v>
      </x:c>
      <x:c r="C1386" t="str">
        <x:v>011300</x:v>
      </x:c>
      <x:c r="D1386" t="str">
        <x:v>성안머티리얼스</x:v>
      </x:c>
      <x:c r="E1386" t="str">
        <x:v>KOSPI</x:v>
      </x:c>
      <x:c r="F1386" t="str">
        <x:v>SMALL</x:v>
      </x:c>
      <x:c r="G1386" t="str">
        <x:v>DCF_SCREENING_EXCLUSION</x:v>
      </x:c>
      <x:c r="H1386" t="str">
        <x:v>NON_POSITIVE_ENTERPRISE_VALUE|NON_POSITIVE_EQUITY_VALUE|NON_POSITIVE_TERMINAL_FCF</x:v>
      </x:c>
      <x:c r="I1386" s="54" t="n">
        <x:v>44742</x:v>
      </x:c>
      <x:c r="J1386" s="55" t="n">
        <x:v>530</x:v>
      </x:c>
      <x:c r="K1386" s="55" t="n">
        <x:v>30134665800</x:v>
      </x:c>
      <x:c r="L1386" s="55" t="n">
        <x:v>56857860</x:v>
      </x:c>
      <x:c r="M1386" t="str">
        <x:v>20220322000888</x:v>
      </x:c>
      <x:c r="N1386" t="n">
        <x:v>44642.624999988424</x:v>
      </x:c>
      <x:c r="O1386" s="54" t="n">
        <x:v>44561</x:v>
      </x:c>
      <x:c r="P1386" t="str">
        <x:v>False</x:v>
      </x:c>
      <x:c r="Q1386" t="str">
        <x:v>95133812ec7fb5796856517489219b7454f4cc1890aae8ba7c189bc36bf302a4</x:v>
      </x:c>
      <x:c r="R1386" t="str">
        <x:v>f33da9cc559525b90db03385cdae8d78888e82d656b5b9d9dfe10ed15dddbcbe</x:v>
      </x:c>
      <x:c r="S1386" t="n">
        <x:v>7</x:v>
      </x:c>
      <x:c r="T1386" t="str">
        <x:v>2018-12-31|2019-12-31|2020-12-31|2021-12-31</x:v>
      </x:c>
      <x:c r="U1386" s="57" t="n">
        <x:v>-601.6964799427835</x:v>
      </x:c>
      <x:c r="V1386" s="57" t="n">
        <x:v>-2.135276377250535</x:v>
      </x:c>
      <x:c r="W1386"/>
      <x:c r="X1386"/>
      <x:c r="Y1386" s="38" t="n">
        <x:v>0.6409090909090909</x:v>
      </x:c>
      <x:c r="Z1386" s="38" t="n">
        <x:v>0.7294850497912088</x:v>
      </x:c>
      <x:c r="AA1386" t="str">
        <x:v>NON_POSITIVE_ENTERPRISE_VALUE|NON_POSITIVE_EQUITY_VALUE|NON_POSITIVE_TERMINAL_FCF</x:v>
      </x:c>
    </x:row>
    <x:row r="1387">
      <x:c r="A1387" s="54" t="n">
        <x:v>44742</x:v>
      </x:c>
      <x:c r="B1387" t="n">
        <x:v>44742.624999988424</x:v>
      </x:c>
      <x:c r="C1387" t="str">
        <x:v>018500</x:v>
      </x:c>
      <x:c r="D1387" t="str">
        <x:v>동원금속</x:v>
      </x:c>
      <x:c r="E1387" t="str">
        <x:v>KOSPI</x:v>
      </x:c>
      <x:c r="F1387" t="str">
        <x:v>SMALL</x:v>
      </x:c>
      <x:c r="G1387" t="str">
        <x:v>DCF_SCREENING_EXCLUSION</x:v>
      </x:c>
      <x:c r="H1387" t="str">
        <x:v>NON_POSITIVE_ENTERPRISE_VALUE|NON_POSITIVE_EQUITY_VALUE|NON_POSITIVE_TERMINAL_FCF</x:v>
      </x:c>
      <x:c r="I1387" s="54" t="n">
        <x:v>44742</x:v>
      </x:c>
      <x:c r="J1387" s="55" t="n">
        <x:v>858</x:v>
      </x:c>
      <x:c r="K1387" s="55" t="n">
        <x:v>40115732514</x:v>
      </x:c>
      <x:c r="L1387" s="55" t="n">
        <x:v>46754933</x:v>
      </x:c>
      <x:c r="M1387" t="str">
        <x:v>20220620000208</x:v>
      </x:c>
      <x:c r="N1387" t="n">
        <x:v>44732.624999988424</x:v>
      </x:c>
      <x:c r="O1387" s="54" t="n">
        <x:v>44651</x:v>
      </x:c>
      <x:c r="P1387" t="str">
        <x:v>False</x:v>
      </x:c>
      <x:c r="Q1387" t="str">
        <x:v>6032b6d0ff0fa5c8589ce2e9495f3392e2d87eac4ac6326e2958e1f26443339d</x:v>
      </x:c>
      <x:c r="R1387" t="str">
        <x:v>93395776f505cb3e68e13de0fe0a6c37642acc03a8e4e2a364181c6e986a8788</x:v>
      </x:c>
      <x:c r="S1387" t="n">
        <x:v>6</x:v>
      </x:c>
      <x:c r="T1387" t="str">
        <x:v>2019-03-31|2020-03-31|2021-03-31|2022-03-31</x:v>
      </x:c>
      <x:c r="U1387" s="57" t="n">
        <x:v>-5223.077801948049</x:v>
      </x:c>
      <x:c r="V1387" s="57" t="n">
        <x:v>-7.087503265673717</x:v>
      </x:c>
      <x:c r="W1387"/>
      <x:c r="X1387"/>
      <x:c r="Y1387" s="38" t="n">
        <x:v>0.6409090909090909</x:v>
      </x:c>
      <x:c r="Z1387" s="38" t="n">
        <x:v>0.7019558398857392</x:v>
      </x:c>
      <x:c r="AA1387" t="str">
        <x:v>NON_POSITIVE_ENTERPRISE_VALUE|NON_POSITIVE_EQUITY_VALUE|NON_POSITIVE_TERMINAL_FCF</x:v>
      </x:c>
    </x:row>
    <x:row r="1388">
      <x:c r="A1388" s="54" t="n">
        <x:v>44742</x:v>
      </x:c>
      <x:c r="B1388" t="n">
        <x:v>44742.624999988424</x:v>
      </x:c>
      <x:c r="C1388" t="str">
        <x:v>004770</x:v>
      </x:c>
      <x:c r="D1388" t="str">
        <x:v>써니전자</x:v>
      </x:c>
      <x:c r="E1388" t="str">
        <x:v>KOSPI</x:v>
      </x:c>
      <x:c r="F1388" t="str">
        <x:v>SMALL</x:v>
      </x:c>
      <x:c r="G1388" t="str">
        <x:v>ELIGIBLE</x:v>
      </x:c>
      <x:c r="H1388"/>
      <x:c r="I1388" s="54" t="n">
        <x:v>44742</x:v>
      </x:c>
      <x:c r="J1388" s="55" t="n">
        <x:v>2520</x:v>
      </x:c>
      <x:c r="K1388" s="55" t="n">
        <x:v>87809427720</x:v>
      </x:c>
      <x:c r="L1388" s="55" t="n">
        <x:v>34845011</x:v>
      </x:c>
      <x:c r="M1388" t="str">
        <x:v>20220317001263</x:v>
      </x:c>
      <x:c r="N1388" t="n">
        <x:v>44637.624999988424</x:v>
      </x:c>
      <x:c r="O1388" s="54" t="n">
        <x:v>44561</x:v>
      </x:c>
      <x:c r="P1388" t="str">
        <x:v>False</x:v>
      </x:c>
      <x:c r="Q1388" t="str">
        <x:v>96afd5ff88e93a440895a2ef3c3555963864d98f79a3f40b55a3030c9ac83275</x:v>
      </x:c>
      <x:c r="R1388" t="str">
        <x:v>315d574a8e7ff6895d0fe91250c34ca69416ac523b54c4bd4c1637bd7502cfe0</x:v>
      </x:c>
      <x:c r="S1388" t="n">
        <x:v>7</x:v>
      </x:c>
      <x:c r="T1388" t="str">
        <x:v>2018-12-31|2019-12-31|2020-12-31|2021-12-31</x:v>
      </x:c>
      <x:c r="U1388" s="57" t="n">
        <x:v>438.3487472789498</x:v>
      </x:c>
      <x:c r="V1388" s="57" t="n">
        <x:v>-0.8260520844131152</x:v>
      </x:c>
      <x:c r="W1388" t="n">
        <x:v>61</x:v>
      </x:c>
      <x:c r="X1388" t="n">
        <x:v>5</x:v>
      </x:c>
      <x:c r="Y1388" s="38" t="n">
        <x:v>0.6409090909090909</x:v>
      </x:c>
      <x:c r="Z1388" s="38" t="n">
        <x:v>0.5912288589103638</x:v>
      </x:c>
      <x:c r="AA1388"/>
    </x:row>
    <x:row r="1389">
      <x:c r="A1389" s="54" t="n">
        <x:v>44742</x:v>
      </x:c>
      <x:c r="B1389" t="n">
        <x:v>44742.624999988424</x:v>
      </x:c>
      <x:c r="C1389" t="str">
        <x:v>000890</x:v>
      </x:c>
      <x:c r="D1389" t="str">
        <x:v>보해양조</x:v>
      </x:c>
      <x:c r="E1389" t="str">
        <x:v>KOSPI</x:v>
      </x:c>
      <x:c r="F1389" t="str">
        <x:v>SMALL</x:v>
      </x:c>
      <x:c r="G1389" t="str">
        <x:v>DCF_SCREENING_EXCLUSION</x:v>
      </x:c>
      <x:c r="H1389" t="str">
        <x:v>NON_POSITIVE_ENTERPRISE_VALUE|NON_POSITIVE_EQUITY_VALUE|NON_POSITIVE_TERMINAL_FCF</x:v>
      </x:c>
      <x:c r="I1389" s="54" t="n">
        <x:v>44742</x:v>
      </x:c>
      <x:c r="J1389" s="55" t="n">
        <x:v>739</x:v>
      </x:c>
      <x:c r="K1389" s="55" t="n">
        <x:v>102809775331</x:v>
      </x:c>
      <x:c r="L1389" s="55" t="n">
        <x:v>139120129</x:v>
      </x:c>
      <x:c r="M1389" t="str">
        <x:v>20220315001204</x:v>
      </x:c>
      <x:c r="N1389" t="n">
        <x:v>44635.624999988424</x:v>
      </x:c>
      <x:c r="O1389" s="54" t="n">
        <x:v>44561</x:v>
      </x:c>
      <x:c r="P1389" t="str">
        <x:v>False</x:v>
      </x:c>
      <x:c r="Q1389" t="str">
        <x:v>4f3ed550dbfc0dd5e61bfd9eb0276a90fe74344e195b742fb38ee19fbad0ab35</x:v>
      </x:c>
      <x:c r="R1389" t="str">
        <x:v>1347a18563b5f21cfb5ce6f3d0c9d3d99ff6559586f97774c7bfaba7fc01c9d5</x:v>
      </x:c>
      <x:c r="S1389" t="n">
        <x:v>6</x:v>
      </x:c>
      <x:c r="T1389" t="str">
        <x:v>2018-12-31|2019-12-31|2020-12-31|2021-12-31</x:v>
      </x:c>
      <x:c r="U1389" s="57" t="n">
        <x:v>-292.69197653315086</x:v>
      </x:c>
      <x:c r="V1389" s="57" t="n">
        <x:v>-1.3960649208838307</x:v>
      </x:c>
      <x:c r="W1389"/>
      <x:c r="X1389"/>
      <x:c r="Y1389" s="38" t="n">
        <x:v>0.6409090909090909</x:v>
      </x:c>
      <x:c r="Z1389" s="38" t="n">
        <x:v>0.7670157626789917</x:v>
      </x:c>
      <x:c r="AA1389" t="str">
        <x:v>NON_POSITIVE_ENTERPRISE_VALUE|NON_POSITIVE_EQUITY_VALUE|NON_POSITIVE_TERMINAL_FCF</x:v>
      </x:c>
    </x:row>
    <x:row r="1390">
      <x:c r="A1390" s="54" t="n">
        <x:v>44742</x:v>
      </x:c>
      <x:c r="B1390" t="n">
        <x:v>44742.624999988424</x:v>
      </x:c>
      <x:c r="C1390" t="str">
        <x:v>021050</x:v>
      </x:c>
      <x:c r="D1390" t="str">
        <x:v>서원</x:v>
      </x:c>
      <x:c r="E1390" t="str">
        <x:v>KOSPI</x:v>
      </x:c>
      <x:c r="F1390" t="str">
        <x:v>SMALL</x:v>
      </x:c>
      <x:c r="G1390" t="str">
        <x:v>DCF_SCREENING_EXCLUSION</x:v>
      </x:c>
      <x:c r="H1390" t="str">
        <x:v>NON_POSITIVE_EQUITY_VALUE</x:v>
      </x:c>
      <x:c r="I1390" s="54" t="n">
        <x:v>44742</x:v>
      </x:c>
      <x:c r="J1390" s="55" t="n">
        <x:v>1400</x:v>
      </x:c>
      <x:c r="K1390" s="55" t="n">
        <x:v>66464426000</x:v>
      </x:c>
      <x:c r="L1390" s="55" t="n">
        <x:v>47474590</x:v>
      </x:c>
      <x:c r="M1390" t="str">
        <x:v>20220323001011</x:v>
      </x:c>
      <x:c r="N1390" t="n">
        <x:v>44643.624999988424</x:v>
      </x:c>
      <x:c r="O1390" s="54" t="n">
        <x:v>44561</x:v>
      </x:c>
      <x:c r="P1390" t="str">
        <x:v>False</x:v>
      </x:c>
      <x:c r="Q1390" t="str">
        <x:v>728db08f6242cb663662a22c7cc9b8856ff1f56ee217b4c6eab69943d55cdcce</x:v>
      </x:c>
      <x:c r="R1390" t="str">
        <x:v>76ca0092bd955e887eb44f7cdabc306396f0cfdc39cfb96a7c6e40765f37fe85</x:v>
      </x:c>
      <x:c r="S1390" t="n">
        <x:v>6</x:v>
      </x:c>
      <x:c r="T1390" t="str">
        <x:v>2018-12-31|2019-12-31|2020-12-31|2021-12-31</x:v>
      </x:c>
      <x:c r="U1390" s="57" t="n">
        <x:v>-239.7253914947342</x:v>
      </x:c>
      <x:c r="V1390" s="57" t="n">
        <x:v>-1.1712324224962387</x:v>
      </x:c>
      <x:c r="W1390"/>
      <x:c r="X1390"/>
      <x:c r="Y1390" s="38" t="n">
        <x:v>0.6409090909090909</x:v>
      </x:c>
      <x:c r="Z1390" s="38" t="n">
        <x:v>0.47383600945035365</x:v>
      </x:c>
      <x:c r="AA1390" t="str">
        <x:v>NON_POSITIVE_EQUITY_VALUE</x:v>
      </x:c>
    </x:row>
    <x:row r="1391">
      <x:c r="A1391" s="54" t="n">
        <x:v>44742</x:v>
      </x:c>
      <x:c r="B1391" t="n">
        <x:v>44742.624999988424</x:v>
      </x:c>
      <x:c r="C1391" t="str">
        <x:v>134790</x:v>
      </x:c>
      <x:c r="D1391" t="str">
        <x:v>시디즈</x:v>
      </x:c>
      <x:c r="E1391" t="str">
        <x:v>KOSPI</x:v>
      </x:c>
      <x:c r="F1391" t="str">
        <x:v>SMALL</x:v>
      </x:c>
      <x:c r="G1391" t="str">
        <x:v>ELIGIBLE</x:v>
      </x:c>
      <x:c r="H1391"/>
      <x:c r="I1391" s="54" t="n">
        <x:v>44742</x:v>
      </x:c>
      <x:c r="J1391" s="55" t="n">
        <x:v>43550</x:v>
      </x:c>
      <x:c r="K1391" s="55" t="n">
        <x:v>87100000000</x:v>
      </x:c>
      <x:c r="L1391" s="55" t="n">
        <x:v>2000000</x:v>
      </x:c>
      <x:c r="M1391" t="str">
        <x:v>20220317000781</x:v>
      </x:c>
      <x:c r="N1391" t="n">
        <x:v>44637.624999988424</x:v>
      </x:c>
      <x:c r="O1391" s="54" t="n">
        <x:v>44561</x:v>
      </x:c>
      <x:c r="P1391" t="str">
        <x:v>False</x:v>
      </x:c>
      <x:c r="Q1391" t="str">
        <x:v>4308c99f85d1a0ac826a28e107e6174e67b2fb4796810f42928bc80c83f97ebd</x:v>
      </x:c>
      <x:c r="R1391" t="str">
        <x:v>6ab50170c91f93cd835bb0b19e6fb945a84f345f4b3fa2024ae07cb3bed7abc5</x:v>
      </x:c>
      <x:c r="S1391" t="n">
        <x:v>5</x:v>
      </x:c>
      <x:c r="T1391" t="str">
        <x:v>2018-12-31|2019-12-31|2020-12-31|2021-12-31</x:v>
      </x:c>
      <x:c r="U1391" s="57" t="n">
        <x:v>55596.38736945861</x:v>
      </x:c>
      <x:c r="V1391" s="57" t="n">
        <x:v>0.2766105021689692</x:v>
      </x:c>
      <x:c r="W1391" t="n">
        <x:v>15</x:v>
      </x:c>
      <x:c r="X1391" t="n">
        <x:v>2</x:v>
      </x:c>
      <x:c r="Y1391" s="38" t="n">
        <x:v>0.6409090909090909</x:v>
      </x:c>
      <x:c r="Z1391" s="38" t="n">
        <x:v>0.6659522181200753</x:v>
      </x:c>
      <x:c r="AA1391"/>
    </x:row>
    <x:row r="1392">
      <x:c r="A1392" s="54" t="n">
        <x:v>44742</x:v>
      </x:c>
      <x:c r="B1392" t="n">
        <x:v>44742.624999988424</x:v>
      </x:c>
      <x:c r="C1392" t="str">
        <x:v>004920</x:v>
      </x:c>
      <x:c r="D1392" t="str">
        <x:v>씨아이테크</x:v>
      </x:c>
      <x:c r="E1392" t="str">
        <x:v>KOSPI</x:v>
      </x:c>
      <x:c r="F1392" t="str">
        <x:v>SMALL</x:v>
      </x:c>
      <x:c r="G1392" t="str">
        <x:v>DCF_SCREENING_EXCLUSION</x:v>
      </x:c>
      <x:c r="H1392" t="str">
        <x:v>NON_POSITIVE_ENTERPRISE_VALUE|NON_POSITIVE_EQUITY_VALUE|NON_POSITIVE_TERMINAL_FCF</x:v>
      </x:c>
      <x:c r="I1392" s="54" t="n">
        <x:v>44742</x:v>
      </x:c>
      <x:c r="J1392" s="55" t="n">
        <x:v>1225</x:v>
      </x:c>
      <x:c r="K1392" s="55" t="n">
        <x:v>48940855775</x:v>
      </x:c>
      <x:c r="L1392" s="55" t="n">
        <x:v>39951719</x:v>
      </x:c>
      <x:c r="M1392" t="str">
        <x:v>20220323000416</x:v>
      </x:c>
      <x:c r="N1392" t="n">
        <x:v>44643.624999988424</x:v>
      </x:c>
      <x:c r="O1392" s="54" t="n">
        <x:v>44561</x:v>
      </x:c>
      <x:c r="P1392" t="str">
        <x:v>False</x:v>
      </x:c>
      <x:c r="Q1392" t="str">
        <x:v>bc631a13505aed08ce97000cf7b9071df32539a077808cccfe6ae4e6f78467f5</x:v>
      </x:c>
      <x:c r="R1392" t="str">
        <x:v>c9c172bbc3807fa6892038fce7dbfcfc380dc2c55fa88fb63070f0e5428c567c</x:v>
      </x:c>
      <x:c r="S1392" t="n">
        <x:v>6</x:v>
      </x:c>
      <x:c r="T1392" t="str">
        <x:v>2018-12-31|2019-12-31|2020-12-31|2021-12-31</x:v>
      </x:c>
      <x:c r="U1392" s="57" t="n">
        <x:v>-778.5000327442182</x:v>
      </x:c>
      <x:c r="V1392" s="57" t="n">
        <x:v>-1.6355102308116067</x:v>
      </x:c>
      <x:c r="W1392"/>
      <x:c r="X1392"/>
      <x:c r="Y1392" s="38" t="n">
        <x:v>0.6409090909090909</x:v>
      </x:c>
      <x:c r="Z1392" s="38" t="n">
        <x:v>0.7574042557637609</x:v>
      </x:c>
      <x:c r="AA1392" t="str">
        <x:v>NON_POSITIVE_ENTERPRISE_VALUE|NON_POSITIVE_EQUITY_VALUE|NON_POSITIVE_TERMINAL_FCF</x:v>
      </x:c>
    </x:row>
    <x:row r="1393">
      <x:c r="A1393" s="54" t="n">
        <x:v>44742</x:v>
      </x:c>
      <x:c r="B1393" t="n">
        <x:v>44742.624999988424</x:v>
      </x:c>
      <x:c r="C1393" t="str">
        <x:v>058730</x:v>
      </x:c>
      <x:c r="D1393" t="str">
        <x:v>다스코</x:v>
      </x:c>
      <x:c r="E1393" t="str">
        <x:v>KOSPI</x:v>
      </x:c>
      <x:c r="F1393" t="str">
        <x:v>SMALL</x:v>
      </x:c>
      <x:c r="G1393" t="str">
        <x:v>DCF_SCREENING_EXCLUSION</x:v>
      </x:c>
      <x:c r="H1393" t="str">
        <x:v>NON_POSITIVE_ENTERPRISE_VALUE|NON_POSITIVE_EQUITY_VALUE|NON_POSITIVE_TERMINAL_FCF</x:v>
      </x:c>
      <x:c r="I1393" s="54" t="n">
        <x:v>44742</x:v>
      </x:c>
      <x:c r="J1393" s="55" t="n">
        <x:v>5880</x:v>
      </x:c>
      <x:c r="K1393" s="55" t="n">
        <x:v>106367388960</x:v>
      </x:c>
      <x:c r="L1393" s="55" t="n">
        <x:v>18089692</x:v>
      </x:c>
      <x:c r="M1393" t="str">
        <x:v>20220405002851</x:v>
      </x:c>
      <x:c r="N1393" t="n">
        <x:v>44656.624999988424</x:v>
      </x:c>
      <x:c r="O1393" s="54" t="n">
        <x:v>44561</x:v>
      </x:c>
      <x:c r="P1393" t="str">
        <x:v>True</x:v>
      </x:c>
      <x:c r="Q1393" t="str">
        <x:v>fc36322dc9262a6c38c4b2f66c1937f809f8184219d9f3becba7107aa77cfdab</x:v>
      </x:c>
      <x:c r="R1393" t="str">
        <x:v>ed21e637a01a932b12458189b30d3c77ddad828f1421498be913e5dd29c8582b</x:v>
      </x:c>
      <x:c r="S1393" t="n">
        <x:v>7</x:v>
      </x:c>
      <x:c r="T1393" t="str">
        <x:v>2019-12-31|2020-12-31|2021-12-31</x:v>
      </x:c>
      <x:c r="U1393" s="57" t="n">
        <x:v>-13285.785395760618</x:v>
      </x:c>
      <x:c r="V1393" s="57" t="n">
        <x:v>-3.259487312204187</x:v>
      </x:c>
      <x:c r="W1393"/>
      <x:c r="X1393"/>
      <x:c r="Y1393" s="38" t="n">
        <x:v>0.6409090909090909</x:v>
      </x:c>
      <x:c r="Z1393" s="38" t="n">
        <x:v>0.5339702325685373</x:v>
      </x:c>
      <x:c r="AA1393" t="str">
        <x:v>NON_POSITIVE_ENTERPRISE_VALUE|NON_POSITIVE_EQUITY_VALUE|NON_POSITIVE_TERMINAL_FCF</x:v>
      </x:c>
    </x:row>
    <x:row r="1394">
      <x:c r="A1394" s="54" t="n">
        <x:v>44742</x:v>
      </x:c>
      <x:c r="B1394" t="n">
        <x:v>44742.624999988424</x:v>
      </x:c>
      <x:c r="C1394" t="str">
        <x:v>465770</x:v>
      </x:c>
      <x:c r="D1394" t="str">
        <x:v>STX그린로지스</x:v>
      </x:c>
      <x:c r="E1394" t="str">
        <x:v>KOSPI</x:v>
      </x:c>
      <x:c r="F1394" t="str">
        <x:v>SMALL</x:v>
      </x:c>
      <x:c r="G1394" t="str">
        <x:v>NOT_LISTED_OR_NO_PRICE</x:v>
      </x:c>
      <x:c r="H1394"/>
      <x:c r="I1394" s="54"/>
      <x:c r="J1394" s="55"/>
      <x:c r="K1394" s="55"/>
      <x:c r="L1394" s="55"/>
      <x:c r="M1394"/>
      <x:c r="N1394"/>
      <x:c r="O1394" s="54"/>
      <x:c r="P1394"/>
      <x:c r="Q1394"/>
      <x:c r="R1394"/>
      <x:c r="S1394"/>
      <x:c r="T1394"/>
      <x:c r="U1394" s="57"/>
      <x:c r="V1394" s="57"/>
      <x:c r="W1394"/>
      <x:c r="X1394"/>
      <x:c r="Y1394" s="38"/>
      <x:c r="Z1394" s="38"/>
      <x:c r="AA1394"/>
    </x:row>
    <x:row r="1395">
      <x:c r="A1395" s="54" t="n">
        <x:v>44742</x:v>
      </x:c>
      <x:c r="B1395" t="n">
        <x:v>44742.624999988424</x:v>
      </x:c>
      <x:c r="C1395" t="str">
        <x:v>000950</x:v>
      </x:c>
      <x:c r="D1395" t="str">
        <x:v>전방</x:v>
      </x:c>
      <x:c r="E1395" t="str">
        <x:v>KOSPI</x:v>
      </x:c>
      <x:c r="F1395" t="str">
        <x:v>SMALL</x:v>
      </x:c>
      <x:c r="G1395" t="str">
        <x:v>DCF_SCREENING_EXCLUSION</x:v>
      </x:c>
      <x:c r="H1395" t="str">
        <x:v>NON_POSITIVE_ENTERPRISE_VALUE|NON_POSITIVE_EQUITY_VALUE|NON_POSITIVE_TERMINAL_FCF|UNRELIABLE_TERMINAL_VALUE_SHARE</x:v>
      </x:c>
      <x:c r="I1395" s="54" t="n">
        <x:v>44742</x:v>
      </x:c>
      <x:c r="J1395" s="55" t="n">
        <x:v>49200</x:v>
      </x:c>
      <x:c r="K1395" s="55" t="n">
        <x:v>82656000000</x:v>
      </x:c>
      <x:c r="L1395" s="55" t="n">
        <x:v>1680000</x:v>
      </x:c>
      <x:c r="M1395" t="str">
        <x:v>20220317000094</x:v>
      </x:c>
      <x:c r="N1395" t="n">
        <x:v>44637.624999988424</x:v>
      </x:c>
      <x:c r="O1395" s="54" t="n">
        <x:v>44561</x:v>
      </x:c>
      <x:c r="P1395" t="str">
        <x:v>False</x:v>
      </x:c>
      <x:c r="Q1395" t="str">
        <x:v>0b7abe65190e1dd93439f729b035d4ca30f9dc8a5b289f10f1f04ee7ff1f114a</x:v>
      </x:c>
      <x:c r="R1395" t="str">
        <x:v>3f80d3cdb5c8533a3aa6523e95f45c4e35f75216281336deb0666429f4806a1a</x:v>
      </x:c>
      <x:c r="S1395" t="n">
        <x:v>6</x:v>
      </x:c>
      <x:c r="T1395" t="str">
        <x:v>2018-12-31|2019-12-31|2020-12-31|2021-12-31</x:v>
      </x:c>
      <x:c r="U1395" s="57" t="n">
        <x:v>-137666.84924181644</x:v>
      </x:c>
      <x:c r="V1395" s="57" t="n">
        <x:v>-3.7981066919068387</x:v>
      </x:c>
      <x:c r="W1395"/>
      <x:c r="X1395"/>
      <x:c r="Y1395" s="38" t="n">
        <x:v>0.6409090909090909</x:v>
      </x:c>
      <x:c r="Z1395" s="38" t="n">
        <x:v>0.9658515454814297</x:v>
      </x:c>
      <x:c r="AA1395" t="str">
        <x:v>NON_POSITIVE_ENTERPRISE_VALUE|NON_POSITIVE_EQUITY_VALUE|NON_POSITIVE_TERMINAL_FCF|UNRELIABLE_TERMINAL_VALUE_SHARE</x:v>
      </x:c>
    </x:row>
    <x:row r="1396">
      <x:c r="A1396" s="54" t="n">
        <x:v>44742</x:v>
      </x:c>
      <x:c r="B1396" t="n">
        <x:v>44742.624999988424</x:v>
      </x:c>
      <x:c r="C1396" t="str">
        <x:v>019180</x:v>
      </x:c>
      <x:c r="D1396" t="str">
        <x:v>티에이치엔</x:v>
      </x:c>
      <x:c r="E1396" t="str">
        <x:v>KOSPI</x:v>
      </x:c>
      <x:c r="F1396" t="str">
        <x:v>SMALL</x:v>
      </x:c>
      <x:c r="G1396" t="str">
        <x:v>ELIGIBLE</x:v>
      </x:c>
      <x:c r="H1396"/>
      <x:c r="I1396" s="54" t="n">
        <x:v>44742</x:v>
      </x:c>
      <x:c r="J1396" s="55" t="n">
        <x:v>2935</x:v>
      </x:c>
      <x:c r="K1396" s="55" t="n">
        <x:v>52830000000</x:v>
      </x:c>
      <x:c r="L1396" s="55" t="n">
        <x:v>18000000</x:v>
      </x:c>
      <x:c r="M1396" t="str">
        <x:v>20220322000923</x:v>
      </x:c>
      <x:c r="N1396" t="n">
        <x:v>44642.624999988424</x:v>
      </x:c>
      <x:c r="O1396" s="54" t="n">
        <x:v>44561</x:v>
      </x:c>
      <x:c r="P1396" t="str">
        <x:v>False</x:v>
      </x:c>
      <x:c r="Q1396" t="str">
        <x:v>caaf496c38b71bf44a4d73b6d0c3032184070476eff4fd0e57ed140f23ab149b</x:v>
      </x:c>
      <x:c r="R1396" t="str">
        <x:v>91fbf763d4c2d389a11be96931fd690e2fea85838fd2e128a150d466e546820d</x:v>
      </x:c>
      <x:c r="S1396" t="n">
        <x:v>6</x:v>
      </x:c>
      <x:c r="T1396" t="str">
        <x:v>2018-12-31|2019-12-31|2020-12-31|2021-12-31</x:v>
      </x:c>
      <x:c r="U1396" s="57" t="n">
        <x:v>1268.1497161747438</x:v>
      </x:c>
      <x:c r="V1396" s="57" t="n">
        <x:v>-0.5679217321380771</x:v>
      </x:c>
      <x:c r="W1396" t="n">
        <x:v>48</x:v>
      </x:c>
      <x:c r="X1396" t="n">
        <x:v>4</x:v>
      </x:c>
      <x:c r="Y1396" s="38" t="n">
        <x:v>0.6409090909090909</x:v>
      </x:c>
      <x:c r="Z1396" s="38" t="n">
        <x:v>0.5976743403843328</x:v>
      </x:c>
      <x:c r="AA1396"/>
    </x:row>
    <x:row r="1397">
      <x:c r="A1397" s="54" t="n">
        <x:v>44742</x:v>
      </x:c>
      <x:c r="B1397" t="n">
        <x:v>44742.624999988424</x:v>
      </x:c>
      <x:c r="C1397" t="str">
        <x:v>020760</x:v>
      </x:c>
      <x:c r="D1397" t="str">
        <x:v>일진디스플</x:v>
      </x:c>
      <x:c r="E1397" t="str">
        <x:v>KOSPI</x:v>
      </x:c>
      <x:c r="F1397" t="str">
        <x:v>SMALL</x:v>
      </x:c>
      <x:c r="G1397" t="str">
        <x:v>DCF_SCREENING_EXCLUSION</x:v>
      </x:c>
      <x:c r="H1397" t="str">
        <x:v>NON_POSITIVE_ENTERPRISE_VALUE|NON_POSITIVE_EQUITY_VALUE|NON_POSITIVE_TERMINAL_FCF</x:v>
      </x:c>
      <x:c r="I1397" s="54" t="n">
        <x:v>44742</x:v>
      </x:c>
      <x:c r="J1397" s="55" t="n">
        <x:v>2070</x:v>
      </x:c>
      <x:c r="K1397" s="55" t="n">
        <x:v>106633443870</x:v>
      </x:c>
      <x:c r="L1397" s="55" t="n">
        <x:v>51513741</x:v>
      </x:c>
      <x:c r="M1397" t="str">
        <x:v>20220322001113</x:v>
      </x:c>
      <x:c r="N1397" t="n">
        <x:v>44642.624999988424</x:v>
      </x:c>
      <x:c r="O1397" s="54" t="n">
        <x:v>44561</x:v>
      </x:c>
      <x:c r="P1397" t="str">
        <x:v>False</x:v>
      </x:c>
      <x:c r="Q1397" t="str">
        <x:v>d5edcc806182a30c55f45f37c0aba3446c47cacb9db6901ad26ad6382598aa6a</x:v>
      </x:c>
      <x:c r="R1397" t="str">
        <x:v>57c5540cde337e2bde5d3310fe9b2de496ff3fb6b831a53b9d652eb4342556c4</x:v>
      </x:c>
      <x:c r="S1397" t="n">
        <x:v>6</x:v>
      </x:c>
      <x:c r="T1397" t="str">
        <x:v>2018-12-31|2019-12-31|2020-12-31|2021-12-31</x:v>
      </x:c>
      <x:c r="U1397" s="57" t="n">
        <x:v>-4015.0665610392907</x:v>
      </x:c>
      <x:c r="V1397" s="57" t="n">
        <x:v>-2.939645681661493</x:v>
      </x:c>
      <x:c r="W1397"/>
      <x:c r="X1397"/>
      <x:c r="Y1397" s="38" t="n">
        <x:v>0.6409090909090909</x:v>
      </x:c>
      <x:c r="Z1397" s="38" t="n">
        <x:v>0.6095054406520231</x:v>
      </x:c>
      <x:c r="AA1397" t="str">
        <x:v>NON_POSITIVE_ENTERPRISE_VALUE|NON_POSITIVE_EQUITY_VALUE|NON_POSITIVE_TERMINAL_FCF</x:v>
      </x:c>
    </x:row>
    <x:row r="1398">
      <x:c r="A1398" s="54" t="n">
        <x:v>44742</x:v>
      </x:c>
      <x:c r="B1398" t="n">
        <x:v>44742.624999988424</x:v>
      </x:c>
      <x:c r="C1398" t="str">
        <x:v>069640</x:v>
      </x:c>
      <x:c r="D1398" t="str">
        <x:v>한세엠케이</x:v>
      </x:c>
      <x:c r="E1398" t="str">
        <x:v>KOSPI</x:v>
      </x:c>
      <x:c r="F1398" t="str">
        <x:v>SMALL</x:v>
      </x:c>
      <x:c r="G1398" t="str">
        <x:v>DCF_SCREENING_EXCLUSION</x:v>
      </x:c>
      <x:c r="H1398" t="str">
        <x:v>NON_POSITIVE_ENTERPRISE_VALUE|NON_POSITIVE_EQUITY_VALUE|NON_POSITIVE_TERMINAL_FCF</x:v>
      </x:c>
      <x:c r="I1398" s="54" t="n">
        <x:v>44742</x:v>
      </x:c>
      <x:c r="J1398" s="55" t="n">
        <x:v>3400</x:v>
      </x:c>
      <x:c r="K1398" s="55" t="n">
        <x:v>43891694800</x:v>
      </x:c>
      <x:c r="L1398" s="55" t="n">
        <x:v>12909322</x:v>
      </x:c>
      <x:c r="M1398" t="str">
        <x:v>20220321001199</x:v>
      </x:c>
      <x:c r="N1398" t="n">
        <x:v>44641.624999988424</x:v>
      </x:c>
      <x:c r="O1398" s="54" t="n">
        <x:v>44561</x:v>
      </x:c>
      <x:c r="P1398" t="str">
        <x:v>False</x:v>
      </x:c>
      <x:c r="Q1398" t="str">
        <x:v>3f80c2d04af8293ae6c99a854b89c2c902e52dcedc2f1f5c9879d54e57c6f979</x:v>
      </x:c>
      <x:c r="R1398" t="str">
        <x:v>264f926dfcbc54b8c4909755ecaba1143b7cd75939a7d72c263c8f1480b3a89e</x:v>
      </x:c>
      <x:c r="S1398" t="n">
        <x:v>6</x:v>
      </x:c>
      <x:c r="T1398" t="str">
        <x:v>2018-12-31|2019-12-31|2020-12-31|2021-12-31</x:v>
      </x:c>
      <x:c r="U1398" s="57" t="n">
        <x:v>-10983.883305243631</x:v>
      </x:c>
      <x:c r="V1398" s="57" t="n">
        <x:v>-4.2305539133069505</x:v>
      </x:c>
      <x:c r="W1398"/>
      <x:c r="X1398"/>
      <x:c r="Y1398" s="38" t="n">
        <x:v>0.6409090909090909</x:v>
      </x:c>
      <x:c r="Z1398" s="38" t="n">
        <x:v>0.6847834688748102</x:v>
      </x:c>
      <x:c r="AA1398" t="str">
        <x:v>NON_POSITIVE_ENTERPRISE_VALUE|NON_POSITIVE_EQUITY_VALUE|NON_POSITIVE_TERMINAL_FCF</x:v>
      </x:c>
    </x:row>
    <x:row r="1399">
      <x:c r="A1399" s="54" t="n">
        <x:v>44742</x:v>
      </x:c>
      <x:c r="B1399" t="n">
        <x:v>44742.624999988424</x:v>
      </x:c>
      <x:c r="C1399" t="str">
        <x:v>000040</x:v>
      </x:c>
      <x:c r="D1399" t="str">
        <x:v>KR모터스</x:v>
      </x:c>
      <x:c r="E1399" t="str">
        <x:v>KOSPI</x:v>
      </x:c>
      <x:c r="F1399" t="str">
        <x:v>SMALL</x:v>
      </x:c>
      <x:c r="G1399" t="str">
        <x:v>DCF_SCREENING_EXCLUSION</x:v>
      </x:c>
      <x:c r="H1399" t="str">
        <x:v>NON_POSITIVE_ENTERPRISE_VALUE|NON_POSITIVE_EQUITY_VALUE|NON_POSITIVE_TERMINAL_FCF</x:v>
      </x:c>
      <x:c r="I1399" s="54" t="n">
        <x:v>44742</x:v>
      </x:c>
      <x:c r="J1399" s="55" t="n">
        <x:v>619</x:v>
      </x:c>
      <x:c r="K1399" s="55" t="n">
        <x:v>59509193589</x:v>
      </x:c>
      <x:c r="L1399" s="55" t="n">
        <x:v>96137631</x:v>
      </x:c>
      <x:c r="M1399" t="str">
        <x:v>20220518000138</x:v>
      </x:c>
      <x:c r="N1399" t="n">
        <x:v>44699.624999988424</x:v>
      </x:c>
      <x:c r="O1399" s="54" t="n">
        <x:v>44561</x:v>
      </x:c>
      <x:c r="P1399" t="str">
        <x:v>True</x:v>
      </x:c>
      <x:c r="Q1399" t="str">
        <x:v>7be1ff9139f478051db49d75476a715a97b65a3c8a38dc280dea0b445eef9d18</x:v>
      </x:c>
      <x:c r="R1399" t="str">
        <x:v>6f6d171846011347edf74407dd0b52b1130efa2688ae4042836e9cfb7c3ef4bd</x:v>
      </x:c>
      <x:c r="S1399" t="n">
        <x:v>5</x:v>
      </x:c>
      <x:c r="T1399" t="str">
        <x:v>2018-12-31|2019-12-31|2020-12-31|2021-12-31</x:v>
      </x:c>
      <x:c r="U1399" s="57" t="n">
        <x:v>-1417.4016788165607</x:v>
      </x:c>
      <x:c r="V1399" s="57" t="n">
        <x:v>-3.2898250061656875</x:v>
      </x:c>
      <x:c r="W1399"/>
      <x:c r="X1399"/>
      <x:c r="Y1399" s="38" t="n">
        <x:v>0.6409090909090909</x:v>
      </x:c>
      <x:c r="Z1399" s="38" t="n">
        <x:v>0.7415038976089445</x:v>
      </x:c>
      <x:c r="AA1399" t="str">
        <x:v>NON_POSITIVE_ENTERPRISE_VALUE|NON_POSITIVE_EQUITY_VALUE|NON_POSITIVE_TERMINAL_FCF</x:v>
      </x:c>
    </x:row>
    <x:row r="1400">
      <x:c r="A1400" s="54" t="n">
        <x:v>44742</x:v>
      </x:c>
      <x:c r="B1400" t="n">
        <x:v>44742.624999988424</x:v>
      </x:c>
      <x:c r="C1400" t="str">
        <x:v>003680</x:v>
      </x:c>
      <x:c r="D1400" t="str">
        <x:v>한성기업</x:v>
      </x:c>
      <x:c r="E1400" t="str">
        <x:v>KOSPI</x:v>
      </x:c>
      <x:c r="F1400" t="str">
        <x:v>SMALL</x:v>
      </x:c>
      <x:c r="G1400" t="str">
        <x:v>DCF_SCREENING_EXCLUSION</x:v>
      </x:c>
      <x:c r="H1400" t="str">
        <x:v>NON_POSITIVE_ENTERPRISE_VALUE|NON_POSITIVE_EQUITY_VALUE|NON_POSITIVE_TERMINAL_FCF</x:v>
      </x:c>
      <x:c r="I1400" s="54" t="n">
        <x:v>44742</x:v>
      </x:c>
      <x:c r="J1400" s="55" t="n">
        <x:v>6260</x:v>
      </x:c>
      <x:c r="K1400" s="55" t="n">
        <x:v>38871563900</x:v>
      </x:c>
      <x:c r="L1400" s="55" t="n">
        <x:v>6209515</x:v>
      </x:c>
      <x:c r="M1400" t="str">
        <x:v>20220321001488</x:v>
      </x:c>
      <x:c r="N1400" t="n">
        <x:v>44641.624999988424</x:v>
      </x:c>
      <x:c r="O1400" s="54" t="n">
        <x:v>44561</x:v>
      </x:c>
      <x:c r="P1400" t="str">
        <x:v>False</x:v>
      </x:c>
      <x:c r="Q1400" t="str">
        <x:v>43bde3681dcac138193c66ca8f3806fbe182a6a8ea7fce5f3d3cc3d321282198</x:v>
      </x:c>
      <x:c r="R1400" t="str">
        <x:v>3709be2ff5f6c286bb5dc5bba52f9fb66a16880af3f62e28828991ef5d6796d1</x:v>
      </x:c>
      <x:c r="S1400" t="n">
        <x:v>7</x:v>
      </x:c>
      <x:c r="T1400" t="str">
        <x:v>2018-12-31|2019-12-31|2020-12-31|2021-12-31</x:v>
      </x:c>
      <x:c r="U1400" s="57" t="n">
        <x:v>-14272.758559851622</x:v>
      </x:c>
      <x:c r="V1400" s="57" t="n">
        <x:v>-3.2799933801679906</x:v>
      </x:c>
      <x:c r="W1400"/>
      <x:c r="X1400"/>
      <x:c r="Y1400" s="38" t="n">
        <x:v>0.6409090909090909</x:v>
      </x:c>
      <x:c r="Z1400" s="38" t="n">
        <x:v>0.5733329809061016</x:v>
      </x:c>
      <x:c r="AA1400" t="str">
        <x:v>NON_POSITIVE_ENTERPRISE_VALUE|NON_POSITIVE_EQUITY_VALUE|NON_POSITIVE_TERMINAL_FCF</x:v>
      </x:c>
    </x:row>
    <x:row r="1401">
      <x:c r="A1401" s="54" t="n">
        <x:v>44742</x:v>
      </x:c>
      <x:c r="B1401" t="n">
        <x:v>44742.624999988424</x:v>
      </x:c>
      <x:c r="C1401" t="str">
        <x:v>008600</x:v>
      </x:c>
      <x:c r="D1401" t="str">
        <x:v>윌비스</x:v>
      </x:c>
      <x:c r="E1401" t="str">
        <x:v>KOSPI</x:v>
      </x:c>
      <x:c r="F1401" t="str">
        <x:v>SMALL</x:v>
      </x:c>
      <x:c r="G1401" t="str">
        <x:v>DCF_SCREENING_EXCLUSION</x:v>
      </x:c>
      <x:c r="H1401" t="str">
        <x:v>NON_POSITIVE_ENTERPRISE_VALUE|NON_POSITIVE_EQUITY_VALUE|NON_POSITIVE_TERMINAL_FCF|UNRELIABLE_TERMINAL_VALUE_SHARE</x:v>
      </x:c>
      <x:c r="I1401" s="54" t="n">
        <x:v>44742</x:v>
      </x:c>
      <x:c r="J1401" s="55" t="n">
        <x:v>903</x:v>
      </x:c>
      <x:c r="K1401" s="55" t="n">
        <x:v>60714143217</x:v>
      </x:c>
      <x:c r="L1401" s="55" t="n">
        <x:v>67236039</x:v>
      </x:c>
      <x:c r="M1401" t="str">
        <x:v>20220331001744</x:v>
      </x:c>
      <x:c r="N1401" t="n">
        <x:v>44651.624999988424</x:v>
      </x:c>
      <x:c r="O1401" s="54" t="n">
        <x:v>44561</x:v>
      </x:c>
      <x:c r="P1401" t="str">
        <x:v>True</x:v>
      </x:c>
      <x:c r="Q1401" t="str">
        <x:v>c06ad4694bc113d1e51b9dbb0bd42570bd01d189068821a7c535f8685cc0e0ae</x:v>
      </x:c>
      <x:c r="R1401" t="str">
        <x:v>ca3e142ce13eb189904cd3f404c3ac8a1acf03f3a6852e1a41eb0613abd6b716</x:v>
      </x:c>
      <x:c r="S1401" t="n">
        <x:v>6</x:v>
      </x:c>
      <x:c r="T1401" t="str">
        <x:v>2018-12-31|2019-12-31|2020-12-31|2021-12-31</x:v>
      </x:c>
      <x:c r="U1401" s="57" t="n">
        <x:v>-1862.15439954397</x:v>
      </x:c>
      <x:c r="V1401" s="57" t="n">
        <x:v>-3.062186488974496</x:v>
      </x:c>
      <x:c r="W1401"/>
      <x:c r="X1401"/>
      <x:c r="Y1401" s="38" t="n">
        <x:v>0.6409090909090909</x:v>
      </x:c>
      <x:c r="Z1401" s="38" t="n">
        <x:v>4.288484296060114</x:v>
      </x:c>
      <x:c r="AA1401" t="str">
        <x:v>NON_POSITIVE_ENTERPRISE_VALUE|NON_POSITIVE_EQUITY_VALUE|NON_POSITIVE_TERMINAL_FCF|UNRELIABLE_TERMINAL_VALUE_SHARE</x:v>
      </x:c>
    </x:row>
    <x:row r="1402">
      <x:c r="A1402" s="54" t="n">
        <x:v>44742</x:v>
      </x:c>
      <x:c r="B1402" t="n">
        <x:v>44742.624999988424</x:v>
      </x:c>
      <x:c r="C1402" t="str">
        <x:v>018310</x:v>
      </x:c>
      <x:c r="D1402" t="str">
        <x:v>삼목에스폼</x:v>
      </x:c>
      <x:c r="E1402" t="str">
        <x:v>KOSDAQ</x:v>
      </x:c>
      <x:c r="F1402" t="str">
        <x:v>MID</x:v>
      </x:c>
      <x:c r="G1402" t="str">
        <x:v>DCF_SCREENING_EXCLUSION</x:v>
      </x:c>
      <x:c r="H1402" t="str">
        <x:v>NON_POSITIVE_ENTERPRISE_VALUE|NON_POSITIVE_TERMINAL_FCF</x:v>
      </x:c>
      <x:c r="I1402" s="54" t="n">
        <x:v>44742</x:v>
      </x:c>
      <x:c r="J1402" s="55" t="n">
        <x:v>18900</x:v>
      </x:c>
      <x:c r="K1402" s="55" t="n">
        <x:v>277830000000</x:v>
      </x:c>
      <x:c r="L1402" s="55" t="n">
        <x:v>14700000</x:v>
      </x:c>
      <x:c r="M1402" t="str">
        <x:v>20220323000977</x:v>
      </x:c>
      <x:c r="N1402" t="n">
        <x:v>44643.624999988424</x:v>
      </x:c>
      <x:c r="O1402" s="54" t="n">
        <x:v>44561</x:v>
      </x:c>
      <x:c r="P1402" t="str">
        <x:v>False</x:v>
      </x:c>
      <x:c r="Q1402" t="str">
        <x:v>d1ebb1411133b6a7d56774a05030aabd0bf8cee2bd5a239c5d370b46244cefb1</x:v>
      </x:c>
      <x:c r="R1402" t="str">
        <x:v>42ebc9293a6f093145e110022e48b25e5fa85800b871331707fcce500c7ff3c4</x:v>
      </x:c>
      <x:c r="S1402" t="n">
        <x:v>5</x:v>
      </x:c>
      <x:c r="T1402" t="str">
        <x:v>2018-12-31|2019-12-31|2020-12-31|2021-12-31</x:v>
      </x:c>
      <x:c r="U1402" s="57" t="n">
        <x:v>1113.724364776664</x:v>
      </x:c>
      <x:c r="V1402" s="57" t="n">
        <x:v>-0.9410727849324516</x:v>
      </x:c>
      <x:c r="W1402"/>
      <x:c r="X1402"/>
      <x:c r="Y1402" s="38" t="n">
        <x:v>0.6409090909090909</x:v>
      </x:c>
      <x:c r="Z1402" s="38" t="n">
        <x:v>0.5663530764565846</x:v>
      </x:c>
      <x:c r="AA1402" t="str">
        <x:v>NON_POSITIVE_ENTERPRISE_VALUE|NON_POSITIVE_TERMINAL_FCF</x:v>
      </x:c>
    </x:row>
    <x:row r="1403">
      <x:c r="A1403" s="54" t="n">
        <x:v>44742</x:v>
      </x:c>
      <x:c r="B1403" t="n">
        <x:v>44742.624999988424</x:v>
      </x:c>
      <x:c r="C1403" t="str">
        <x:v>090360</x:v>
      </x:c>
      <x:c r="D1403" t="str">
        <x:v>로보스타</x:v>
      </x:c>
      <x:c r="E1403" t="str">
        <x:v>KOSDAQ</x:v>
      </x:c>
      <x:c r="F1403" t="str">
        <x:v>MID</x:v>
      </x:c>
      <x:c r="G1403" t="str">
        <x:v>DCF_SCREENING_EXCLUSION</x:v>
      </x:c>
      <x:c r="H1403" t="str">
        <x:v>NON_POSITIVE_ENTERPRISE_VALUE|NON_POSITIVE_EQUITY_VALUE|NON_POSITIVE_TERMINAL_FCF</x:v>
      </x:c>
      <x:c r="I1403" s="54" t="n">
        <x:v>44742</x:v>
      </x:c>
      <x:c r="J1403" s="55" t="n">
        <x:v>18200</x:v>
      </x:c>
      <x:c r="K1403" s="55" t="n">
        <x:v>177450000000</x:v>
      </x:c>
      <x:c r="L1403" s="55" t="n">
        <x:v>9750000</x:v>
      </x:c>
      <x:c r="M1403" t="str">
        <x:v>20220317001258</x:v>
      </x:c>
      <x:c r="N1403" t="n">
        <x:v>44637.624999988424</x:v>
      </x:c>
      <x:c r="O1403" s="54" t="n">
        <x:v>44561</x:v>
      </x:c>
      <x:c r="P1403" t="str">
        <x:v>False</x:v>
      </x:c>
      <x:c r="Q1403" t="str">
        <x:v>812bd368813bd094b40d2783aa1307b6fc6259e07aa27686d1455fafdea88546</x:v>
      </x:c>
      <x:c r="R1403" t="str">
        <x:v>839ccc30141f7f3ff6b6c52030d341ea3b95aa66d0ba87ff0956f4b10439fb9d</x:v>
      </x:c>
      <x:c r="S1403" t="n">
        <x:v>5</x:v>
      </x:c>
      <x:c r="T1403" t="str">
        <x:v>2018-12-31|2019-12-31|2020-12-31|2021-12-31</x:v>
      </x:c>
      <x:c r="U1403" s="57" t="n">
        <x:v>-913.3084498688557</x:v>
      </x:c>
      <x:c r="V1403" s="57" t="n">
        <x:v>-1.0501817829598272</x:v>
      </x:c>
      <x:c r="W1403"/>
      <x:c r="X1403"/>
      <x:c r="Y1403" s="38" t="n">
        <x:v>0.6409090909090909</x:v>
      </x:c>
      <x:c r="Z1403" s="38" t="n">
        <x:v>0.7528044013043851</x:v>
      </x:c>
      <x:c r="AA1403" t="str">
        <x:v>NON_POSITIVE_ENTERPRISE_VALUE|NON_POSITIVE_EQUITY_VALUE|NON_POSITIVE_TERMINAL_FCF</x:v>
      </x:c>
    </x:row>
    <x:row r="1404">
      <x:c r="A1404" s="54" t="n">
        <x:v>44742</x:v>
      </x:c>
      <x:c r="B1404" t="n">
        <x:v>44742.624999988424</x:v>
      </x:c>
      <x:c r="C1404" t="str">
        <x:v>144960</x:v>
      </x:c>
      <x:c r="D1404" t="str">
        <x:v>뉴파워프라즈마</x:v>
      </x:c>
      <x:c r="E1404" t="str">
        <x:v>KOSDAQ</x:v>
      </x:c>
      <x:c r="F1404" t="str">
        <x:v>MID</x:v>
      </x:c>
      <x:c r="G1404" t="str">
        <x:v>ELIGIBLE</x:v>
      </x:c>
      <x:c r="H1404"/>
      <x:c r="I1404" s="54" t="n">
        <x:v>44742</x:v>
      </x:c>
      <x:c r="J1404" s="55" t="n">
        <x:v>3875</x:v>
      </x:c>
      <x:c r="K1404" s="55" t="n">
        <x:v>169308918000</x:v>
      </x:c>
      <x:c r="L1404" s="55" t="n">
        <x:v>43692624</x:v>
      </x:c>
      <x:c r="M1404" t="str">
        <x:v>20220322001019</x:v>
      </x:c>
      <x:c r="N1404" t="n">
        <x:v>44642.624999988424</x:v>
      </x:c>
      <x:c r="O1404" s="54" t="n">
        <x:v>44561</x:v>
      </x:c>
      <x:c r="P1404" t="str">
        <x:v>False</x:v>
      </x:c>
      <x:c r="Q1404" t="str">
        <x:v>ecc05b805a707a36118d073b359c72b5338598397c87140a6e23238691976794</x:v>
      </x:c>
      <x:c r="R1404" t="str">
        <x:v>55508e8788303cc40eab9d84bd6962b6d46e4c3a6e70ba427bee16963b8829fc</x:v>
      </x:c>
      <x:c r="S1404" t="n">
        <x:v>6</x:v>
      </x:c>
      <x:c r="T1404" t="str">
        <x:v>2018-12-31|2019-12-31|2020-12-31|2021-12-31</x:v>
      </x:c>
      <x:c r="U1404" s="57" t="n">
        <x:v>2143.7735145070833</x:v>
      </x:c>
      <x:c r="V1404" s="57" t="n">
        <x:v>-0.4467681252884946</x:v>
      </x:c>
      <x:c r="W1404" t="n">
        <x:v>40</x:v>
      </x:c>
      <x:c r="X1404" t="n">
        <x:v>3</x:v>
      </x:c>
      <x:c r="Y1404" s="38" t="n">
        <x:v>0.6409090909090909</x:v>
      </x:c>
      <x:c r="Z1404" s="38" t="n">
        <x:v>0.8073711628005346</x:v>
      </x:c>
      <x:c r="AA1404"/>
    </x:row>
    <x:row r="1405">
      <x:c r="A1405" s="54" t="n">
        <x:v>44742</x:v>
      </x:c>
      <x:c r="B1405" t="n">
        <x:v>44742.624999988424</x:v>
      </x:c>
      <x:c r="C1405" t="str">
        <x:v>065660</x:v>
      </x:c>
      <x:c r="D1405" t="str">
        <x:v>안트로젠</x:v>
      </x:c>
      <x:c r="E1405" t="str">
        <x:v>KOSDAQ</x:v>
      </x:c>
      <x:c r="F1405" t="str">
        <x:v>MID</x:v>
      </x:c>
      <x:c r="G1405" t="str">
        <x:v>DCF_SCREENING_EXCLUSION</x:v>
      </x:c>
      <x:c r="H1405" t="str">
        <x:v>NON_POSITIVE_ENTERPRISE_VALUE|NON_POSITIVE_EQUITY_VALUE|NON_POSITIVE_TERMINAL_FCF</x:v>
      </x:c>
      <x:c r="I1405" s="54" t="n">
        <x:v>44742</x:v>
      </x:c>
      <x:c r="J1405" s="55" t="n">
        <x:v>20700</x:v>
      </x:c>
      <x:c r="K1405" s="55" t="n">
        <x:v>201418721100</x:v>
      </x:c>
      <x:c r="L1405" s="55" t="n">
        <x:v>9730373</x:v>
      </x:c>
      <x:c r="M1405" t="str">
        <x:v>20220308000561</x:v>
      </x:c>
      <x:c r="N1405" t="n">
        <x:v>44628.624999988424</x:v>
      </x:c>
      <x:c r="O1405" s="54" t="n">
        <x:v>44561</x:v>
      </x:c>
      <x:c r="P1405" t="str">
        <x:v>False</x:v>
      </x:c>
      <x:c r="Q1405" t="str">
        <x:v>ca8cc1135227c8e4226125c29bdedc099d8a54cc791afacfe1af303aff51c30e</x:v>
      </x:c>
      <x:c r="R1405" t="str">
        <x:v>13f8c889046bf7ebd27422fe30c0fb9dc9a262859e07f3464507af3c877cf08d</x:v>
      </x:c>
      <x:c r="S1405" t="n">
        <x:v>6</x:v>
      </x:c>
      <x:c r="T1405" t="str">
        <x:v>2018-12-31|2019-12-31|2020-12-31|2021-12-31</x:v>
      </x:c>
      <x:c r="U1405" s="57" t="n">
        <x:v>-3288.171883146847</x:v>
      </x:c>
      <x:c r="V1405" s="57" t="n">
        <x:v>-1.158848883243809</x:v>
      </x:c>
      <x:c r="W1405"/>
      <x:c r="X1405"/>
      <x:c r="Y1405" s="38" t="n">
        <x:v>0.6409090909090909</x:v>
      </x:c>
      <x:c r="Z1405" s="38" t="n">
        <x:v>0.6635957394517747</x:v>
      </x:c>
      <x:c r="AA1405" t="str">
        <x:v>NON_POSITIVE_ENTERPRISE_VALUE|NON_POSITIVE_EQUITY_VALUE|NON_POSITIVE_TERMINAL_FCF</x:v>
      </x:c>
    </x:row>
    <x:row r="1406">
      <x:c r="A1406" s="54" t="n">
        <x:v>44742</x:v>
      </x:c>
      <x:c r="B1406" t="n">
        <x:v>44742.624999988424</x:v>
      </x:c>
      <x:c r="C1406" t="str">
        <x:v>255220</x:v>
      </x:c>
      <x:c r="D1406" t="str">
        <x:v>SG</x:v>
      </x:c>
      <x:c r="E1406" t="str">
        <x:v>KOSDAQ</x:v>
      </x:c>
      <x:c r="F1406" t="str">
        <x:v>MID</x:v>
      </x:c>
      <x:c r="G1406" t="str">
        <x:v>DCF_SCREENING_EXCLUSION</x:v>
      </x:c>
      <x:c r="H1406" t="str">
        <x:v>NON_POSITIVE_EQUITY_VALUE|UNRELIABLE_TERMINAL_VALUE_SHARE</x:v>
      </x:c>
      <x:c r="I1406" s="54" t="n">
        <x:v>44742</x:v>
      </x:c>
      <x:c r="J1406" s="55" t="n">
        <x:v>1630</x:v>
      </x:c>
      <x:c r="K1406" s="55" t="n">
        <x:v>72953403070</x:v>
      </x:c>
      <x:c r="L1406" s="55" t="n">
        <x:v>44756689</x:v>
      </x:c>
      <x:c r="M1406" t="str">
        <x:v>20220321001508</x:v>
      </x:c>
      <x:c r="N1406" t="n">
        <x:v>44641.624999988424</x:v>
      </x:c>
      <x:c r="O1406" s="54" t="n">
        <x:v>44561</x:v>
      </x:c>
      <x:c r="P1406" t="str">
        <x:v>False</x:v>
      </x:c>
      <x:c r="Q1406" t="str">
        <x:v>1b86b366626c70669b761c02c02e7034c559e1e273f524f16274296dbc93daac</x:v>
      </x:c>
      <x:c r="R1406" t="str">
        <x:v>ad4792edd5a6e8bc438acd96c825d1e6195a9e8002bf14347a1b0385288462a0</x:v>
      </x:c>
      <x:c r="S1406" t="n">
        <x:v>6</x:v>
      </x:c>
      <x:c r="T1406" t="str">
        <x:v>2018-12-31|2019-12-31|2020-12-31|2021-12-31</x:v>
      </x:c>
      <x:c r="U1406" s="57" t="n">
        <x:v>-1466.7676643926793</x:v>
      </x:c>
      <x:c r="V1406" s="57" t="n">
        <x:v>-1.8998574628175946</x:v>
      </x:c>
      <x:c r="W1406"/>
      <x:c r="X1406"/>
      <x:c r="Y1406" s="38" t="n">
        <x:v>0.6409090909090909</x:v>
      </x:c>
      <x:c r="Z1406" s="38" t="n">
        <x:v>1.263959186437666</x:v>
      </x:c>
      <x:c r="AA1406" t="str">
        <x:v>NON_POSITIVE_EQUITY_VALUE|UNRELIABLE_TERMINAL_VALUE_SHARE</x:v>
      </x:c>
    </x:row>
    <x:row r="1407">
      <x:c r="A1407" s="54" t="n">
        <x:v>44742</x:v>
      </x:c>
      <x:c r="B1407" t="n">
        <x:v>44742.624999988424</x:v>
      </x:c>
      <x:c r="C1407" t="str">
        <x:v>356680</x:v>
      </x:c>
      <x:c r="D1407" t="str">
        <x:v>엑스게이트</x:v>
      </x:c>
      <x:c r="E1407" t="str">
        <x:v>KOSDAQ</x:v>
      </x:c>
      <x:c r="F1407" t="str">
        <x:v>MID</x:v>
      </x:c>
      <x:c r="G1407" t="str">
        <x:v>NOT_LISTED_OR_NO_PRICE</x:v>
      </x:c>
      <x:c r="H1407"/>
      <x:c r="I1407" s="54"/>
      <x:c r="J1407" s="55"/>
      <x:c r="K1407" s="55"/>
      <x:c r="L1407" s="55"/>
      <x:c r="M1407"/>
      <x:c r="N1407"/>
      <x:c r="O1407" s="54"/>
      <x:c r="P1407"/>
      <x:c r="Q1407"/>
      <x:c r="R1407"/>
      <x:c r="S1407"/>
      <x:c r="T1407"/>
      <x:c r="U1407" s="57"/>
      <x:c r="V1407" s="57"/>
      <x:c r="W1407"/>
      <x:c r="X1407"/>
      <x:c r="Y1407" s="38"/>
      <x:c r="Z1407" s="38"/>
      <x:c r="AA1407"/>
    </x:row>
    <x:row r="1408">
      <x:c r="A1408" s="54" t="n">
        <x:v>44742</x:v>
      </x:c>
      <x:c r="B1408" t="n">
        <x:v>44742.624999988424</x:v>
      </x:c>
      <x:c r="C1408" t="str">
        <x:v>038390</x:v>
      </x:c>
      <x:c r="D1408" t="str">
        <x:v>레드캡투어</x:v>
      </x:c>
      <x:c r="E1408" t="str">
        <x:v>KOSDAQ</x:v>
      </x:c>
      <x:c r="F1408" t="str">
        <x:v>MID</x:v>
      </x:c>
      <x:c r="G1408" t="str">
        <x:v>ELIGIBLE</x:v>
      </x:c>
      <x:c r="H1408"/>
      <x:c r="I1408" s="54" t="n">
        <x:v>44742</x:v>
      </x:c>
      <x:c r="J1408" s="55" t="n">
        <x:v>17500</x:v>
      </x:c>
      <x:c r="K1408" s="55" t="n">
        <x:v>150315900000</x:v>
      </x:c>
      <x:c r="L1408" s="55" t="n">
        <x:v>8589480</x:v>
      </x:c>
      <x:c r="M1408" t="str">
        <x:v>20220317000890</x:v>
      </x:c>
      <x:c r="N1408" t="n">
        <x:v>44637.624999988424</x:v>
      </x:c>
      <x:c r="O1408" s="54" t="n">
        <x:v>44561</x:v>
      </x:c>
      <x:c r="P1408" t="str">
        <x:v>False</x:v>
      </x:c>
      <x:c r="Q1408" t="str">
        <x:v>8f8828ebfc53547c7e9043d8aae0f7cb754e7fca9b893a3ba8383e35f786d57c</x:v>
      </x:c>
      <x:c r="R1408" t="str">
        <x:v>48ae00dafefcd96cc7e08b1ef88b27681e65cc8aeebda312cebb3712c271f891</x:v>
      </x:c>
      <x:c r="S1408" t="n">
        <x:v>6</x:v>
      </x:c>
      <x:c r="T1408" t="str">
        <x:v>2018-12-31|2019-12-31|2020-12-31|2021-12-31</x:v>
      </x:c>
      <x:c r="U1408" s="57" t="n">
        <x:v>7949.727668580381</x:v>
      </x:c>
      <x:c r="V1408" s="57" t="n">
        <x:v>-0.5457298475096926</x:v>
      </x:c>
      <x:c r="W1408" t="n">
        <x:v>45</x:v>
      </x:c>
      <x:c r="X1408" t="n">
        <x:v>4</x:v>
      </x:c>
      <x:c r="Y1408" s="38" t="n">
        <x:v>0.6409090909090909</x:v>
      </x:c>
      <x:c r="Z1408" s="38" t="n">
        <x:v>0.6747690002838279</x:v>
      </x:c>
      <x:c r="AA1408"/>
    </x:row>
    <x:row r="1409">
      <x:c r="A1409" s="54" t="n">
        <x:v>44742</x:v>
      </x:c>
      <x:c r="B1409" t="n">
        <x:v>44742.624999988424</x:v>
      </x:c>
      <x:c r="C1409" t="str">
        <x:v>083930</x:v>
      </x:c>
      <x:c r="D1409" t="str">
        <x:v>아바코</x:v>
      </x:c>
      <x:c r="E1409" t="str">
        <x:v>KOSDAQ</x:v>
      </x:c>
      <x:c r="F1409" t="str">
        <x:v>MID</x:v>
      </x:c>
      <x:c r="G1409" t="str">
        <x:v>ELIGIBLE</x:v>
      </x:c>
      <x:c r="H1409"/>
      <x:c r="I1409" s="54" t="n">
        <x:v>44742</x:v>
      </x:c>
      <x:c r="J1409" s="55" t="n">
        <x:v>10700</x:v>
      </x:c>
      <x:c r="K1409" s="55" t="n">
        <x:v>164916938600</x:v>
      </x:c>
      <x:c r="L1409" s="55" t="n">
        <x:v>15412798</x:v>
      </x:c>
      <x:c r="M1409" t="str">
        <x:v>20220316001015</x:v>
      </x:c>
      <x:c r="N1409" t="n">
        <x:v>44636.624999988424</x:v>
      </x:c>
      <x:c r="O1409" s="54" t="n">
        <x:v>44561</x:v>
      </x:c>
      <x:c r="P1409" t="str">
        <x:v>False</x:v>
      </x:c>
      <x:c r="Q1409" t="str">
        <x:v>13ec73253691b8312436fcd403896a8a02f76f1e46471f47664b5cd6e8c102b8</x:v>
      </x:c>
      <x:c r="R1409" t="str">
        <x:v>17970807d024f4900434d2289a8ebb1b1aa8f88bc451d35e3d67e907d43fc45d</x:v>
      </x:c>
      <x:c r="S1409" t="n">
        <x:v>7</x:v>
      </x:c>
      <x:c r="T1409" t="str">
        <x:v>2018-12-31|2019-12-31|2020-12-31|2021-12-31</x:v>
      </x:c>
      <x:c r="U1409" s="57" t="n">
        <x:v>8873.73518255816</x:v>
      </x:c>
      <x:c r="V1409" s="57" t="n">
        <x:v>-0.17067895490110646</x:v>
      </x:c>
      <x:c r="W1409" t="n">
        <x:v>26</x:v>
      </x:c>
      <x:c r="X1409" t="n">
        <x:v>2</x:v>
      </x:c>
      <x:c r="Y1409" s="38" t="n">
        <x:v>0.6409090909090909</x:v>
      </x:c>
      <x:c r="Z1409" s="38" t="n">
        <x:v>0.6330261532715434</x:v>
      </x:c>
      <x:c r="AA1409"/>
    </x:row>
    <x:row r="1410">
      <x:c r="A1410" s="54" t="n">
        <x:v>44742</x:v>
      </x:c>
      <x:c r="B1410" t="n">
        <x:v>44742.624999988424</x:v>
      </x:c>
      <x:c r="C1410" t="str">
        <x:v>089600</x:v>
      </x:c>
      <x:c r="D1410" t="str">
        <x:v>KT나스미디어</x:v>
      </x:c>
      <x:c r="E1410" t="str">
        <x:v>KOSDAQ</x:v>
      </x:c>
      <x:c r="F1410" t="str">
        <x:v>MID</x:v>
      </x:c>
      <x:c r="G1410" t="str">
        <x:v>ELIGIBLE</x:v>
      </x:c>
      <x:c r="H1410"/>
      <x:c r="I1410" s="54" t="n">
        <x:v>44742</x:v>
      </x:c>
      <x:c r="J1410" s="55" t="n">
        <x:v>22400</x:v>
      </x:c>
      <x:c r="K1410" s="55" t="n">
        <x:v>236095148800</x:v>
      </x:c>
      <x:c r="L1410" s="55" t="n">
        <x:v>10539962</x:v>
      </x:c>
      <x:c r="M1410" t="str">
        <x:v>20220317000232</x:v>
      </x:c>
      <x:c r="N1410" t="n">
        <x:v>44637.624999988424</x:v>
      </x:c>
      <x:c r="O1410" s="54" t="n">
        <x:v>44561</x:v>
      </x:c>
      <x:c r="P1410" t="str">
        <x:v>False</x:v>
      </x:c>
      <x:c r="Q1410" t="str">
        <x:v>5302bde4f000b4a1536f675922fd423428599f72845c19dfc98fb7a4d88ef31d</x:v>
      </x:c>
      <x:c r="R1410" t="str">
        <x:v>a5b91bb22df7533e3783212ac90392a43db3f414ee8b6c1015c193b9e5609550</x:v>
      </x:c>
      <x:c r="S1410" t="n">
        <x:v>6</x:v>
      </x:c>
      <x:c r="T1410" t="str">
        <x:v>2019-12-31|2020-12-31|2021-12-31</x:v>
      </x:c>
      <x:c r="U1410" s="57" t="n">
        <x:v>33236.85225811665</x:v>
      </x:c>
      <x:c r="V1410" s="57" t="n">
        <x:v>0.48378804723735025</x:v>
      </x:c>
      <x:c r="W1410" t="n">
        <x:v>13</x:v>
      </x:c>
      <x:c r="X1410" t="n">
        <x:v>1</x:v>
      </x:c>
      <x:c r="Y1410" s="38" t="n">
        <x:v>0.6409090909090909</x:v>
      </x:c>
      <x:c r="Z1410" s="38" t="n">
        <x:v>0.6710290861971622</x:v>
      </x:c>
      <x:c r="AA1410"/>
    </x:row>
    <x:row r="1411">
      <x:c r="A1411" s="54" t="n">
        <x:v>44742</x:v>
      </x:c>
      <x:c r="B1411" t="n">
        <x:v>44742.624999988424</x:v>
      </x:c>
      <x:c r="C1411" t="str">
        <x:v>091120</x:v>
      </x:c>
      <x:c r="D1411" t="str">
        <x:v>이엠텍</x:v>
      </x:c>
      <x:c r="E1411" t="str">
        <x:v>KOSDAQ</x:v>
      </x:c>
      <x:c r="F1411" t="str">
        <x:v>MID</x:v>
      </x:c>
      <x:c r="G1411" t="str">
        <x:v>ELIGIBLE</x:v>
      </x:c>
      <x:c r="H1411"/>
      <x:c r="I1411" s="54" t="n">
        <x:v>44742</x:v>
      </x:c>
      <x:c r="J1411" s="55" t="n">
        <x:v>27650</x:v>
      </x:c>
      <x:c r="K1411" s="55" t="n">
        <x:v>439301430400</x:v>
      </x:c>
      <x:c r="L1411" s="55" t="n">
        <x:v>15887936</x:v>
      </x:c>
      <x:c r="M1411" t="str">
        <x:v>20220315000520</x:v>
      </x:c>
      <x:c r="N1411" t="n">
        <x:v>44635.624999988424</x:v>
      </x:c>
      <x:c r="O1411" s="54" t="n">
        <x:v>44561</x:v>
      </x:c>
      <x:c r="P1411" t="str">
        <x:v>False</x:v>
      </x:c>
      <x:c r="Q1411" t="str">
        <x:v>19299c3f04d71311dd627d515d667c8b0682275ff5e65e515557025aedacf394</x:v>
      </x:c>
      <x:c r="R1411" t="str">
        <x:v>2a3dfa1f875a53e601c207b9d997b3a3bb5a9a16bb99777e3424b29bf7659a4d</x:v>
      </x:c>
      <x:c r="S1411" t="n">
        <x:v>6</x:v>
      </x:c>
      <x:c r="T1411" t="str">
        <x:v>2018-12-31|2019-12-31|2020-12-31|2021-12-31</x:v>
      </x:c>
      <x:c r="U1411" s="57" t="n">
        <x:v>4621.120407547834</x:v>
      </x:c>
      <x:c r="V1411" s="57" t="n">
        <x:v>-0.8328708713364256</x:v>
      </x:c>
      <x:c r="W1411" t="n">
        <x:v>63</x:v>
      </x:c>
      <x:c r="X1411" t="n">
        <x:v>5</x:v>
      </x:c>
      <x:c r="Y1411" s="38" t="n">
        <x:v>0.6409090909090909</x:v>
      </x:c>
      <x:c r="Z1411" s="38" t="n">
        <x:v>0.1788426422228145</x:v>
      </x:c>
      <x:c r="AA1411"/>
    </x:row>
    <x:row r="1412">
      <x:c r="A1412" s="54" t="n">
        <x:v>44742</x:v>
      </x:c>
      <x:c r="B1412" t="n">
        <x:v>44742.624999988424</x:v>
      </x:c>
      <x:c r="C1412" t="str">
        <x:v>353810</x:v>
      </x:c>
      <x:c r="D1412" t="str">
        <x:v>이지바이오</x:v>
      </x:c>
      <x:c r="E1412" t="str">
        <x:v>KOSDAQ</x:v>
      </x:c>
      <x:c r="F1412" t="str">
        <x:v>MID</x:v>
      </x:c>
      <x:c r="G1412" t="str">
        <x:v>ELIGIBLE</x:v>
      </x:c>
      <x:c r="H1412"/>
      <x:c r="I1412" s="54" t="n">
        <x:v>44742</x:v>
      </x:c>
      <x:c r="J1412" s="55" t="n">
        <x:v>4280</x:v>
      </x:c>
      <x:c r="K1412" s="55" t="n">
        <x:v>146340561600</x:v>
      </x:c>
      <x:c r="L1412" s="55" t="n">
        <x:v>34191720</x:v>
      </x:c>
      <x:c r="M1412" t="str">
        <x:v>20220323000853</x:v>
      </x:c>
      <x:c r="N1412" t="n">
        <x:v>44643.624999988424</x:v>
      </x:c>
      <x:c r="O1412" s="54" t="n">
        <x:v>44561</x:v>
      </x:c>
      <x:c r="P1412" t="str">
        <x:v>False</x:v>
      </x:c>
      <x:c r="Q1412" t="str">
        <x:v>1ed3cea215e652a4a56305baf44e340c129acaa328d0ba672d6f2e628eb49202</x:v>
      </x:c>
      <x:c r="R1412" t="str">
        <x:v>1d358b2cb9a135490303ab760a8517a6356f68cd85ecb109e9f45ac8b38a5dc4</x:v>
      </x:c>
      <x:c r="S1412" t="n">
        <x:v>6</x:v>
      </x:c>
      <x:c r="T1412" t="str">
        <x:v>2021-12-31</x:v>
      </x:c>
      <x:c r="U1412" s="57" t="n">
        <x:v>3357.0058336309285</x:v>
      </x:c>
      <x:c r="V1412" s="57" t="n">
        <x:v>-0.2156528426095961</x:v>
      </x:c>
      <x:c r="W1412" t="n">
        <x:v>29</x:v>
      </x:c>
      <x:c r="X1412" t="n">
        <x:v>3</x:v>
      </x:c>
      <x:c r="Y1412" s="38" t="n">
        <x:v>0.6409090909090909</x:v>
      </x:c>
      <x:c r="Z1412" s="38" t="n">
        <x:v>0.6701769222689359</x:v>
      </x:c>
      <x:c r="AA1412"/>
    </x:row>
    <x:row r="1413">
      <x:c r="A1413" s="54" t="n">
        <x:v>44742</x:v>
      </x:c>
      <x:c r="B1413" t="n">
        <x:v>44742.624999988424</x:v>
      </x:c>
      <x:c r="C1413" t="str">
        <x:v>203650</x:v>
      </x:c>
      <x:c r="D1413" t="str">
        <x:v>드림시큐리티</x:v>
      </x:c>
      <x:c r="E1413" t="str">
        <x:v>KOSDAQ</x:v>
      </x:c>
      <x:c r="F1413" t="str">
        <x:v>MID</x:v>
      </x:c>
      <x:c r="G1413" t="str">
        <x:v>ELIGIBLE</x:v>
      </x:c>
      <x:c r="H1413"/>
      <x:c r="I1413" s="54" t="n">
        <x:v>44742</x:v>
      </x:c>
      <x:c r="J1413" s="55" t="n">
        <x:v>3085</x:v>
      </x:c>
      <x:c r="K1413" s="55" t="n">
        <x:v>156118751090</x:v>
      </x:c>
      <x:c r="L1413" s="55" t="n">
        <x:v>50605754</x:v>
      </x:c>
      <x:c r="M1413" t="str">
        <x:v>20220321001427</x:v>
      </x:c>
      <x:c r="N1413" t="n">
        <x:v>44641.624999988424</x:v>
      </x:c>
      <x:c r="O1413" s="54" t="n">
        <x:v>44561</x:v>
      </x:c>
      <x:c r="P1413" t="str">
        <x:v>False</x:v>
      </x:c>
      <x:c r="Q1413" t="str">
        <x:v>03cd60d2d6fbfed63a775cf91bfdcf044216a3e80e89c8ad88a2a37c93e2442e</x:v>
      </x:c>
      <x:c r="R1413" t="str">
        <x:v>802d3db02a94d16e80cd706bd0ba9503465cd3e44390d283f26677576ed21120</x:v>
      </x:c>
      <x:c r="S1413" t="n">
        <x:v>6</x:v>
      </x:c>
      <x:c r="T1413" t="str">
        <x:v>2018-12-31|2019-12-31|2020-12-31|2021-12-31</x:v>
      </x:c>
      <x:c r="U1413" s="57" t="n">
        <x:v>1991.1706549336343</x:v>
      </x:c>
      <x:c r="V1413" s="57" t="n">
        <x:v>-0.3545638071527928</x:v>
      </x:c>
      <x:c r="W1413" t="n">
        <x:v>34</x:v>
      </x:c>
      <x:c r="X1413" t="n">
        <x:v>3</x:v>
      </x:c>
      <x:c r="Y1413" s="38" t="n">
        <x:v>0.6409090909090909</x:v>
      </x:c>
      <x:c r="Z1413" s="38" t="n">
        <x:v>0.6784362615984412</x:v>
      </x:c>
      <x:c r="AA1413"/>
    </x:row>
    <x:row r="1414">
      <x:c r="A1414" s="54" t="n">
        <x:v>44742</x:v>
      </x:c>
      <x:c r="B1414" t="n">
        <x:v>44742.624999988424</x:v>
      </x:c>
      <x:c r="C1414" t="str">
        <x:v>251120</x:v>
      </x:c>
      <x:c r="D1414" t="str">
        <x:v>바이오에프디엔씨</x:v>
      </x:c>
      <x:c r="E1414" t="str">
        <x:v>KOSDAQ</x:v>
      </x:c>
      <x:c r="F1414" t="str">
        <x:v>MID</x:v>
      </x:c>
      <x:c r="G1414" t="str">
        <x:v>ELIGIBLE</x:v>
      </x:c>
      <x:c r="H1414"/>
      <x:c r="I1414" s="54" t="n">
        <x:v>44742</x:v>
      </x:c>
      <x:c r="J1414" s="55" t="n">
        <x:v>23750</x:v>
      </x:c>
      <x:c r="K1414" s="55" t="n">
        <x:v>206522875000</x:v>
      </x:c>
      <x:c r="L1414" s="55" t="n">
        <x:v>8695700</x:v>
      </x:c>
      <x:c r="M1414" t="str">
        <x:v>20220323000478</x:v>
      </x:c>
      <x:c r="N1414" t="n">
        <x:v>44643.624999988424</x:v>
      </x:c>
      <x:c r="O1414" s="54" t="n">
        <x:v>44561</x:v>
      </x:c>
      <x:c r="P1414" t="str">
        <x:v>False</x:v>
      </x:c>
      <x:c r="Q1414" t="str">
        <x:v>3501561cf0db4cbb7a87ac9eed8b10979b3381409f3a54df0cc284cabda093ba</x:v>
      </x:c>
      <x:c r="R1414" t="str">
        <x:v>0170a7270715039ddac784fcb111aedcac85232fde24a53bfd3d3499602b0a31</x:v>
      </x:c>
      <x:c r="S1414" t="n">
        <x:v>5</x:v>
      </x:c>
      <x:c r="T1414" t="str">
        <x:v>2021-12-31</x:v>
      </x:c>
      <x:c r="U1414" s="57" t="n">
        <x:v>3267.088249886076</x:v>
      </x:c>
      <x:c r="V1414" s="57" t="n">
        <x:v>-0.862438389478481</x:v>
      </x:c>
      <x:c r="W1414" t="n">
        <x:v>64</x:v>
      </x:c>
      <x:c r="X1414" t="n">
        <x:v>5</x:v>
      </x:c>
      <x:c r="Y1414" s="38" t="n">
        <x:v>0.6409090909090909</x:v>
      </x:c>
      <x:c r="Z1414" s="38" t="n">
        <x:v>0.6701769222689359</x:v>
      </x:c>
      <x:c r="AA1414"/>
    </x:row>
    <x:row r="1415">
      <x:c r="A1415" s="54" t="n">
        <x:v>44742</x:v>
      </x:c>
      <x:c r="B1415" t="n">
        <x:v>44742.624999988424</x:v>
      </x:c>
      <x:c r="C1415" t="str">
        <x:v>094820</x:v>
      </x:c>
      <x:c r="D1415" t="str">
        <x:v>일진파워</x:v>
      </x:c>
      <x:c r="E1415" t="str">
        <x:v>KOSDAQ</x:v>
      </x:c>
      <x:c r="F1415" t="str">
        <x:v>MID</x:v>
      </x:c>
      <x:c r="G1415" t="str">
        <x:v>ELIGIBLE</x:v>
      </x:c>
      <x:c r="H1415"/>
      <x:c r="I1415" s="54" t="n">
        <x:v>44742</x:v>
      </x:c>
      <x:c r="J1415" s="55" t="n">
        <x:v>16950</x:v>
      </x:c>
      <x:c r="K1415" s="55" t="n">
        <x:v>255584117550</x:v>
      </x:c>
      <x:c r="L1415" s="55" t="n">
        <x:v>15078709</x:v>
      </x:c>
      <x:c r="M1415" t="str">
        <x:v>20220317001181</x:v>
      </x:c>
      <x:c r="N1415" t="n">
        <x:v>44637.624999988424</x:v>
      </x:c>
      <x:c r="O1415" s="54" t="n">
        <x:v>44561</x:v>
      </x:c>
      <x:c r="P1415" t="str">
        <x:v>False</x:v>
      </x:c>
      <x:c r="Q1415" t="str">
        <x:v>4b9effa524ed32f7a4097b4c4160b5ffed6dada3a972d752e6f198e408150f8e</x:v>
      </x:c>
      <x:c r="R1415" t="str">
        <x:v>0879e43ab16a65a9bbb1edd3b1e2d24a67dbf41806582b7956c356e41d0f0195</x:v>
      </x:c>
      <x:c r="S1415" t="n">
        <x:v>6</x:v>
      </x:c>
      <x:c r="T1415" t="str">
        <x:v>2018-12-31|2019-12-31|2020-12-31|2021-12-31</x:v>
      </x:c>
      <x:c r="U1415" s="57" t="n">
        <x:v>14804.504335591811</x:v>
      </x:c>
      <x:c r="V1415" s="57" t="n">
        <x:v>-0.12657791530431792</x:v>
      </x:c>
      <x:c r="W1415" t="n">
        <x:v>25</x:v>
      </x:c>
      <x:c r="X1415" t="n">
        <x:v>2</x:v>
      </x:c>
      <x:c r="Y1415" s="38" t="n">
        <x:v>0.6409090909090909</x:v>
      </x:c>
      <x:c r="Z1415" s="38" t="n">
        <x:v>0.6685223660850954</x:v>
      </x:c>
      <x:c r="AA1415"/>
    </x:row>
    <x:row r="1416">
      <x:c r="A1416" s="54" t="n">
        <x:v>44742</x:v>
      </x:c>
      <x:c r="B1416" t="n">
        <x:v>44742.624999988424</x:v>
      </x:c>
      <x:c r="C1416" t="str">
        <x:v>333430</x:v>
      </x:c>
      <x:c r="D1416" t="str">
        <x:v>일승</x:v>
      </x:c>
      <x:c r="E1416" t="str">
        <x:v>KOSDAQ</x:v>
      </x:c>
      <x:c r="F1416" t="str">
        <x:v>MID</x:v>
      </x:c>
      <x:c r="G1416" t="str">
        <x:v>ELIGIBLE</x:v>
      </x:c>
      <x:c r="H1416"/>
      <x:c r="I1416" s="54" t="n">
        <x:v>44742</x:v>
      </x:c>
      <x:c r="J1416" s="55" t="n">
        <x:v>3515</x:v>
      </x:c>
      <x:c r="K1416" s="55" t="n">
        <x:v>108004515705</x:v>
      </x:c>
      <x:c r="L1416" s="55" t="n">
        <x:v>30726747</x:v>
      </x:c>
      <x:c r="M1416" t="str">
        <x:v>20220321000901</x:v>
      </x:c>
      <x:c r="N1416" t="n">
        <x:v>44641.624999988424</x:v>
      </x:c>
      <x:c r="O1416" s="54" t="n">
        <x:v>44561</x:v>
      </x:c>
      <x:c r="P1416" t="str">
        <x:v>False</x:v>
      </x:c>
      <x:c r="Q1416" t="str">
        <x:v>b53dc9765db4a8c234836a9ff600c9c99787fb1358df24b429a4638d676c9f42</x:v>
      </x:c>
      <x:c r="R1416" t="str">
        <x:v>0e53d637c2971ddf00b56e034098422abf1d3f8c23c45147a446572ceb638abc</x:v>
      </x:c>
      <x:c r="S1416" t="n">
        <x:v>6</x:v>
      </x:c>
      <x:c r="T1416" t="str">
        <x:v>2021-12-31</x:v>
      </x:c>
      <x:c r="U1416" s="57" t="n">
        <x:v>706.0565520511188</x:v>
      </x:c>
      <x:c r="V1416" s="57" t="n">
        <x:v>-0.7991304261589989</x:v>
      </x:c>
      <x:c r="W1416" t="n">
        <x:v>58</x:v>
      </x:c>
      <x:c r="X1416" t="n">
        <x:v>5</x:v>
      </x:c>
      <x:c r="Y1416" s="38" t="n">
        <x:v>0.6409090909090909</x:v>
      </x:c>
      <x:c r="Z1416" s="38" t="n">
        <x:v>0.6701769222689359</x:v>
      </x:c>
      <x:c r="AA1416"/>
    </x:row>
    <x:row r="1417">
      <x:c r="A1417" s="54" t="n">
        <x:v>44742</x:v>
      </x:c>
      <x:c r="B1417" t="n">
        <x:v>44742.624999988424</x:v>
      </x:c>
      <x:c r="C1417" t="str">
        <x:v>041440</x:v>
      </x:c>
      <x:c r="D1417" t="str">
        <x:v>현대에버다임</x:v>
      </x:c>
      <x:c r="E1417" t="str">
        <x:v>KOSDAQ</x:v>
      </x:c>
      <x:c r="F1417" t="str">
        <x:v>MID</x:v>
      </x:c>
      <x:c r="G1417" t="str">
        <x:v>DCF_SCREENING_EXCLUSION</x:v>
      </x:c>
      <x:c r="H1417" t="str">
        <x:v>NON_POSITIVE_ENTERPRISE_VALUE|NON_POSITIVE_EQUITY_VALUE|UNRELIABLE_TERMINAL_VALUE_SHARE</x:v>
      </x:c>
      <x:c r="I1417" s="54" t="n">
        <x:v>44742</x:v>
      </x:c>
      <x:c r="J1417" s="55" t="n">
        <x:v>8980</x:v>
      </x:c>
      <x:c r="K1417" s="55" t="n">
        <x:v>160885177120</x:v>
      </x:c>
      <x:c r="L1417" s="55" t="n">
        <x:v>17915944</x:v>
      </x:c>
      <x:c r="M1417" t="str">
        <x:v>20220318000828</x:v>
      </x:c>
      <x:c r="N1417" t="n">
        <x:v>44638.624999988424</x:v>
      </x:c>
      <x:c r="O1417" s="54" t="n">
        <x:v>44561</x:v>
      </x:c>
      <x:c r="P1417" t="str">
        <x:v>False</x:v>
      </x:c>
      <x:c r="Q1417" t="str">
        <x:v>233d25aca3dd16875696f480814215acee6e161d6bff94e6bd0eb55697d20a52</x:v>
      </x:c>
      <x:c r="R1417" t="str">
        <x:v>c3c9ba2e625a007d3e3a68beb916b800548f63e35d576e817bc46ec00ea87714</x:v>
      </x:c>
      <x:c r="S1417" t="n">
        <x:v>7</x:v>
      </x:c>
      <x:c r="T1417" t="str">
        <x:v>2018-12-31|2019-12-31|2020-12-31|2021-12-31</x:v>
      </x:c>
      <x:c r="U1417" s="57" t="n">
        <x:v>-1086.4361798862215</x:v>
      </x:c>
      <x:c r="V1417" s="57" t="n">
        <x:v>-1.1209839843971294</x:v>
      </x:c>
      <x:c r="W1417"/>
      <x:c r="X1417"/>
      <x:c r="Y1417" s="38" t="n">
        <x:v>0.6409090909090909</x:v>
      </x:c>
      <x:c r="Z1417" s="38" t="n">
        <x:v>-0.7010819502366538</x:v>
      </x:c>
      <x:c r="AA1417" t="str">
        <x:v>NON_POSITIVE_ENTERPRISE_VALUE|NON_POSITIVE_EQUITY_VALUE|UNRELIABLE_TERMINAL_VALUE_SHARE</x:v>
      </x:c>
    </x:row>
    <x:row r="1418">
      <x:c r="A1418" s="54" t="n">
        <x:v>44742</x:v>
      </x:c>
      <x:c r="B1418" t="n">
        <x:v>44742.624999988424</x:v>
      </x:c>
      <x:c r="C1418" t="str">
        <x:v>067990</x:v>
      </x:c>
      <x:c r="D1418" t="str">
        <x:v>도이치모터스</x:v>
      </x:c>
      <x:c r="E1418" t="str">
        <x:v>KOSDAQ</x:v>
      </x:c>
      <x:c r="F1418" t="str">
        <x:v>MID</x:v>
      </x:c>
      <x:c r="G1418" t="str">
        <x:v>DCF_SCREENING_EXCLUSION</x:v>
      </x:c>
      <x:c r="H1418" t="str">
        <x:v>NON_POSITIVE_EQUITY_VALUE|UNRELIABLE_TERMINAL_VALUE_SHARE</x:v>
      </x:c>
      <x:c r="I1418" s="54" t="n">
        <x:v>44742</x:v>
      </x:c>
      <x:c r="J1418" s="55" t="n">
        <x:v>8220</x:v>
      </x:c>
      <x:c r="K1418" s="55" t="n">
        <x:v>258729053880</x:v>
      </x:c>
      <x:c r="L1418" s="55" t="n">
        <x:v>31475554</x:v>
      </x:c>
      <x:c r="M1418" t="str">
        <x:v>20220318001141</x:v>
      </x:c>
      <x:c r="N1418" t="n">
        <x:v>44638.624999988424</x:v>
      </x:c>
      <x:c r="O1418" s="54" t="n">
        <x:v>44561</x:v>
      </x:c>
      <x:c r="P1418" t="str">
        <x:v>False</x:v>
      </x:c>
      <x:c r="Q1418" t="str">
        <x:v>71ba1d6be49545c71bed8dc3caf1d8ffe2c800da4e94d6f804e856ea70e7146f</x:v>
      </x:c>
      <x:c r="R1418" t="str">
        <x:v>51a72ecd10c90084d78182e3eeed636558e9bac540f0e1f366aa3aadaba1a609</x:v>
      </x:c>
      <x:c r="S1418" t="n">
        <x:v>6</x:v>
      </x:c>
      <x:c r="T1418" t="str">
        <x:v>2016-12-31|2018-12-31|2019-12-31|2020-12-31|2021-12-31</x:v>
      </x:c>
      <x:c r="U1418" s="57" t="n">
        <x:v>-9268.822613905797</x:v>
      </x:c>
      <x:c r="V1418" s="57" t="n">
        <x:v>-2.1275939919593427</x:v>
      </x:c>
      <x:c r="W1418"/>
      <x:c r="X1418"/>
      <x:c r="Y1418" s="38" t="n">
        <x:v>0.6409090909090909</x:v>
      </x:c>
      <x:c r="Z1418" s="38" t="n">
        <x:v>0.8856781578573619</x:v>
      </x:c>
      <x:c r="AA1418" t="str">
        <x:v>NON_POSITIVE_EQUITY_VALUE|UNRELIABLE_TERMINAL_VALUE_SHARE</x:v>
      </x:c>
    </x:row>
    <x:row r="1419">
      <x:c r="A1419" s="54" t="n">
        <x:v>44742</x:v>
      </x:c>
      <x:c r="B1419" t="n">
        <x:v>44742.624999988424</x:v>
      </x:c>
      <x:c r="C1419" t="str">
        <x:v>037070</x:v>
      </x:c>
      <x:c r="D1419" t="str">
        <x:v>파세코</x:v>
      </x:c>
      <x:c r="E1419" t="str">
        <x:v>KOSDAQ</x:v>
      </x:c>
      <x:c r="F1419" t="str">
        <x:v>MID</x:v>
      </x:c>
      <x:c r="G1419" t="str">
        <x:v>ELIGIBLE</x:v>
      </x:c>
      <x:c r="H1419"/>
      <x:c r="I1419" s="54" t="n">
        <x:v>44742</x:v>
      </x:c>
      <x:c r="J1419" s="55" t="n">
        <x:v>17050</x:v>
      </x:c>
      <x:c r="K1419" s="55" t="n">
        <x:v>341000000000</x:v>
      </x:c>
      <x:c r="L1419" s="55" t="n">
        <x:v>20000000</x:v>
      </x:c>
      <x:c r="M1419" t="str">
        <x:v>20220322000560</x:v>
      </x:c>
      <x:c r="N1419" t="n">
        <x:v>44642.624999988424</x:v>
      </x:c>
      <x:c r="O1419" s="54" t="n">
        <x:v>44561</x:v>
      </x:c>
      <x:c r="P1419" t="str">
        <x:v>False</x:v>
      </x:c>
      <x:c r="Q1419" t="str">
        <x:v>77642086bc05230e6266eebe6de03d61da7865f9800e099e5de46fd3d4f15e09</x:v>
      </x:c>
      <x:c r="R1419" t="str">
        <x:v>5bc386879a8f8b8e43d095f4dc93835706b0f996a413c7cb7b8d4d6a743f905c</x:v>
      </x:c>
      <x:c r="S1419" t="n">
        <x:v>7</x:v>
      </x:c>
      <x:c r="T1419" t="str">
        <x:v>2018-12-31|2019-12-31|2020-12-31|2021-12-31</x:v>
      </x:c>
      <x:c r="U1419" s="57" t="n">
        <x:v>7862.71670004411</x:v>
      </x:c>
      <x:c r="V1419" s="57" t="n">
        <x:v>-0.5388435953053308</x:v>
      </x:c>
      <x:c r="W1419" t="n">
        <x:v>43</x:v>
      </x:c>
      <x:c r="X1419" t="n">
        <x:v>4</x:v>
      </x:c>
      <x:c r="Y1419" s="38" t="n">
        <x:v>0.6409090909090909</x:v>
      </x:c>
      <x:c r="Z1419" s="38" t="n">
        <x:v>0.6740869943779537</x:v>
      </x:c>
      <x:c r="AA1419"/>
    </x:row>
    <x:row r="1420">
      <x:c r="A1420" s="54" t="n">
        <x:v>44742</x:v>
      </x:c>
      <x:c r="B1420" t="n">
        <x:v>44742.624999988424</x:v>
      </x:c>
      <x:c r="C1420" t="str">
        <x:v>365330</x:v>
      </x:c>
      <x:c r="D1420" t="str">
        <x:v>에스와이스틸텍</x:v>
      </x:c>
      <x:c r="E1420" t="str">
        <x:v>KOSDAQ</x:v>
      </x:c>
      <x:c r="F1420" t="str">
        <x:v>MID</x:v>
      </x:c>
      <x:c r="G1420" t="str">
        <x:v>NOT_LISTED_OR_NO_PRICE</x:v>
      </x:c>
      <x:c r="H1420"/>
      <x:c r="I1420" s="54"/>
      <x:c r="J1420" s="55"/>
      <x:c r="K1420" s="55"/>
      <x:c r="L1420" s="55"/>
      <x:c r="M1420"/>
      <x:c r="N1420"/>
      <x:c r="O1420" s="54"/>
      <x:c r="P1420"/>
      <x:c r="Q1420"/>
      <x:c r="R1420"/>
      <x:c r="S1420"/>
      <x:c r="T1420"/>
      <x:c r="U1420" s="57"/>
      <x:c r="V1420" s="57"/>
      <x:c r="W1420"/>
      <x:c r="X1420"/>
      <x:c r="Y1420" s="38"/>
      <x:c r="Z1420" s="38"/>
      <x:c r="AA1420"/>
    </x:row>
    <x:row r="1421">
      <x:c r="A1421" s="54" t="n">
        <x:v>44742</x:v>
      </x:c>
      <x:c r="B1421" t="n">
        <x:v>44742.624999988424</x:v>
      </x:c>
      <x:c r="C1421" t="str">
        <x:v>086960</x:v>
      </x:c>
      <x:c r="D1421" t="str">
        <x:v>MDS테크</x:v>
      </x:c>
      <x:c r="E1421" t="str">
        <x:v>KOSDAQ</x:v>
      </x:c>
      <x:c r="F1421" t="str">
        <x:v>MID</x:v>
      </x:c>
      <x:c r="G1421" t="str">
        <x:v>ELIGIBLE</x:v>
      </x:c>
      <x:c r="H1421"/>
      <x:c r="I1421" s="54" t="n">
        <x:v>44742</x:v>
      </x:c>
      <x:c r="J1421" s="55" t="n">
        <x:v>12000</x:v>
      </x:c>
      <x:c r="K1421" s="55" t="n">
        <x:v>106711296000</x:v>
      </x:c>
      <x:c r="L1421" s="55" t="n">
        <x:v>8892608</x:v>
      </x:c>
      <x:c r="M1421" t="str">
        <x:v>20220316000839</x:v>
      </x:c>
      <x:c r="N1421" t="n">
        <x:v>44636.624999988424</x:v>
      </x:c>
      <x:c r="O1421" s="54" t="n">
        <x:v>44561</x:v>
      </x:c>
      <x:c r="P1421" t="str">
        <x:v>False</x:v>
      </x:c>
      <x:c r="Q1421" t="str">
        <x:v>5f0b235a703db54a6a970650321046b5bde0ef2b5d9f86c6a19a6a5468214a72</x:v>
      </x:c>
      <x:c r="R1421" t="str">
        <x:v>2ed332938082503a4d5306fb50a7c223ac55382ea096b2b7fe974aec1efdd1c9</x:v>
      </x:c>
      <x:c r="S1421" t="n">
        <x:v>6</x:v>
      </x:c>
      <x:c r="T1421" t="str">
        <x:v>2018-12-31|2019-12-31|2020-12-31|2021-12-31</x:v>
      </x:c>
      <x:c r="U1421" s="57" t="n">
        <x:v>4378.528255197623</x:v>
      </x:c>
      <x:c r="V1421" s="57" t="n">
        <x:v>-0.635122645400198</x:v>
      </x:c>
      <x:c r="W1421" t="n">
        <x:v>52</x:v>
      </x:c>
      <x:c r="X1421" t="n">
        <x:v>4</x:v>
      </x:c>
      <x:c r="Y1421" s="38" t="n">
        <x:v>0.6409090909090909</x:v>
      </x:c>
      <x:c r="Z1421" s="38" t="n">
        <x:v>0.705283246086619</x:v>
      </x:c>
      <x:c r="AA1421"/>
    </x:row>
    <x:row r="1422">
      <x:c r="A1422" s="54" t="n">
        <x:v>44742</x:v>
      </x:c>
      <x:c r="B1422" t="n">
        <x:v>44742.624999988424</x:v>
      </x:c>
      <x:c r="C1422" t="str">
        <x:v>014970</x:v>
      </x:c>
      <x:c r="D1422" t="str">
        <x:v>삼륭물산</x:v>
      </x:c>
      <x:c r="E1422" t="str">
        <x:v>KOSDAQ</x:v>
      </x:c>
      <x:c r="F1422" t="str">
        <x:v>MID</x:v>
      </x:c>
      <x:c r="G1422" t="str">
        <x:v>DCF_SCREENING_EXCLUSION</x:v>
      </x:c>
      <x:c r="H1422" t="str">
        <x:v>NON_POSITIVE_ENTERPRISE_VALUE|NON_POSITIVE_EQUITY_VALUE|NON_POSITIVE_TERMINAL_FCF</x:v>
      </x:c>
      <x:c r="I1422" s="54" t="n">
        <x:v>44742</x:v>
      </x:c>
      <x:c r="J1422" s="55" t="n">
        <x:v>5400</x:v>
      </x:c>
      <x:c r="K1422" s="55" t="n">
        <x:v>81675000000</x:v>
      </x:c>
      <x:c r="L1422" s="55" t="n">
        <x:v>15125000</x:v>
      </x:c>
      <x:c r="M1422" t="str">
        <x:v>20220322000992</x:v>
      </x:c>
      <x:c r="N1422" t="n">
        <x:v>44642.624999988424</x:v>
      </x:c>
      <x:c r="O1422" s="54" t="n">
        <x:v>44561</x:v>
      </x:c>
      <x:c r="P1422" t="str">
        <x:v>False</x:v>
      </x:c>
      <x:c r="Q1422" t="str">
        <x:v>2613df30be116011c2be6f65338d1d4d4c82cc581b0124c2e7d24aadb5bf4b20</x:v>
      </x:c>
      <x:c r="R1422" t="str">
        <x:v>9669861e6d563729d42489fd1ec4d9f3cbcb586b3142b627dfb54b85658d3d3d</x:v>
      </x:c>
      <x:c r="S1422" t="n">
        <x:v>6</x:v>
      </x:c>
      <x:c r="T1422" t="str">
        <x:v>2018-12-31|2019-12-31|2020-12-31|2021-12-31</x:v>
      </x:c>
      <x:c r="U1422" s="57" t="n">
        <x:v>-1380.103199626044</x:v>
      </x:c>
      <x:c r="V1422" s="57" t="n">
        <x:v>-1.2555746665974155</x:v>
      </x:c>
      <x:c r="W1422"/>
      <x:c r="X1422"/>
      <x:c r="Y1422" s="38" t="n">
        <x:v>0.6409090909090909</x:v>
      </x:c>
      <x:c r="Z1422" s="38" t="n">
        <x:v>0.5764974774013089</x:v>
      </x:c>
      <x:c r="AA1422" t="str">
        <x:v>NON_POSITIVE_ENTERPRISE_VALUE|NON_POSITIVE_EQUITY_VALUE|NON_POSITIVE_TERMINAL_FCF</x:v>
      </x:c>
    </x:row>
    <x:row r="1423">
      <x:c r="A1423" s="54" t="n">
        <x:v>44742</x:v>
      </x:c>
      <x:c r="B1423" t="n">
        <x:v>44742.624999988424</x:v>
      </x:c>
      <x:c r="C1423" t="str">
        <x:v>088390</x:v>
      </x:c>
      <x:c r="D1423" t="str">
        <x:v>이녹스</x:v>
      </x:c>
      <x:c r="E1423" t="str">
        <x:v>KOSDAQ</x:v>
      </x:c>
      <x:c r="F1423" t="str">
        <x:v>MID</x:v>
      </x:c>
      <x:c r="G1423" t="str">
        <x:v>ELIGIBLE</x:v>
      </x:c>
      <x:c r="H1423"/>
      <x:c r="I1423" s="54" t="n">
        <x:v>44742</x:v>
      </x:c>
      <x:c r="J1423" s="55" t="n">
        <x:v>20800</x:v>
      </x:c>
      <x:c r="K1423" s="55" t="n">
        <x:v>195225555200</x:v>
      </x:c>
      <x:c r="L1423" s="55" t="n">
        <x:v>9385844</x:v>
      </x:c>
      <x:c r="M1423" t="str">
        <x:v>20220316000787</x:v>
      </x:c>
      <x:c r="N1423" t="n">
        <x:v>44636.624999988424</x:v>
      </x:c>
      <x:c r="O1423" s="54" t="n">
        <x:v>44561</x:v>
      </x:c>
      <x:c r="P1423" t="str">
        <x:v>False</x:v>
      </x:c>
      <x:c r="Q1423" t="str">
        <x:v>6cbbad5ef424db8018b61b68a740ab01891ec62dced7d230359387f7853c2893</x:v>
      </x:c>
      <x:c r="R1423" t="str">
        <x:v>b40afc16ecd0d554e6fd2034104c1287ec282dd77b38fa4363f66d4307817ce4</x:v>
      </x:c>
      <x:c r="S1423" t="n">
        <x:v>6</x:v>
      </x:c>
      <x:c r="T1423" t="str">
        <x:v>2018-12-31|2019-12-31|2020-12-31|2021-12-31</x:v>
      </x:c>
      <x:c r="U1423" s="57" t="n">
        <x:v>14642.20085175624</x:v>
      </x:c>
      <x:c r="V1423" s="57" t="n">
        <x:v>-0.29604803597325763</x:v>
      </x:c>
      <x:c r="W1423" t="n">
        <x:v>32</x:v>
      </x:c>
      <x:c r="X1423" t="n">
        <x:v>3</x:v>
      </x:c>
      <x:c r="Y1423" s="38" t="n">
        <x:v>0.6409090909090909</x:v>
      </x:c>
      <x:c r="Z1423" s="38" t="n">
        <x:v>0.558573452567217</x:v>
      </x:c>
      <x:c r="AA1423"/>
    </x:row>
    <x:row r="1424">
      <x:c r="A1424" s="54" t="n">
        <x:v>44742</x:v>
      </x:c>
      <x:c r="B1424" t="n">
        <x:v>44742.624999988424</x:v>
      </x:c>
      <x:c r="C1424" t="str">
        <x:v>170920</x:v>
      </x:c>
      <x:c r="D1424" t="str">
        <x:v>엘티씨</x:v>
      </x:c>
      <x:c r="E1424" t="str">
        <x:v>KOSDAQ</x:v>
      </x:c>
      <x:c r="F1424" t="str">
        <x:v>MID</x:v>
      </x:c>
      <x:c r="G1424" t="str">
        <x:v>DCF_SCREENING_EXCLUSION</x:v>
      </x:c>
      <x:c r="H1424" t="str">
        <x:v>NON_POSITIVE_ENTERPRISE_VALUE|NON_POSITIVE_EQUITY_VALUE|UNRELIABLE_TERMINAL_VALUE_SHARE</x:v>
      </x:c>
      <x:c r="I1424" s="54" t="n">
        <x:v>44742</x:v>
      </x:c>
      <x:c r="J1424" s="55" t="n">
        <x:v>8850</x:v>
      </x:c>
      <x:c r="K1424" s="55" t="n">
        <x:v>71373170250</x:v>
      </x:c>
      <x:c r="L1424" s="55" t="n">
        <x:v>8064765</x:v>
      </x:c>
      <x:c r="M1424" t="str">
        <x:v>20220321001027</x:v>
      </x:c>
      <x:c r="N1424" t="n">
        <x:v>44641.624999988424</x:v>
      </x:c>
      <x:c r="O1424" s="54" t="n">
        <x:v>44561</x:v>
      </x:c>
      <x:c r="P1424" t="str">
        <x:v>False</x:v>
      </x:c>
      <x:c r="Q1424" t="str">
        <x:v>c31ea1711439ee62df6eea540291a40d1aadb3cbd2fc5ad16cbfcd104e015fdd</x:v>
      </x:c>
      <x:c r="R1424" t="str">
        <x:v>e6a957fe77c598d18ce422ef44b848d85cbc07a029d302f4bfa18a765f5e9dbe</x:v>
      </x:c>
      <x:c r="S1424" t="n">
        <x:v>6</x:v>
      </x:c>
      <x:c r="T1424" t="str">
        <x:v>2018-12-31|2019-12-31|2020-12-31|2021-12-31</x:v>
      </x:c>
      <x:c r="U1424" s="57" t="n">
        <x:v>-3932.3846801395957</x:v>
      </x:c>
      <x:c r="V1424" s="57" t="n">
        <x:v>-1.4443372519931748</x:v>
      </x:c>
      <x:c r="W1424"/>
      <x:c r="X1424"/>
      <x:c r="Y1424" s="38" t="n">
        <x:v>0.6409090909090909</x:v>
      </x:c>
      <x:c r="Z1424" s="38" t="n">
        <x:v>-2.2353620034548816</x:v>
      </x:c>
      <x:c r="AA1424" t="str">
        <x:v>NON_POSITIVE_ENTERPRISE_VALUE|NON_POSITIVE_EQUITY_VALUE|UNRELIABLE_TERMINAL_VALUE_SHARE</x:v>
      </x:c>
    </x:row>
    <x:row r="1425">
      <x:c r="A1425" s="54" t="n">
        <x:v>44742</x:v>
      </x:c>
      <x:c r="B1425" t="n">
        <x:v>44742.624999988424</x:v>
      </x:c>
      <x:c r="C1425" t="str">
        <x:v>021080</x:v>
      </x:c>
      <x:c r="D1425" t="str">
        <x:v>에이티넘인베스트</x:v>
      </x:c>
      <x:c r="E1425" t="str">
        <x:v>KOSDAQ</x:v>
      </x:c>
      <x:c r="F1425" t="str">
        <x:v>MID</x:v>
      </x:c>
      <x:c r="G1425" t="str">
        <x:v>ELIGIBLE</x:v>
      </x:c>
      <x:c r="H1425"/>
      <x:c r="I1425" s="54" t="n">
        <x:v>44742</x:v>
      </x:c>
      <x:c r="J1425" s="55" t="n">
        <x:v>3155</x:v>
      </x:c>
      <x:c r="K1425" s="55" t="n">
        <x:v>151440000000</x:v>
      </x:c>
      <x:c r="L1425" s="55" t="n">
        <x:v>48000000</x:v>
      </x:c>
      <x:c r="M1425" t="str">
        <x:v>20220315001124</x:v>
      </x:c>
      <x:c r="N1425" t="n">
        <x:v>44635.624999988424</x:v>
      </x:c>
      <x:c r="O1425" s="54" t="n">
        <x:v>44561</x:v>
      </x:c>
      <x:c r="P1425" t="str">
        <x:v>False</x:v>
      </x:c>
      <x:c r="Q1425" t="str">
        <x:v>a795f008e81c0c9fb6ce25b7d59e30379d4f9ca332d7e7688348b696d0f67d34</x:v>
      </x:c>
      <x:c r="R1425" t="str">
        <x:v>6e1c969bcc08ffb861fee1971a7fd0e672780df9b4121316059a34d9a1614af9</x:v>
      </x:c>
      <x:c r="S1425" t="n">
        <x:v>5</x:v>
      </x:c>
      <x:c r="T1425" t="str">
        <x:v>2018-12-31|2019-12-31|2020-12-31|2021-12-31</x:v>
      </x:c>
      <x:c r="U1425" s="57" t="n">
        <x:v>11240.4103910266</x:v>
      </x:c>
      <x:c r="V1425" s="57" t="n">
        <x:v>2.5627291255234868</x:v>
      </x:c>
      <x:c r="W1425" t="n">
        <x:v>4</x:v>
      </x:c>
      <x:c r="X1425" t="n">
        <x:v>1</x:v>
      </x:c>
      <x:c r="Y1425" s="38" t="n">
        <x:v>0.6409090909090909</x:v>
      </x:c>
      <x:c r="Z1425" s="38" t="n">
        <x:v>0.6847587029208964</x:v>
      </x:c>
      <x:c r="AA1425"/>
    </x:row>
    <x:row r="1426">
      <x:c r="A1426" s="54" t="n">
        <x:v>44742</x:v>
      </x:c>
      <x:c r="B1426" t="n">
        <x:v>44742.624999988424</x:v>
      </x:c>
      <x:c r="C1426" t="str">
        <x:v>302550</x:v>
      </x:c>
      <x:c r="D1426" t="str">
        <x:v>리메드</x:v>
      </x:c>
      <x:c r="E1426" t="str">
        <x:v>KOSDAQ</x:v>
      </x:c>
      <x:c r="F1426" t="str">
        <x:v>MID</x:v>
      </x:c>
      <x:c r="G1426" t="str">
        <x:v>ELIGIBLE</x:v>
      </x:c>
      <x:c r="H1426"/>
      <x:c r="I1426" s="54" t="n">
        <x:v>44742</x:v>
      </x:c>
      <x:c r="J1426" s="55" t="n">
        <x:v>12550</x:v>
      </x:c>
      <x:c r="K1426" s="55" t="n">
        <x:v>76901580800</x:v>
      </x:c>
      <x:c r="L1426" s="55" t="n">
        <x:v>6127616</x:v>
      </x:c>
      <x:c r="M1426" t="str">
        <x:v>20220318000588</x:v>
      </x:c>
      <x:c r="N1426" t="n">
        <x:v>44638.624999988424</x:v>
      </x:c>
      <x:c r="O1426" s="54" t="n">
        <x:v>44561</x:v>
      </x:c>
      <x:c r="P1426" t="str">
        <x:v>False</x:v>
      </x:c>
      <x:c r="Q1426" t="str">
        <x:v>e9e7a60f1aebf723bb1cd1bc376d275c0d0c3d009d2a6798b589c1f714f07bd4</x:v>
      </x:c>
      <x:c r="R1426" t="str">
        <x:v>10e9944e8e3b196b35f02515fd6ab5310d2c46ae10aa5e28dda2e1e3f7c0c2a1</x:v>
      </x:c>
      <x:c r="S1426" t="n">
        <x:v>5</x:v>
      </x:c>
      <x:c r="T1426" t="str">
        <x:v>2019-12-31|2020-12-31|2021-12-31</x:v>
      </x:c>
      <x:c r="U1426" s="57" t="n">
        <x:v>4100.758120032042</x:v>
      </x:c>
      <x:c r="V1426" s="57" t="n">
        <x:v>-0.6732463649376859</x:v>
      </x:c>
      <x:c r="W1426" t="n">
        <x:v>54</x:v>
      </x:c>
      <x:c r="X1426" t="n">
        <x:v>5</x:v>
      </x:c>
      <x:c r="Y1426" s="38" t="n">
        <x:v>0.6409090909090909</x:v>
      </x:c>
      <x:c r="Z1426" s="38" t="n">
        <x:v>0.7707391455939948</x:v>
      </x:c>
      <x:c r="AA1426"/>
    </x:row>
    <x:row r="1427">
      <x:c r="A1427" s="54" t="n">
        <x:v>44742</x:v>
      </x:c>
      <x:c r="B1427" t="n">
        <x:v>44742.624999988424</x:v>
      </x:c>
      <x:c r="C1427" t="str">
        <x:v>011760</x:v>
      </x:c>
      <x:c r="D1427" t="str">
        <x:v>현대코퍼레이션</x:v>
      </x:c>
      <x:c r="E1427" t="str">
        <x:v>KOSPI</x:v>
      </x:c>
      <x:c r="F1427" t="str">
        <x:v>MID</x:v>
      </x:c>
      <x:c r="G1427" t="str">
        <x:v>DCF_SCREENING_EXCLUSION</x:v>
      </x:c>
      <x:c r="H1427" t="str">
        <x:v>NON_POSITIVE_EQUITY_VALUE</x:v>
      </x:c>
      <x:c r="I1427" s="54" t="n">
        <x:v>44742</x:v>
      </x:c>
      <x:c r="J1427" s="55" t="n">
        <x:v>15200</x:v>
      </x:c>
      <x:c r="K1427" s="55" t="n">
        <x:v>201080283200</x:v>
      </x:c>
      <x:c r="L1427" s="55" t="n">
        <x:v>13228966</x:v>
      </x:c>
      <x:c r="M1427" t="str">
        <x:v>20220322000850</x:v>
      </x:c>
      <x:c r="N1427" t="n">
        <x:v>44642.624999988424</x:v>
      </x:c>
      <x:c r="O1427" s="54" t="n">
        <x:v>44561</x:v>
      </x:c>
      <x:c r="P1427" t="str">
        <x:v>False</x:v>
      </x:c>
      <x:c r="Q1427" t="str">
        <x:v>099bfc1ab82fd79f99a7e0b8f4bec45d890efdd6405d41b5afb4080f2939023f</x:v>
      </x:c>
      <x:c r="R1427" t="str">
        <x:v>d21f6ebac0ac8694a30b566950084bdad44862d5622fb7e5ed9c4d3baf150081</x:v>
      </x:c>
      <x:c r="S1427" t="n">
        <x:v>6</x:v>
      </x:c>
      <x:c r="T1427" t="str">
        <x:v>2018-12-31|2019-12-31|2020-12-31|2021-12-31</x:v>
      </x:c>
      <x:c r="U1427" s="57" t="n">
        <x:v>-11068.169193106498</x:v>
      </x:c>
      <x:c r="V1427" s="57" t="n">
        <x:v>-1.7281690258622697</x:v>
      </x:c>
      <x:c r="W1427"/>
      <x:c r="X1427"/>
      <x:c r="Y1427" s="38" t="n">
        <x:v>0.6409090909090909</x:v>
      </x:c>
      <x:c r="Z1427" s="38" t="n">
        <x:v>0.6790710168575033</x:v>
      </x:c>
      <x:c r="AA1427" t="str">
        <x:v>NON_POSITIVE_EQUITY_VALUE</x:v>
      </x:c>
    </x:row>
    <x:row r="1428">
      <x:c r="A1428" s="54" t="n">
        <x:v>44742</x:v>
      </x:c>
      <x:c r="B1428" t="n">
        <x:v>44742.624999988424</x:v>
      </x:c>
      <x:c r="C1428" t="str">
        <x:v>010690</x:v>
      </x:c>
      <x:c r="D1428" t="str">
        <x:v>화신</x:v>
      </x:c>
      <x:c r="E1428" t="str">
        <x:v>KOSPI</x:v>
      </x:c>
      <x:c r="F1428" t="str">
        <x:v>MID</x:v>
      </x:c>
      <x:c r="G1428" t="str">
        <x:v>DCF_SCREENING_EXCLUSION</x:v>
      </x:c>
      <x:c r="H1428" t="str">
        <x:v>NON_POSITIVE_ENTERPRISE_VALUE|NON_POSITIVE_EQUITY_VALUE|NON_POSITIVE_TERMINAL_FCF</x:v>
      </x:c>
      <x:c r="I1428" s="54" t="n">
        <x:v>44742</x:v>
      </x:c>
      <x:c r="J1428" s="55" t="n">
        <x:v>9320</x:v>
      </x:c>
      <x:c r="K1428" s="55" t="n">
        <x:v>325458221200</x:v>
      </x:c>
      <x:c r="L1428" s="55" t="n">
        <x:v>34920410</x:v>
      </x:c>
      <x:c r="M1428" t="str">
        <x:v>20220321001215</x:v>
      </x:c>
      <x:c r="N1428" t="n">
        <x:v>44641.624999988424</x:v>
      </x:c>
      <x:c r="O1428" s="54" t="n">
        <x:v>44561</x:v>
      </x:c>
      <x:c r="P1428" t="str">
        <x:v>False</x:v>
      </x:c>
      <x:c r="Q1428" t="str">
        <x:v>0cf96cfa209d746266e6c4849aca1a0964cb395d303c35dcb71c75d49ad3383e</x:v>
      </x:c>
      <x:c r="R1428" t="str">
        <x:v>2fa378b86e1d87fdc61a53db9d7a0085fe40cf513bfad4fec6796e17a4c6533a</x:v>
      </x:c>
      <x:c r="S1428" t="n">
        <x:v>6</x:v>
      </x:c>
      <x:c r="T1428" t="str">
        <x:v>2018-12-31|2019-12-31|2020-12-31|2021-12-31</x:v>
      </x:c>
      <x:c r="U1428" s="57" t="n">
        <x:v>-17727.972190762088</x:v>
      </x:c>
      <x:c r="V1428" s="57" t="n">
        <x:v>-2.9021429389229705</x:v>
      </x:c>
      <x:c r="W1428"/>
      <x:c r="X1428"/>
      <x:c r="Y1428" s="38" t="n">
        <x:v>0.6409090909090909</x:v>
      </x:c>
      <x:c r="Z1428" s="38" t="n">
        <x:v>0.7207690520545919</x:v>
      </x:c>
      <x:c r="AA1428" t="str">
        <x:v>NON_POSITIVE_ENTERPRISE_VALUE|NON_POSITIVE_EQUITY_VALUE|NON_POSITIVE_TERMINAL_FCF</x:v>
      </x:c>
    </x:row>
    <x:row r="1429">
      <x:c r="A1429" s="54" t="n">
        <x:v>44742</x:v>
      </x:c>
      <x:c r="B1429" t="n">
        <x:v>44742.624999988424</x:v>
      </x:c>
      <x:c r="C1429" t="str">
        <x:v>029460</x:v>
      </x:c>
      <x:c r="D1429" t="str">
        <x:v>케이씨</x:v>
      </x:c>
      <x:c r="E1429" t="str">
        <x:v>KOSPI</x:v>
      </x:c>
      <x:c r="F1429" t="str">
        <x:v>MID</x:v>
      </x:c>
      <x:c r="G1429" t="str">
        <x:v>ELIGIBLE</x:v>
      </x:c>
      <x:c r="H1429"/>
      <x:c r="I1429" s="54" t="n">
        <x:v>44742</x:v>
      </x:c>
      <x:c r="J1429" s="55" t="n">
        <x:v>18700</x:v>
      </x:c>
      <x:c r="K1429" s="55" t="n">
        <x:v>253460622800</x:v>
      </x:c>
      <x:c r="L1429" s="55" t="n">
        <x:v>13554044</x:v>
      </x:c>
      <x:c r="M1429" t="str">
        <x:v>20220321000938</x:v>
      </x:c>
      <x:c r="N1429" t="n">
        <x:v>44641.624999988424</x:v>
      </x:c>
      <x:c r="O1429" s="54" t="n">
        <x:v>44561</x:v>
      </x:c>
      <x:c r="P1429" t="str">
        <x:v>False</x:v>
      </x:c>
      <x:c r="Q1429" t="str">
        <x:v>7990398da750779e98cdabb4c9eb463b85f1ae129963b0a8a83ccf72f66d7ec9</x:v>
      </x:c>
      <x:c r="R1429" t="str">
        <x:v>b1740a5e137b094c6c4f36ced93b37b4bb1b5ee1193537044d37bf5ed2a57d5c</x:v>
      </x:c>
      <x:c r="S1429" t="n">
        <x:v>7</x:v>
      </x:c>
      <x:c r="T1429" t="str">
        <x:v>2018-12-31|2019-12-31|2020-12-31|2021-12-31</x:v>
      </x:c>
      <x:c r="U1429" s="57" t="n">
        <x:v>38835.80598528565</x:v>
      </x:c>
      <x:c r="V1429" s="57" t="n">
        <x:v>1.0767810687318529</x:v>
      </x:c>
      <x:c r="W1429" t="n">
        <x:v>9</x:v>
      </x:c>
      <x:c r="X1429" t="n">
        <x:v>1</x:v>
      </x:c>
      <x:c r="Y1429" s="38" t="n">
        <x:v>0.6409090909090909</x:v>
      </x:c>
      <x:c r="Z1429" s="38" t="n">
        <x:v>0.6797227260709177</x:v>
      </x:c>
      <x:c r="AA1429"/>
    </x:row>
    <x:row r="1430">
      <x:c r="A1430" s="54" t="n">
        <x:v>44742</x:v>
      </x:c>
      <x:c r="B1430" t="n">
        <x:v>44742.624999988424</x:v>
      </x:c>
      <x:c r="C1430" t="str">
        <x:v>122900</x:v>
      </x:c>
      <x:c r="D1430" t="str">
        <x:v>아이마켓코리아</x:v>
      </x:c>
      <x:c r="E1430" t="str">
        <x:v>KOSPI</x:v>
      </x:c>
      <x:c r="F1430" t="str">
        <x:v>MID</x:v>
      </x:c>
      <x:c r="G1430" t="str">
        <x:v>ELIGIBLE</x:v>
      </x:c>
      <x:c r="H1430"/>
      <x:c r="I1430" s="54" t="n">
        <x:v>44742</x:v>
      </x:c>
      <x:c r="J1430" s="55" t="n">
        <x:v>10300</x:v>
      </x:c>
      <x:c r="K1430" s="55" t="n">
        <x:v>344317052000</x:v>
      </x:c>
      <x:c r="L1430" s="55" t="n">
        <x:v>33428840</x:v>
      </x:c>
      <x:c r="M1430" t="str">
        <x:v>20220322000751</x:v>
      </x:c>
      <x:c r="N1430" t="n">
        <x:v>44642.624999988424</x:v>
      </x:c>
      <x:c r="O1430" s="54" t="n">
        <x:v>44561</x:v>
      </x:c>
      <x:c r="P1430" t="str">
        <x:v>False</x:v>
      </x:c>
      <x:c r="Q1430" t="str">
        <x:v>b259e827b070061f4ae50eecae5c99d0628008976e645d93bfa331cd61be8f30</x:v>
      </x:c>
      <x:c r="R1430" t="str">
        <x:v>23ab80e21333384a7c38b881259a6c4d6a7539fa6909c5eccf1aaca52c0581df</x:v>
      </x:c>
      <x:c r="S1430" t="n">
        <x:v>7</x:v>
      </x:c>
      <x:c r="T1430" t="str">
        <x:v>2018-12-31|2019-12-31|2020-12-31|2021-12-31</x:v>
      </x:c>
      <x:c r="U1430" s="57" t="n">
        <x:v>7621.586787115335</x:v>
      </x:c>
      <x:c r="V1430" s="57" t="n">
        <x:v>-0.2600401177557927</x:v>
      </x:c>
      <x:c r="W1430" t="n">
        <x:v>30</x:v>
      </x:c>
      <x:c r="X1430" t="n">
        <x:v>3</x:v>
      </x:c>
      <x:c r="Y1430" s="38" t="n">
        <x:v>0.6409090909090909</x:v>
      </x:c>
      <x:c r="Z1430" s="38" t="n">
        <x:v>0.6654434098575983</x:v>
      </x:c>
      <x:c r="AA1430"/>
    </x:row>
    <x:row r="1431">
      <x:c r="A1431" s="54" t="n">
        <x:v>44742</x:v>
      </x:c>
      <x:c r="B1431" t="n">
        <x:v>44742.624999988424</x:v>
      </x:c>
      <x:c r="C1431" t="str">
        <x:v>001820</x:v>
      </x:c>
      <x:c r="D1431" t="str">
        <x:v>삼화콘덴서</x:v>
      </x:c>
      <x:c r="E1431" t="str">
        <x:v>KOSPI</x:v>
      </x:c>
      <x:c r="F1431" t="str">
        <x:v>MID</x:v>
      </x:c>
      <x:c r="G1431" t="str">
        <x:v>ELIGIBLE</x:v>
      </x:c>
      <x:c r="H1431"/>
      <x:c r="I1431" s="54" t="n">
        <x:v>44742</x:v>
      </x:c>
      <x:c r="J1431" s="55" t="n">
        <x:v>39350</x:v>
      </x:c>
      <x:c r="K1431" s="55" t="n">
        <x:v>409043250000</x:v>
      </x:c>
      <x:c r="L1431" s="55" t="n">
        <x:v>10395000</x:v>
      </x:c>
      <x:c r="M1431" t="str">
        <x:v>20220317000863</x:v>
      </x:c>
      <x:c r="N1431" t="n">
        <x:v>44637.624999988424</x:v>
      </x:c>
      <x:c r="O1431" s="54" t="n">
        <x:v>44561</x:v>
      </x:c>
      <x:c r="P1431" t="str">
        <x:v>False</x:v>
      </x:c>
      <x:c r="Q1431" t="str">
        <x:v>41d4c3f670049ce822e3e8797ac27f2bb7d6cc9f1154c4d75ff3d0f432b9f08e</x:v>
      </x:c>
      <x:c r="R1431" t="str">
        <x:v>f586c4b9742e8353ab8dd3b80dc35df23281949a6aaa5e4d28a26d535935c7b7</x:v>
      </x:c>
      <x:c r="S1431" t="n">
        <x:v>6</x:v>
      </x:c>
      <x:c r="T1431" t="str">
        <x:v>2018-12-31|2019-12-31|2020-12-31|2021-12-31</x:v>
      </x:c>
      <x:c r="U1431" s="57" t="n">
        <x:v>22632.273036284816</x:v>
      </x:c>
      <x:c r="V1431" s="57" t="n">
        <x:v>-0.4248469368161419</x:v>
      </x:c>
      <x:c r="W1431" t="n">
        <x:v>39</x:v>
      </x:c>
      <x:c r="X1431" t="n">
        <x:v>3</x:v>
      </x:c>
      <x:c r="Y1431" s="38" t="n">
        <x:v>0.6409090909090909</x:v>
      </x:c>
      <x:c r="Z1431" s="38" t="n">
        <x:v>0.6670606110582535</x:v>
      </x:c>
      <x:c r="AA1431"/>
    </x:row>
    <x:row r="1432">
      <x:c r="A1432" s="54" t="n">
        <x:v>44742</x:v>
      </x:c>
      <x:c r="B1432" t="n">
        <x:v>44742.624999988424</x:v>
      </x:c>
      <x:c r="C1432" t="str">
        <x:v>001790</x:v>
      </x:c>
      <x:c r="D1432" t="str">
        <x:v>대한제당</x:v>
      </x:c>
      <x:c r="E1432" t="str">
        <x:v>KOSPI</x:v>
      </x:c>
      <x:c r="F1432" t="str">
        <x:v>MID</x:v>
      </x:c>
      <x:c r="G1432" t="str">
        <x:v>ELIGIBLE</x:v>
      </x:c>
      <x:c r="H1432"/>
      <x:c r="I1432" s="54" t="n">
        <x:v>44742</x:v>
      </x:c>
      <x:c r="J1432" s="55" t="n">
        <x:v>3320</x:v>
      </x:c>
      <x:c r="K1432" s="55" t="n">
        <x:v>297792645600</x:v>
      </x:c>
      <x:c r="L1432" s="55" t="n">
        <x:v>89696580</x:v>
      </x:c>
      <x:c r="M1432" t="str">
        <x:v>20220317000728</x:v>
      </x:c>
      <x:c r="N1432" t="n">
        <x:v>44637.624999988424</x:v>
      </x:c>
      <x:c r="O1432" s="54" t="n">
        <x:v>44561</x:v>
      </x:c>
      <x:c r="P1432" t="str">
        <x:v>False</x:v>
      </x:c>
      <x:c r="Q1432" t="str">
        <x:v>fcdc3a13ee9dd76aa9798177cec4b35a242d11208fba1d39d433983586abd3cf</x:v>
      </x:c>
      <x:c r="R1432" t="str">
        <x:v>384750aef1f962d54928ed7d80660330c0c7c0a0df14c2fb3ecaa31c8ffaff09</x:v>
      </x:c>
      <x:c r="S1432" t="n">
        <x:v>6</x:v>
      </x:c>
      <x:c r="T1432" t="str">
        <x:v>2018-12-31|2019-12-31|2020-12-31|2021-12-31</x:v>
      </x:c>
      <x:c r="U1432" s="57" t="n">
        <x:v>1193.117638754748</x:v>
      </x:c>
      <x:c r="V1432" s="57" t="n">
        <x:v>-0.6406272172425458</x:v>
      </x:c>
      <x:c r="W1432" t="n">
        <x:v>53</x:v>
      </x:c>
      <x:c r="X1432" t="n">
        <x:v>4</x:v>
      </x:c>
      <x:c r="Y1432" s="38" t="n">
        <x:v>0.6409090909090909</x:v>
      </x:c>
      <x:c r="Z1432" s="38" t="n">
        <x:v>0.6304165082883136</x:v>
      </x:c>
      <x:c r="AA1432"/>
    </x:row>
    <x:row r="1433">
      <x:c r="A1433" s="54" t="n">
        <x:v>44742</x:v>
      </x:c>
      <x:c r="B1433" t="n">
        <x:v>44742.624999988424</x:v>
      </x:c>
      <x:c r="C1433" t="str">
        <x:v>001340</x:v>
      </x:c>
      <x:c r="D1433" t="str">
        <x:v>PKC</x:v>
      </x:c>
      <x:c r="E1433" t="str">
        <x:v>KOSPI</x:v>
      </x:c>
      <x:c r="F1433" t="str">
        <x:v>MID</x:v>
      </x:c>
      <x:c r="G1433" t="str">
        <x:v>DCF_SCREENING_EXCLUSION</x:v>
      </x:c>
      <x:c r="H1433" t="str">
        <x:v>NON_POSITIVE_EQUITY_VALUE</x:v>
      </x:c>
      <x:c r="I1433" s="54" t="n">
        <x:v>44742</x:v>
      </x:c>
      <x:c r="J1433" s="55" t="n">
        <x:v>4385</x:v>
      </x:c>
      <x:c r="K1433" s="55" t="n">
        <x:v>196967214695</x:v>
      </x:c>
      <x:c r="L1433" s="55" t="n">
        <x:v>44918407</x:v>
      </x:c>
      <x:c r="M1433" t="str">
        <x:v>20220316000411</x:v>
      </x:c>
      <x:c r="N1433" t="n">
        <x:v>44636.624999988424</x:v>
      </x:c>
      <x:c r="O1433" s="54" t="n">
        <x:v>44561</x:v>
      </x:c>
      <x:c r="P1433" t="str">
        <x:v>False</x:v>
      </x:c>
      <x:c r="Q1433" t="str">
        <x:v>c50eabab0b5ec29ee023ad61d21d4413c1e9c5ab7bd8de1e1630c201325cd207</x:v>
      </x:c>
      <x:c r="R1433" t="str">
        <x:v>82e32e558df84cf48ba41bcba8c2452f77ee1041cd1bf1e4acf99011782c8082</x:v>
      </x:c>
      <x:c r="S1433" t="n">
        <x:v>6</x:v>
      </x:c>
      <x:c r="T1433" t="str">
        <x:v>2016-12-31|2017-12-31|2018-12-31|2019-12-31|2020-12-31|2021-12-31</x:v>
      </x:c>
      <x:c r="U1433" s="57" t="n">
        <x:v>-539.5628118252989</x:v>
      </x:c>
      <x:c r="V1433" s="57" t="n">
        <x:v>-1.1230473915223032</x:v>
      </x:c>
      <x:c r="W1433"/>
      <x:c r="X1433"/>
      <x:c r="Y1433" s="38" t="n">
        <x:v>0.6409090909090909</x:v>
      </x:c>
      <x:c r="Z1433" s="38" t="n">
        <x:v>0.6348909598465705</x:v>
      </x:c>
      <x:c r="AA1433" t="str">
        <x:v>NON_POSITIVE_EQUITY_VALUE</x:v>
      </x:c>
    </x:row>
    <x:row r="1434">
      <x:c r="A1434" s="54" t="n">
        <x:v>44742</x:v>
      </x:c>
      <x:c r="B1434" t="n">
        <x:v>44742.624999988424</x:v>
      </x:c>
      <x:c r="C1434" t="str">
        <x:v>096760</x:v>
      </x:c>
      <x:c r="D1434" t="str">
        <x:v>JW홀딩스</x:v>
      </x:c>
      <x:c r="E1434" t="str">
        <x:v>KOSPI</x:v>
      </x:c>
      <x:c r="F1434" t="str">
        <x:v>MID</x:v>
      </x:c>
      <x:c r="G1434" t="str">
        <x:v>EXCLUDED_ARCHETYPE</x:v>
      </x:c>
      <x:c r="H1434" t="str">
        <x:v>FCFF_NOT_COMPARABLE_FOR_FINANCE_OR_HOLDING_HINT</x:v>
      </x:c>
      <x:c r="I1434" s="54"/>
      <x:c r="J1434" s="55"/>
      <x:c r="K1434" s="55"/>
      <x:c r="L1434" s="55"/>
      <x:c r="M1434"/>
      <x:c r="N1434"/>
      <x:c r="O1434" s="54"/>
      <x:c r="P1434"/>
      <x:c r="Q1434"/>
      <x:c r="R1434"/>
      <x:c r="S1434"/>
      <x:c r="T1434"/>
      <x:c r="U1434" s="57"/>
      <x:c r="V1434" s="57"/>
      <x:c r="W1434"/>
      <x:c r="X1434"/>
      <x:c r="Y1434" s="38"/>
      <x:c r="Z1434" s="38"/>
      <x:c r="AA1434"/>
    </x:row>
    <x:row r="1435">
      <x:c r="A1435" s="54" t="n">
        <x:v>44742</x:v>
      </x:c>
      <x:c r="B1435" t="n">
        <x:v>44742.624999988424</x:v>
      </x:c>
      <x:c r="C1435" t="str">
        <x:v>005010</x:v>
      </x:c>
      <x:c r="D1435" t="str">
        <x:v>휴스틸</x:v>
      </x:c>
      <x:c r="E1435" t="str">
        <x:v>KOSPI</x:v>
      </x:c>
      <x:c r="F1435" t="str">
        <x:v>MID</x:v>
      </x:c>
      <x:c r="G1435" t="str">
        <x:v>ELIGIBLE</x:v>
      </x:c>
      <x:c r="H1435"/>
      <x:c r="I1435" s="54" t="n">
        <x:v>44742</x:v>
      </x:c>
      <x:c r="J1435" s="55" t="n">
        <x:v>21950</x:v>
      </x:c>
      <x:c r="K1435" s="55" t="n">
        <x:v>172035649250</x:v>
      </x:c>
      <x:c r="L1435" s="55" t="n">
        <x:v>7837615</x:v>
      </x:c>
      <x:c r="M1435" t="str">
        <x:v>20220323001079</x:v>
      </x:c>
      <x:c r="N1435" t="n">
        <x:v>44643.624999988424</x:v>
      </x:c>
      <x:c r="O1435" s="54" t="n">
        <x:v>44561</x:v>
      </x:c>
      <x:c r="P1435" t="str">
        <x:v>False</x:v>
      </x:c>
      <x:c r="Q1435" t="str">
        <x:v>945051d840ca3edc9dac918a4058a8d2dbd8221edb5a3c5af970da22dbd89b76</x:v>
      </x:c>
      <x:c r="R1435" t="str">
        <x:v>e86ec943c7105178fb1f56724e90afbd76738b2e2ad9f0cb278b8f61015b7138</x:v>
      </x:c>
      <x:c r="S1435" t="n">
        <x:v>7</x:v>
      </x:c>
      <x:c r="T1435" t="str">
        <x:v>2018-12-31|2019-12-31|2020-12-31|2021-12-31</x:v>
      </x:c>
      <x:c r="U1435" s="57" t="n">
        <x:v>18115.01362036872</x:v>
      </x:c>
      <x:c r="V1435" s="57" t="n">
        <x:v>-0.17471464144106053</x:v>
      </x:c>
      <x:c r="W1435" t="n">
        <x:v>27</x:v>
      </x:c>
      <x:c r="X1435" t="n">
        <x:v>2</x:v>
      </x:c>
      <x:c r="Y1435" s="38" t="n">
        <x:v>0.6409090909090909</x:v>
      </x:c>
      <x:c r="Z1435" s="38" t="n">
        <x:v>0.33371724080942344</x:v>
      </x:c>
      <x:c r="AA1435"/>
    </x:row>
    <x:row r="1436">
      <x:c r="A1436" s="54" t="n">
        <x:v>44742</x:v>
      </x:c>
      <x:c r="B1436" t="n">
        <x:v>44742.624999988424</x:v>
      </x:c>
      <x:c r="C1436" t="str">
        <x:v>001630</x:v>
      </x:c>
      <x:c r="D1436" t="str">
        <x:v>종근당홀딩스</x:v>
      </x:c>
      <x:c r="E1436" t="str">
        <x:v>KOSPI</x:v>
      </x:c>
      <x:c r="F1436" t="str">
        <x:v>MID</x:v>
      </x:c>
      <x:c r="G1436" t="str">
        <x:v>EXCLUDED_ARCHETYPE</x:v>
      </x:c>
      <x:c r="H1436" t="str">
        <x:v>FCFF_NOT_COMPARABLE_FOR_FINANCE_OR_HOLDING_HINT</x:v>
      </x:c>
      <x:c r="I1436" s="54"/>
      <x:c r="J1436" s="55"/>
      <x:c r="K1436" s="55"/>
      <x:c r="L1436" s="55"/>
      <x:c r="M1436"/>
      <x:c r="N1436"/>
      <x:c r="O1436" s="54"/>
      <x:c r="P1436"/>
      <x:c r="Q1436"/>
      <x:c r="R1436"/>
      <x:c r="S1436"/>
      <x:c r="T1436"/>
      <x:c r="U1436" s="57"/>
      <x:c r="V1436" s="57"/>
      <x:c r="W1436"/>
      <x:c r="X1436"/>
      <x:c r="Y1436" s="38"/>
      <x:c r="Z1436" s="38"/>
      <x:c r="AA1436"/>
    </x:row>
    <x:row r="1437">
      <x:c r="A1437" s="54" t="n">
        <x:v>44742</x:v>
      </x:c>
      <x:c r="B1437" t="n">
        <x:v>44742.624999988424</x:v>
      </x:c>
      <x:c r="C1437" t="str">
        <x:v>005680</x:v>
      </x:c>
      <x:c r="D1437" t="str">
        <x:v>삼영전자</x:v>
      </x:c>
      <x:c r="E1437" t="str">
        <x:v>KOSPI</x:v>
      </x:c>
      <x:c r="F1437" t="str">
        <x:v>MID</x:v>
      </x:c>
      <x:c r="G1437" t="str">
        <x:v>ELIGIBLE</x:v>
      </x:c>
      <x:c r="H1437"/>
      <x:c r="I1437" s="54" t="n">
        <x:v>44742</x:v>
      </x:c>
      <x:c r="J1437" s="55" t="n">
        <x:v>10750</x:v>
      </x:c>
      <x:c r="K1437" s="55" t="n">
        <x:v>215000000000</x:v>
      </x:c>
      <x:c r="L1437" s="55" t="n">
        <x:v>20000000</x:v>
      </x:c>
      <x:c r="M1437" t="str">
        <x:v>20220310001191</x:v>
      </x:c>
      <x:c r="N1437" t="n">
        <x:v>44630.624999988424</x:v>
      </x:c>
      <x:c r="O1437" s="54" t="n">
        <x:v>44561</x:v>
      </x:c>
      <x:c r="P1437" t="str">
        <x:v>False</x:v>
      </x:c>
      <x:c r="Q1437" t="str">
        <x:v>7bde21400f9091b9d1afc58a9981e9ed312b08fc1962b509c3c6978778d15175</x:v>
      </x:c>
      <x:c r="R1437" t="str">
        <x:v>cd5bd6578495a21e28c14ed9349ea3c6c56d60ceaaf40a3a073db8a22f485c4a</x:v>
      </x:c>
      <x:c r="S1437" t="n">
        <x:v>6</x:v>
      </x:c>
      <x:c r="T1437" t="str">
        <x:v>2018-12-31|2019-12-31|2020-12-31|2021-12-31</x:v>
      </x:c>
      <x:c r="U1437" s="57" t="n">
        <x:v>5134.734268963097</x:v>
      </x:c>
      <x:c r="V1437" s="57" t="n">
        <x:v>-0.5223503005615724</x:v>
      </x:c>
      <x:c r="W1437" t="n">
        <x:v>42</x:v>
      </x:c>
      <x:c r="X1437" t="n">
        <x:v>4</x:v>
      </x:c>
      <x:c r="Y1437" s="38" t="n">
        <x:v>0.6409090909090909</x:v>
      </x:c>
      <x:c r="Z1437" s="38" t="n">
        <x:v>0.5881027523780626</x:v>
      </x:c>
      <x:c r="AA1437"/>
    </x:row>
    <x:row r="1438">
      <x:c r="A1438" s="54" t="n">
        <x:v>44742</x:v>
      </x:c>
      <x:c r="B1438" t="n">
        <x:v>44742.624999988424</x:v>
      </x:c>
      <x:c r="C1438" t="str">
        <x:v>028100</x:v>
      </x:c>
      <x:c r="D1438" t="str">
        <x:v>동아지질</x:v>
      </x:c>
      <x:c r="E1438" t="str">
        <x:v>KOSPI</x:v>
      </x:c>
      <x:c r="F1438" t="str">
        <x:v>MID</x:v>
      </x:c>
      <x:c r="G1438" t="str">
        <x:v>ELIGIBLE</x:v>
      </x:c>
      <x:c r="H1438"/>
      <x:c r="I1438" s="54" t="n">
        <x:v>44742</x:v>
      </x:c>
      <x:c r="J1438" s="55" t="n">
        <x:v>17300</x:v>
      </x:c>
      <x:c r="K1438" s="55" t="n">
        <x:v>243110775800</x:v>
      </x:c>
      <x:c r="L1438" s="55" t="n">
        <x:v>14052646</x:v>
      </x:c>
      <x:c r="M1438" t="str">
        <x:v>20220315001251</x:v>
      </x:c>
      <x:c r="N1438" t="n">
        <x:v>44635.624999988424</x:v>
      </x:c>
      <x:c r="O1438" s="54" t="n">
        <x:v>44561</x:v>
      </x:c>
      <x:c r="P1438" t="str">
        <x:v>False</x:v>
      </x:c>
      <x:c r="Q1438" t="str">
        <x:v>0ef7bdc2b69cc7308dfffeeae10d7ff81e874f024016366d07d7bf5e6a5733a9</x:v>
      </x:c>
      <x:c r="R1438" t="str">
        <x:v>f3fed0f2b8f0b5e45a61eebe2665ed1a3e1e29b033817c4db2f8095fa5398038</x:v>
      </x:c>
      <x:c r="S1438" t="n">
        <x:v>7</x:v>
      </x:c>
      <x:c r="T1438" t="str">
        <x:v>2018-12-31|2019-12-31|2020-12-31|2021-12-31</x:v>
      </x:c>
      <x:c r="U1438" s="57" t="n">
        <x:v>7574.5375060645765</x:v>
      </x:c>
      <x:c r="V1438" s="57" t="n">
        <x:v>-0.5621654620771921</x:v>
      </x:c>
      <x:c r="W1438" t="n">
        <x:v>47</x:v>
      </x:c>
      <x:c r="X1438" t="n">
        <x:v>4</x:v>
      </x:c>
      <x:c r="Y1438" s="38" t="n">
        <x:v>0.6409090909090909</x:v>
      </x:c>
      <x:c r="Z1438" s="38" t="n">
        <x:v>0.7841782203292177</x:v>
      </x:c>
      <x:c r="AA1438"/>
    </x:row>
    <x:row r="1439">
      <x:c r="A1439" s="54" t="n">
        <x:v>44742</x:v>
      </x:c>
      <x:c r="B1439" t="n">
        <x:v>44742.624999988424</x:v>
      </x:c>
      <x:c r="C1439" t="str">
        <x:v>001750</x:v>
      </x:c>
      <x:c r="D1439" t="str">
        <x:v>한양증권</x:v>
      </x:c>
      <x:c r="E1439" t="str">
        <x:v>KOSPI</x:v>
      </x:c>
      <x:c r="F1439" t="str">
        <x:v>MID</x:v>
      </x:c>
      <x:c r="G1439" t="str">
        <x:v>EXCLUDED_ARCHETYPE</x:v>
      </x:c>
      <x:c r="H1439" t="str">
        <x:v>FCFF_NOT_COMPARABLE_FOR_FINANCE_OR_HOLDING_HINT</x:v>
      </x:c>
      <x:c r="I1439" s="54"/>
      <x:c r="J1439" s="55"/>
      <x:c r="K1439" s="55"/>
      <x:c r="L1439" s="55"/>
      <x:c r="M1439"/>
      <x:c r="N1439"/>
      <x:c r="O1439" s="54"/>
      <x:c r="P1439"/>
      <x:c r="Q1439"/>
      <x:c r="R1439"/>
      <x:c r="S1439"/>
      <x:c r="T1439"/>
      <x:c r="U1439" s="57"/>
      <x:c r="V1439" s="57"/>
      <x:c r="W1439"/>
      <x:c r="X1439"/>
      <x:c r="Y1439" s="38"/>
      <x:c r="Z1439" s="38"/>
      <x:c r="AA1439"/>
    </x:row>
    <x:row r="1440">
      <x:c r="A1440" s="54" t="n">
        <x:v>44742</x:v>
      </x:c>
      <x:c r="B1440" t="n">
        <x:v>44742.624999988424</x:v>
      </x:c>
      <x:c r="C1440" t="str">
        <x:v>102460</x:v>
      </x:c>
      <x:c r="D1440" t="str">
        <x:v>이연제약</x:v>
      </x:c>
      <x:c r="E1440" t="str">
        <x:v>KOSPI</x:v>
      </x:c>
      <x:c r="F1440" t="str">
        <x:v>MID</x:v>
      </x:c>
      <x:c r="G1440" t="str">
        <x:v>ELIGIBLE</x:v>
      </x:c>
      <x:c r="H1440"/>
      <x:c r="I1440" s="54" t="n">
        <x:v>44742</x:v>
      </x:c>
      <x:c r="J1440" s="55" t="n">
        <x:v>22450</x:v>
      </x:c>
      <x:c r="K1440" s="55" t="n">
        <x:v>404068053650</x:v>
      </x:c>
      <x:c r="L1440" s="55" t="n">
        <x:v>17998577</x:v>
      </x:c>
      <x:c r="M1440" t="str">
        <x:v>20220322000922</x:v>
      </x:c>
      <x:c r="N1440" t="n">
        <x:v>44642.624999988424</x:v>
      </x:c>
      <x:c r="O1440" s="54" t="n">
        <x:v>44561</x:v>
      </x:c>
      <x:c r="P1440" t="str">
        <x:v>False</x:v>
      </x:c>
      <x:c r="Q1440" t="str">
        <x:v>b45ea7a82754f8f5b4af4a81987f009a90ea14f20b45b9194a834b785983ef7c</x:v>
      </x:c>
      <x:c r="R1440" t="str">
        <x:v>6700a022cf30d3ef006448b0f2c3129224598050b6ec6f44f22905556baddd71</x:v>
      </x:c>
      <x:c r="S1440" t="n">
        <x:v>4</x:v>
      </x:c>
      <x:c r="T1440" t="str">
        <x:v>2018-12-31|2019-12-31|2020-12-31|2021-12-31</x:v>
      </x:c>
      <x:c r="U1440" s="57" t="n">
        <x:v>4614.415679788735</x:v>
      </x:c>
      <x:c r="V1440" s="57" t="n">
        <x:v>-0.7944580988958247</x:v>
      </x:c>
      <x:c r="W1440" t="n">
        <x:v>57</x:v>
      </x:c>
      <x:c r="X1440" t="n">
        <x:v>5</x:v>
      </x:c>
      <x:c r="Y1440" s="38" t="n">
        <x:v>0.6409090909090909</x:v>
      </x:c>
      <x:c r="Z1440" s="38" t="n">
        <x:v>0.8011386169947403</x:v>
      </x:c>
      <x:c r="AA1440"/>
    </x:row>
    <x:row r="1441">
      <x:c r="A1441" s="54" t="n">
        <x:v>44742</x:v>
      </x:c>
      <x:c r="B1441" t="n">
        <x:v>44742.624999988424</x:v>
      </x:c>
      <x:c r="C1441" t="str">
        <x:v>053690</x:v>
      </x:c>
      <x:c r="D1441" t="str">
        <x:v>한미글로벌</x:v>
      </x:c>
      <x:c r="E1441" t="str">
        <x:v>KOSPI</x:v>
      </x:c>
      <x:c r="F1441" t="str">
        <x:v>MID</x:v>
      </x:c>
      <x:c r="G1441" t="str">
        <x:v>ELIGIBLE</x:v>
      </x:c>
      <x:c r="H1441"/>
      <x:c r="I1441" s="54" t="n">
        <x:v>44742</x:v>
      </x:c>
      <x:c r="J1441" s="55" t="n">
        <x:v>11800</x:v>
      </x:c>
      <x:c r="K1441" s="55" t="n">
        <x:v>129299090000</x:v>
      </x:c>
      <x:c r="L1441" s="55" t="n">
        <x:v>10957550</x:v>
      </x:c>
      <x:c r="M1441" t="str">
        <x:v>20220316001319</x:v>
      </x:c>
      <x:c r="N1441" t="n">
        <x:v>44636.624999988424</x:v>
      </x:c>
      <x:c r="O1441" s="54" t="n">
        <x:v>44561</x:v>
      </x:c>
      <x:c r="P1441" t="str">
        <x:v>False</x:v>
      </x:c>
      <x:c r="Q1441" t="str">
        <x:v>ab189e9c43818e1e4ebb16bb8d84046ee7babbf2d29f0fd94544f2ab5fe397f9</x:v>
      </x:c>
      <x:c r="R1441" t="str">
        <x:v>02ac55b27184ff05039f39afcd7480d2809b52d8c53d309b1261c14f0028ca5e</x:v>
      </x:c>
      <x:c r="S1441" t="n">
        <x:v>6</x:v>
      </x:c>
      <x:c r="T1441" t="str">
        <x:v>2018-12-31|2019-12-31|2020-12-31|2021-12-31</x:v>
      </x:c>
      <x:c r="U1441" s="57" t="n">
        <x:v>19774.17782610372</x:v>
      </x:c>
      <x:c r="V1441" s="57" t="n">
        <x:v>0.6757777818731968</x:v>
      </x:c>
      <x:c r="W1441" t="n">
        <x:v>10</x:v>
      </x:c>
      <x:c r="X1441" t="n">
        <x:v>1</x:v>
      </x:c>
      <x:c r="Y1441" s="38" t="n">
        <x:v>0.6409090909090909</x:v>
      </x:c>
      <x:c r="Z1441" s="38" t="n">
        <x:v>0.6833165297703682</x:v>
      </x:c>
      <x:c r="AA1441"/>
    </x:row>
    <x:row r="1442">
      <x:c r="A1442" s="54" t="n">
        <x:v>44742</x:v>
      </x:c>
      <x:c r="B1442" t="n">
        <x:v>44742.624999988424</x:v>
      </x:c>
      <x:c r="C1442" t="str">
        <x:v>213500</x:v>
      </x:c>
      <x:c r="D1442" t="str">
        <x:v>한솔제지</x:v>
      </x:c>
      <x:c r="E1442" t="str">
        <x:v>KOSPI</x:v>
      </x:c>
      <x:c r="F1442" t="str">
        <x:v>MID</x:v>
      </x:c>
      <x:c r="G1442" t="str">
        <x:v>ELIGIBLE</x:v>
      </x:c>
      <x:c r="H1442"/>
      <x:c r="I1442" s="54" t="n">
        <x:v>44742</x:v>
      </x:c>
      <x:c r="J1442" s="55" t="n">
        <x:v>12550</x:v>
      </x:c>
      <x:c r="K1442" s="55" t="n">
        <x:v>298697228800</x:v>
      </x:c>
      <x:c r="L1442" s="55" t="n">
        <x:v>23800576</x:v>
      </x:c>
      <x:c r="M1442" t="str">
        <x:v>20220315001234</x:v>
      </x:c>
      <x:c r="N1442" t="n">
        <x:v>44635.624999988424</x:v>
      </x:c>
      <x:c r="O1442" s="54" t="n">
        <x:v>44561</x:v>
      </x:c>
      <x:c r="P1442" t="str">
        <x:v>False</x:v>
      </x:c>
      <x:c r="Q1442" t="str">
        <x:v>afe287d5f0f93c98221a065a8ee480258d597b2bf6acca15421809ee674ef84a</x:v>
      </x:c>
      <x:c r="R1442" t="str">
        <x:v>26e87a2c105e49e33d901563ab4a31b95d090c9f5281b76e2311feb43f9e138a</x:v>
      </x:c>
      <x:c r="S1442" t="n">
        <x:v>6</x:v>
      </x:c>
      <x:c r="T1442" t="str">
        <x:v>2018-12-31|2019-12-31|2020-12-31|2021-12-31</x:v>
      </x:c>
      <x:c r="U1442" s="57" t="n">
        <x:v>13574.502606796379</x:v>
      </x:c>
      <x:c r="V1442" s="57" t="n">
        <x:v>0.081633673848317</x:v>
      </x:c>
      <x:c r="W1442" t="n">
        <x:v>21</x:v>
      </x:c>
      <x:c r="X1442" t="n">
        <x:v>2</x:v>
      </x:c>
      <x:c r="Y1442" s="38" t="n">
        <x:v>0.6409090909090909</x:v>
      </x:c>
      <x:c r="Z1442" s="38" t="n">
        <x:v>0.7791505392550995</x:v>
      </x:c>
      <x:c r="AA1442"/>
    </x:row>
    <x:row r="1443">
      <x:c r="A1443" s="54" t="n">
        <x:v>44742</x:v>
      </x:c>
      <x:c r="B1443" t="n">
        <x:v>44742.624999988424</x:v>
      </x:c>
      <x:c r="C1443" t="str">
        <x:v>005430</x:v>
      </x:c>
      <x:c r="D1443" t="str">
        <x:v>한국공항</x:v>
      </x:c>
      <x:c r="E1443" t="str">
        <x:v>KOSPI</x:v>
      </x:c>
      <x:c r="F1443" t="str">
        <x:v>MID</x:v>
      </x:c>
      <x:c r="G1443" t="str">
        <x:v>ELIGIBLE</x:v>
      </x:c>
      <x:c r="H1443"/>
      <x:c r="I1443" s="54" t="n">
        <x:v>44742</x:v>
      </x:c>
      <x:c r="J1443" s="55" t="n">
        <x:v>38500</x:v>
      </x:c>
      <x:c r="K1443" s="55" t="n">
        <x:v>121904667500</x:v>
      </x:c>
      <x:c r="L1443" s="55" t="n">
        <x:v>3166355</x:v>
      </x:c>
      <x:c r="M1443" t="str">
        <x:v>20220315001111</x:v>
      </x:c>
      <x:c r="N1443" t="n">
        <x:v>44635.624999988424</x:v>
      </x:c>
      <x:c r="O1443" s="54" t="n">
        <x:v>44561</x:v>
      </x:c>
      <x:c r="P1443" t="str">
        <x:v>False</x:v>
      </x:c>
      <x:c r="Q1443" t="str">
        <x:v>eddd391d8ced6decbf06d7a0a762609a13efea282c2a696d1b028890b1c580f1</x:v>
      </x:c>
      <x:c r="R1443" t="str">
        <x:v>52627e6dde84c85b4630d13366475d7c946cc072f50d725aea58844899cd5c84</x:v>
      </x:c>
      <x:c r="S1443" t="n">
        <x:v>7</x:v>
      </x:c>
      <x:c r="T1443" t="str">
        <x:v>2018-12-31|2019-12-31|2020-12-31|2021-12-31</x:v>
      </x:c>
      <x:c r="U1443" s="57" t="n">
        <x:v>58170.54373799912</x:v>
      </x:c>
      <x:c r="V1443" s="57" t="n">
        <x:v>0.5109232139740032</x:v>
      </x:c>
      <x:c r="W1443" t="n">
        <x:v>12</x:v>
      </x:c>
      <x:c r="X1443" t="n">
        <x:v>1</x:v>
      </x:c>
      <x:c r="Y1443" s="38" t="n">
        <x:v>0.6409090909090909</x:v>
      </x:c>
      <x:c r="Z1443" s="38" t="n">
        <x:v>0.7506799838267476</x:v>
      </x:c>
      <x:c r="AA1443"/>
    </x:row>
    <x:row r="1444">
      <x:c r="A1444" s="54" t="n">
        <x:v>44742</x:v>
      </x:c>
      <x:c r="B1444" t="n">
        <x:v>44742.624999988424</x:v>
      </x:c>
      <x:c r="C1444" t="str">
        <x:v>003460</x:v>
      </x:c>
      <x:c r="D1444" t="str">
        <x:v>유화증권</x:v>
      </x:c>
      <x:c r="E1444" t="str">
        <x:v>KOSPI</x:v>
      </x:c>
      <x:c r="F1444" t="str">
        <x:v>MID</x:v>
      </x:c>
      <x:c r="G1444" t="str">
        <x:v>EXCLUDED_ARCHETYPE</x:v>
      </x:c>
      <x:c r="H1444" t="str">
        <x:v>FCFF_NOT_COMPARABLE_FOR_FINANCE_OR_HOLDING_HINT</x:v>
      </x:c>
      <x:c r="I1444" s="54"/>
      <x:c r="J1444" s="55"/>
      <x:c r="K1444" s="55"/>
      <x:c r="L1444" s="55"/>
      <x:c r="M1444"/>
      <x:c r="N1444"/>
      <x:c r="O1444" s="54"/>
      <x:c r="P1444"/>
      <x:c r="Q1444"/>
      <x:c r="R1444"/>
      <x:c r="S1444"/>
      <x:c r="T1444"/>
      <x:c r="U1444" s="57"/>
      <x:c r="V1444" s="57"/>
      <x:c r="W1444"/>
      <x:c r="X1444"/>
      <x:c r="Y1444" s="38"/>
      <x:c r="Z1444" s="38"/>
      <x:c r="AA1444"/>
    </x:row>
    <x:row r="1445">
      <x:c r="A1445" s="54" t="n">
        <x:v>44742</x:v>
      </x:c>
      <x:c r="B1445" t="n">
        <x:v>44742.624999988424</x:v>
      </x:c>
      <x:c r="C1445" t="str">
        <x:v>004140</x:v>
      </x:c>
      <x:c r="D1445" t="str">
        <x:v>동방</x:v>
      </x:c>
      <x:c r="E1445" t="str">
        <x:v>KOSPI</x:v>
      </x:c>
      <x:c r="F1445" t="str">
        <x:v>MID</x:v>
      </x:c>
      <x:c r="G1445" t="str">
        <x:v>DCF_SCREENING_EXCLUSION</x:v>
      </x:c>
      <x:c r="H1445" t="str">
        <x:v>NON_POSITIVE_EQUITY_VALUE</x:v>
      </x:c>
      <x:c r="I1445" s="54" t="n">
        <x:v>44742</x:v>
      </x:c>
      <x:c r="J1445" s="55" t="n">
        <x:v>2695</x:v>
      </x:c>
      <x:c r="K1445" s="55" t="n">
        <x:v>129283909370</x:v>
      </x:c>
      <x:c r="L1445" s="55" t="n">
        <x:v>47971766</x:v>
      </x:c>
      <x:c r="M1445" t="str">
        <x:v>20220317001208</x:v>
      </x:c>
      <x:c r="N1445" t="n">
        <x:v>44637.624999988424</x:v>
      </x:c>
      <x:c r="O1445" s="54" t="n">
        <x:v>44561</x:v>
      </x:c>
      <x:c r="P1445" t="str">
        <x:v>False</x:v>
      </x:c>
      <x:c r="Q1445" t="str">
        <x:v>2ec7a4ce6f35bcabe04e9598c56e6c3f76c37f5ae200fe83edf6c256370a53fd</x:v>
      </x:c>
      <x:c r="R1445" t="str">
        <x:v>6a2d823b0bb72c5e2c0fba1c34fc411907f242e79c4a3b7d04e72ad6aaa4e39f</x:v>
      </x:c>
      <x:c r="S1445" t="n">
        <x:v>7</x:v>
      </x:c>
      <x:c r="T1445" t="str">
        <x:v>2013-12-31|2014-12-31|2015-12-31|2016-12-31|2018-12-31|2019-12-31|2020-12-31|2021-12-31</x:v>
      </x:c>
      <x:c r="U1445" s="57" t="n">
        <x:v>-1069.8647959827435</x:v>
      </x:c>
      <x:c r="V1445" s="57" t="n">
        <x:v>-1.3969813714221684</x:v>
      </x:c>
      <x:c r="W1445"/>
      <x:c r="X1445"/>
      <x:c r="Y1445" s="38" t="n">
        <x:v>0.6409090909090909</x:v>
      </x:c>
      <x:c r="Z1445" s="38" t="n">
        <x:v>0.27600380609333103</x:v>
      </x:c>
      <x:c r="AA1445" t="str">
        <x:v>NON_POSITIVE_EQUITY_VALUE</x:v>
      </x:c>
    </x:row>
    <x:row r="1446">
      <x:c r="A1446" s="54" t="n">
        <x:v>44742</x:v>
      </x:c>
      <x:c r="B1446" t="n">
        <x:v>44742.624999988424</x:v>
      </x:c>
      <x:c r="C1446" t="str">
        <x:v>317400</x:v>
      </x:c>
      <x:c r="D1446" t="str">
        <x:v>자이에스앤디</x:v>
      </x:c>
      <x:c r="E1446" t="str">
        <x:v>KOSPI</x:v>
      </x:c>
      <x:c r="F1446" t="str">
        <x:v>MID</x:v>
      </x:c>
      <x:c r="G1446" t="str">
        <x:v>ELIGIBLE</x:v>
      </x:c>
      <x:c r="H1446"/>
      <x:c r="I1446" s="54" t="n">
        <x:v>44742</x:v>
      </x:c>
      <x:c r="J1446" s="55" t="n">
        <x:v>6030</x:v>
      </x:c>
      <x:c r="K1446" s="55" t="n">
        <x:v>233858595600</x:v>
      </x:c>
      <x:c r="L1446" s="55" t="n">
        <x:v>38782520</x:v>
      </x:c>
      <x:c r="M1446" t="str">
        <x:v>20220317000700</x:v>
      </x:c>
      <x:c r="N1446" t="n">
        <x:v>44637.624999988424</x:v>
      </x:c>
      <x:c r="O1446" s="54" t="n">
        <x:v>44561</x:v>
      </x:c>
      <x:c r="P1446" t="str">
        <x:v>False</x:v>
      </x:c>
      <x:c r="Q1446" t="str">
        <x:v>226f68c6aa1b8d3f2ad5797c8d3b9c3b02a0a9d504d6ab33130b732a81b0ebde</x:v>
      </x:c>
      <x:c r="R1446" t="str">
        <x:v>68c8d85b8d9adc107395a6cdf5d68e3f46a1acd9f85d12e905760e44056e2ef0</x:v>
      </x:c>
      <x:c r="S1446" t="n">
        <x:v>6</x:v>
      </x:c>
      <x:c r="T1446" t="str">
        <x:v>2019-12-31|2020-12-31|2021-12-31</x:v>
      </x:c>
      <x:c r="U1446" s="57" t="n">
        <x:v>12746.103573389322</x:v>
      </x:c>
      <x:c r="V1446" s="57" t="n">
        <x:v>1.1137816871292407</x:v>
      </x:c>
      <x:c r="W1446" t="n">
        <x:v>8</x:v>
      </x:c>
      <x:c r="X1446" t="n">
        <x:v>1</x:v>
      </x:c>
      <x:c r="Y1446" s="38" t="n">
        <x:v>0.6409090909090909</x:v>
      </x:c>
      <x:c r="Z1446" s="38" t="n">
        <x:v>0.6401924820596153</x:v>
      </x:c>
      <x:c r="AA1446"/>
    </x:row>
    <x:row r="1447">
      <x:c r="A1447" s="54" t="n">
        <x:v>44742</x:v>
      </x:c>
      <x:c r="B1447" t="n">
        <x:v>44742.624999988424</x:v>
      </x:c>
      <x:c r="C1447" t="str">
        <x:v>077500</x:v>
      </x:c>
      <x:c r="D1447" t="str">
        <x:v>유니퀘스트</x:v>
      </x:c>
      <x:c r="E1447" t="str">
        <x:v>KOSPI</x:v>
      </x:c>
      <x:c r="F1447" t="str">
        <x:v>MID</x:v>
      </x:c>
      <x:c r="G1447" t="str">
        <x:v>ELIGIBLE</x:v>
      </x:c>
      <x:c r="H1447"/>
      <x:c r="I1447" s="54" t="n">
        <x:v>44742</x:v>
      </x:c>
      <x:c r="J1447" s="55" t="n">
        <x:v>8970</x:v>
      </x:c>
      <x:c r="K1447" s="55" t="n">
        <x:v>245266485750</x:v>
      </x:c>
      <x:c r="L1447" s="55" t="n">
        <x:v>27342975</x:v>
      </x:c>
      <x:c r="M1447" t="str">
        <x:v>20220317000373</x:v>
      </x:c>
      <x:c r="N1447" t="n">
        <x:v>44637.624999988424</x:v>
      </x:c>
      <x:c r="O1447" s="54" t="n">
        <x:v>44561</x:v>
      </x:c>
      <x:c r="P1447" t="str">
        <x:v>False</x:v>
      </x:c>
      <x:c r="Q1447" t="str">
        <x:v>210a8f5e5d5697c53bf6c4a8a660c872a2ae67e91d5750be078b7007a90af8b2</x:v>
      </x:c>
      <x:c r="R1447" t="str">
        <x:v>5e1a5480a4c2e1658cee90ab36c955f78b5cb3446e3a3df99144669848292c6c</x:v>
      </x:c>
      <x:c r="S1447" t="n">
        <x:v>6</x:v>
      </x:c>
      <x:c r="T1447" t="str">
        <x:v>2011-12-31|2012-12-31|2013-12-31|2014-12-31|2015-12-31|2016-12-31|2017-12-31|2018-12-31|2019-12-31|2020-12-31|2021-12-31</x:v>
      </x:c>
      <x:c r="U1447" s="57" t="n">
        <x:v>5737.976499568611</x:v>
      </x:c>
      <x:c r="V1447" s="57" t="n">
        <x:v>-0.3603147715085161</x:v>
      </x:c>
      <x:c r="W1447" t="n">
        <x:v>35</x:v>
      </x:c>
      <x:c r="X1447" t="n">
        <x:v>3</x:v>
      </x:c>
      <x:c r="Y1447" s="38" t="n">
        <x:v>0.6409090909090909</x:v>
      </x:c>
      <x:c r="Z1447" s="38" t="n">
        <x:v>0.6400227791268169</x:v>
      </x:c>
      <x:c r="AA1447"/>
    </x:row>
    <x:row r="1448">
      <x:c r="A1448" s="54" t="n">
        <x:v>44742</x:v>
      </x:c>
      <x:c r="B1448" t="n">
        <x:v>44742.624999988424</x:v>
      </x:c>
      <x:c r="C1448" t="str">
        <x:v>012800</x:v>
      </x:c>
      <x:c r="D1448" t="str">
        <x:v>대창</x:v>
      </x:c>
      <x:c r="E1448" t="str">
        <x:v>KOSPI</x:v>
      </x:c>
      <x:c r="F1448" t="str">
        <x:v>MID</x:v>
      </x:c>
      <x:c r="G1448" t="str">
        <x:v>DCF_SCREENING_EXCLUSION</x:v>
      </x:c>
      <x:c r="H1448" t="str">
        <x:v>NON_POSITIVE_EQUITY_VALUE</x:v>
      </x:c>
      <x:c r="I1448" s="54" t="n">
        <x:v>44742</x:v>
      </x:c>
      <x:c r="J1448" s="55" t="n">
        <x:v>1380</x:v>
      </x:c>
      <x:c r="K1448" s="55" t="n">
        <x:v>125773888620</x:v>
      </x:c>
      <x:c r="L1448" s="55" t="n">
        <x:v>91140499</x:v>
      </x:c>
      <x:c r="M1448" t="str">
        <x:v>20220322000499</x:v>
      </x:c>
      <x:c r="N1448" t="n">
        <x:v>44642.624999988424</x:v>
      </x:c>
      <x:c r="O1448" s="54" t="n">
        <x:v>44561</x:v>
      </x:c>
      <x:c r="P1448" t="str">
        <x:v>False</x:v>
      </x:c>
      <x:c r="Q1448" t="str">
        <x:v>4b5d8bf4f702613c1e649a2a157096e03b3185abe22447fd66c1415e31c2a6d8</x:v>
      </x:c>
      <x:c r="R1448" t="str">
        <x:v>741796de1fea00e082c57e998dafac41ec18c097ca0506df49a34431f1aff24f</x:v>
      </x:c>
      <x:c r="S1448" t="n">
        <x:v>6</x:v>
      </x:c>
      <x:c r="T1448" t="str">
        <x:v>2018-12-31|2019-12-31|2020-12-31|2021-12-31</x:v>
      </x:c>
      <x:c r="U1448" s="57" t="n">
        <x:v>-259.90853479790894</x:v>
      </x:c>
      <x:c r="V1448" s="57" t="n">
        <x:v>-1.1883395179694993</x:v>
      </x:c>
      <x:c r="W1448"/>
      <x:c r="X1448"/>
      <x:c r="Y1448" s="38" t="n">
        <x:v>0.6409090909090909</x:v>
      </x:c>
      <x:c r="Z1448" s="38" t="n">
        <x:v>0.5511862681987276</x:v>
      </x:c>
      <x:c r="AA1448" t="str">
        <x:v>NON_POSITIVE_EQUITY_VALUE</x:v>
      </x:c>
    </x:row>
    <x:row r="1449">
      <x:c r="A1449" s="54" t="n">
        <x:v>44742</x:v>
      </x:c>
      <x:c r="B1449" t="n">
        <x:v>44742.624999988424</x:v>
      </x:c>
      <x:c r="C1449" t="str">
        <x:v>063160</x:v>
      </x:c>
      <x:c r="D1449" t="str">
        <x:v>종근당바이오</x:v>
      </x:c>
      <x:c r="E1449" t="str">
        <x:v>KOSPI</x:v>
      </x:c>
      <x:c r="F1449" t="str">
        <x:v>MID</x:v>
      </x:c>
      <x:c r="G1449" t="str">
        <x:v>DCF_SCREENING_EXCLUSION</x:v>
      </x:c>
      <x:c r="H1449" t="str">
        <x:v>NON_POSITIVE_ENTERPRISE_VALUE|NON_POSITIVE_EQUITY_VALUE|NON_POSITIVE_TERMINAL_FCF</x:v>
      </x:c>
      <x:c r="I1449" s="54" t="n">
        <x:v>44742</x:v>
      </x:c>
      <x:c r="J1449" s="55" t="n">
        <x:v>27600</x:v>
      </x:c>
      <x:c r="K1449" s="55" t="n">
        <x:v>151412551200</x:v>
      </x:c>
      <x:c r="L1449" s="55" t="n">
        <x:v>5485962</x:v>
      </x:c>
      <x:c r="M1449" t="str">
        <x:v>20220317000204</x:v>
      </x:c>
      <x:c r="N1449" t="n">
        <x:v>44637.624999988424</x:v>
      </x:c>
      <x:c r="O1449" s="54" t="n">
        <x:v>44561</x:v>
      </x:c>
      <x:c r="P1449" t="str">
        <x:v>False</x:v>
      </x:c>
      <x:c r="Q1449" t="str">
        <x:v>7dbafeb68bb26a75a078a298a4527a6155a3315721f924f523f7000faa18d6cc</x:v>
      </x:c>
      <x:c r="R1449" t="str">
        <x:v>bb8086828333cb453e40bfc3e0dc0a959bee118a213721442a2a260fe54a337f</x:v>
      </x:c>
      <x:c r="S1449" t="n">
        <x:v>6</x:v>
      </x:c>
      <x:c r="T1449" t="str">
        <x:v>2018-12-31|2019-12-31|2020-12-31|2021-12-31</x:v>
      </x:c>
      <x:c r="U1449" s="57" t="n">
        <x:v>-13995.88727853284</x:v>
      </x:c>
      <x:c r="V1449" s="57" t="n">
        <x:v>-1.5070973651642334</x:v>
      </x:c>
      <x:c r="W1449"/>
      <x:c r="X1449"/>
      <x:c r="Y1449" s="38" t="n">
        <x:v>0.6409090909090909</x:v>
      </x:c>
      <x:c r="Z1449" s="38" t="n">
        <x:v>0.1680586412084802</x:v>
      </x:c>
      <x:c r="AA1449" t="str">
        <x:v>NON_POSITIVE_ENTERPRISE_VALUE|NON_POSITIVE_EQUITY_VALUE|NON_POSITIVE_TERMINAL_FCF</x:v>
      </x:c>
    </x:row>
    <x:row r="1450">
      <x:c r="A1450" s="54" t="n">
        <x:v>44742</x:v>
      </x:c>
      <x:c r="B1450" t="n">
        <x:v>44742.624999988424</x:v>
      </x:c>
      <x:c r="C1450" t="str">
        <x:v>013570</x:v>
      </x:c>
      <x:c r="D1450" t="str">
        <x:v>디와이</x:v>
      </x:c>
      <x:c r="E1450" t="str">
        <x:v>KOSPI</x:v>
      </x:c>
      <x:c r="F1450" t="str">
        <x:v>MID</x:v>
      </x:c>
      <x:c r="G1450" t="str">
        <x:v>ELIGIBLE</x:v>
      </x:c>
      <x:c r="H1450"/>
      <x:c r="I1450" s="54" t="n">
        <x:v>44742</x:v>
      </x:c>
      <x:c r="J1450" s="55" t="n">
        <x:v>6850</x:v>
      </x:c>
      <x:c r="K1450" s="55" t="n">
        <x:v>180289486050</x:v>
      </x:c>
      <x:c r="L1450" s="55" t="n">
        <x:v>26319633</x:v>
      </x:c>
      <x:c r="M1450" t="str">
        <x:v>20220316000565</x:v>
      </x:c>
      <x:c r="N1450" t="n">
        <x:v>44636.624999988424</x:v>
      </x:c>
      <x:c r="O1450" s="54" t="n">
        <x:v>44561</x:v>
      </x:c>
      <x:c r="P1450" t="str">
        <x:v>False</x:v>
      </x:c>
      <x:c r="Q1450" t="str">
        <x:v>bc0483c8afae055bed93059d24ec68d80da6c133c8bdd50000c20e0e83e7f8bf</x:v>
      </x:c>
      <x:c r="R1450" t="str">
        <x:v>74a2c3deb7f5611d74289606a3fe2a600f496dc6706f1e7a0439d844fb334ae2</x:v>
      </x:c>
      <x:c r="S1450" t="n">
        <x:v>6</x:v>
      </x:c>
      <x:c r="T1450" t="str">
        <x:v>2018-12-31|2019-12-31|2020-12-31|2021-12-31</x:v>
      </x:c>
      <x:c r="U1450" s="57" t="n">
        <x:v>8272.677688519547</x:v>
      </x:c>
      <x:c r="V1450" s="57" t="n">
        <x:v>0.20769017350650326</x:v>
      </x:c>
      <x:c r="W1450" t="n">
        <x:v>17</x:v>
      </x:c>
      <x:c r="X1450" t="n">
        <x:v>2</x:v>
      </x:c>
      <x:c r="Y1450" s="38" t="n">
        <x:v>0.6409090909090909</x:v>
      </x:c>
      <x:c r="Z1450" s="38" t="n">
        <x:v>0.6060132143974482</x:v>
      </x:c>
      <x:c r="AA1450"/>
    </x:row>
    <x:row r="1451">
      <x:c r="A1451" s="54" t="n">
        <x:v>44742</x:v>
      </x:c>
      <x:c r="B1451" t="n">
        <x:v>44742.624999988424</x:v>
      </x:c>
      <x:c r="C1451" t="str">
        <x:v>227840</x:v>
      </x:c>
      <x:c r="D1451" t="str">
        <x:v>현대코퍼레이션홀딩스</x:v>
      </x:c>
      <x:c r="E1451" t="str">
        <x:v>KOSPI</x:v>
      </x:c>
      <x:c r="F1451" t="str">
        <x:v>MID</x:v>
      </x:c>
      <x:c r="G1451" t="str">
        <x:v>EXCLUDED_ARCHETYPE</x:v>
      </x:c>
      <x:c r="H1451" t="str">
        <x:v>FCFF_NOT_COMPARABLE_FOR_FINANCE_OR_HOLDING_HINT</x:v>
      </x:c>
      <x:c r="I1451" s="54"/>
      <x:c r="J1451" s="55"/>
      <x:c r="K1451" s="55"/>
      <x:c r="L1451" s="55"/>
      <x:c r="M1451"/>
      <x:c r="N1451"/>
      <x:c r="O1451" s="54"/>
      <x:c r="P1451"/>
      <x:c r="Q1451"/>
      <x:c r="R1451"/>
      <x:c r="S1451"/>
      <x:c r="T1451"/>
      <x:c r="U1451" s="57"/>
      <x:c r="V1451" s="57"/>
      <x:c r="W1451"/>
      <x:c r="X1451"/>
      <x:c r="Y1451" s="38"/>
      <x:c r="Z1451" s="38"/>
      <x:c r="AA1451"/>
    </x:row>
    <x:row r="1452">
      <x:c r="A1452" s="54" t="n">
        <x:v>44742</x:v>
      </x:c>
      <x:c r="B1452" t="n">
        <x:v>44742.624999988424</x:v>
      </x:c>
      <x:c r="C1452" t="str">
        <x:v>247540</x:v>
      </x:c>
      <x:c r="D1452" t="str">
        <x:v>에코프로비엠</x:v>
      </x:c>
      <x:c r="E1452" t="str">
        <x:v>KOSDAQ</x:v>
      </x:c>
      <x:c r="F1452" t="str">
        <x:v>LARGE</x:v>
      </x:c>
      <x:c r="G1452" t="str">
        <x:v>DCF_SCREENING_EXCLUSION</x:v>
      </x:c>
      <x:c r="H1452" t="str">
        <x:v>NON_POSITIVE_EQUITY_VALUE|UNRELIABLE_TERMINAL_VALUE_SHARE</x:v>
      </x:c>
      <x:c r="I1452" s="54" t="n">
        <x:v>44742</x:v>
      </x:c>
      <x:c r="J1452" s="55" t="n">
        <x:v>113500</x:v>
      </x:c>
      <x:c r="K1452" s="55" t="n">
        <x:v>2601359391000</x:v>
      </x:c>
      <x:c r="L1452" s="55" t="n">
        <x:v>22919466</x:v>
      </x:c>
      <x:c r="M1452" t="str">
        <x:v>20220321001523</x:v>
      </x:c>
      <x:c r="N1452" t="n">
        <x:v>44641.624999988424</x:v>
      </x:c>
      <x:c r="O1452" s="54" t="n">
        <x:v>44561</x:v>
      </x:c>
      <x:c r="P1452" t="str">
        <x:v>False</x:v>
      </x:c>
      <x:c r="Q1452" t="str">
        <x:v>cbc91e0ba83b283028e5f5e5e3e7a50ae5602f35d2cca94cdd6ec5c547e0804e</x:v>
      </x:c>
      <x:c r="R1452" t="str">
        <x:v>350f169b8fc77369ffdf00edf5ba19785da465fb26fc9f8f7eab14f69a37cb9e</x:v>
      </x:c>
      <x:c r="S1452" t="n">
        <x:v>5</x:v>
      </x:c>
      <x:c r="T1452" t="str">
        <x:v>2018-12-31|2019-12-31|2020-12-31|2021-12-31</x:v>
      </x:c>
      <x:c r="U1452" s="57" t="n">
        <x:v>-5616.639310611734</x:v>
      </x:c>
      <x:c r="V1452" s="57" t="n">
        <x:v>-1.0494858089040682</x:v>
      </x:c>
      <x:c r="W1452"/>
      <x:c r="X1452"/>
      <x:c r="Y1452" s="38" t="n">
        <x:v>0.6409090909090909</x:v>
      </x:c>
      <x:c r="Z1452" s="38" t="n">
        <x:v>0.9384923696568169</x:v>
      </x:c>
      <x:c r="AA1452" t="str">
        <x:v>NON_POSITIVE_EQUITY_VALUE|UNRELIABLE_TERMINAL_VALUE_SHARE</x:v>
      </x:c>
    </x:row>
    <x:row r="1453">
      <x:c r="A1453" s="54" t="n">
        <x:v>44742</x:v>
      </x:c>
      <x:c r="B1453" t="n">
        <x:v>44742.624999988424</x:v>
      </x:c>
      <x:c r="C1453" t="str">
        <x:v>086520</x:v>
      </x:c>
      <x:c r="D1453" t="str">
        <x:v>에코프로</x:v>
      </x:c>
      <x:c r="E1453" t="str">
        <x:v>KOSDAQ</x:v>
      </x:c>
      <x:c r="F1453" t="str">
        <x:v>LARGE</x:v>
      </x:c>
      <x:c r="G1453" t="str">
        <x:v>DCF_SCREENING_EXCLUSION</x:v>
      </x:c>
      <x:c r="H1453" t="str">
        <x:v>UNRELIABLE_TERMINAL_VALUE_SHARE</x:v>
      </x:c>
      <x:c r="I1453" s="54" t="n">
        <x:v>44742</x:v>
      </x:c>
      <x:c r="J1453" s="55" t="n">
        <x:v>71600</x:v>
      </x:c>
      <x:c r="K1453" s="55" t="n">
        <x:v>1750682650000</x:v>
      </x:c>
      <x:c r="L1453" s="55" t="n">
        <x:v>24450875</x:v>
      </x:c>
      <x:c r="M1453" t="str">
        <x:v>20220323000932</x:v>
      </x:c>
      <x:c r="N1453" t="n">
        <x:v>44643.624999988424</x:v>
      </x:c>
      <x:c r="O1453" s="54" t="n">
        <x:v>44561</x:v>
      </x:c>
      <x:c r="P1453" t="str">
        <x:v>True</x:v>
      </x:c>
      <x:c r="Q1453" t="str">
        <x:v>8adc28c165c1572b07cf2b5c793cbfaa4c6d44199ae5527404703617eb878f41</x:v>
      </x:c>
      <x:c r="R1453" t="str">
        <x:v>985940aa2f06e6644941bb3525395cfb3167d3968304358edf4823452a801e4d</x:v>
      </x:c>
      <x:c r="S1453" t="n">
        <x:v>5</x:v>
      </x:c>
      <x:c r="T1453" t="str">
        <x:v>2018-12-31|2019-12-31|2020-12-31|2021-12-31</x:v>
      </x:c>
      <x:c r="U1453" s="57" t="n">
        <x:v>15426.148930614369</x:v>
      </x:c>
      <x:c r="V1453" s="57" t="n">
        <x:v>-0.7845509925891848</x:v>
      </x:c>
      <x:c r="W1453"/>
      <x:c r="X1453"/>
      <x:c r="Y1453" s="38" t="n">
        <x:v>0.6409090909090909</x:v>
      </x:c>
      <x:c r="Z1453" s="38" t="n">
        <x:v>2.075070518961312</x:v>
      </x:c>
      <x:c r="AA1453" t="str">
        <x:v>UNRELIABLE_TERMINAL_VALUE_SHARE</x:v>
      </x:c>
    </x:row>
    <x:row r="1454">
      <x:c r="A1454" s="54" t="n">
        <x:v>44742</x:v>
      </x:c>
      <x:c r="B1454" t="n">
        <x:v>44742.624999988424</x:v>
      </x:c>
      <x:c r="C1454" t="str">
        <x:v>214450</x:v>
      </x:c>
      <x:c r="D1454" t="str">
        <x:v>파마리서치</x:v>
      </x:c>
      <x:c r="E1454" t="str">
        <x:v>KOSDAQ</x:v>
      </x:c>
      <x:c r="F1454" t="str">
        <x:v>LARGE</x:v>
      </x:c>
      <x:c r="G1454" t="str">
        <x:v>ELIGIBLE</x:v>
      </x:c>
      <x:c r="H1454"/>
      <x:c r="I1454" s="54" t="n">
        <x:v>44742</x:v>
      </x:c>
      <x:c r="J1454" s="55" t="n">
        <x:v>67400</x:v>
      </x:c>
      <x:c r="K1454" s="55" t="n">
        <x:v>681544082000</x:v>
      </x:c>
      <x:c r="L1454" s="55" t="n">
        <x:v>10111930</x:v>
      </x:c>
      <x:c r="M1454" t="str">
        <x:v>20220317001307</x:v>
      </x:c>
      <x:c r="N1454" t="n">
        <x:v>44637.624999988424</x:v>
      </x:c>
      <x:c r="O1454" s="54" t="n">
        <x:v>44561</x:v>
      </x:c>
      <x:c r="P1454" t="str">
        <x:v>False</x:v>
      </x:c>
      <x:c r="Q1454" t="str">
        <x:v>8d6bae46fbfb31b6d128e6b9a8938ba814530b27c8f04e829cb262023d17b010</x:v>
      </x:c>
      <x:c r="R1454" t="str">
        <x:v>5effc880785d8f2e3d64e31643f34760bab7dc5fa0382dc758541ce74ae7ed40</x:v>
      </x:c>
      <x:c r="S1454" t="n">
        <x:v>6</x:v>
      </x:c>
      <x:c r="T1454" t="str">
        <x:v>2018-12-31|2019-12-31|2020-12-31|2021-12-31</x:v>
      </x:c>
      <x:c r="U1454" s="57" t="n">
        <x:v>45713.68277668952</x:v>
      </x:c>
      <x:c r="V1454" s="57" t="n">
        <x:v>-0.32175544841706943</x:v>
      </x:c>
      <x:c r="W1454" t="n">
        <x:v>33</x:v>
      </x:c>
      <x:c r="X1454" t="n">
        <x:v>3</x:v>
      </x:c>
      <x:c r="Y1454" s="38" t="n">
        <x:v>0.6409090909090909</x:v>
      </x:c>
      <x:c r="Z1454" s="38" t="n">
        <x:v>0.682474677265348</x:v>
      </x:c>
      <x:c r="AA1454"/>
    </x:row>
    <x:row r="1455">
      <x:c r="A1455" s="54" t="n">
        <x:v>44742</x:v>
      </x:c>
      <x:c r="B1455" t="n">
        <x:v>44742.624999988424</x:v>
      </x:c>
      <x:c r="C1455" t="str">
        <x:v>277810</x:v>
      </x:c>
      <x:c r="D1455" t="str">
        <x:v>레인보우로보틱스</x:v>
      </x:c>
      <x:c r="E1455" t="str">
        <x:v>KOSDAQ</x:v>
      </x:c>
      <x:c r="F1455" t="str">
        <x:v>LARGE</x:v>
      </x:c>
      <x:c r="G1455" t="str">
        <x:v>DCF_SCREENING_EXCLUSION</x:v>
      </x:c>
      <x:c r="H1455" t="str">
        <x:v>NON_POSITIVE_ENTERPRISE_VALUE|NON_POSITIVE_TERMINAL_FCF</x:v>
      </x:c>
      <x:c r="I1455" s="54" t="n">
        <x:v>44742</x:v>
      </x:c>
      <x:c r="J1455" s="55" t="n">
        <x:v>23200</x:v>
      </x:c>
      <x:c r="K1455" s="55" t="n">
        <x:v>374336964800</x:v>
      </x:c>
      <x:c r="L1455" s="55" t="n">
        <x:v>16135214</x:v>
      </x:c>
      <x:c r="M1455" t="str">
        <x:v>20220323000415</x:v>
      </x:c>
      <x:c r="N1455" t="n">
        <x:v>44643.624999988424</x:v>
      </x:c>
      <x:c r="O1455" s="54" t="n">
        <x:v>44561</x:v>
      </x:c>
      <x:c r="P1455" t="str">
        <x:v>False</x:v>
      </x:c>
      <x:c r="Q1455" t="str">
        <x:v>2256f4cbe30f0bf27f0505b5e4329833072712c67563a64c2bd2cbb0af612f14</x:v>
      </x:c>
      <x:c r="R1455" t="str">
        <x:v>e1a682af07c87f355dbbe79a6f3caf1188e3e4d7445cfb8d37dd813706b514ac</x:v>
      </x:c>
      <x:c r="S1455" t="n">
        <x:v>6</x:v>
      </x:c>
      <x:c r="T1455" t="str">
        <x:v>2020-12-31|2021-12-31</x:v>
      </x:c>
      <x:c r="U1455" s="57" t="n">
        <x:v>551.5976669407456</x:v>
      </x:c>
      <x:c r="V1455" s="57" t="n">
        <x:v>-0.9762242384939334</x:v>
      </x:c>
      <x:c r="W1455"/>
      <x:c r="X1455"/>
      <x:c r="Y1455" s="38" t="n">
        <x:v>0.6409090909090909</x:v>
      </x:c>
      <x:c r="Z1455" s="38" t="n">
        <x:v>0.7216980722373881</x:v>
      </x:c>
      <x:c r="AA1455" t="str">
        <x:v>NON_POSITIVE_ENTERPRISE_VALUE|NON_POSITIVE_TERMINAL_FCF</x:v>
      </x:c>
    </x:row>
    <x:row r="1456">
      <x:c r="A1456" s="54" t="n">
        <x:v>44742</x:v>
      </x:c>
      <x:c r="B1456" t="n">
        <x:v>44742.624999988424</x:v>
      </x:c>
      <x:c r="C1456" t="str">
        <x:v>310210</x:v>
      </x:c>
      <x:c r="D1456" t="str">
        <x:v>보로노이</x:v>
      </x:c>
      <x:c r="E1456" t="str">
        <x:v>KOSDAQ</x:v>
      </x:c>
      <x:c r="F1456" t="str">
        <x:v>LARGE</x:v>
      </x:c>
      <x:c r="G1456" t="str">
        <x:v>NO_PIT_FINANCIALS</x:v>
      </x:c>
      <x:c r="H1456"/>
      <x:c r="I1456" s="54" t="n">
        <x:v>44742</x:v>
      </x:c>
      <x:c r="J1456" s="55" t="n">
        <x:v>39550</x:v>
      </x:c>
      <x:c r="K1456" s="55" t="n">
        <x:v>499870432950</x:v>
      </x:c>
      <x:c r="L1456" s="55" t="n">
        <x:v>12638949</x:v>
      </x:c>
      <x:c r="M1456"/>
      <x:c r="N1456"/>
      <x:c r="O1456" s="54"/>
      <x:c r="P1456"/>
      <x:c r="Q1456"/>
      <x:c r="R1456"/>
      <x:c r="S1456"/>
      <x:c r="T1456"/>
      <x:c r="U1456" s="57"/>
      <x:c r="V1456" s="57"/>
      <x:c r="W1456"/>
      <x:c r="X1456"/>
      <x:c r="Y1456" s="38"/>
      <x:c r="Z1456" s="38"/>
      <x:c r="AA1456"/>
    </x:row>
    <x:row r="1457">
      <x:c r="A1457" s="54" t="n">
        <x:v>44742</x:v>
      </x:c>
      <x:c r="B1457" t="n">
        <x:v>44742.624999988424</x:v>
      </x:c>
      <x:c r="C1457" t="str">
        <x:v>195940</x:v>
      </x:c>
      <x:c r="D1457" t="str">
        <x:v>HK이노엔</x:v>
      </x:c>
      <x:c r="E1457" t="str">
        <x:v>KOSDAQ</x:v>
      </x:c>
      <x:c r="F1457" t="str">
        <x:v>LARGE</x:v>
      </x:c>
      <x:c r="G1457" t="str">
        <x:v>ELIGIBLE</x:v>
      </x:c>
      <x:c r="H1457"/>
      <x:c r="I1457" s="54" t="n">
        <x:v>44742</x:v>
      </x:c>
      <x:c r="J1457" s="55" t="n">
        <x:v>38050</x:v>
      </x:c>
      <x:c r="K1457" s="55" t="n">
        <x:v>1099816186950</x:v>
      </x:c>
      <x:c r="L1457" s="55" t="n">
        <x:v>28904499</x:v>
      </x:c>
      <x:c r="M1457" t="str">
        <x:v>20220317000877</x:v>
      </x:c>
      <x:c r="N1457" t="n">
        <x:v>44637.624999988424</x:v>
      </x:c>
      <x:c r="O1457" s="54" t="n">
        <x:v>44561</x:v>
      </x:c>
      <x:c r="P1457" t="str">
        <x:v>False</x:v>
      </x:c>
      <x:c r="Q1457" t="str">
        <x:v>b6d1bbf87d4fa02415fe4deb61455b58001d9c504e850a2bec8d1c783ae6d1aa</x:v>
      </x:c>
      <x:c r="R1457" t="str">
        <x:v>74da26fae4176c1daa7df7aff6286f12100338600444927a1c8078663d316480</x:v>
      </x:c>
      <x:c r="S1457" t="n">
        <x:v>6</x:v>
      </x:c>
      <x:c r="T1457" t="str">
        <x:v>2021-12-31</x:v>
      </x:c>
      <x:c r="U1457" s="57" t="n">
        <x:v>7082.6390942903845</x:v>
      </x:c>
      <x:c r="V1457" s="57" t="n">
        <x:v>-0.8138596821474274</x:v>
      </x:c>
      <x:c r="W1457" t="n">
        <x:v>59</x:v>
      </x:c>
      <x:c r="X1457" t="n">
        <x:v>5</x:v>
      </x:c>
      <x:c r="Y1457" s="38" t="n">
        <x:v>0.6409090909090909</x:v>
      </x:c>
      <x:c r="Z1457" s="38" t="n">
        <x:v>0.7013426708992583</x:v>
      </x:c>
      <x:c r="AA1457"/>
    </x:row>
    <x:row r="1458">
      <x:c r="A1458" s="54" t="n">
        <x:v>44742</x:v>
      </x:c>
      <x:c r="B1458" t="n">
        <x:v>44742.624999988424</x:v>
      </x:c>
      <x:c r="C1458" t="str">
        <x:v>039200</x:v>
      </x:c>
      <x:c r="D1458" t="str">
        <x:v>오스코텍</x:v>
      </x:c>
      <x:c r="E1458" t="str">
        <x:v>KOSDAQ</x:v>
      </x:c>
      <x:c r="F1458" t="str">
        <x:v>LARGE</x:v>
      </x:c>
      <x:c r="G1458" t="str">
        <x:v>FINANCIAL_DISCONTINUITY</x:v>
      </x:c>
      <x:c r="H1458" t="str">
        <x:v>LATEST_REVENUE_RATIO_OUTSIDE_0.1_TO_10:0.08977831891691337528407323719</x:v>
      </x:c>
      <x:c r="I1458" s="54" t="n">
        <x:v>44742</x:v>
      </x:c>
      <x:c r="J1458" s="55" t="n">
        <x:v>27750</x:v>
      </x:c>
      <x:c r="K1458" s="55" t="n">
        <x:v>838231068750</x:v>
      </x:c>
      <x:c r="L1458" s="55" t="n">
        <x:v>30206525</x:v>
      </x:c>
      <x:c r="M1458" t="str">
        <x:v>20220314001077</x:v>
      </x:c>
      <x:c r="N1458" t="n">
        <x:v>44634.624999988424</x:v>
      </x:c>
      <x:c r="O1458" s="54" t="n">
        <x:v>44561</x:v>
      </x:c>
      <x:c r="P1458" t="str">
        <x:v>False</x:v>
      </x:c>
      <x:c r="Q1458" t="str">
        <x:v>eac12db12722c707f5c12bbd7321ecfc067e71a955c358625551ebc702c8ab53</x:v>
      </x:c>
      <x:c r="R1458" t="str">
        <x:v>4925d1e99e161c68b6b8473ea2462bd2f278cc4a944b997bd93488d0893678fb</x:v>
      </x:c>
      <x:c r="S1458" t="n">
        <x:v>6</x:v>
      </x:c>
      <x:c r="T1458" t="str">
        <x:v>2018-12-31|2019-12-31|2020-12-31|2021-12-31</x:v>
      </x:c>
      <x:c r="U1458" s="57"/>
      <x:c r="V1458" s="57"/>
      <x:c r="W1458"/>
      <x:c r="X1458"/>
      <x:c r="Y1458" s="38"/>
      <x:c r="Z1458" s="38"/>
      <x:c r="AA1458"/>
    </x:row>
    <x:row r="1459">
      <x:c r="A1459" s="54" t="n">
        <x:v>44742</x:v>
      </x:c>
      <x:c r="B1459" t="n">
        <x:v>44742.624999988424</x:v>
      </x:c>
      <x:c r="C1459" t="str">
        <x:v>084370</x:v>
      </x:c>
      <x:c r="D1459" t="str">
        <x:v>유진테크</x:v>
      </x:c>
      <x:c r="E1459" t="str">
        <x:v>KOSDAQ</x:v>
      </x:c>
      <x:c r="F1459" t="str">
        <x:v>LARGE</x:v>
      </x:c>
      <x:c r="G1459" t="str">
        <x:v>ELIGIBLE</x:v>
      </x:c>
      <x:c r="H1459"/>
      <x:c r="I1459" s="54" t="n">
        <x:v>44742</x:v>
      </x:c>
      <x:c r="J1459" s="55" t="n">
        <x:v>29350</x:v>
      </x:c>
      <x:c r="K1459" s="55" t="n">
        <x:v>672585832700</x:v>
      </x:c>
      <x:c r="L1459" s="55" t="n">
        <x:v>22916042</x:v>
      </x:c>
      <x:c r="M1459" t="str">
        <x:v>20220315001157</x:v>
      </x:c>
      <x:c r="N1459" t="n">
        <x:v>44635.624999988424</x:v>
      </x:c>
      <x:c r="O1459" s="54" t="n">
        <x:v>44561</x:v>
      </x:c>
      <x:c r="P1459" t="str">
        <x:v>False</x:v>
      </x:c>
      <x:c r="Q1459" t="str">
        <x:v>ba66255b29a640ce08b39f96987638ea7e9439520d8e3e11d923a92aadaba95e</x:v>
      </x:c>
      <x:c r="R1459" t="str">
        <x:v>21d7e5b6106b5291425e4efc78d2215f7384d23adcfbd979041b7b38d44bdb9a</x:v>
      </x:c>
      <x:c r="S1459" t="n">
        <x:v>5</x:v>
      </x:c>
      <x:c r="T1459" t="str">
        <x:v>2018-12-31|2019-12-31|2020-12-31|2021-12-31</x:v>
      </x:c>
      <x:c r="U1459" s="57" t="n">
        <x:v>17562.323572803878</x:v>
      </x:c>
      <x:c r="V1459" s="57" t="n">
        <x:v>-0.40162440978521713</x:v>
      </x:c>
      <x:c r="W1459" t="n">
        <x:v>38</x:v>
      </x:c>
      <x:c r="X1459" t="n">
        <x:v>3</x:v>
      </x:c>
      <x:c r="Y1459" s="38" t="n">
        <x:v>0.6409090909090909</x:v>
      </x:c>
      <x:c r="Z1459" s="38" t="n">
        <x:v>0.6142442229678472</x:v>
      </x:c>
      <x:c r="AA1459"/>
    </x:row>
    <x:row r="1460">
      <x:c r="A1460" s="54" t="n">
        <x:v>44742</x:v>
      </x:c>
      <x:c r="B1460" t="n">
        <x:v>44742.624999988424</x:v>
      </x:c>
      <x:c r="C1460" t="str">
        <x:v>160190</x:v>
      </x:c>
      <x:c r="D1460" t="str">
        <x:v>하이젠알앤엠</x:v>
      </x:c>
      <x:c r="E1460" t="str">
        <x:v>KOSDAQ</x:v>
      </x:c>
      <x:c r="F1460" t="str">
        <x:v>LARGE</x:v>
      </x:c>
      <x:c r="G1460" t="str">
        <x:v>NOT_LISTED_OR_NO_PRICE</x:v>
      </x:c>
      <x:c r="H1460"/>
      <x:c r="I1460" s="54"/>
      <x:c r="J1460" s="55"/>
      <x:c r="K1460" s="55"/>
      <x:c r="L1460" s="55"/>
      <x:c r="M1460"/>
      <x:c r="N1460"/>
      <x:c r="O1460" s="54"/>
      <x:c r="P1460"/>
      <x:c r="Q1460"/>
      <x:c r="R1460"/>
      <x:c r="S1460"/>
      <x:c r="T1460"/>
      <x:c r="U1460" s="57"/>
      <x:c r="V1460" s="57"/>
      <x:c r="W1460"/>
      <x:c r="X1460"/>
      <x:c r="Y1460" s="38"/>
      <x:c r="Z1460" s="38"/>
      <x:c r="AA1460"/>
    </x:row>
    <x:row r="1461">
      <x:c r="A1461" s="54" t="n">
        <x:v>44742</x:v>
      </x:c>
      <x:c r="B1461" t="n">
        <x:v>44742.624999988424</x:v>
      </x:c>
      <x:c r="C1461" t="str">
        <x:v>281740</x:v>
      </x:c>
      <x:c r="D1461" t="str">
        <x:v>레이크머티리얼즈</x:v>
      </x:c>
      <x:c r="E1461" t="str">
        <x:v>KOSDAQ</x:v>
      </x:c>
      <x:c r="F1461" t="str">
        <x:v>LARGE</x:v>
      </x:c>
      <x:c r="G1461" t="str">
        <x:v>ELIGIBLE</x:v>
      </x:c>
      <x:c r="H1461"/>
      <x:c r="I1461" s="54" t="n">
        <x:v>44742</x:v>
      </x:c>
      <x:c r="J1461" s="55" t="n">
        <x:v>4365</x:v>
      </x:c>
      <x:c r="K1461" s="55" t="n">
        <x:v>286913842020</x:v>
      </x:c>
      <x:c r="L1461" s="55" t="n">
        <x:v>65730548</x:v>
      </x:c>
      <x:c r="M1461" t="str">
        <x:v>20220328000299</x:v>
      </x:c>
      <x:c r="N1461" t="n">
        <x:v>44648.624999988424</x:v>
      </x:c>
      <x:c r="O1461" s="54" t="n">
        <x:v>44561</x:v>
      </x:c>
      <x:c r="P1461" t="str">
        <x:v>True</x:v>
      </x:c>
      <x:c r="Q1461" t="str">
        <x:v>6cf027b604a41b80d074658e23b64178171cc96f7f73135ed52966f74c1c7c2a</x:v>
      </x:c>
      <x:c r="R1461" t="str">
        <x:v>bb80be86695d7b0a381afeb5fca37f8a53662525e7f1f2df5166e6a9df582ef9</x:v>
      </x:c>
      <x:c r="S1461" t="n">
        <x:v>6</x:v>
      </x:c>
      <x:c r="T1461" t="str">
        <x:v>2020-12-31|2021-12-31</x:v>
      </x:c>
      <x:c r="U1461" s="57" t="n">
        <x:v>1701.6250919791116</x:v>
      </x:c>
      <x:c r="V1461" s="57" t="n">
        <x:v>-0.6101660728570191</x:v>
      </x:c>
      <x:c r="W1461" t="n">
        <x:v>50</x:v>
      </x:c>
      <x:c r="X1461" t="n">
        <x:v>4</x:v>
      </x:c>
      <x:c r="Y1461" s="38" t="n">
        <x:v>0.6409090909090909</x:v>
      </x:c>
      <x:c r="Z1461" s="38" t="n">
        <x:v>0.6793926263967092</x:v>
      </x:c>
      <x:c r="AA1461"/>
    </x:row>
    <x:row r="1462">
      <x:c r="A1462" s="54" t="n">
        <x:v>44742</x:v>
      </x:c>
      <x:c r="B1462" t="n">
        <x:v>44742.624999988424</x:v>
      </x:c>
      <x:c r="C1462" t="str">
        <x:v>078130</x:v>
      </x:c>
      <x:c r="D1462" t="str">
        <x:v>국일제지</x:v>
      </x:c>
      <x:c r="E1462" t="str">
        <x:v>KOSDAQ</x:v>
      </x:c>
      <x:c r="F1462" t="str">
        <x:v>LARGE</x:v>
      </x:c>
      <x:c r="G1462" t="str">
        <x:v>DCF_SCREENING_EXCLUSION</x:v>
      </x:c>
      <x:c r="H1462" t="str">
        <x:v>NON_POSITIVE_ENTERPRISE_VALUE|NON_POSITIVE_EQUITY_VALUE|UNRELIABLE_TERMINAL_VALUE_SHARE</x:v>
      </x:c>
      <x:c r="I1462" s="54" t="n">
        <x:v>44742</x:v>
      </x:c>
      <x:c r="J1462" s="55" t="n">
        <x:v>2530</x:v>
      </x:c>
      <x:c r="K1462" s="55" t="n">
        <x:v>322872206690</x:v>
      </x:c>
      <x:c r="L1462" s="55" t="n">
        <x:v>127617473</x:v>
      </x:c>
      <x:c r="M1462" t="str">
        <x:v>20220321001299</x:v>
      </x:c>
      <x:c r="N1462" t="n">
        <x:v>44641.624999988424</x:v>
      </x:c>
      <x:c r="O1462" s="54" t="n">
        <x:v>44561</x:v>
      </x:c>
      <x:c r="P1462" t="str">
        <x:v>False</x:v>
      </x:c>
      <x:c r="Q1462" t="str">
        <x:v>eba50d65089a3c2cb1033c9b240144d8cc7c44765d3689bd26b67f91551b7f96</x:v>
      </x:c>
      <x:c r="R1462" t="str">
        <x:v>90b22a7ab23a3c05c33a45bf126a9351b411446cc29cb893c1c47cd23432e601</x:v>
      </x:c>
      <x:c r="S1462" t="n">
        <x:v>7</x:v>
      </x:c>
      <x:c r="T1462" t="str">
        <x:v>2018-12-31|2019-12-31|2020-12-31|2021-12-31</x:v>
      </x:c>
      <x:c r="U1462" s="57" t="n">
        <x:v>-293.18932146531364</x:v>
      </x:c>
      <x:c r="V1462" s="57" t="n">
        <x:v>-1.115885107298543</x:v>
      </x:c>
      <x:c r="W1462"/>
      <x:c r="X1462"/>
      <x:c r="Y1462" s="38" t="n">
        <x:v>0.6409090909090909</x:v>
      </x:c>
      <x:c r="Z1462" s="38" t="n">
        <x:v>-22.090761592354845</x:v>
      </x:c>
      <x:c r="AA1462" t="str">
        <x:v>NON_POSITIVE_ENTERPRISE_VALUE|NON_POSITIVE_EQUITY_VALUE|UNRELIABLE_TERMINAL_VALUE_SHARE</x:v>
      </x:c>
    </x:row>
    <x:row r="1463">
      <x:c r="A1463" s="54" t="n">
        <x:v>44742</x:v>
      </x:c>
      <x:c r="B1463" t="n">
        <x:v>44742.624999988424</x:v>
      </x:c>
      <x:c r="C1463" t="str">
        <x:v>131970</x:v>
      </x:c>
      <x:c r="D1463" t="str">
        <x:v>두산테스나</x:v>
      </x:c>
      <x:c r="E1463" t="str">
        <x:v>KOSDAQ</x:v>
      </x:c>
      <x:c r="F1463" t="str">
        <x:v>LARGE</x:v>
      </x:c>
      <x:c r="G1463" t="str">
        <x:v>ELIGIBLE</x:v>
      </x:c>
      <x:c r="H1463"/>
      <x:c r="I1463" s="54" t="n">
        <x:v>44742</x:v>
      </x:c>
      <x:c r="J1463" s="55" t="n">
        <x:v>30300</x:v>
      </x:c>
      <x:c r="K1463" s="55" t="n">
        <x:v>447215183100</x:v>
      </x:c>
      <x:c r="L1463" s="55" t="n">
        <x:v>14759577</x:v>
      </x:c>
      <x:c r="M1463" t="str">
        <x:v>20220321001055</x:v>
      </x:c>
      <x:c r="N1463" t="n">
        <x:v>44641.624999988424</x:v>
      </x:c>
      <x:c r="O1463" s="54" t="n">
        <x:v>44561</x:v>
      </x:c>
      <x:c r="P1463" t="str">
        <x:v>False</x:v>
      </x:c>
      <x:c r="Q1463" t="str">
        <x:v>97dab3f189e66aef81c095e114dcd880ce69b87540e1cd7975c5252d852b3239</x:v>
      </x:c>
      <x:c r="R1463" t="str">
        <x:v>3204cdfa88c0c4b81fa1a8f8361ff1720e693e2eae8b99cc60b74fd5cb4cb37c</x:v>
      </x:c>
      <x:c r="S1463" t="n">
        <x:v>5</x:v>
      </x:c>
      <x:c r="T1463" t="str">
        <x:v>2018-12-31|2019-12-31|2020-12-31|2021-12-31</x:v>
      </x:c>
      <x:c r="U1463" s="57" t="n">
        <x:v>34782.1914507577</x:v>
      </x:c>
      <x:c r="V1463" s="57" t="n">
        <x:v>0.14792711058606273</x:v>
      </x:c>
      <x:c r="W1463" t="n">
        <x:v>19</x:v>
      </x:c>
      <x:c r="X1463" t="n">
        <x:v>2</x:v>
      </x:c>
      <x:c r="Y1463" s="38" t="n">
        <x:v>0.6409090909090909</x:v>
      </x:c>
      <x:c r="Z1463" s="38" t="n">
        <x:v>0.7121290266414918</x:v>
      </x:c>
      <x:c r="AA1463"/>
    </x:row>
    <x:row r="1464">
      <x:c r="A1464" s="54" t="n">
        <x:v>44742</x:v>
      </x:c>
      <x:c r="B1464" t="n">
        <x:v>44742.624999988424</x:v>
      </x:c>
      <x:c r="C1464" t="str">
        <x:v>025320</x:v>
      </x:c>
      <x:c r="D1464" t="str">
        <x:v>시노펙스</x:v>
      </x:c>
      <x:c r="E1464" t="str">
        <x:v>KOSDAQ</x:v>
      </x:c>
      <x:c r="F1464" t="str">
        <x:v>LARGE</x:v>
      </x:c>
      <x:c r="G1464" t="str">
        <x:v>DCF_SCREENING_EXCLUSION</x:v>
      </x:c>
      <x:c r="H1464" t="str">
        <x:v>NON_POSITIVE_ENTERPRISE_VALUE|NON_POSITIVE_EQUITY_VALUE|NON_POSITIVE_TERMINAL_FCF</x:v>
      </x:c>
      <x:c r="I1464" s="54" t="n">
        <x:v>44742</x:v>
      </x:c>
      <x:c r="J1464" s="55" t="n">
        <x:v>3085</x:v>
      </x:c>
      <x:c r="K1464" s="55" t="n">
        <x:v>225954525430</x:v>
      </x:c>
      <x:c r="L1464" s="55" t="n">
        <x:v>73242958</x:v>
      </x:c>
      <x:c r="M1464" t="str">
        <x:v>20220318000396</x:v>
      </x:c>
      <x:c r="N1464" t="n">
        <x:v>44638.624999988424</x:v>
      </x:c>
      <x:c r="O1464" s="54" t="n">
        <x:v>44561</x:v>
      </x:c>
      <x:c r="P1464" t="str">
        <x:v>False</x:v>
      </x:c>
      <x:c r="Q1464" t="str">
        <x:v>964f25029a64df18763da066afb2fe972836cab3bbc80567f2535cf6d4bf6a48</x:v>
      </x:c>
      <x:c r="R1464" t="str">
        <x:v>bd2a792cfe84e3fe25c53f7de5d27e0763a735d587d0f47b19d92bdcd029a344</x:v>
      </x:c>
      <x:c r="S1464" t="n">
        <x:v>6</x:v>
      </x:c>
      <x:c r="T1464" t="str">
        <x:v>2018-12-31|2019-12-31|2020-12-31|2021-12-31</x:v>
      </x:c>
      <x:c r="U1464" s="57" t="n">
        <x:v>-1531.7442933407262</x:v>
      </x:c>
      <x:c r="V1464" s="57" t="n">
        <x:v>-1.4965135472741415</x:v>
      </x:c>
      <x:c r="W1464"/>
      <x:c r="X1464"/>
      <x:c r="Y1464" s="38" t="n">
        <x:v>0.6409090909090909</x:v>
      </x:c>
      <x:c r="Z1464" s="38" t="n">
        <x:v>0.7059904894392338</x:v>
      </x:c>
      <x:c r="AA1464" t="str">
        <x:v>NON_POSITIVE_ENTERPRISE_VALUE|NON_POSITIVE_EQUITY_VALUE|NON_POSITIVE_TERMINAL_FCF</x:v>
      </x:c>
    </x:row>
    <x:row r="1465">
      <x:c r="A1465" s="54" t="n">
        <x:v>44742</x:v>
      </x:c>
      <x:c r="B1465" t="n">
        <x:v>44742.624999988424</x:v>
      </x:c>
      <x:c r="C1465" t="str">
        <x:v>347700</x:v>
      </x:c>
      <x:c r="D1465" t="str">
        <x:v>스피어</x:v>
      </x:c>
      <x:c r="E1465" t="str">
        <x:v>KOSDAQ</x:v>
      </x:c>
      <x:c r="F1465" t="str">
        <x:v>LARGE</x:v>
      </x:c>
      <x:c r="G1465" t="str">
        <x:v>DCF_SCREENING_EXCLUSION</x:v>
      </x:c>
      <x:c r="H1465" t="str">
        <x:v>NON_POSITIVE_ENTERPRISE_VALUE|NON_POSITIVE_TERMINAL_FCF</x:v>
      </x:c>
      <x:c r="I1465" s="54" t="n">
        <x:v>44742</x:v>
      </x:c>
      <x:c r="J1465" s="55" t="n">
        <x:v>5270</x:v>
      </x:c>
      <x:c r="K1465" s="55" t="n">
        <x:v>53901296500</x:v>
      </x:c>
      <x:c r="L1465" s="55" t="n">
        <x:v>10227950</x:v>
      </x:c>
      <x:c r="M1465" t="str">
        <x:v>20220323000809</x:v>
      </x:c>
      <x:c r="N1465" t="n">
        <x:v>44643.624999988424</x:v>
      </x:c>
      <x:c r="O1465" s="54" t="n">
        <x:v>44561</x:v>
      </x:c>
      <x:c r="P1465" t="str">
        <x:v>False</x:v>
      </x:c>
      <x:c r="Q1465" t="str">
        <x:v>f7f3af7a28d62cd0586f5ef87d8ce77a1131375c4801e17cc5605778fa4bef58</x:v>
      </x:c>
      <x:c r="R1465" t="str">
        <x:v>8dac81ca8df4f2c77dc27b30369e4da6bdb6a1c1ff8d5d11d7b6d89f7609ffaa</x:v>
      </x:c>
      <x:c r="S1465" t="n">
        <x:v>6</x:v>
      </x:c>
      <x:c r="T1465" t="str">
        <x:v>2020-12-31|2021-12-31</x:v>
      </x:c>
      <x:c r="U1465" s="57" t="n">
        <x:v>250.5216023445337</x:v>
      </x:c>
      <x:c r="V1465" s="57" t="n">
        <x:v>-0.9524626940522707</x:v>
      </x:c>
      <x:c r="W1465"/>
      <x:c r="X1465"/>
      <x:c r="Y1465" s="38" t="n">
        <x:v>0.6409090909090909</x:v>
      </x:c>
      <x:c r="Z1465" s="38" t="n">
        <x:v>0.7149594422554854</x:v>
      </x:c>
      <x:c r="AA1465" t="str">
        <x:v>NON_POSITIVE_ENTERPRISE_VALUE|NON_POSITIVE_TERMINAL_FCF</x:v>
      </x:c>
    </x:row>
    <x:row r="1466">
      <x:c r="A1466" s="54" t="n">
        <x:v>44742</x:v>
      </x:c>
      <x:c r="B1466" t="n">
        <x:v>44742.624999988424</x:v>
      </x:c>
      <x:c r="C1466" t="str">
        <x:v>119850</x:v>
      </x:c>
      <x:c r="D1466" t="str">
        <x:v>지엔씨에너지</x:v>
      </x:c>
      <x:c r="E1466" t="str">
        <x:v>KOSDAQ</x:v>
      </x:c>
      <x:c r="F1466" t="str">
        <x:v>LARGE</x:v>
      </x:c>
      <x:c r="G1466" t="str">
        <x:v>ELIGIBLE</x:v>
      </x:c>
      <x:c r="H1466"/>
      <x:c r="I1466" s="54" t="n">
        <x:v>44742</x:v>
      </x:c>
      <x:c r="J1466" s="55" t="n">
        <x:v>4310</x:v>
      </x:c>
      <x:c r="K1466" s="55" t="n">
        <x:v>70894797790</x:v>
      </x:c>
      <x:c r="L1466" s="55" t="n">
        <x:v>16448909</x:v>
      </x:c>
      <x:c r="M1466" t="str">
        <x:v>20220318001122</x:v>
      </x:c>
      <x:c r="N1466" t="n">
        <x:v>44638.624999988424</x:v>
      </x:c>
      <x:c r="O1466" s="54" t="n">
        <x:v>44561</x:v>
      </x:c>
      <x:c r="P1466" t="str">
        <x:v>False</x:v>
      </x:c>
      <x:c r="Q1466" t="str">
        <x:v>ae73d3d4b2895b6be9878c551cbd20c4f4233ec1da8abc62cfd96d371b094769</x:v>
      </x:c>
      <x:c r="R1466" t="str">
        <x:v>8c951c3d87768f8fd968f2cc3671b45872eaa12e9d2ef96931743473e6738e02</x:v>
      </x:c>
      <x:c r="S1466" t="n">
        <x:v>6</x:v>
      </x:c>
      <x:c r="T1466" t="str">
        <x:v>2018-12-31|2019-12-31|2020-12-31|2021-12-31</x:v>
      </x:c>
      <x:c r="U1466" s="57" t="n">
        <x:v>4357.199500773308</x:v>
      </x:c>
      <x:c r="V1466" s="57" t="n">
        <x:v>0.010951160272229043</x:v>
      </x:c>
      <x:c r="W1466" t="n">
        <x:v>22</x:v>
      </x:c>
      <x:c r="X1466" t="n">
        <x:v>2</x:v>
      </x:c>
      <x:c r="Y1466" s="38" t="n">
        <x:v>0.6409090909090909</x:v>
      </x:c>
      <x:c r="Z1466" s="38" t="n">
        <x:v>0.7218340444865093</x:v>
      </x:c>
      <x:c r="AA1466"/>
    </x:row>
    <x:row r="1467">
      <x:c r="A1467" s="54" t="n">
        <x:v>44742</x:v>
      </x:c>
      <x:c r="B1467" t="n">
        <x:v>44742.624999988424</x:v>
      </x:c>
      <x:c r="C1467" t="str">
        <x:v>084110</x:v>
      </x:c>
      <x:c r="D1467" t="str">
        <x:v>휴온스글로벌</x:v>
      </x:c>
      <x:c r="E1467" t="str">
        <x:v>KOSDAQ</x:v>
      </x:c>
      <x:c r="F1467" t="str">
        <x:v>LARGE</x:v>
      </x:c>
      <x:c r="G1467" t="str">
        <x:v>ELIGIBLE</x:v>
      </x:c>
      <x:c r="H1467"/>
      <x:c r="I1467" s="54" t="n">
        <x:v>44742</x:v>
      </x:c>
      <x:c r="J1467" s="55" t="n">
        <x:v>21100</x:v>
      </x:c>
      <x:c r="K1467" s="55" t="n">
        <x:v>266313481200</x:v>
      </x:c>
      <x:c r="L1467" s="55" t="n">
        <x:v>12621492</x:v>
      </x:c>
      <x:c r="M1467" t="str">
        <x:v>20220323001316</x:v>
      </x:c>
      <x:c r="N1467" t="n">
        <x:v>44643.624999988424</x:v>
      </x:c>
      <x:c r="O1467" s="54" t="n">
        <x:v>44561</x:v>
      </x:c>
      <x:c r="P1467" t="str">
        <x:v>False</x:v>
      </x:c>
      <x:c r="Q1467" t="str">
        <x:v>61a4106ca1436439b115b45b309307d670f88550d1c4e65f1054441ff8bd1773</x:v>
      </x:c>
      <x:c r="R1467" t="str">
        <x:v>6c138f9c4fafd5af82b56441fab7e4bb491dd9e4aa5589ba5dbc716b961c2ab1</x:v>
      </x:c>
      <x:c r="S1467" t="n">
        <x:v>6</x:v>
      </x:c>
      <x:c r="T1467" t="str">
        <x:v>2018-12-31|2019-12-31|2020-12-31|2021-12-31</x:v>
      </x:c>
      <x:c r="U1467" s="57" t="n">
        <x:v>62350.99484672869</x:v>
      </x:c>
      <x:c r="V1467" s="57" t="n">
        <x:v>1.9550234524515968</x:v>
      </x:c>
      <x:c r="W1467" t="n">
        <x:v>5</x:v>
      </x:c>
      <x:c r="X1467" t="n">
        <x:v>1</x:v>
      </x:c>
      <x:c r="Y1467" s="38" t="n">
        <x:v>0.6409090909090909</x:v>
      </x:c>
      <x:c r="Z1467" s="38" t="n">
        <x:v>0.7784114693524872</x:v>
      </x:c>
      <x:c r="AA1467"/>
    </x:row>
    <x:row r="1468">
      <x:c r="A1468" s="54" t="n">
        <x:v>44742</x:v>
      </x:c>
      <x:c r="B1468" t="n">
        <x:v>44742.624999988424</x:v>
      </x:c>
      <x:c r="C1468" t="str">
        <x:v>206650</x:v>
      </x:c>
      <x:c r="D1468" t="str">
        <x:v>유바이오로직스</x:v>
      </x:c>
      <x:c r="E1468" t="str">
        <x:v>KOSDAQ</x:v>
      </x:c>
      <x:c r="F1468" t="str">
        <x:v>LARGE</x:v>
      </x:c>
      <x:c r="G1468" t="str">
        <x:v>DCF_SCREENING_EXCLUSION</x:v>
      </x:c>
      <x:c r="H1468" t="str">
        <x:v>NON_POSITIVE_ENTERPRISE_VALUE|NON_POSITIVE_EQUITY_VALUE|NON_POSITIVE_TERMINAL_FCF</x:v>
      </x:c>
      <x:c r="I1468" s="54" t="n">
        <x:v>44742</x:v>
      </x:c>
      <x:c r="J1468" s="55" t="n">
        <x:v>14600</x:v>
      </x:c>
      <x:c r="K1468" s="55" t="n">
        <x:v>532094182200</x:v>
      </x:c>
      <x:c r="L1468" s="55" t="n">
        <x:v>36444807</x:v>
      </x:c>
      <x:c r="M1468" t="str">
        <x:v>20220321001422</x:v>
      </x:c>
      <x:c r="N1468" t="n">
        <x:v>44641.624999988424</x:v>
      </x:c>
      <x:c r="O1468" s="54" t="n">
        <x:v>44561</x:v>
      </x:c>
      <x:c r="P1468" t="str">
        <x:v>False</x:v>
      </x:c>
      <x:c r="Q1468" t="str">
        <x:v>8d3c86f36f05bae65484262e1b74a0fa313abb7a6c116331476fa851286ef5c7</x:v>
      </x:c>
      <x:c r="R1468" t="str">
        <x:v>564bf2b7d7951fd138746a041006be1e2d10426a4995177d1a5cf063ce57effe</x:v>
      </x:c>
      <x:c r="S1468" t="n">
        <x:v>5</x:v>
      </x:c>
      <x:c r="T1468" t="str">
        <x:v>2018-12-31|2019-12-31|2020-12-31|2021-12-31</x:v>
      </x:c>
      <x:c r="U1468" s="57" t="n">
        <x:v>-686.7207231115198</x:v>
      </x:c>
      <x:c r="V1468" s="57" t="n">
        <x:v>-1.0470356659665425</x:v>
      </x:c>
      <x:c r="W1468"/>
      <x:c r="X1468"/>
      <x:c r="Y1468" s="38" t="n">
        <x:v>0.6409090909090909</x:v>
      </x:c>
      <x:c r="Z1468" s="38" t="n">
        <x:v>0.09988018003939338</x:v>
      </x:c>
      <x:c r="AA1468" t="str">
        <x:v>NON_POSITIVE_ENTERPRISE_VALUE|NON_POSITIVE_EQUITY_VALUE|NON_POSITIVE_TERMINAL_FCF</x:v>
      </x:c>
    </x:row>
    <x:row r="1469">
      <x:c r="A1469" s="54" t="n">
        <x:v>44742</x:v>
      </x:c>
      <x:c r="B1469" t="n">
        <x:v>44742.624999988424</x:v>
      </x:c>
      <x:c r="C1469" t="str">
        <x:v>365340</x:v>
      </x:c>
      <x:c r="D1469" t="str">
        <x:v>성일하이텍</x:v>
      </x:c>
      <x:c r="E1469" t="str">
        <x:v>KOSDAQ</x:v>
      </x:c>
      <x:c r="F1469" t="str">
        <x:v>LARGE</x:v>
      </x:c>
      <x:c r="G1469" t="str">
        <x:v>NOT_LISTED_OR_NO_PRICE</x:v>
      </x:c>
      <x:c r="H1469"/>
      <x:c r="I1469" s="54"/>
      <x:c r="J1469" s="55"/>
      <x:c r="K1469" s="55"/>
      <x:c r="L1469" s="55"/>
      <x:c r="M1469"/>
      <x:c r="N1469"/>
      <x:c r="O1469" s="54"/>
      <x:c r="P1469"/>
      <x:c r="Q1469"/>
      <x:c r="R1469"/>
      <x:c r="S1469"/>
      <x:c r="T1469"/>
      <x:c r="U1469" s="57"/>
      <x:c r="V1469" s="57"/>
      <x:c r="W1469"/>
      <x:c r="X1469"/>
      <x:c r="Y1469" s="38"/>
      <x:c r="Z1469" s="38"/>
      <x:c r="AA1469"/>
    </x:row>
    <x:row r="1470">
      <x:c r="A1470" s="54" t="n">
        <x:v>44742</x:v>
      </x:c>
      <x:c r="B1470" t="n">
        <x:v>44742.624999988424</x:v>
      </x:c>
      <x:c r="C1470" t="str">
        <x:v>030530</x:v>
      </x:c>
      <x:c r="D1470" t="str">
        <x:v>원익홀딩스</x:v>
      </x:c>
      <x:c r="E1470" t="str">
        <x:v>KOSDAQ</x:v>
      </x:c>
      <x:c r="F1470" t="str">
        <x:v>LARGE</x:v>
      </x:c>
      <x:c r="G1470" t="str">
        <x:v>EXCLUDED_ARCHETYPE</x:v>
      </x:c>
      <x:c r="H1470" t="str">
        <x:v>FCFF_NOT_COMPARABLE_FOR_FINANCE_OR_HOLDING_HINT</x:v>
      </x:c>
      <x:c r="I1470" s="54"/>
      <x:c r="J1470" s="55"/>
      <x:c r="K1470" s="55"/>
      <x:c r="L1470" s="55"/>
      <x:c r="M1470"/>
      <x:c r="N1470"/>
      <x:c r="O1470" s="54"/>
      <x:c r="P1470"/>
      <x:c r="Q1470"/>
      <x:c r="R1470"/>
      <x:c r="S1470"/>
      <x:c r="T1470"/>
      <x:c r="U1470" s="57"/>
      <x:c r="V1470" s="57"/>
      <x:c r="W1470"/>
      <x:c r="X1470"/>
      <x:c r="Y1470" s="38"/>
      <x:c r="Z1470" s="38"/>
      <x:c r="AA1470"/>
    </x:row>
    <x:row r="1471">
      <x:c r="A1471" s="54" t="n">
        <x:v>44742</x:v>
      </x:c>
      <x:c r="B1471" t="n">
        <x:v>44742.624999988424</x:v>
      </x:c>
      <x:c r="C1471" t="str">
        <x:v>220100</x:v>
      </x:c>
      <x:c r="D1471" t="str">
        <x:v>퓨쳐켐</x:v>
      </x:c>
      <x:c r="E1471" t="str">
        <x:v>KOSDAQ</x:v>
      </x:c>
      <x:c r="F1471" t="str">
        <x:v>LARGE</x:v>
      </x:c>
      <x:c r="G1471" t="str">
        <x:v>DCF_SCREENING_EXCLUSION</x:v>
      </x:c>
      <x:c r="H1471" t="str">
        <x:v>NON_POSITIVE_ENTERPRISE_VALUE|NON_POSITIVE_EQUITY_VALUE|NON_POSITIVE_TERMINAL_FCF</x:v>
      </x:c>
      <x:c r="I1471" s="54" t="n">
        <x:v>44742</x:v>
      </x:c>
      <x:c r="J1471" s="55" t="n">
        <x:v>17850</x:v>
      </x:c>
      <x:c r="K1471" s="55" t="n">
        <x:v>244401682350</x:v>
      </x:c>
      <x:c r="L1471" s="55" t="n">
        <x:v>13691971</x:v>
      </x:c>
      <x:c r="M1471" t="str">
        <x:v>20220318000211</x:v>
      </x:c>
      <x:c r="N1471" t="n">
        <x:v>44638.624999988424</x:v>
      </x:c>
      <x:c r="O1471" s="54" t="n">
        <x:v>44561</x:v>
      </x:c>
      <x:c r="P1471" t="str">
        <x:v>False</x:v>
      </x:c>
      <x:c r="Q1471" t="str">
        <x:v>e8465716d8b100d2e997996432799dfdee4265e4572a8ee6033f260045ff58bc</x:v>
      </x:c>
      <x:c r="R1471" t="str">
        <x:v>52e7ad1c2657d6c9f0668d0401e9f6d92724dbb8e5787c654c50a7a789b1fdce</x:v>
      </x:c>
      <x:c r="S1471" t="n">
        <x:v>5</x:v>
      </x:c>
      <x:c r="T1471" t="str">
        <x:v>2018-12-31|2019-12-31|2020-12-31|2021-12-31</x:v>
      </x:c>
      <x:c r="U1471" s="57" t="n">
        <x:v>-2874.1642423662197</x:v>
      </x:c>
      <x:c r="V1471" s="57" t="n">
        <x:v>-1.161017604614354</x:v>
      </x:c>
      <x:c r="W1471"/>
      <x:c r="X1471"/>
      <x:c r="Y1471" s="38" t="n">
        <x:v>0.6409090909090909</x:v>
      </x:c>
      <x:c r="Z1471" s="38" t="n">
        <x:v>0.7090268120204184</x:v>
      </x:c>
      <x:c r="AA1471" t="str">
        <x:v>NON_POSITIVE_ENTERPRISE_VALUE|NON_POSITIVE_EQUITY_VALUE|NON_POSITIVE_TERMINAL_FCF</x:v>
      </x:c>
    </x:row>
    <x:row r="1472">
      <x:c r="A1472" s="54" t="n">
        <x:v>44742</x:v>
      </x:c>
      <x:c r="B1472" t="n">
        <x:v>44742.624999988424</x:v>
      </x:c>
      <x:c r="C1472" t="str">
        <x:v>416180</x:v>
      </x:c>
      <x:c r="D1472" t="str">
        <x:v>신성에스티</x:v>
      </x:c>
      <x:c r="E1472" t="str">
        <x:v>KOSDAQ</x:v>
      </x:c>
      <x:c r="F1472" t="str">
        <x:v>LARGE</x:v>
      </x:c>
      <x:c r="G1472" t="str">
        <x:v>NOT_LISTED_OR_NO_PRICE</x:v>
      </x:c>
      <x:c r="H1472"/>
      <x:c r="I1472" s="54"/>
      <x:c r="J1472" s="55"/>
      <x:c r="K1472" s="55"/>
      <x:c r="L1472" s="55"/>
      <x:c r="M1472"/>
      <x:c r="N1472"/>
      <x:c r="O1472" s="54"/>
      <x:c r="P1472"/>
      <x:c r="Q1472"/>
      <x:c r="R1472"/>
      <x:c r="S1472"/>
      <x:c r="T1472"/>
      <x:c r="U1472" s="57"/>
      <x:c r="V1472" s="57"/>
      <x:c r="W1472"/>
      <x:c r="X1472"/>
      <x:c r="Y1472" s="38"/>
      <x:c r="Z1472" s="38"/>
      <x:c r="AA1472"/>
    </x:row>
    <x:row r="1473">
      <x:c r="A1473" s="54" t="n">
        <x:v>44742</x:v>
      </x:c>
      <x:c r="B1473" t="n">
        <x:v>44742.624999988424</x:v>
      </x:c>
      <x:c r="C1473" t="str">
        <x:v>082800</x:v>
      </x:c>
      <x:c r="D1473" t="str">
        <x:v>비보존제약</x:v>
      </x:c>
      <x:c r="E1473" t="str">
        <x:v>KOSDAQ</x:v>
      </x:c>
      <x:c r="F1473" t="str">
        <x:v>LARGE</x:v>
      </x:c>
      <x:c r="G1473" t="str">
        <x:v>DCF_SCREENING_EXCLUSION</x:v>
      </x:c>
      <x:c r="H1473" t="str">
        <x:v>NON_POSITIVE_ENTERPRISE_VALUE|NON_POSITIVE_EQUITY_VALUE|NON_POSITIVE_TERMINAL_FCF</x:v>
      </x:c>
      <x:c r="I1473" s="54" t="n">
        <x:v>44742</x:v>
      </x:c>
      <x:c r="J1473" s="55" t="n">
        <x:v>933</x:v>
      </x:c>
      <x:c r="K1473" s="55" t="n">
        <x:v>218361770991</x:v>
      </x:c>
      <x:c r="L1473" s="55" t="n">
        <x:v>234042627</x:v>
      </x:c>
      <x:c r="M1473" t="str">
        <x:v>20220322001054</x:v>
      </x:c>
      <x:c r="N1473" t="n">
        <x:v>44642.624999988424</x:v>
      </x:c>
      <x:c r="O1473" s="54" t="n">
        <x:v>44561</x:v>
      </x:c>
      <x:c r="P1473" t="str">
        <x:v>False</x:v>
      </x:c>
      <x:c r="Q1473" t="str">
        <x:v>820cf4c032f000effbeb91015ea835a7ed85a97711c4da65866bffc882b75481</x:v>
      </x:c>
      <x:c r="R1473" t="str">
        <x:v>0ba73a80bcd09bcb3b400361043e667381365829e8bd5f8a943ea7de6cb12aa6</x:v>
      </x:c>
      <x:c r="S1473" t="n">
        <x:v>7</x:v>
      </x:c>
      <x:c r="T1473" t="str">
        <x:v>2018-12-31|2019-12-31|2020-12-31|2021-12-31</x:v>
      </x:c>
      <x:c r="U1473" s="57" t="n">
        <x:v>-1051.272654327603</x:v>
      </x:c>
      <x:c r="V1473" s="57" t="n">
        <x:v>-2.126765974627656</x:v>
      </x:c>
      <x:c r="W1473"/>
      <x:c r="X1473"/>
      <x:c r="Y1473" s="38" t="n">
        <x:v>0.6409090909090909</x:v>
      </x:c>
      <x:c r="Z1473" s="38" t="n">
        <x:v>0.701328758981148</x:v>
      </x:c>
      <x:c r="AA1473" t="str">
        <x:v>NON_POSITIVE_ENTERPRISE_VALUE|NON_POSITIVE_EQUITY_VALUE|NON_POSITIVE_TERMINAL_FCF</x:v>
      </x:c>
    </x:row>
    <x:row r="1474">
      <x:c r="A1474" s="54" t="n">
        <x:v>44742</x:v>
      </x:c>
      <x:c r="B1474" t="n">
        <x:v>44742.624999988424</x:v>
      </x:c>
      <x:c r="C1474" t="str">
        <x:v>204620</x:v>
      </x:c>
      <x:c r="D1474" t="str">
        <x:v>글로벌텍스프리</x:v>
      </x:c>
      <x:c r="E1474" t="str">
        <x:v>KOSDAQ</x:v>
      </x:c>
      <x:c r="F1474" t="str">
        <x:v>LARGE</x:v>
      </x:c>
      <x:c r="G1474" t="str">
        <x:v>DCF_SCREENING_EXCLUSION</x:v>
      </x:c>
      <x:c r="H1474" t="str">
        <x:v>NON_POSITIVE_ENTERPRISE_VALUE|NON_POSITIVE_EQUITY_VALUE|NON_POSITIVE_TERMINAL_FCF</x:v>
      </x:c>
      <x:c r="I1474" s="54" t="n">
        <x:v>44742</x:v>
      </x:c>
      <x:c r="J1474" s="55" t="n">
        <x:v>2515</x:v>
      </x:c>
      <x:c r="K1474" s="55" t="n">
        <x:v>130074899630</x:v>
      </x:c>
      <x:c r="L1474" s="55" t="n">
        <x:v>51719642</x:v>
      </x:c>
      <x:c r="M1474" t="str">
        <x:v>20220328000575</x:v>
      </x:c>
      <x:c r="N1474" t="n">
        <x:v>44648.624999988424</x:v>
      </x:c>
      <x:c r="O1474" s="54" t="n">
        <x:v>44561</x:v>
      </x:c>
      <x:c r="P1474" t="str">
        <x:v>False</x:v>
      </x:c>
      <x:c r="Q1474" t="str">
        <x:v>ad6efd924325363a5a5e8534853e368bbf0095f00c8bcafafab24abcc74366c1</x:v>
      </x:c>
      <x:c r="R1474" t="str">
        <x:v>247640f1dc6260e1a5a00834f9889d8635be9870a599ab26ac54ade02ba0cf4d</x:v>
      </x:c>
      <x:c r="S1474" t="n">
        <x:v>7</x:v>
      </x:c>
      <x:c r="T1474" t="str">
        <x:v>2018-12-31|2019-12-31|2020-12-31|2021-12-31</x:v>
      </x:c>
      <x:c r="U1474" s="57" t="n">
        <x:v>-658.736736793322</x:v>
      </x:c>
      <x:c r="V1474" s="57" t="n">
        <x:v>-1.2619231557826331</x:v>
      </x:c>
      <x:c r="W1474"/>
      <x:c r="X1474"/>
      <x:c r="Y1474" s="38" t="n">
        <x:v>0.6409090909090909</x:v>
      </x:c>
      <x:c r="Z1474" s="38" t="n">
        <x:v>0.6847952001444609</x:v>
      </x:c>
      <x:c r="AA1474" t="str">
        <x:v>NON_POSITIVE_ENTERPRISE_VALUE|NON_POSITIVE_EQUITY_VALUE|NON_POSITIVE_TERMINAL_FCF</x:v>
      </x:c>
    </x:row>
    <x:row r="1475">
      <x:c r="A1475" s="54" t="n">
        <x:v>44742</x:v>
      </x:c>
      <x:c r="B1475" t="n">
        <x:v>44742.624999988424</x:v>
      </x:c>
      <x:c r="C1475" t="str">
        <x:v>445090</x:v>
      </x:c>
      <x:c r="D1475" t="str">
        <x:v>에이직랜드</x:v>
      </x:c>
      <x:c r="E1475" t="str">
        <x:v>KOSDAQ</x:v>
      </x:c>
      <x:c r="F1475" t="str">
        <x:v>LARGE</x:v>
      </x:c>
      <x:c r="G1475" t="str">
        <x:v>NOT_LISTED_OR_NO_PRICE</x:v>
      </x:c>
      <x:c r="H1475"/>
      <x:c r="I1475" s="54"/>
      <x:c r="J1475" s="55"/>
      <x:c r="K1475" s="55"/>
      <x:c r="L1475" s="55"/>
      <x:c r="M1475"/>
      <x:c r="N1475"/>
      <x:c r="O1475" s="54"/>
      <x:c r="P1475"/>
      <x:c r="Q1475"/>
      <x:c r="R1475"/>
      <x:c r="S1475"/>
      <x:c r="T1475"/>
      <x:c r="U1475" s="57"/>
      <x:c r="V1475" s="57"/>
      <x:c r="W1475"/>
      <x:c r="X1475"/>
      <x:c r="Y1475" s="38"/>
      <x:c r="Z1475" s="38"/>
      <x:c r="AA1475"/>
    </x:row>
    <x:row r="1476">
      <x:c r="A1476" s="54" t="n">
        <x:v>44742</x:v>
      </x:c>
      <x:c r="B1476" t="n">
        <x:v>44742.624999988424</x:v>
      </x:c>
      <x:c r="C1476" t="str">
        <x:v>115450</x:v>
      </x:c>
      <x:c r="D1476" t="str">
        <x:v>HLB테라퓨틱스</x:v>
      </x:c>
      <x:c r="E1476" t="str">
        <x:v>KOSDAQ</x:v>
      </x:c>
      <x:c r="F1476" t="str">
        <x:v>LARGE</x:v>
      </x:c>
      <x:c r="G1476" t="str">
        <x:v>DCF_SCREENING_EXCLUSION</x:v>
      </x:c>
      <x:c r="H1476" t="str">
        <x:v>NON_POSITIVE_ENTERPRISE_VALUE|NON_POSITIVE_EQUITY_VALUE|NON_POSITIVE_TERMINAL_FCF</x:v>
      </x:c>
      <x:c r="I1476" s="54" t="n">
        <x:v>44742</x:v>
      </x:c>
      <x:c r="J1476" s="55" t="n">
        <x:v>13300</x:v>
      </x:c>
      <x:c r="K1476" s="55" t="n">
        <x:v>416758306300</x:v>
      </x:c>
      <x:c r="L1476" s="55" t="n">
        <x:v>31335211</x:v>
      </x:c>
      <x:c r="M1476" t="str">
        <x:v>20220318000493</x:v>
      </x:c>
      <x:c r="N1476" t="n">
        <x:v>44638.624999988424</x:v>
      </x:c>
      <x:c r="O1476" s="54" t="n">
        <x:v>44561</x:v>
      </x:c>
      <x:c r="P1476" t="str">
        <x:v>False</x:v>
      </x:c>
      <x:c r="Q1476" t="str">
        <x:v>19b116bac11eca83c7aadf1511c40a12d291bf58cb4fdf0f9751796946cf89f7</x:v>
      </x:c>
      <x:c r="R1476" t="str">
        <x:v>6796f979a22130ce741de8d61f21d0c70b7305365e669634e21b3a9acc14c7e4</x:v>
      </x:c>
      <x:c r="S1476" t="n">
        <x:v>6</x:v>
      </x:c>
      <x:c r="T1476" t="str">
        <x:v>2018-12-31|2019-12-31|2020-12-31|2021-12-31</x:v>
      </x:c>
      <x:c r="U1476" s="57" t="n">
        <x:v>-2031.1495374094657</x:v>
      </x:c>
      <x:c r="V1476" s="57" t="n">
        <x:v>-1.1527180103315389</x:v>
      </x:c>
      <x:c r="W1476"/>
      <x:c r="X1476"/>
      <x:c r="Y1476" s="38" t="n">
        <x:v>0.6409090909090909</x:v>
      </x:c>
      <x:c r="Z1476" s="38" t="n">
        <x:v>0.7008058105901518</x:v>
      </x:c>
      <x:c r="AA1476" t="str">
        <x:v>NON_POSITIVE_ENTERPRISE_VALUE|NON_POSITIVE_EQUITY_VALUE|NON_POSITIVE_TERMINAL_FCF</x:v>
      </x:c>
    </x:row>
    <x:row r="1477">
      <x:c r="A1477" s="54" t="n">
        <x:v>44742</x:v>
      </x:c>
      <x:c r="B1477" t="n">
        <x:v>44742.624999988424</x:v>
      </x:c>
      <x:c r="C1477" t="str">
        <x:v>035420</x:v>
      </x:c>
      <x:c r="D1477" t="str">
        <x:v>NAVER</x:v>
      </x:c>
      <x:c r="E1477" t="str">
        <x:v>KOSPI</x:v>
      </x:c>
      <x:c r="F1477" t="str">
        <x:v>LARGE</x:v>
      </x:c>
      <x:c r="G1477" t="str">
        <x:v>ELIGIBLE</x:v>
      </x:c>
      <x:c r="H1477"/>
      <x:c r="I1477" s="54" t="n">
        <x:v>44742</x:v>
      </x:c>
      <x:c r="J1477" s="55" t="n">
        <x:v>240000</x:v>
      </x:c>
      <x:c r="K1477" s="55" t="n">
        <x:v>39371780400000</x:v>
      </x:c>
      <x:c r="L1477" s="55" t="n">
        <x:v>164049085</x:v>
      </x:c>
      <x:c r="M1477" t="str">
        <x:v>20220304000687</x:v>
      </x:c>
      <x:c r="N1477" t="n">
        <x:v>44624.624999988424</x:v>
      </x:c>
      <x:c r="O1477" s="54" t="n">
        <x:v>44561</x:v>
      </x:c>
      <x:c r="P1477" t="str">
        <x:v>False</x:v>
      </x:c>
      <x:c r="Q1477" t="str">
        <x:v>8062dc2efd520120838c1783c4c22ec37df88a95ada7b3f569c86f66bca19e98</x:v>
      </x:c>
      <x:c r="R1477" t="str">
        <x:v>b699f0151426f842e3bf3a89f7ccc2473161a634c6656b22467bbaf7ada9edd3</x:v>
      </x:c>
      <x:c r="S1477" t="n">
        <x:v>6</x:v>
      </x:c>
      <x:c r="T1477" t="str">
        <x:v>2018-12-31|2019-12-31|2020-12-31|2021-12-31</x:v>
      </x:c>
      <x:c r="U1477" s="57" t="n">
        <x:v>90110.51803973874</x:v>
      </x:c>
      <x:c r="V1477" s="57" t="n">
        <x:v>-0.6245395081677552</x:v>
      </x:c>
      <x:c r="W1477" t="n">
        <x:v>51</x:v>
      </x:c>
      <x:c r="X1477" t="n">
        <x:v>4</x:v>
      </x:c>
      <x:c r="Y1477" s="38" t="n">
        <x:v>0.6409090909090909</x:v>
      </x:c>
      <x:c r="Z1477" s="38" t="n">
        <x:v>0.7130098333809185</x:v>
      </x:c>
      <x:c r="AA1477"/>
    </x:row>
    <x:row r="1478">
      <x:c r="A1478" s="54" t="n">
        <x:v>44742</x:v>
      </x:c>
      <x:c r="B1478" t="n">
        <x:v>44742.624999988424</x:v>
      </x:c>
      <x:c r="C1478" t="str">
        <x:v>030200</x:v>
      </x:c>
      <x:c r="D1478" t="str">
        <x:v>KT</x:v>
      </x:c>
      <x:c r="E1478" t="str">
        <x:v>KOSPI</x:v>
      </x:c>
      <x:c r="F1478" t="str">
        <x:v>LARGE</x:v>
      </x:c>
      <x:c r="G1478" t="str">
        <x:v>ELIGIBLE</x:v>
      </x:c>
      <x:c r="H1478"/>
      <x:c r="I1478" s="54" t="n">
        <x:v>44742</x:v>
      </x:c>
      <x:c r="J1478" s="55" t="n">
        <x:v>36450</x:v>
      </x:c>
      <x:c r="K1478" s="55" t="n">
        <x:v>9517525401600</x:v>
      </x:c>
      <x:c r="L1478" s="55" t="n">
        <x:v>261111808</x:v>
      </x:c>
      <x:c r="M1478" t="str">
        <x:v>20220323001025</x:v>
      </x:c>
      <x:c r="N1478" t="n">
        <x:v>44643.624999988424</x:v>
      </x:c>
      <x:c r="O1478" s="54" t="n">
        <x:v>44561</x:v>
      </x:c>
      <x:c r="P1478" t="str">
        <x:v>False</x:v>
      </x:c>
      <x:c r="Q1478" t="str">
        <x:v>9773eff6dca32e975b54776fef1d2328155afd728302ed27a21c95f6964efe30</x:v>
      </x:c>
      <x:c r="R1478" t="str">
        <x:v>6f61742c132190f81273700516063bc7041cd22ce8b158d3b049602bffce13e3</x:v>
      </x:c>
      <x:c r="S1478" t="n">
        <x:v>6</x:v>
      </x:c>
      <x:c r="T1478" t="str">
        <x:v>2018-12-31|2019-12-31|2020-12-31|2021-12-31</x:v>
      </x:c>
      <x:c r="U1478" s="57" t="n">
        <x:v>49888.059619663385</x:v>
      </x:c>
      <x:c r="V1478" s="57" t="n">
        <x:v>0.36867104580695154</x:v>
      </x:c>
      <x:c r="W1478" t="n">
        <x:v>14</x:v>
      </x:c>
      <x:c r="X1478" t="n">
        <x:v>1</x:v>
      </x:c>
      <x:c r="Y1478" s="38" t="n">
        <x:v>0.6409090909090909</x:v>
      </x:c>
      <x:c r="Z1478" s="38" t="n">
        <x:v>0.664036442335115</x:v>
      </x:c>
      <x:c r="AA1478"/>
    </x:row>
    <x:row r="1479">
      <x:c r="A1479" s="54" t="n">
        <x:v>44742</x:v>
      </x:c>
      <x:c r="B1479" t="n">
        <x:v>44742.624999988424</x:v>
      </x:c>
      <x:c r="C1479" t="str">
        <x:v>018260</x:v>
      </x:c>
      <x:c r="D1479" t="str">
        <x:v>삼성에스디에스</x:v>
      </x:c>
      <x:c r="E1479" t="str">
        <x:v>KOSPI</x:v>
      </x:c>
      <x:c r="F1479" t="str">
        <x:v>LARGE</x:v>
      </x:c>
      <x:c r="G1479" t="str">
        <x:v>ELIGIBLE</x:v>
      </x:c>
      <x:c r="H1479"/>
      <x:c r="I1479" s="54" t="n">
        <x:v>44742</x:v>
      </x:c>
      <x:c r="J1479" s="55" t="n">
        <x:v>130000</x:v>
      </x:c>
      <x:c r="K1479" s="55" t="n">
        <x:v>10059114000000</x:v>
      </x:c>
      <x:c r="L1479" s="55" t="n">
        <x:v>77377800</x:v>
      </x:c>
      <x:c r="M1479" t="str">
        <x:v>20220308000737</x:v>
      </x:c>
      <x:c r="N1479" t="n">
        <x:v>44628.624999988424</x:v>
      </x:c>
      <x:c r="O1479" s="54" t="n">
        <x:v>44561</x:v>
      </x:c>
      <x:c r="P1479" t="str">
        <x:v>False</x:v>
      </x:c>
      <x:c r="Q1479" t="str">
        <x:v>38aa268ec71e5b47b845550cd28018f2fe3009e7cc818f7b44ace1b7a237b51e</x:v>
      </x:c>
      <x:c r="R1479" t="str">
        <x:v>cf1d658682de167bf9e49e741d4c7221903595ba111cb88043d08f3bbe7a9e90</x:v>
      </x:c>
      <x:c r="S1479" t="n">
        <x:v>6</x:v>
      </x:c>
      <x:c r="T1479" t="str">
        <x:v>2018-12-31|2019-12-31|2020-12-31|2021-12-31</x:v>
      </x:c>
      <x:c r="U1479" s="57" t="n">
        <x:v>148624.48194424633</x:v>
      </x:c>
      <x:c r="V1479" s="57" t="n">
        <x:v>0.14326524572497182</x:v>
      </x:c>
      <x:c r="W1479" t="n">
        <x:v>20</x:v>
      </x:c>
      <x:c r="X1479" t="n">
        <x:v>2</x:v>
      </x:c>
      <x:c r="Y1479" s="38" t="n">
        <x:v>0.6409090909090909</x:v>
      </x:c>
      <x:c r="Z1479" s="38" t="n">
        <x:v>0.7444527110580923</x:v>
      </x:c>
      <x:c r="AA1479"/>
    </x:row>
    <x:row r="1480">
      <x:c r="A1480" s="54" t="n">
        <x:v>44742</x:v>
      </x:c>
      <x:c r="B1480" t="n">
        <x:v>44742.624999988424</x:v>
      </x:c>
      <x:c r="C1480" t="str">
        <x:v>090430</x:v>
      </x:c>
      <x:c r="D1480" t="str">
        <x:v>아모레퍼시픽</x:v>
      </x:c>
      <x:c r="E1480" t="str">
        <x:v>KOSPI</x:v>
      </x:c>
      <x:c r="F1480" t="str">
        <x:v>LARGE</x:v>
      </x:c>
      <x:c r="G1480" t="str">
        <x:v>ELIGIBLE</x:v>
      </x:c>
      <x:c r="H1480"/>
      <x:c r="I1480" s="54" t="n">
        <x:v>44742</x:v>
      </x:c>
      <x:c r="J1480" s="55" t="n">
        <x:v>130000</x:v>
      </x:c>
      <x:c r="K1480" s="55" t="n">
        <x:v>7604058670000</x:v>
      </x:c>
      <x:c r="L1480" s="55" t="n">
        <x:v>58492759</x:v>
      </x:c>
      <x:c r="M1480" t="str">
        <x:v>20220316000772</x:v>
      </x:c>
      <x:c r="N1480" t="n">
        <x:v>44636.624999988424</x:v>
      </x:c>
      <x:c r="O1480" s="54" t="n">
        <x:v>44561</x:v>
      </x:c>
      <x:c r="P1480" t="str">
        <x:v>False</x:v>
      </x:c>
      <x:c r="Q1480" t="str">
        <x:v>1f2a22cf38a5f17871d37e4f5dc35c86496866290651a5413ea91f13146c364c</x:v>
      </x:c>
      <x:c r="R1480" t="str">
        <x:v>be8f83dd3d5391a7945fa7f9ac094116afd24bcf4680ddf025b3cbf1c916208e</x:v>
      </x:c>
      <x:c r="S1480" t="n">
        <x:v>6</x:v>
      </x:c>
      <x:c r="T1480" t="str">
        <x:v>2018-12-31|2019-12-31|2020-12-31|2021-12-31</x:v>
      </x:c>
      <x:c r="U1480" s="57" t="n">
        <x:v>51339.05035733971</x:v>
      </x:c>
      <x:c r="V1480" s="57" t="n">
        <x:v>-0.6050842280204638</x:v>
      </x:c>
      <x:c r="W1480" t="n">
        <x:v>49</x:v>
      </x:c>
      <x:c r="X1480" t="n">
        <x:v>4</x:v>
      </x:c>
      <x:c r="Y1480" s="38" t="n">
        <x:v>0.6409090909090909</x:v>
      </x:c>
      <x:c r="Z1480" s="38" t="n">
        <x:v>0.7160228310475385</x:v>
      </x:c>
      <x:c r="AA1480"/>
    </x:row>
    <x:row r="1481">
      <x:c r="A1481" s="54" t="n">
        <x:v>44742</x:v>
      </x:c>
      <x:c r="B1481" t="n">
        <x:v>44742.624999988424</x:v>
      </x:c>
      <x:c r="C1481" t="str">
        <x:v>278470</x:v>
      </x:c>
      <x:c r="D1481" t="str">
        <x:v>에이피알</x:v>
      </x:c>
      <x:c r="E1481" t="str">
        <x:v>KOSPI</x:v>
      </x:c>
      <x:c r="F1481" t="str">
        <x:v>LARGE</x:v>
      </x:c>
      <x:c r="G1481" t="str">
        <x:v>NOT_LISTED_OR_NO_PRICE</x:v>
      </x:c>
      <x:c r="H1481"/>
      <x:c r="I1481" s="54"/>
      <x:c r="J1481" s="55"/>
      <x:c r="K1481" s="55"/>
      <x:c r="L1481" s="55"/>
      <x:c r="M1481"/>
      <x:c r="N1481"/>
      <x:c r="O1481" s="54"/>
      <x:c r="P1481"/>
      <x:c r="Q1481"/>
      <x:c r="R1481"/>
      <x:c r="S1481"/>
      <x:c r="T1481"/>
      <x:c r="U1481" s="57"/>
      <x:c r="V1481" s="57"/>
      <x:c r="W1481"/>
      <x:c r="X1481"/>
      <x:c r="Y1481" s="38"/>
      <x:c r="Z1481" s="38"/>
      <x:c r="AA1481"/>
    </x:row>
    <x:row r="1482">
      <x:c r="A1482" s="54" t="n">
        <x:v>44742</x:v>
      </x:c>
      <x:c r="B1482" t="n">
        <x:v>44742.624999988424</x:v>
      </x:c>
      <x:c r="C1482" t="str">
        <x:v>006260</x:v>
      </x:c>
      <x:c r="D1482" t="str">
        <x:v>LS</x:v>
      </x:c>
      <x:c r="E1482" t="str">
        <x:v>KOSPI</x:v>
      </x:c>
      <x:c r="F1482" t="str">
        <x:v>LARGE</x:v>
      </x:c>
      <x:c r="G1482" t="str">
        <x:v>ELIGIBLE</x:v>
      </x:c>
      <x:c r="H1482"/>
      <x:c r="I1482" s="54" t="n">
        <x:v>44742</x:v>
      </x:c>
      <x:c r="J1482" s="55" t="n">
        <x:v>63600</x:v>
      </x:c>
      <x:c r="K1482" s="55" t="n">
        <x:v>2047920000000</x:v>
      </x:c>
      <x:c r="L1482" s="55" t="n">
        <x:v>32200000</x:v>
      </x:c>
      <x:c r="M1482" t="str">
        <x:v>20220321001306</x:v>
      </x:c>
      <x:c r="N1482" t="n">
        <x:v>44641.624999988424</x:v>
      </x:c>
      <x:c r="O1482" s="54" t="n">
        <x:v>44561</x:v>
      </x:c>
      <x:c r="P1482" t="str">
        <x:v>False</x:v>
      </x:c>
      <x:c r="Q1482" t="str">
        <x:v>fc618c60adc023ca76aeeab8e90a7b9805e086e0e9a3002a54c537bc55178ab9</x:v>
      </x:c>
      <x:c r="R1482" t="str">
        <x:v>ee4dce741094d997c599cb5bd8d6799ab50260dd452eea046c6ccbcbf3e86bb1</x:v>
      </x:c>
      <x:c r="S1482" t="n">
        <x:v>6</x:v>
      </x:c>
      <x:c r="T1482" t="str">
        <x:v>2017-12-31|2018-12-31|2019-12-31|2020-12-31|2021-12-31</x:v>
      </x:c>
      <x:c r="U1482" s="57" t="n">
        <x:v>97062.99213156228</x:v>
      </x:c>
      <x:c r="V1482" s="57" t="n">
        <x:v>0.526147675024564</x:v>
      </x:c>
      <x:c r="W1482" t="n">
        <x:v>11</x:v>
      </x:c>
      <x:c r="X1482" t="n">
        <x:v>1</x:v>
      </x:c>
      <x:c r="Y1482" s="38" t="n">
        <x:v>0.6409090909090909</x:v>
      </x:c>
      <x:c r="Z1482" s="38" t="n">
        <x:v>0.7104670417334864</x:v>
      </x:c>
      <x:c r="AA1482"/>
    </x:row>
    <x:row r="1483">
      <x:c r="A1483" s="54" t="n">
        <x:v>44742</x:v>
      </x:c>
      <x:c r="B1483" t="n">
        <x:v>44742.624999988424</x:v>
      </x:c>
      <x:c r="C1483" t="str">
        <x:v>454910</x:v>
      </x:c>
      <x:c r="D1483" t="str">
        <x:v>두산로보틱스</x:v>
      </x:c>
      <x:c r="E1483" t="str">
        <x:v>KOSPI</x:v>
      </x:c>
      <x:c r="F1483" t="str">
        <x:v>LARGE</x:v>
      </x:c>
      <x:c r="G1483" t="str">
        <x:v>NOT_LISTED_OR_NO_PRICE</x:v>
      </x:c>
      <x:c r="H1483"/>
      <x:c r="I1483" s="54"/>
      <x:c r="J1483" s="55"/>
      <x:c r="K1483" s="55"/>
      <x:c r="L1483" s="55"/>
      <x:c r="M1483"/>
      <x:c r="N1483"/>
      <x:c r="O1483" s="54"/>
      <x:c r="P1483"/>
      <x:c r="Q1483"/>
      <x:c r="R1483"/>
      <x:c r="S1483"/>
      <x:c r="T1483"/>
      <x:c r="U1483" s="57"/>
      <x:c r="V1483" s="57"/>
      <x:c r="W1483"/>
      <x:c r="X1483"/>
      <x:c r="Y1483" s="38"/>
      <x:c r="Z1483" s="38"/>
      <x:c r="AA1483"/>
    </x:row>
    <x:row r="1484">
      <x:c r="A1484" s="54" t="n">
        <x:v>44742</x:v>
      </x:c>
      <x:c r="B1484" t="n">
        <x:v>44742.624999988424</x:v>
      </x:c>
      <x:c r="C1484" t="str">
        <x:v>012750</x:v>
      </x:c>
      <x:c r="D1484" t="str">
        <x:v>에스원</x:v>
      </x:c>
      <x:c r="E1484" t="str">
        <x:v>KOSPI</x:v>
      </x:c>
      <x:c r="F1484" t="str">
        <x:v>LARGE</x:v>
      </x:c>
      <x:c r="G1484" t="str">
        <x:v>ELIGIBLE</x:v>
      </x:c>
      <x:c r="H1484"/>
      <x:c r="I1484" s="54" t="n">
        <x:v>44742</x:v>
      </x:c>
      <x:c r="J1484" s="55" t="n">
        <x:v>64200</x:v>
      </x:c>
      <x:c r="K1484" s="55" t="n">
        <x:v>2439547227600</x:v>
      </x:c>
      <x:c r="L1484" s="55" t="n">
        <x:v>37999178</x:v>
      </x:c>
      <x:c r="M1484" t="str">
        <x:v>20220308000980</x:v>
      </x:c>
      <x:c r="N1484" t="n">
        <x:v>44628.624999988424</x:v>
      </x:c>
      <x:c r="O1484" s="54" t="n">
        <x:v>44561</x:v>
      </x:c>
      <x:c r="P1484" t="str">
        <x:v>False</x:v>
      </x:c>
      <x:c r="Q1484" t="str">
        <x:v>cec7e2443b6d929ff3ce1f705e82edd95d1335ba81c3abd09d81ee04ce512714</x:v>
      </x:c>
      <x:c r="R1484" t="str">
        <x:v>d0def0bed3ea87eb005eb2ae3f4fbfca3ad3a18c84025c562c37472834ad011a</x:v>
      </x:c>
      <x:c r="S1484" t="n">
        <x:v>6</x:v>
      </x:c>
      <x:c r="T1484" t="str">
        <x:v>2018-12-31|2019-12-31|2020-12-31|2021-12-31</x:v>
      </x:c>
      <x:c r="U1484" s="57" t="n">
        <x:v>47044.103793118324</x:v>
      </x:c>
      <x:c r="V1484" s="57" t="n">
        <x:v>-0.26722579761497933</x:v>
      </x:c>
      <x:c r="W1484" t="n">
        <x:v>31</x:v>
      </x:c>
      <x:c r="X1484" t="n">
        <x:v>3</x:v>
      </x:c>
      <x:c r="Y1484" s="38" t="n">
        <x:v>0.6409090909090909</x:v>
      </x:c>
      <x:c r="Z1484" s="38" t="n">
        <x:v>0.7281119900370651</x:v>
      </x:c>
      <x:c r="AA1484"/>
    </x:row>
    <x:row r="1485">
      <x:c r="A1485" s="54" t="n">
        <x:v>44742</x:v>
      </x:c>
      <x:c r="B1485" t="n">
        <x:v>44742.624999988424</x:v>
      </x:c>
      <x:c r="C1485" t="str">
        <x:v>081660</x:v>
      </x:c>
      <x:c r="D1485" t="str">
        <x:v>미스토홀딩스</x:v>
      </x:c>
      <x:c r="E1485" t="str">
        <x:v>KOSPI</x:v>
      </x:c>
      <x:c r="F1485" t="str">
        <x:v>LARGE</x:v>
      </x:c>
      <x:c r="G1485" t="str">
        <x:v>EXCLUDED_ARCHETYPE</x:v>
      </x:c>
      <x:c r="H1485" t="str">
        <x:v>FCFF_NOT_COMPARABLE_FOR_FINANCE_OR_HOLDING_HINT</x:v>
      </x:c>
      <x:c r="I1485" s="54"/>
      <x:c r="J1485" s="55"/>
      <x:c r="K1485" s="55"/>
      <x:c r="L1485" s="55"/>
      <x:c r="M1485"/>
      <x:c r="N1485"/>
      <x:c r="O1485" s="54"/>
      <x:c r="P1485"/>
      <x:c r="Q1485"/>
      <x:c r="R1485"/>
      <x:c r="S1485"/>
      <x:c r="T1485"/>
      <x:c r="U1485" s="57"/>
      <x:c r="V1485" s="57"/>
      <x:c r="W1485"/>
      <x:c r="X1485"/>
      <x:c r="Y1485" s="38"/>
      <x:c r="Z1485" s="38"/>
      <x:c r="AA1485"/>
    </x:row>
    <x:row r="1486">
      <x:c r="A1486" s="54" t="n">
        <x:v>44742</x:v>
      </x:c>
      <x:c r="B1486" t="n">
        <x:v>44742.624999988424</x:v>
      </x:c>
      <x:c r="C1486" t="str">
        <x:v>282330</x:v>
      </x:c>
      <x:c r="D1486" t="str">
        <x:v>BGF리테일</x:v>
      </x:c>
      <x:c r="E1486" t="str">
        <x:v>KOSPI</x:v>
      </x:c>
      <x:c r="F1486" t="str">
        <x:v>LARGE</x:v>
      </x:c>
      <x:c r="G1486" t="str">
        <x:v>ELIGIBLE</x:v>
      </x:c>
      <x:c r="H1486"/>
      <x:c r="I1486" s="54" t="n">
        <x:v>44742</x:v>
      </x:c>
      <x:c r="J1486" s="55" t="n">
        <x:v>189000</x:v>
      </x:c>
      <x:c r="K1486" s="55" t="n">
        <x:v>3266658234000</x:v>
      </x:c>
      <x:c r="L1486" s="55" t="n">
        <x:v>17283906</x:v>
      </x:c>
      <x:c r="M1486" t="str">
        <x:v>20220321001041</x:v>
      </x:c>
      <x:c r="N1486" t="n">
        <x:v>44641.624999988424</x:v>
      </x:c>
      <x:c r="O1486" s="54" t="n">
        <x:v>44561</x:v>
      </x:c>
      <x:c r="P1486" t="str">
        <x:v>False</x:v>
      </x:c>
      <x:c r="Q1486" t="str">
        <x:v>651736971ff0b9b9188968659f9c2f1ffeb75f8c2930c8ac2af586a189e0cfba</x:v>
      </x:c>
      <x:c r="R1486" t="str">
        <x:v>e0b4f923f8575e89ee093b500db780d210168598911d0b837e7d4ca63024d313</x:v>
      </x:c>
      <x:c r="S1486" t="n">
        <x:v>6</x:v>
      </x:c>
      <x:c r="T1486" t="str">
        <x:v>2018-12-31|2019-12-31|2020-12-31|2021-12-31</x:v>
      </x:c>
      <x:c r="U1486" s="57" t="n">
        <x:v>84617.55770400933</x:v>
      </x:c>
      <x:c r="V1486" s="57" t="n">
        <x:v>-0.552288054476141</x:v>
      </x:c>
      <x:c r="W1486" t="n">
        <x:v>46</x:v>
      </x:c>
      <x:c r="X1486" t="n">
        <x:v>4</x:v>
      </x:c>
      <x:c r="Y1486" s="38" t="n">
        <x:v>0.6409090909090909</x:v>
      </x:c>
      <x:c r="Z1486" s="38" t="n">
        <x:v>0.7132111125746716</x:v>
      </x:c>
      <x:c r="AA1486"/>
    </x:row>
    <x:row r="1487">
      <x:c r="A1487" s="54" t="n">
        <x:v>44742</x:v>
      </x:c>
      <x:c r="B1487" t="n">
        <x:v>44742.624999988424</x:v>
      </x:c>
      <x:c r="C1487" t="str">
        <x:v>023590</x:v>
      </x:c>
      <x:c r="D1487" t="str">
        <x:v>다우기술</x:v>
      </x:c>
      <x:c r="E1487" t="str">
        <x:v>KOSPI</x:v>
      </x:c>
      <x:c r="F1487" t="str">
        <x:v>LARGE</x:v>
      </x:c>
      <x:c r="G1487" t="str">
        <x:v>ELIGIBLE</x:v>
      </x:c>
      <x:c r="H1487"/>
      <x:c r="I1487" s="54" t="n">
        <x:v>44742</x:v>
      </x:c>
      <x:c r="J1487" s="55" t="n">
        <x:v>17450</x:v>
      </x:c>
      <x:c r="K1487" s="55" t="n">
        <x:v>782922466650</x:v>
      </x:c>
      <x:c r="L1487" s="55" t="n">
        <x:v>44866617</x:v>
      </x:c>
      <x:c r="M1487" t="str">
        <x:v>20220324000698</x:v>
      </x:c>
      <x:c r="N1487" t="n">
        <x:v>44644.624999988424</x:v>
      </x:c>
      <x:c r="O1487" s="54" t="n">
        <x:v>44561</x:v>
      </x:c>
      <x:c r="P1487" t="str">
        <x:v>True</x:v>
      </x:c>
      <x:c r="Q1487" t="str">
        <x:v>d0a46c46e27c8ae567a1dfc53454f300052035b327ed42abee11ed73f4655af4</x:v>
      </x:c>
      <x:c r="R1487" t="str">
        <x:v>8cf29e2e38938abfb231b4a20cb9ee8fe75d696d12fdb390fc02fa850ff809a7</x:v>
      </x:c>
      <x:c r="S1487" t="n">
        <x:v>7</x:v>
      </x:c>
      <x:c r="T1487" t="str">
        <x:v>2015-12-31|2016-12-31|2017-12-31|2018-12-31|2019-12-31|2020-12-31|2021-12-31</x:v>
      </x:c>
      <x:c r="U1487" s="57" t="n">
        <x:v>93413.85451487372</x:v>
      </x:c>
      <x:c r="V1487" s="57" t="n">
        <x:v>4.35322948509305</x:v>
      </x:c>
      <x:c r="W1487" t="n">
        <x:v>3</x:v>
      </x:c>
      <x:c r="X1487" t="n">
        <x:v>1</x:v>
      </x:c>
      <x:c r="Y1487" s="38" t="n">
        <x:v>0.6409090909090909</x:v>
      </x:c>
      <x:c r="Z1487" s="38" t="n">
        <x:v>0.7191763171494087</x:v>
      </x:c>
      <x:c r="AA1487"/>
    </x:row>
    <x:row r="1488">
      <x:c r="A1488" s="54" t="n">
        <x:v>44742</x:v>
      </x:c>
      <x:c r="B1488" t="n">
        <x:v>44742.624999988424</x:v>
      </x:c>
      <x:c r="C1488" t="str">
        <x:v>300720</x:v>
      </x:c>
      <x:c r="D1488" t="str">
        <x:v>한일시멘트</x:v>
      </x:c>
      <x:c r="E1488" t="str">
        <x:v>KOSPI</x:v>
      </x:c>
      <x:c r="F1488" t="str">
        <x:v>LARGE</x:v>
      </x:c>
      <x:c r="G1488" t="str">
        <x:v>ELIGIBLE</x:v>
      </x:c>
      <x:c r="H1488"/>
      <x:c r="I1488" s="54" t="n">
        <x:v>44742</x:v>
      </x:c>
      <x:c r="J1488" s="55" t="n">
        <x:v>13350</x:v>
      </x:c>
      <x:c r="K1488" s="55" t="n">
        <x:v>924641559000</x:v>
      </x:c>
      <x:c r="L1488" s="55" t="n">
        <x:v>69261540</x:v>
      </x:c>
      <x:c r="M1488" t="str">
        <x:v>20220318000879</x:v>
      </x:c>
      <x:c r="N1488" t="n">
        <x:v>44638.624999988424</x:v>
      </x:c>
      <x:c r="O1488" s="54" t="n">
        <x:v>44561</x:v>
      </x:c>
      <x:c r="P1488" t="str">
        <x:v>False</x:v>
      </x:c>
      <x:c r="Q1488" t="str">
        <x:v>b196a80dcf59e61dbe3d67ba0a09efff25d1f6208c8248f423e92d47fe25d712</x:v>
      </x:c>
      <x:c r="R1488" t="str">
        <x:v>ad87301155d8a4e6539ee50da42c0e93e9271ccfed51cff4c306a5b90517ff77</x:v>
      </x:c>
      <x:c r="S1488" t="n">
        <x:v>6</x:v>
      </x:c>
      <x:c r="T1488" t="str">
        <x:v>2019-12-31|2020-12-31|2021-12-31</x:v>
      </x:c>
      <x:c r="U1488" s="57" t="n">
        <x:v>16562.403284589214</x:v>
      </x:c>
      <x:c r="V1488" s="57" t="n">
        <x:v>0.24062945951979145</x:v>
      </x:c>
      <x:c r="W1488" t="n">
        <x:v>16</x:v>
      </x:c>
      <x:c r="X1488" t="n">
        <x:v>2</x:v>
      </x:c>
      <x:c r="Y1488" s="38" t="n">
        <x:v>0.6409090909090909</x:v>
      </x:c>
      <x:c r="Z1488" s="38" t="n">
        <x:v>0.7149594422554854</x:v>
      </x:c>
      <x:c r="AA1488"/>
    </x:row>
    <x:row r="1489">
      <x:c r="A1489" s="54" t="n">
        <x:v>44742</x:v>
      </x:c>
      <x:c r="B1489" t="n">
        <x:v>44742.624999988424</x:v>
      </x:c>
      <x:c r="C1489" t="str">
        <x:v>007070</x:v>
      </x:c>
      <x:c r="D1489" t="str">
        <x:v>GS리테일</x:v>
      </x:c>
      <x:c r="E1489" t="str">
        <x:v>KOSPI</x:v>
      </x:c>
      <x:c r="F1489" t="str">
        <x:v>LARGE</x:v>
      </x:c>
      <x:c r="G1489" t="str">
        <x:v>DCF_SCREENING_EXCLUSION</x:v>
      </x:c>
      <x:c r="H1489" t="str">
        <x:v>NON_POSITIVE_EQUITY_VALUE</x:v>
      </x:c>
      <x:c r="I1489" s="54" t="n">
        <x:v>44742</x:v>
      </x:c>
      <x:c r="J1489" s="55" t="n">
        <x:v>25650</x:v>
      </x:c>
      <x:c r="K1489" s="55" t="n">
        <x:v>2686014699300</x:v>
      </x:c>
      <x:c r="L1489" s="55" t="n">
        <x:v>104717922</x:v>
      </x:c>
      <x:c r="M1489" t="str">
        <x:v>20220317001215</x:v>
      </x:c>
      <x:c r="N1489" t="n">
        <x:v>44637.624999988424</x:v>
      </x:c>
      <x:c r="O1489" s="54" t="n">
        <x:v>44561</x:v>
      </x:c>
      <x:c r="P1489" t="str">
        <x:v>False</x:v>
      </x:c>
      <x:c r="Q1489" t="str">
        <x:v>f64b3c79e40a2ceb1645ef31fe31ccca916ab600cdc6d604592b2c3031c2f744</x:v>
      </x:c>
      <x:c r="R1489" t="str">
        <x:v>e9b2f019099ecb24a9c28a1127d88758685b3d86aa672865957d93c7ccc37d57</x:v>
      </x:c>
      <x:c r="S1489" t="n">
        <x:v>6</x:v>
      </x:c>
      <x:c r="T1489" t="str">
        <x:v>2018-12-31|2019-12-31|2020-12-31|2021-12-31</x:v>
      </x:c>
      <x:c r="U1489" s="57" t="n">
        <x:v>-3644.2924059700817</x:v>
      </x:c>
      <x:c r="V1489" s="57" t="n">
        <x:v>-1.142077676646007</x:v>
      </x:c>
      <x:c r="W1489"/>
      <x:c r="X1489"/>
      <x:c r="Y1489" s="38" t="n">
        <x:v>0.6409090909090909</x:v>
      </x:c>
      <x:c r="Z1489" s="38" t="n">
        <x:v>0.7332893647436171</x:v>
      </x:c>
      <x:c r="AA1489" t="str">
        <x:v>NON_POSITIVE_EQUITY_VALUE</x:v>
      </x:c>
    </x:row>
    <x:row r="1490">
      <x:c r="A1490" s="54" t="n">
        <x:v>44742</x:v>
      </x:c>
      <x:c r="B1490" t="n">
        <x:v>44742.624999988424</x:v>
      </x:c>
      <x:c r="C1490" t="str">
        <x:v>280360</x:v>
      </x:c>
      <x:c r="D1490" t="str">
        <x:v>롯데웰푸드</x:v>
      </x:c>
      <x:c r="E1490" t="str">
        <x:v>KOSPI</x:v>
      </x:c>
      <x:c r="F1490" t="str">
        <x:v>LARGE</x:v>
      </x:c>
      <x:c r="G1490" t="str">
        <x:v>ELIGIBLE</x:v>
      </x:c>
      <x:c r="H1490"/>
      <x:c r="I1490" s="54" t="n">
        <x:v>44742</x:v>
      </x:c>
      <x:c r="J1490" s="55" t="n">
        <x:v>119000</x:v>
      </x:c>
      <x:c r="K1490" s="55" t="n">
        <x:v>763589323000</x:v>
      </x:c>
      <x:c r="L1490" s="55" t="n">
        <x:v>6416717</x:v>
      </x:c>
      <x:c r="M1490" t="str">
        <x:v>20220315001046</x:v>
      </x:c>
      <x:c r="N1490" t="n">
        <x:v>44635.624999988424</x:v>
      </x:c>
      <x:c r="O1490" s="54" t="n">
        <x:v>44561</x:v>
      </x:c>
      <x:c r="P1490" t="str">
        <x:v>False</x:v>
      </x:c>
      <x:c r="Q1490" t="str">
        <x:v>f16cc84e5e84a78e01941a6d8724081baed110f487f36c5f2e64119753cf828a</x:v>
      </x:c>
      <x:c r="R1490" t="str">
        <x:v>bbe3dc1762297940426e40878e7befb3db43e1bb0b5e630c135b1803aa2730fd</x:v>
      </x:c>
      <x:c r="S1490" t="n">
        <x:v>5</x:v>
      </x:c>
      <x:c r="T1490" t="str">
        <x:v>2018-12-31|2019-12-31|2020-12-31|2021-12-31</x:v>
      </x:c>
      <x:c r="U1490" s="57" t="n">
        <x:v>298475.4004246722</x:v>
      </x:c>
      <x:c r="V1490" s="57" t="n">
        <x:v>1.508196642224136</x:v>
      </x:c>
      <x:c r="W1490" t="n">
        <x:v>6</x:v>
      </x:c>
      <x:c r="X1490" t="n">
        <x:v>1</x:v>
      </x:c>
      <x:c r="Y1490" s="38" t="n">
        <x:v>0.6409090909090909</x:v>
      </x:c>
      <x:c r="Z1490" s="38" t="n">
        <x:v>0.7026857389622789</x:v>
      </x:c>
      <x:c r="AA1490"/>
    </x:row>
    <x:row r="1491">
      <x:c r="A1491" s="54" t="n">
        <x:v>44742</x:v>
      </x:c>
      <x:c r="B1491" t="n">
        <x:v>44742.624999988424</x:v>
      </x:c>
      <x:c r="C1491" t="str">
        <x:v>039130</x:v>
      </x:c>
      <x:c r="D1491" t="str">
        <x:v>하나투어</x:v>
      </x:c>
      <x:c r="E1491" t="str">
        <x:v>KOSPI</x:v>
      </x:c>
      <x:c r="F1491" t="str">
        <x:v>LARGE</x:v>
      </x:c>
      <x:c r="G1491" t="str">
        <x:v>DCF_SCREENING_EXCLUSION</x:v>
      </x:c>
      <x:c r="H1491" t="str">
        <x:v>NON_POSITIVE_ENTERPRISE_VALUE|NON_POSITIVE_EQUITY_VALUE|NON_POSITIVE_TERMINAL_FCF</x:v>
      </x:c>
      <x:c r="I1491" s="54" t="n">
        <x:v>44742</x:v>
      </x:c>
      <x:c r="J1491" s="55" t="n">
        <x:v>54000</x:v>
      </x:c>
      <x:c r="K1491" s="55" t="n">
        <x:v>752715990000</x:v>
      </x:c>
      <x:c r="L1491" s="55" t="n">
        <x:v>13939185</x:v>
      </x:c>
      <x:c r="M1491" t="str">
        <x:v>20220317001007</x:v>
      </x:c>
      <x:c r="N1491" t="n">
        <x:v>44637.624999988424</x:v>
      </x:c>
      <x:c r="O1491" s="54" t="n">
        <x:v>44561</x:v>
      </x:c>
      <x:c r="P1491" t="str">
        <x:v>False</x:v>
      </x:c>
      <x:c r="Q1491" t="str">
        <x:v>5bcb1f2d50c33aafa6183c4f95a41750ae45bdd4edec6bb6a16bbf23458b852a</x:v>
      </x:c>
      <x:c r="R1491" t="str">
        <x:v>05ecb0980a80addf75d2f505184039d4bcbadff414cd00cf37a1f651754c284f</x:v>
      </x:c>
      <x:c r="S1491" t="n">
        <x:v>5</x:v>
      </x:c>
      <x:c r="T1491" t="str">
        <x:v>2018-12-31|2019-12-31|2020-12-31|2021-12-31</x:v>
      </x:c>
      <x:c r="U1491" s="57" t="n">
        <x:v>-13983.261160385266</x:v>
      </x:c>
      <x:c r="V1491" s="57" t="n">
        <x:v>-1.2589492807478753</x:v>
      </x:c>
      <x:c r="W1491"/>
      <x:c r="X1491"/>
      <x:c r="Y1491" s="38" t="n">
        <x:v>0.6409090909090909</x:v>
      </x:c>
      <x:c r="Z1491" s="38" t="n">
        <x:v>0.6865240790654953</x:v>
      </x:c>
      <x:c r="AA1491" t="str">
        <x:v>NON_POSITIVE_ENTERPRISE_VALUE|NON_POSITIVE_EQUITY_VALUE|NON_POSITIVE_TERMINAL_FCF</x:v>
      </x:c>
    </x:row>
    <x:row r="1492">
      <x:c r="A1492" s="54" t="n">
        <x:v>44742</x:v>
      </x:c>
      <x:c r="B1492" t="n">
        <x:v>44742.624999988424</x:v>
      </x:c>
      <x:c r="C1492" t="str">
        <x:v>005690</x:v>
      </x:c>
      <x:c r="D1492" t="str">
        <x:v>파미셀</x:v>
      </x:c>
      <x:c r="E1492" t="str">
        <x:v>KOSPI</x:v>
      </x:c>
      <x:c r="F1492" t="str">
        <x:v>LARGE</x:v>
      </x:c>
      <x:c r="G1492" t="str">
        <x:v>ELIGIBLE</x:v>
      </x:c>
      <x:c r="H1492"/>
      <x:c r="I1492" s="54" t="n">
        <x:v>44742</x:v>
      </x:c>
      <x:c r="J1492" s="55" t="n">
        <x:v>11500</x:v>
      </x:c>
      <x:c r="K1492" s="55" t="n">
        <x:v>689527925000</x:v>
      </x:c>
      <x:c r="L1492" s="55" t="n">
        <x:v>59958950</x:v>
      </x:c>
      <x:c r="M1492" t="str">
        <x:v>20220315000612</x:v>
      </x:c>
      <x:c r="N1492" t="n">
        <x:v>44635.624999988424</x:v>
      </x:c>
      <x:c r="O1492" s="54" t="n">
        <x:v>44561</x:v>
      </x:c>
      <x:c r="P1492" t="str">
        <x:v>False</x:v>
      </x:c>
      <x:c r="Q1492" t="str">
        <x:v>c771552e6714a123b5de4fae842ee329f4a2e13c3bf0d7fb1e618ef6fa88916f</x:v>
      </x:c>
      <x:c r="R1492" t="str">
        <x:v>286775aaf5d0ab80a4885d275e6e2006e3ac08a907600682c39f41a095f54439</x:v>
      </x:c>
      <x:c r="S1492" t="n">
        <x:v>6</x:v>
      </x:c>
      <x:c r="T1492" t="str">
        <x:v>2018-12-31|2019-12-31|2020-12-31|2021-12-31</x:v>
      </x:c>
      <x:c r="U1492" s="57" t="n">
        <x:v>942.2444826082835</x:v>
      </x:c>
      <x:c r="V1492" s="57" t="n">
        <x:v>-0.918065697164497</x:v>
      </x:c>
      <x:c r="W1492" t="n">
        <x:v>66</x:v>
      </x:c>
      <x:c r="X1492" t="n">
        <x:v>5</x:v>
      </x:c>
      <x:c r="Y1492" s="38" t="n">
        <x:v>0.6409090909090909</x:v>
      </x:c>
      <x:c r="Z1492" s="38" t="n">
        <x:v>0.7272764453764741</x:v>
      </x:c>
      <x:c r="AA1492"/>
    </x:row>
    <x:row r="1493">
      <x:c r="A1493" s="54" t="n">
        <x:v>44742</x:v>
      </x:c>
      <x:c r="B1493" t="n">
        <x:v>44742.624999988424</x:v>
      </x:c>
      <x:c r="C1493" t="str">
        <x:v>002030</x:v>
      </x:c>
      <x:c r="D1493" t="str">
        <x:v>아세아</x:v>
      </x:c>
      <x:c r="E1493" t="str">
        <x:v>KOSPI</x:v>
      </x:c>
      <x:c r="F1493" t="str">
        <x:v>LARGE</x:v>
      </x:c>
      <x:c r="G1493" t="str">
        <x:v>ELIGIBLE</x:v>
      </x:c>
      <x:c r="H1493"/>
      <x:c r="I1493" s="54" t="n">
        <x:v>44742</x:v>
      </x:c>
      <x:c r="J1493" s="55" t="n">
        <x:v>122000</x:v>
      </x:c>
      <x:c r="K1493" s="55" t="n">
        <x:v>267304928000</x:v>
      </x:c>
      <x:c r="L1493" s="55" t="n">
        <x:v>2191024</x:v>
      </x:c>
      <x:c r="M1493" t="str">
        <x:v>20220310001179</x:v>
      </x:c>
      <x:c r="N1493" t="n">
        <x:v>44630.624999988424</x:v>
      </x:c>
      <x:c r="O1493" s="54" t="n">
        <x:v>44561</x:v>
      </x:c>
      <x:c r="P1493" t="str">
        <x:v>False</x:v>
      </x:c>
      <x:c r="Q1493" t="str">
        <x:v>e8aa48af423f31c6f0ec59de3ffc4b0afef8af58c02763e735a75a1958951553</x:v>
      </x:c>
      <x:c r="R1493" t="str">
        <x:v>a686171d78d58caea12ee58aef85969ccf53c09680455e066e53afd9bc4b440e</x:v>
      </x:c>
      <x:c r="S1493" t="n">
        <x:v>6</x:v>
      </x:c>
      <x:c r="T1493" t="str">
        <x:v>2018-12-31|2019-12-31|2020-12-31|2021-12-31</x:v>
      </x:c>
      <x:c r="U1493" s="57" t="n">
        <x:v>656764.7552904254</x:v>
      </x:c>
      <x:c r="V1493" s="57" t="n">
        <x:v>4.383317666314962</x:v>
      </x:c>
      <x:c r="W1493" t="n">
        <x:v>2</x:v>
      </x:c>
      <x:c r="X1493" t="n">
        <x:v>1</x:v>
      </x:c>
      <x:c r="Y1493" s="38" t="n">
        <x:v>0.6409090909090909</x:v>
      </x:c>
      <x:c r="Z1493" s="38" t="n">
        <x:v>0.6683222274422937</x:v>
      </x:c>
      <x:c r="AA1493"/>
    </x:row>
    <x:row r="1494">
      <x:c r="A1494" s="54" t="n">
        <x:v>44742</x:v>
      </x:c>
      <x:c r="B1494" t="n">
        <x:v>44742.624999988424</x:v>
      </x:c>
      <x:c r="C1494" t="str">
        <x:v>009410</x:v>
      </x:c>
      <x:c r="D1494" t="str">
        <x:v>태영건설</x:v>
      </x:c>
      <x:c r="E1494" t="str">
        <x:v>KOSPI</x:v>
      </x:c>
      <x:c r="F1494" t="str">
        <x:v>LARGE</x:v>
      </x:c>
      <x:c r="G1494" t="str">
        <x:v>ELIGIBLE</x:v>
      </x:c>
      <x:c r="H1494"/>
      <x:c r="I1494" s="54" t="n">
        <x:v>44742</x:v>
      </x:c>
      <x:c r="J1494" s="55" t="n">
        <x:v>6800</x:v>
      </x:c>
      <x:c r="K1494" s="55" t="n">
        <x:v>264513866400</x:v>
      </x:c>
      <x:c r="L1494" s="55" t="n">
        <x:v>38899098</x:v>
      </x:c>
      <x:c r="M1494" t="str">
        <x:v>20220310001209</x:v>
      </x:c>
      <x:c r="N1494" t="n">
        <x:v>44630.624999988424</x:v>
      </x:c>
      <x:c r="O1494" s="54" t="n">
        <x:v>44561</x:v>
      </x:c>
      <x:c r="P1494" t="str">
        <x:v>False</x:v>
      </x:c>
      <x:c r="Q1494" t="str">
        <x:v>c3c8e2fb094477028fc3b807a9becd53f2d3fcf08a783fff5e8c5b89be705e0c</x:v>
      </x:c>
      <x:c r="R1494" t="str">
        <x:v>7a89d73d15b371faead427ed33d6e7853e8b10667ea5c57638e3913f076fd16b</x:v>
      </x:c>
      <x:c r="S1494" t="n">
        <x:v>6</x:v>
      </x:c>
      <x:c r="T1494" t="str">
        <x:v>2018-12-31|2019-12-31|2020-12-31|2021-12-31</x:v>
      </x:c>
      <x:c r="U1494" s="57" t="n">
        <x:v>54474.001680438516</x:v>
      </x:c>
      <x:c r="V1494" s="57" t="n">
        <x:v>7.0108826000644875</x:v>
      </x:c>
      <x:c r="W1494" t="n">
        <x:v>1</x:v>
      </x:c>
      <x:c r="X1494" t="n">
        <x:v>1</x:v>
      </x:c>
      <x:c r="Y1494" s="38" t="n">
        <x:v>0.6409090909090909</x:v>
      </x:c>
      <x:c r="Z1494" s="38" t="n">
        <x:v>0.7547903731869546</x:v>
      </x:c>
      <x:c r="AA1494"/>
    </x:row>
    <x:row r="1495">
      <x:c r="A1495" s="54" t="n">
        <x:v>44742</x:v>
      </x:c>
      <x:c r="B1495" t="n">
        <x:v>44742.624999988424</x:v>
      </x:c>
      <x:c r="C1495" t="str">
        <x:v>010780</x:v>
      </x:c>
      <x:c r="D1495" t="str">
        <x:v>아이에스동서</x:v>
      </x:c>
      <x:c r="E1495" t="str">
        <x:v>KOSPI</x:v>
      </x:c>
      <x:c r="F1495" t="str">
        <x:v>LARGE</x:v>
      </x:c>
      <x:c r="G1495" t="str">
        <x:v>ELIGIBLE</x:v>
      </x:c>
      <x:c r="H1495"/>
      <x:c r="I1495" s="54" t="n">
        <x:v>44742</x:v>
      </x:c>
      <x:c r="J1495" s="55" t="n">
        <x:v>39000</x:v>
      </x:c>
      <x:c r="K1495" s="55" t="n">
        <x:v>1204811634000</x:v>
      </x:c>
      <x:c r="L1495" s="55" t="n">
        <x:v>30892606</x:v>
      </x:c>
      <x:c r="M1495" t="str">
        <x:v>20220317001305</x:v>
      </x:c>
      <x:c r="N1495" t="n">
        <x:v>44637.624999988424</x:v>
      </x:c>
      <x:c r="O1495" s="54" t="n">
        <x:v>44561</x:v>
      </x:c>
      <x:c r="P1495" t="str">
        <x:v>False</x:v>
      </x:c>
      <x:c r="Q1495" t="str">
        <x:v>c05e73b24baa90ac74b979ae28f0970a58df3cdddce5db19d9c196bad8831469</x:v>
      </x:c>
      <x:c r="R1495" t="str">
        <x:v>ef4e0e300d3d0d4e3d20d1f5488c803f7fc4c458e06071e652beec181eedc073</x:v>
      </x:c>
      <x:c r="S1495" t="n">
        <x:v>6</x:v>
      </x:c>
      <x:c r="T1495" t="str">
        <x:v>2018-12-31|2019-12-31|2020-12-31|2021-12-31</x:v>
      </x:c>
      <x:c r="U1495" s="57" t="n">
        <x:v>95452.99373152091</x:v>
      </x:c>
      <x:c r="V1495" s="57" t="n">
        <x:v>1.4475126597825876</x:v>
      </x:c>
      <x:c r="W1495" t="n">
        <x:v>7</x:v>
      </x:c>
      <x:c r="X1495" t="n">
        <x:v>1</x:v>
      </x:c>
      <x:c r="Y1495" s="38" t="n">
        <x:v>0.6409090909090909</x:v>
      </x:c>
      <x:c r="Z1495" s="38" t="n">
        <x:v>0.7432360050182876</x:v>
      </x:c>
      <x:c r="AA1495"/>
    </x:row>
    <x:row r="1496">
      <x:c r="A1496" s="54" t="n">
        <x:v>44742</x:v>
      </x:c>
      <x:c r="B1496" t="n">
        <x:v>44742.624999988424</x:v>
      </x:c>
      <x:c r="C1496" t="str">
        <x:v>453340</x:v>
      </x:c>
      <x:c r="D1496" t="str">
        <x:v>현대그린푸드</x:v>
      </x:c>
      <x:c r="E1496" t="str">
        <x:v>KOSPI</x:v>
      </x:c>
      <x:c r="F1496" t="str">
        <x:v>LARGE</x:v>
      </x:c>
      <x:c r="G1496" t="str">
        <x:v>NOT_LISTED_OR_NO_PRICE</x:v>
      </x:c>
      <x:c r="H1496"/>
      <x:c r="I1496" s="54"/>
      <x:c r="J1496" s="55"/>
      <x:c r="K1496" s="55"/>
      <x:c r="L1496" s="55"/>
      <x:c r="M1496"/>
      <x:c r="N1496"/>
      <x:c r="O1496" s="54"/>
      <x:c r="P1496"/>
      <x:c r="Q1496"/>
      <x:c r="R1496"/>
      <x:c r="S1496"/>
      <x:c r="T1496"/>
      <x:c r="U1496" s="57"/>
      <x:c r="V1496" s="57"/>
      <x:c r="W1496"/>
      <x:c r="X1496"/>
      <x:c r="Y1496" s="38"/>
      <x:c r="Z1496" s="38"/>
      <x:c r="AA1496"/>
    </x:row>
    <x:row r="1497">
      <x:c r="A1497" s="54" t="n">
        <x:v>44742</x:v>
      </x:c>
      <x:c r="B1497" t="n">
        <x:v>44742.624999988424</x:v>
      </x:c>
      <x:c r="C1497" t="str">
        <x:v>006220</x:v>
      </x:c>
      <x:c r="D1497" t="str">
        <x:v>제주은행</x:v>
      </x:c>
      <x:c r="E1497" t="str">
        <x:v>KOSPI</x:v>
      </x:c>
      <x:c r="F1497" t="str">
        <x:v>LARGE</x:v>
      </x:c>
      <x:c r="G1497" t="str">
        <x:v>EXCLUDED_ARCHETYPE</x:v>
      </x:c>
      <x:c r="H1497" t="str">
        <x:v>FCFF_NOT_COMPARABLE_FOR_FINANCE_OR_HOLDING_HINT</x:v>
      </x:c>
      <x:c r="I1497" s="54"/>
      <x:c r="J1497" s="55"/>
      <x:c r="K1497" s="55"/>
      <x:c r="L1497" s="55"/>
      <x:c r="M1497"/>
      <x:c r="N1497"/>
      <x:c r="O1497" s="54"/>
      <x:c r="P1497"/>
      <x:c r="Q1497"/>
      <x:c r="R1497"/>
      <x:c r="S1497"/>
      <x:c r="T1497"/>
      <x:c r="U1497" s="57"/>
      <x:c r="V1497" s="57"/>
      <x:c r="W1497"/>
      <x:c r="X1497"/>
      <x:c r="Y1497" s="38"/>
      <x:c r="Z1497" s="38"/>
      <x:c r="AA1497"/>
    </x:row>
    <x:row r="1498">
      <x:c r="A1498" s="54" t="n">
        <x:v>44742</x:v>
      </x:c>
      <x:c r="B1498" t="n">
        <x:v>44742.624999988424</x:v>
      </x:c>
      <x:c r="C1498" t="str">
        <x:v>094800</x:v>
      </x:c>
      <x:c r="D1498" t="str">
        <x:v>맵스리얼티1</x:v>
      </x:c>
      <x:c r="E1498" t="str">
        <x:v>KOSPI</x:v>
      </x:c>
      <x:c r="F1498" t="str">
        <x:v>LARGE</x:v>
      </x:c>
      <x:c r="G1498" t="str">
        <x:v>NO_PIT_FINANCIALS</x:v>
      </x:c>
      <x:c r="H1498"/>
      <x:c r="I1498" s="54" t="n">
        <x:v>44742</x:v>
      </x:c>
      <x:c r="J1498" s="55" t="n">
        <x:v>4540</x:v>
      </x:c>
      <x:c r="K1498" s="55" t="n">
        <x:v>421467862740</x:v>
      </x:c>
      <x:c r="L1498" s="55" t="n">
        <x:v>92834331</x:v>
      </x:c>
      <x:c r="M1498"/>
      <x:c r="N1498"/>
      <x:c r="O1498" s="54"/>
      <x:c r="P1498"/>
      <x:c r="Q1498"/>
      <x:c r="R1498"/>
      <x:c r="S1498"/>
      <x:c r="T1498"/>
      <x:c r="U1498" s="57"/>
      <x:c r="V1498" s="57"/>
      <x:c r="W1498"/>
      <x:c r="X1498"/>
      <x:c r="Y1498" s="38"/>
      <x:c r="Z1498" s="38"/>
      <x:c r="AA1498"/>
    </x:row>
    <x:row r="1499">
      <x:c r="A1499" s="54" t="n">
        <x:v>44742</x:v>
      </x:c>
      <x:c r="B1499" t="n">
        <x:v>44742.624999988424</x:v>
      </x:c>
      <x:c r="C1499" t="str">
        <x:v>003160</x:v>
      </x:c>
      <x:c r="D1499" t="str">
        <x:v>디아이</x:v>
      </x:c>
      <x:c r="E1499" t="str">
        <x:v>KOSPI</x:v>
      </x:c>
      <x:c r="F1499" t="str">
        <x:v>LARGE</x:v>
      </x:c>
      <x:c r="G1499" t="str">
        <x:v>DCF_SCREENING_EXCLUSION</x:v>
      </x:c>
      <x:c r="H1499" t="str">
        <x:v>UNRELIABLE_TERMINAL_VALUE_SHARE</x:v>
      </x:c>
      <x:c r="I1499" s="54" t="n">
        <x:v>44742</x:v>
      </x:c>
      <x:c r="J1499" s="55" t="n">
        <x:v>5870</x:v>
      </x:c>
      <x:c r="K1499" s="55" t="n">
        <x:v>184886127950</x:v>
      </x:c>
      <x:c r="L1499" s="55" t="n">
        <x:v>31496785</x:v>
      </x:c>
      <x:c r="M1499" t="str">
        <x:v>20220317001034</x:v>
      </x:c>
      <x:c r="N1499" t="n">
        <x:v>44637.624999988424</x:v>
      </x:c>
      <x:c r="O1499" s="54" t="n">
        <x:v>44561</x:v>
      </x:c>
      <x:c r="P1499" t="str">
        <x:v>False</x:v>
      </x:c>
      <x:c r="Q1499" t="str">
        <x:v>f840bf80ccdf08030d39622021b7af1faf02c6755d42c5215f867726f3e69083</x:v>
      </x:c>
      <x:c r="R1499" t="str">
        <x:v>2b8b9a9b4b19408dccf729fe8d4593a595aa8d7e61e45153fcf6140e123bbc4d</x:v>
      </x:c>
      <x:c r="S1499" t="n">
        <x:v>6</x:v>
      </x:c>
      <x:c r="T1499" t="str">
        <x:v>2018-12-31|2019-12-31|2020-12-31|2021-12-31</x:v>
      </x:c>
      <x:c r="U1499" s="57" t="n">
        <x:v>869.8230903571238</x:v>
      </x:c>
      <x:c r="V1499" s="57" t="n">
        <x:v>-0.8518188943173554</x:v>
      </x:c>
      <x:c r="W1499"/>
      <x:c r="X1499"/>
      <x:c r="Y1499" s="38" t="n">
        <x:v>0.6409090909090909</x:v>
      </x:c>
      <x:c r="Z1499" s="38" t="n">
        <x:v>0.8713470186696386</x:v>
      </x:c>
      <x:c r="AA1499" t="str">
        <x:v>UNRELIABLE_TERMINAL_VALUE_SHARE</x:v>
      </x:c>
    </x:row>
    <x:row r="1500">
      <x:c r="A1500" s="54" t="n">
        <x:v>44742</x:v>
      </x:c>
      <x:c r="B1500" t="n">
        <x:v>44742.624999988424</x:v>
      </x:c>
      <x:c r="C1500" t="str">
        <x:v>001940</x:v>
      </x:c>
      <x:c r="D1500" t="str">
        <x:v>KISCO홀딩스</x:v>
      </x:c>
      <x:c r="E1500" t="str">
        <x:v>KOSPI</x:v>
      </x:c>
      <x:c r="F1500" t="str">
        <x:v>LARGE</x:v>
      </x:c>
      <x:c r="G1500" t="str">
        <x:v>EXCLUDED_ARCHETYPE</x:v>
      </x:c>
      <x:c r="H1500" t="str">
        <x:v>FCFF_NOT_COMPARABLE_FOR_FINANCE_OR_HOLDING_HINT</x:v>
      </x:c>
      <x:c r="I1500" s="54"/>
      <x:c r="J1500" s="55"/>
      <x:c r="K1500" s="55"/>
      <x:c r="L1500" s="55"/>
      <x:c r="M1500"/>
      <x:c r="N1500"/>
      <x:c r="O1500" s="54"/>
      <x:c r="P1500"/>
      <x:c r="Q1500"/>
      <x:c r="R1500"/>
      <x:c r="S1500"/>
      <x:c r="T1500"/>
      <x:c r="U1500" s="57"/>
      <x:c r="V1500" s="57"/>
      <x:c r="W1500"/>
      <x:c r="X1500"/>
      <x:c r="Y1500" s="38"/>
      <x:c r="Z1500" s="38"/>
      <x:c r="AA1500"/>
    </x:row>
    <x:row r="1501">
      <x:c r="A1501" s="54" t="n">
        <x:v>44742</x:v>
      </x:c>
      <x:c r="B1501" t="n">
        <x:v>44742.624999988424</x:v>
      </x:c>
      <x:c r="C1501" t="str">
        <x:v>009290</x:v>
      </x:c>
      <x:c r="D1501" t="str">
        <x:v>광동제약</x:v>
      </x:c>
      <x:c r="E1501" t="str">
        <x:v>KOSPI</x:v>
      </x:c>
      <x:c r="F1501" t="str">
        <x:v>LARGE</x:v>
      </x:c>
      <x:c r="G1501" t="str">
        <x:v>ELIGIBLE</x:v>
      </x:c>
      <x:c r="H1501"/>
      <x:c r="I1501" s="54" t="n">
        <x:v>44742</x:v>
      </x:c>
      <x:c r="J1501" s="55" t="n">
        <x:v>6230</x:v>
      </x:c>
      <x:c r="K1501" s="55" t="n">
        <x:v>326581901730</x:v>
      </x:c>
      <x:c r="L1501" s="55" t="n">
        <x:v>52420851</x:v>
      </x:c>
      <x:c r="M1501" t="str">
        <x:v>20220317000780</x:v>
      </x:c>
      <x:c r="N1501" t="n">
        <x:v>44637.624999988424</x:v>
      </x:c>
      <x:c r="O1501" s="54" t="n">
        <x:v>44561</x:v>
      </x:c>
      <x:c r="P1501" t="str">
        <x:v>False</x:v>
      </x:c>
      <x:c r="Q1501" t="str">
        <x:v>e44bc3d7ba370690742feb51621cea3aac8cb2c91d5b74a2a0d2498f719e465d</x:v>
      </x:c>
      <x:c r="R1501" t="str">
        <x:v>f31dc408005b1a30eaa364173e3ac5570532c4c28772770059a911b075764aae</x:v>
      </x:c>
      <x:c r="S1501" t="n">
        <x:v>6</x:v>
      </x:c>
      <x:c r="T1501" t="str">
        <x:v>2018-12-31|2019-12-31|2020-12-31|2021-12-31</x:v>
      </x:c>
      <x:c r="U1501" s="57" t="n">
        <x:v>6174.840700813396</x:v>
      </x:c>
      <x:c r="V1501" s="57" t="n">
        <x:v>-0.00885382009415782</x:v>
      </x:c>
      <x:c r="W1501" t="n">
        <x:v>23</x:v>
      </x:c>
      <x:c r="X1501" t="n">
        <x:v>2</x:v>
      </x:c>
      <x:c r="Y1501" s="38" t="n">
        <x:v>0.6409090909090909</x:v>
      </x:c>
      <x:c r="Z1501" s="38" t="n">
        <x:v>0.7309033788545352</x:v>
      </x:c>
      <x:c r="AA1501"/>
    </x:row>
    <x:row r="1502">
      <x:c r="A1502" s="54" t="n">
        <x:v>44834</x:v>
      </x:c>
      <x:c r="B1502" t="n">
        <x:v>44834.624999988424</x:v>
      </x:c>
      <x:c r="C1502" t="str">
        <x:v>168330</x:v>
      </x:c>
      <x:c r="D1502" t="str">
        <x:v>내츄럴엔도텍</x:v>
      </x:c>
      <x:c r="E1502" t="str">
        <x:v>KOSDAQ</x:v>
      </x:c>
      <x:c r="F1502" t="str">
        <x:v>SMALL</x:v>
      </x:c>
      <x:c r="G1502" t="str">
        <x:v>DCF_SCREENING_EXCLUSION</x:v>
      </x:c>
      <x:c r="H1502" t="str">
        <x:v>NON_POSITIVE_ENTERPRISE_VALUE|NON_POSITIVE_EQUITY_VALUE|NON_POSITIVE_TERMINAL_FCF</x:v>
      </x:c>
      <x:c r="I1502" s="54" t="n">
        <x:v>44834</x:v>
      </x:c>
      <x:c r="J1502" s="55" t="n">
        <x:v>3070</x:v>
      </x:c>
      <x:c r="K1502" s="55" t="n">
        <x:v>97487543000</x:v>
      </x:c>
      <x:c r="L1502" s="55" t="n">
        <x:v>31754900</x:v>
      </x:c>
      <x:c r="M1502" t="str">
        <x:v>20220321000680</x:v>
      </x:c>
      <x:c r="N1502" t="n">
        <x:v>44641.624999988424</x:v>
      </x:c>
      <x:c r="O1502" s="54" t="n">
        <x:v>44561</x:v>
      </x:c>
      <x:c r="P1502" t="str">
        <x:v>False</x:v>
      </x:c>
      <x:c r="Q1502" t="str">
        <x:v>a22a5e955f0d8d6304d77a81e230013a90d8fa1dbd4663cf29c710f31a85df12</x:v>
      </x:c>
      <x:c r="R1502" t="str">
        <x:v>4a4aae3091fc1f7611ddc20a26e3c3b2d9b6921dfb1cc13ffe134dc183433b0d</x:v>
      </x:c>
      <x:c r="S1502" t="n">
        <x:v>6</x:v>
      </x:c>
      <x:c r="T1502" t="str">
        <x:v>2018-12-31|2019-12-31|2020-12-31|2021-12-31</x:v>
      </x:c>
      <x:c r="U1502" s="57" t="n">
        <x:v>-1103.9311682589619</x:v>
      </x:c>
      <x:c r="V1502" s="57" t="n">
        <x:v>-1.3595866997586195</x:v>
      </x:c>
      <x:c r="W1502"/>
      <x:c r="X1502"/>
      <x:c r="Y1502" s="38" t="n">
        <x:v>0.6409090909090909</x:v>
      </x:c>
      <x:c r="Z1502" s="38" t="n">
        <x:v>0.619354619431729</x:v>
      </x:c>
      <x:c r="AA1502" t="str">
        <x:v>NON_POSITIVE_ENTERPRISE_VALUE|NON_POSITIVE_EQUITY_VALUE|NON_POSITIVE_TERMINAL_FCF</x:v>
      </x:c>
    </x:row>
    <x:row r="1503">
      <x:c r="A1503" s="54" t="n">
        <x:v>44834</x:v>
      </x:c>
      <x:c r="B1503" t="n">
        <x:v>44834.624999988424</x:v>
      </x:c>
      <x:c r="C1503" t="str">
        <x:v>120240</x:v>
      </x:c>
      <x:c r="D1503" t="str">
        <x:v>대정화금</x:v>
      </x:c>
      <x:c r="E1503" t="str">
        <x:v>KOSDAQ</x:v>
      </x:c>
      <x:c r="F1503" t="str">
        <x:v>SMALL</x:v>
      </x:c>
      <x:c r="G1503" t="str">
        <x:v>DCF_SCREENING_EXCLUSION</x:v>
      </x:c>
      <x:c r="H1503" t="str">
        <x:v>UNRELIABLE_TERMINAL_VALUE_SHARE</x:v>
      </x:c>
      <x:c r="I1503" s="54" t="n">
        <x:v>44834</x:v>
      </x:c>
      <x:c r="J1503" s="55" t="n">
        <x:v>21500</x:v>
      </x:c>
      <x:c r="K1503" s="55" t="n">
        <x:v>154593406500</x:v>
      </x:c>
      <x:c r="L1503" s="55" t="n">
        <x:v>7190391</x:v>
      </x:c>
      <x:c r="M1503" t="str">
        <x:v>20220316000108</x:v>
      </x:c>
      <x:c r="N1503" t="n">
        <x:v>44636.624999988424</x:v>
      </x:c>
      <x:c r="O1503" s="54" t="n">
        <x:v>44561</x:v>
      </x:c>
      <x:c r="P1503" t="str">
        <x:v>False</x:v>
      </x:c>
      <x:c r="Q1503" t="str">
        <x:v>f2137e4cfbd7dad6e3845236ffc52f6936feb9f558511c760a15158653dc838a</x:v>
      </x:c>
      <x:c r="R1503" t="str">
        <x:v>61d3ec683bbb7c755de94613e6d870afb1cc1a462871743f7b15c8d0e5da5685</x:v>
      </x:c>
      <x:c r="S1503" t="n">
        <x:v>7</x:v>
      </x:c>
      <x:c r="T1503" t="str">
        <x:v>2018-12-31|2019-12-31|2020-12-31|2021-12-31</x:v>
      </x:c>
      <x:c r="U1503" s="57" t="n">
        <x:v>5596.37075362496</x:v>
      </x:c>
      <x:c r="V1503" s="57" t="n">
        <x:v>-0.7397036858779088</x:v>
      </x:c>
      <x:c r="W1503"/>
      <x:c r="X1503"/>
      <x:c r="Y1503" s="38" t="n">
        <x:v>0.6409090909090909</x:v>
      </x:c>
      <x:c r="Z1503" s="38" t="n">
        <x:v>0.905098847871658</x:v>
      </x:c>
      <x:c r="AA1503" t="str">
        <x:v>UNRELIABLE_TERMINAL_VALUE_SHARE</x:v>
      </x:c>
    </x:row>
    <x:row r="1504">
      <x:c r="A1504" s="54" t="n">
        <x:v>44834</x:v>
      </x:c>
      <x:c r="B1504" t="n">
        <x:v>44834.624999988424</x:v>
      </x:c>
      <x:c r="C1504" t="str">
        <x:v>348350</x:v>
      </x:c>
      <x:c r="D1504" t="str">
        <x:v>위드텍</x:v>
      </x:c>
      <x:c r="E1504" t="str">
        <x:v>KOSDAQ</x:v>
      </x:c>
      <x:c r="F1504" t="str">
        <x:v>SMALL</x:v>
      </x:c>
      <x:c r="G1504" t="str">
        <x:v>ELIGIBLE</x:v>
      </x:c>
      <x:c r="H1504"/>
      <x:c r="I1504" s="54" t="n">
        <x:v>44834</x:v>
      </x:c>
      <x:c r="J1504" s="55" t="n">
        <x:v>11850</x:v>
      </x:c>
      <x:c r="K1504" s="55" t="n">
        <x:v>120675660000</x:v>
      </x:c>
      <x:c r="L1504" s="55" t="n">
        <x:v>10183600</x:v>
      </x:c>
      <x:c r="M1504" t="str">
        <x:v>20220318000824</x:v>
      </x:c>
      <x:c r="N1504" t="n">
        <x:v>44638.624999988424</x:v>
      </x:c>
      <x:c r="O1504" s="54" t="n">
        <x:v>44561</x:v>
      </x:c>
      <x:c r="P1504" t="str">
        <x:v>False</x:v>
      </x:c>
      <x:c r="Q1504" t="str">
        <x:v>2729d0c33f8b488b8bb0a85b04599a9c0e44cecbb15645734153885029a189d7</x:v>
      </x:c>
      <x:c r="R1504" t="str">
        <x:v>58c9942c414bf9cc8cb27d803093fff949abdb014db6c15c233a2be5934a2cce</x:v>
      </x:c>
      <x:c r="S1504" t="n">
        <x:v>5</x:v>
      </x:c>
      <x:c r="T1504" t="str">
        <x:v>2020-12-31|2021-12-31</x:v>
      </x:c>
      <x:c r="U1504" s="57" t="n">
        <x:v>12305.808625906286</x:v>
      </x:c>
      <x:c r="V1504" s="57" t="n">
        <x:v>0.03846486294567814</x:v>
      </x:c>
      <x:c r="W1504" t="n">
        <x:v>24</x:v>
      </x:c>
      <x:c r="X1504" t="n">
        <x:v>2</x:v>
      </x:c>
      <x:c r="Y1504" s="38" t="n">
        <x:v>0.6409090909090909</x:v>
      </x:c>
      <x:c r="Z1504" s="38" t="n">
        <x:v>0.6763585407839688</x:v>
      </x:c>
      <x:c r="AA1504"/>
    </x:row>
    <x:row r="1505">
      <x:c r="A1505" s="54" t="n">
        <x:v>44834</x:v>
      </x:c>
      <x:c r="B1505" t="n">
        <x:v>44834.624999988424</x:v>
      </x:c>
      <x:c r="C1505" t="str">
        <x:v>226330</x:v>
      </x:c>
      <x:c r="D1505" t="str">
        <x:v>신테카바이오</x:v>
      </x:c>
      <x:c r="E1505" t="str">
        <x:v>KOSDAQ</x:v>
      </x:c>
      <x:c r="F1505" t="str">
        <x:v>SMALL</x:v>
      </x:c>
      <x:c r="G1505" t="str">
        <x:v>DCF_SCREENING_EXCLUSION</x:v>
      </x:c>
      <x:c r="H1505" t="str">
        <x:v>NON_POSITIVE_ENTERPRISE_VALUE|NON_POSITIVE_TERMINAL_FCF</x:v>
      </x:c>
      <x:c r="I1505" s="54" t="n">
        <x:v>44834</x:v>
      </x:c>
      <x:c r="J1505" s="55" t="n">
        <x:v>7780</x:v>
      </x:c>
      <x:c r="K1505" s="55" t="n">
        <x:v>105167830480</x:v>
      </x:c>
      <x:c r="L1505" s="55" t="n">
        <x:v>13517716</x:v>
      </x:c>
      <x:c r="M1505" t="str">
        <x:v>20220325001075</x:v>
      </x:c>
      <x:c r="N1505" t="n">
        <x:v>44645.624999988424</x:v>
      </x:c>
      <x:c r="O1505" s="54" t="n">
        <x:v>44561</x:v>
      </x:c>
      <x:c r="P1505" t="str">
        <x:v>True</x:v>
      </x:c>
      <x:c r="Q1505" t="str">
        <x:v>f808ed36b40981ed378e9484ce7143a24e427cceb94dcd51686677ebe41823f1</x:v>
      </x:c>
      <x:c r="R1505" t="str">
        <x:v>c21a3b720ce6dc5dcc9b6ddd0e99c2b0090ed76e5c1b0da4deef579abead30de</x:v>
      </x:c>
      <x:c r="S1505" t="n">
        <x:v>5</x:v>
      </x:c>
      <x:c r="T1505" t="str">
        <x:v>2019-12-31|2020-12-31|2021-12-31</x:v>
      </x:c>
      <x:c r="U1505" s="57" t="n">
        <x:v>373.67636286010395</x:v>
      </x:c>
      <x:c r="V1505" s="57" t="n">
        <x:v>-0.9519696191696525</x:v>
      </x:c>
      <x:c r="W1505"/>
      <x:c r="X1505"/>
      <x:c r="Y1505" s="38" t="n">
        <x:v>0.6409090909090909</x:v>
      </x:c>
      <x:c r="Z1505" s="38" t="n">
        <x:v>0.6125806699299453</x:v>
      </x:c>
      <x:c r="AA1505" t="str">
        <x:v>NON_POSITIVE_ENTERPRISE_VALUE|NON_POSITIVE_TERMINAL_FCF</x:v>
      </x:c>
    </x:row>
    <x:row r="1506">
      <x:c r="A1506" s="54" t="n">
        <x:v>44834</x:v>
      </x:c>
      <x:c r="B1506" t="n">
        <x:v>44834.624999988424</x:v>
      </x:c>
      <x:c r="C1506" t="str">
        <x:v>215090</x:v>
      </x:c>
      <x:c r="D1506" t="str">
        <x:v>솔디펜스</x:v>
      </x:c>
      <x:c r="E1506" t="str">
        <x:v>KOSDAQ</x:v>
      </x:c>
      <x:c r="F1506" t="str">
        <x:v>SMALL</x:v>
      </x:c>
      <x:c r="G1506" t="str">
        <x:v>DCF_SCREENING_EXCLUSION</x:v>
      </x:c>
      <x:c r="H1506" t="str">
        <x:v>NON_POSITIVE_ENTERPRISE_VALUE|NON_POSITIVE_EQUITY_VALUE|NON_POSITIVE_TERMINAL_FCF</x:v>
      </x:c>
      <x:c r="I1506" s="54" t="n">
        <x:v>44834</x:v>
      </x:c>
      <x:c r="J1506" s="55" t="n">
        <x:v>1505</x:v>
      </x:c>
      <x:c r="K1506" s="55" t="n">
        <x:v>120843123170</x:v>
      </x:c>
      <x:c r="L1506" s="55" t="n">
        <x:v>80294434</x:v>
      </x:c>
      <x:c r="M1506" t="str">
        <x:v>20220322001144</x:v>
      </x:c>
      <x:c r="N1506" t="n">
        <x:v>44642.624999988424</x:v>
      </x:c>
      <x:c r="O1506" s="54" t="n">
        <x:v>44561</x:v>
      </x:c>
      <x:c r="P1506" t="str">
        <x:v>False</x:v>
      </x:c>
      <x:c r="Q1506" t="str">
        <x:v>40276901574d6aece73f7b57c55892afe00979d1d437551c5f2c2f5483865001</x:v>
      </x:c>
      <x:c r="R1506" t="str">
        <x:v>c26baaa7afd91d68dbd8e191261f96e0eecd1a4c9dbb6ccd89e0a539a09f04a2</x:v>
      </x:c>
      <x:c r="S1506" t="n">
        <x:v>5</x:v>
      </x:c>
      <x:c r="T1506" t="str">
        <x:v>2018-12-31|2019-12-31|2020-12-31|2021-12-31</x:v>
      </x:c>
      <x:c r="U1506" s="57" t="n">
        <x:v>-270.3993691558958</x:v>
      </x:c>
      <x:c r="V1506" s="57" t="n">
        <x:v>-1.179667354920861</x:v>
      </x:c>
      <x:c r="W1506"/>
      <x:c r="X1506"/>
      <x:c r="Y1506" s="38" t="n">
        <x:v>0.6409090909090909</x:v>
      </x:c>
      <x:c r="Z1506" s="38" t="n">
        <x:v>0.5457100409369903</x:v>
      </x:c>
      <x:c r="AA1506" t="str">
        <x:v>NON_POSITIVE_ENTERPRISE_VALUE|NON_POSITIVE_EQUITY_VALUE|NON_POSITIVE_TERMINAL_FCF</x:v>
      </x:c>
    </x:row>
    <x:row r="1507">
      <x:c r="A1507" s="54" t="n">
        <x:v>44834</x:v>
      </x:c>
      <x:c r="B1507" t="n">
        <x:v>44834.624999988424</x:v>
      </x:c>
      <x:c r="C1507" t="str">
        <x:v>185490</x:v>
      </x:c>
      <x:c r="D1507" t="str">
        <x:v>아이진</x:v>
      </x:c>
      <x:c r="E1507" t="str">
        <x:v>KOSDAQ</x:v>
      </x:c>
      <x:c r="F1507" t="str">
        <x:v>SMALL</x:v>
      </x:c>
      <x:c r="G1507" t="str">
        <x:v>DCF_SCREENING_EXCLUSION</x:v>
      </x:c>
      <x:c r="H1507" t="str">
        <x:v>NON_POSITIVE_ENTERPRISE_VALUE|NON_POSITIVE_EQUITY_VALUE|NON_POSITIVE_TERMINAL_FCF</x:v>
      </x:c>
      <x:c r="I1507" s="54" t="n">
        <x:v>44834</x:v>
      </x:c>
      <x:c r="J1507" s="55" t="n">
        <x:v>6710</x:v>
      </x:c>
      <x:c r="K1507" s="55" t="n">
        <x:v>144119661400</x:v>
      </x:c>
      <x:c r="L1507" s="55" t="n">
        <x:v>21478340</x:v>
      </x:c>
      <x:c r="M1507" t="str">
        <x:v>20220517000419</x:v>
      </x:c>
      <x:c r="N1507" t="n">
        <x:v>44699.624999988424</x:v>
      </x:c>
      <x:c r="O1507" s="54" t="n">
        <x:v>44561</x:v>
      </x:c>
      <x:c r="P1507" t="str">
        <x:v>True</x:v>
      </x:c>
      <x:c r="Q1507" t="str">
        <x:v>f4dbab5a9339a0a7c3ea97f743741cd5b1919cb5057738e37251f09b88911162</x:v>
      </x:c>
      <x:c r="R1507" t="str">
        <x:v>bd210d9a68e2dd4917f2f0b1eb65b0afad69632d8ca62da136bddf40bf3300b2</x:v>
      </x:c>
      <x:c r="S1507" t="n">
        <x:v>5</x:v>
      </x:c>
      <x:c r="T1507" t="str">
        <x:v>2018-12-31|2019-12-31|2020-12-31|2021-12-31</x:v>
      </x:c>
      <x:c r="U1507" s="57" t="n">
        <x:v>-138.9088539373143</x:v>
      </x:c>
      <x:c r="V1507" s="57" t="n">
        <x:v>-1.0207017666076474</x:v>
      </x:c>
      <x:c r="W1507"/>
      <x:c r="X1507"/>
      <x:c r="Y1507" s="38" t="n">
        <x:v>0.6409090909090909</x:v>
      </x:c>
      <x:c r="Z1507" s="38" t="n">
        <x:v>0.6188730723228777</x:v>
      </x:c>
      <x:c r="AA1507" t="str">
        <x:v>NON_POSITIVE_ENTERPRISE_VALUE|NON_POSITIVE_EQUITY_VALUE|NON_POSITIVE_TERMINAL_FCF</x:v>
      </x:c>
    </x:row>
    <x:row r="1508">
      <x:c r="A1508" s="54" t="n">
        <x:v>44834</x:v>
      </x:c>
      <x:c r="B1508" t="n">
        <x:v>44834.624999988424</x:v>
      </x:c>
      <x:c r="C1508" t="str">
        <x:v>333620</x:v>
      </x:c>
      <x:c r="D1508" t="str">
        <x:v>엔시스</x:v>
      </x:c>
      <x:c r="E1508" t="str">
        <x:v>KOSDAQ</x:v>
      </x:c>
      <x:c r="F1508" t="str">
        <x:v>SMALL</x:v>
      </x:c>
      <x:c r="G1508" t="str">
        <x:v>ELIGIBLE</x:v>
      </x:c>
      <x:c r="H1508"/>
      <x:c r="I1508" s="54" t="n">
        <x:v>44834</x:v>
      </x:c>
      <x:c r="J1508" s="55" t="n">
        <x:v>11950</x:v>
      </x:c>
      <x:c r="K1508" s="55" t="n">
        <x:v>126148310800</x:v>
      </x:c>
      <x:c r="L1508" s="55" t="n">
        <x:v>10556344</x:v>
      </x:c>
      <x:c r="M1508" t="str">
        <x:v>20220323000235</x:v>
      </x:c>
      <x:c r="N1508" t="n">
        <x:v>44643.624999988424</x:v>
      </x:c>
      <x:c r="O1508" s="54" t="n">
        <x:v>44561</x:v>
      </x:c>
      <x:c r="P1508" t="str">
        <x:v>False</x:v>
      </x:c>
      <x:c r="Q1508" t="str">
        <x:v>e79b7284eff2a90a38ec72f27d71732356db7a1e9c984d4a7d2b48c420d4b839</x:v>
      </x:c>
      <x:c r="R1508" t="str">
        <x:v>7e006979238b4411b427ffb934ead83cbe683db6f50d7f091e2667e348d04d7b</x:v>
      </x:c>
      <x:c r="S1508" t="n">
        <x:v>6</x:v>
      </x:c>
      <x:c r="T1508" t="str">
        <x:v>2020-12-31|2021-12-31</x:v>
      </x:c>
      <x:c r="U1508" s="57" t="n">
        <x:v>5977.9445546388615</x:v>
      </x:c>
      <x:c r="V1508" s="57" t="n">
        <x:v>-0.4997535937540702</x:v>
      </x:c>
      <x:c r="W1508" t="n">
        <x:v>47</x:v>
      </x:c>
      <x:c r="X1508" t="n">
        <x:v>4</x:v>
      </x:c>
      <x:c r="Y1508" s="38" t="n">
        <x:v>0.6409090909090909</x:v>
      </x:c>
      <x:c r="Z1508" s="38" t="n">
        <x:v>0.6935321663021952</x:v>
      </x:c>
      <x:c r="AA1508"/>
    </x:row>
    <x:row r="1509">
      <x:c r="A1509" s="54" t="n">
        <x:v>44834</x:v>
      </x:c>
      <x:c r="B1509" t="n">
        <x:v>44834.624999988424</x:v>
      </x:c>
      <x:c r="C1509" t="str">
        <x:v>036710</x:v>
      </x:c>
      <x:c r="D1509" t="str">
        <x:v>심텍홀딩스</x:v>
      </x:c>
      <x:c r="E1509" t="str">
        <x:v>KOSDAQ</x:v>
      </x:c>
      <x:c r="F1509" t="str">
        <x:v>SMALL</x:v>
      </x:c>
      <x:c r="G1509" t="str">
        <x:v>EXCLUDED_ARCHETYPE</x:v>
      </x:c>
      <x:c r="H1509" t="str">
        <x:v>FCFF_NOT_COMPARABLE_FOR_FINANCE_OR_HOLDING_HINT</x:v>
      </x:c>
      <x:c r="I1509" s="54"/>
      <x:c r="J1509" s="55"/>
      <x:c r="K1509" s="55"/>
      <x:c r="L1509" s="55"/>
      <x:c r="M1509"/>
      <x:c r="N1509"/>
      <x:c r="O1509" s="54"/>
      <x:c r="P1509"/>
      <x:c r="Q1509"/>
      <x:c r="R1509"/>
      <x:c r="S1509"/>
      <x:c r="T1509"/>
      <x:c r="U1509" s="57"/>
      <x:c r="V1509" s="57"/>
      <x:c r="W1509"/>
      <x:c r="X1509"/>
      <x:c r="Y1509" s="38"/>
      <x:c r="Z1509" s="38"/>
      <x:c r="AA1509"/>
    </x:row>
    <x:row r="1510">
      <x:c r="A1510" s="54" t="n">
        <x:v>44834</x:v>
      </x:c>
      <x:c r="B1510" t="n">
        <x:v>44834.624999988424</x:v>
      </x:c>
      <x:c r="C1510" t="str">
        <x:v>049480</x:v>
      </x:c>
      <x:c r="D1510" t="str">
        <x:v>오픈베이스</x:v>
      </x:c>
      <x:c r="E1510" t="str">
        <x:v>KOSDAQ</x:v>
      </x:c>
      <x:c r="F1510" t="str">
        <x:v>SMALL</x:v>
      </x:c>
      <x:c r="G1510" t="str">
        <x:v>ELIGIBLE</x:v>
      </x:c>
      <x:c r="H1510"/>
      <x:c r="I1510" s="54" t="n">
        <x:v>44834</x:v>
      </x:c>
      <x:c r="J1510" s="55" t="n">
        <x:v>2355</x:v>
      </x:c>
      <x:c r="K1510" s="55" t="n">
        <x:v>73999711965</x:v>
      </x:c>
      <x:c r="L1510" s="55" t="n">
        <x:v>31422383</x:v>
      </x:c>
      <x:c r="M1510" t="str">
        <x:v>20220331000651</x:v>
      </x:c>
      <x:c r="N1510" t="n">
        <x:v>44651.624999988424</x:v>
      </x:c>
      <x:c r="O1510" s="54" t="n">
        <x:v>44561</x:v>
      </x:c>
      <x:c r="P1510" t="str">
        <x:v>True</x:v>
      </x:c>
      <x:c r="Q1510" t="str">
        <x:v>cd2fefca2ce620b233077ae0bdfb74587d3594740b8d2de6a681f1e5c21247bb</x:v>
      </x:c>
      <x:c r="R1510" t="str">
        <x:v>ceae9fb7724f25d07ef1071bcc2056646414fd83d98510811882559b5191e7d6</x:v>
      </x:c>
      <x:c r="S1510" t="n">
        <x:v>6</x:v>
      </x:c>
      <x:c r="T1510" t="str">
        <x:v>2018-12-31|2019-12-31|2020-12-31|2021-12-31</x:v>
      </x:c>
      <x:c r="U1510" s="57" t="n">
        <x:v>1607.4184644032093</x:v>
      </x:c>
      <x:c r="V1510" s="57" t="n">
        <x:v>-0.31744438878844616</x:v>
      </x:c>
      <x:c r="W1510" t="n">
        <x:v>37</x:v>
      </x:c>
      <x:c r="X1510" t="n">
        <x:v>3</x:v>
      </x:c>
      <x:c r="Y1510" s="38" t="n">
        <x:v>0.6409090909090909</x:v>
      </x:c>
      <x:c r="Z1510" s="38" t="n">
        <x:v>0.5397986934105109</x:v>
      </x:c>
      <x:c r="AA1510"/>
    </x:row>
    <x:row r="1511">
      <x:c r="A1511" s="54" t="n">
        <x:v>44834</x:v>
      </x:c>
      <x:c r="B1511" t="n">
        <x:v>44834.624999988424</x:v>
      </x:c>
      <x:c r="C1511" t="str">
        <x:v>302430</x:v>
      </x:c>
      <x:c r="D1511" t="str">
        <x:v>이노메트리</x:v>
      </x:c>
      <x:c r="E1511" t="str">
        <x:v>KOSDAQ</x:v>
      </x:c>
      <x:c r="F1511" t="str">
        <x:v>SMALL</x:v>
      </x:c>
      <x:c r="G1511" t="str">
        <x:v>ELIGIBLE</x:v>
      </x:c>
      <x:c r="H1511"/>
      <x:c r="I1511" s="54" t="n">
        <x:v>44834</x:v>
      </x:c>
      <x:c r="J1511" s="55" t="n">
        <x:v>9170</x:v>
      </x:c>
      <x:c r="K1511" s="55" t="n">
        <x:v>90170517360</x:v>
      </x:c>
      <x:c r="L1511" s="55" t="n">
        <x:v>9833208</x:v>
      </x:c>
      <x:c r="M1511" t="str">
        <x:v>20220316000910</x:v>
      </x:c>
      <x:c r="N1511" t="n">
        <x:v>44636.624999988424</x:v>
      </x:c>
      <x:c r="O1511" s="54" t="n">
        <x:v>44561</x:v>
      </x:c>
      <x:c r="P1511" t="str">
        <x:v>False</x:v>
      </x:c>
      <x:c r="Q1511" t="str">
        <x:v>62f74c705c0287867a4c198ce0da7e369d5f1ba7b5afee44ee823211b781ac7d</x:v>
      </x:c>
      <x:c r="R1511" t="str">
        <x:v>1802b265b988d32d7ea737dd304269e072d114d979a13e4fa1f7d910c3227b5f</x:v>
      </x:c>
      <x:c r="S1511" t="n">
        <x:v>6</x:v>
      </x:c>
      <x:c r="T1511" t="str">
        <x:v>2018-12-31|2019-12-31|2020-12-31|2021-12-31</x:v>
      </x:c>
      <x:c r="U1511" s="57" t="n">
        <x:v>2119.7587558255723</x:v>
      </x:c>
      <x:c r="V1511" s="57" t="n">
        <x:v>-0.7688376493101884</x:v>
      </x:c>
      <x:c r="W1511" t="n">
        <x:v>57</x:v>
      </x:c>
      <x:c r="X1511" t="n">
        <x:v>5</x:v>
      </x:c>
      <x:c r="Y1511" s="38" t="n">
        <x:v>0.6409090909090909</x:v>
      </x:c>
      <x:c r="Z1511" s="38" t="n">
        <x:v>0.7873695239620717</x:v>
      </x:c>
      <x:c r="AA1511"/>
    </x:row>
    <x:row r="1512">
      <x:c r="A1512" s="54" t="n">
        <x:v>44834</x:v>
      </x:c>
      <x:c r="B1512" t="n">
        <x:v>44834.624999988424</x:v>
      </x:c>
      <x:c r="C1512" t="str">
        <x:v>288620</x:v>
      </x:c>
      <x:c r="D1512" t="str">
        <x:v>에스퓨얼셀</x:v>
      </x:c>
      <x:c r="E1512" t="str">
        <x:v>KOSDAQ</x:v>
      </x:c>
      <x:c r="F1512" t="str">
        <x:v>SMALL</x:v>
      </x:c>
      <x:c r="G1512" t="str">
        <x:v>DCF_SCREENING_EXCLUSION</x:v>
      </x:c>
      <x:c r="H1512" t="str">
        <x:v>NON_POSITIVE_EQUITY_VALUE|UNRELIABLE_TERMINAL_VALUE_SHARE</x:v>
      </x:c>
      <x:c r="I1512" s="54" t="n">
        <x:v>44834</x:v>
      </x:c>
      <x:c r="J1512" s="55" t="n">
        <x:v>18250</x:v>
      </x:c>
      <x:c r="K1512" s="55" t="n">
        <x:v>125456267000</x:v>
      </x:c>
      <x:c r="L1512" s="55" t="n">
        <x:v>6874316</x:v>
      </x:c>
      <x:c r="M1512" t="str">
        <x:v>20220816001210</x:v>
      </x:c>
      <x:c r="N1512" t="n">
        <x:v>44789.624999988424</x:v>
      </x:c>
      <x:c r="O1512" s="54" t="n">
        <x:v>44561</x:v>
      </x:c>
      <x:c r="P1512" t="str">
        <x:v>True</x:v>
      </x:c>
      <x:c r="Q1512" t="str">
        <x:v>5d20c749bc08c24c587bbc0fa84f85b0a30a4aa0a8ce40fd58e933e12cbfaec0</x:v>
      </x:c>
      <x:c r="R1512" t="str">
        <x:v>6d7573ba2ed607d440a6be3b8340e90b3ed2c8134a26e84fc27053c727a9dee3</x:v>
      </x:c>
      <x:c r="S1512" t="n">
        <x:v>6</x:v>
      </x:c>
      <x:c r="T1512" t="str">
        <x:v>2018-12-31|2019-12-31|2020-12-31|2021-12-31</x:v>
      </x:c>
      <x:c r="U1512" s="57" t="n">
        <x:v>-1554.5731783956426</x:v>
      </x:c>
      <x:c r="V1512" s="57" t="n">
        <x:v>-1.0851820919668844</x:v>
      </x:c>
      <x:c r="W1512"/>
      <x:c r="X1512"/>
      <x:c r="Y1512" s="38" t="n">
        <x:v>0.6409090909090909</x:v>
      </x:c>
      <x:c r="Z1512" s="38" t="n">
        <x:v>1.56886999524186</x:v>
      </x:c>
      <x:c r="AA1512" t="str">
        <x:v>NON_POSITIVE_EQUITY_VALUE|UNRELIABLE_TERMINAL_VALUE_SHARE</x:v>
      </x:c>
    </x:row>
    <x:row r="1513">
      <x:c r="A1513" s="54" t="n">
        <x:v>44834</x:v>
      </x:c>
      <x:c r="B1513" t="n">
        <x:v>44834.624999988424</x:v>
      </x:c>
      <x:c r="C1513" t="str">
        <x:v>094840</x:v>
      </x:c>
      <x:c r="D1513" t="str">
        <x:v>슈프리마에이치큐</x:v>
      </x:c>
      <x:c r="E1513" t="str">
        <x:v>KOSDAQ</x:v>
      </x:c>
      <x:c r="F1513" t="str">
        <x:v>SMALL</x:v>
      </x:c>
      <x:c r="G1513" t="str">
        <x:v>ELIGIBLE</x:v>
      </x:c>
      <x:c r="H1513"/>
      <x:c r="I1513" s="54" t="n">
        <x:v>44834</x:v>
      </x:c>
      <x:c r="J1513" s="55" t="n">
        <x:v>5170</x:v>
      </x:c>
      <x:c r="K1513" s="55" t="n">
        <x:v>54139412800</x:v>
      </x:c>
      <x:c r="L1513" s="55" t="n">
        <x:v>10471840</x:v>
      </x:c>
      <x:c r="M1513" t="str">
        <x:v>20220315001144</x:v>
      </x:c>
      <x:c r="N1513" t="n">
        <x:v>44635.624999988424</x:v>
      </x:c>
      <x:c r="O1513" s="54" t="n">
        <x:v>44561</x:v>
      </x:c>
      <x:c r="P1513" t="str">
        <x:v>False</x:v>
      </x:c>
      <x:c r="Q1513" t="str">
        <x:v>3055b44bdf1a0bc3f1c2b63955ecab3f1f8befbe36f39b51c0ee4f27cc1e2216</x:v>
      </x:c>
      <x:c r="R1513" t="str">
        <x:v>0a9461d98757f448405ad4567d4387ef3bd81a693a35a4285e52fba80d932a13</x:v>
      </x:c>
      <x:c r="S1513" t="n">
        <x:v>6</x:v>
      </x:c>
      <x:c r="T1513" t="str">
        <x:v>2018-12-31|2019-12-31|2020-12-31|2021-12-31</x:v>
      </x:c>
      <x:c r="U1513" s="57" t="n">
        <x:v>5564.559591376181</x:v>
      </x:c>
      <x:c r="V1513" s="57" t="n">
        <x:v>0.0763171356627042</x:v>
      </x:c>
      <x:c r="W1513" t="n">
        <x:v>20</x:v>
      </x:c>
      <x:c r="X1513" t="n">
        <x:v>2</x:v>
      </x:c>
      <x:c r="Y1513" s="38" t="n">
        <x:v>0.6409090909090909</x:v>
      </x:c>
      <x:c r="Z1513" s="38" t="n">
        <x:v>0.6038666227370082</x:v>
      </x:c>
      <x:c r="AA1513"/>
    </x:row>
    <x:row r="1514">
      <x:c r="A1514" s="54" t="n">
        <x:v>44834</x:v>
      </x:c>
      <x:c r="B1514" t="n">
        <x:v>44834.624999988424</x:v>
      </x:c>
      <x:c r="C1514" t="str">
        <x:v>019990</x:v>
      </x:c>
      <x:c r="D1514" t="str">
        <x:v>에너토크</x:v>
      </x:c>
      <x:c r="E1514" t="str">
        <x:v>KOSDAQ</x:v>
      </x:c>
      <x:c r="F1514" t="str">
        <x:v>SMALL</x:v>
      </x:c>
      <x:c r="G1514" t="str">
        <x:v>DCF_SCREENING_EXCLUSION</x:v>
      </x:c>
      <x:c r="H1514" t="str">
        <x:v>NON_POSITIVE_ENTERPRISE_VALUE|NON_POSITIVE_EQUITY_VALUE|NON_POSITIVE_TERMINAL_FCF</x:v>
      </x:c>
      <x:c r="I1514" s="54" t="n">
        <x:v>44834</x:v>
      </x:c>
      <x:c r="J1514" s="55" t="n">
        <x:v>8220</x:v>
      </x:c>
      <x:c r="K1514" s="55" t="n">
        <x:v>80195043360</x:v>
      </x:c>
      <x:c r="L1514" s="55" t="n">
        <x:v>9756088</x:v>
      </x:c>
      <x:c r="M1514" t="str">
        <x:v>20220317001066</x:v>
      </x:c>
      <x:c r="N1514" t="n">
        <x:v>44637.624999988424</x:v>
      </x:c>
      <x:c r="O1514" s="54" t="n">
        <x:v>44561</x:v>
      </x:c>
      <x:c r="P1514" t="str">
        <x:v>False</x:v>
      </x:c>
      <x:c r="Q1514" t="str">
        <x:v>089b7c92444a9ef621a7bf8f5273ef6fdef7220071b096c9fe7f43e742e55092</x:v>
      </x:c>
      <x:c r="R1514" t="str">
        <x:v>35368cfe0bb7705445e965c9724628dcf461681b5765679f98fd5eb478d15561</x:v>
      </x:c>
      <x:c r="S1514" t="n">
        <x:v>7</x:v>
      </x:c>
      <x:c r="T1514" t="str">
        <x:v>2018-12-31|2019-12-31|2020-12-31|2021-12-31</x:v>
      </x:c>
      <x:c r="U1514" s="57" t="n">
        <x:v>-456.7175493444326</x:v>
      </x:c>
      <x:c r="V1514" s="57" t="n">
        <x:v>-1.0555617456623396</x:v>
      </x:c>
      <x:c r="W1514"/>
      <x:c r="X1514"/>
      <x:c r="Y1514" s="38" t="n">
        <x:v>0.6409090909090909</x:v>
      </x:c>
      <x:c r="Z1514" s="38" t="n">
        <x:v>0.7116290567781939</x:v>
      </x:c>
      <x:c r="AA1514" t="str">
        <x:v>NON_POSITIVE_ENTERPRISE_VALUE|NON_POSITIVE_EQUITY_VALUE|NON_POSITIVE_TERMINAL_FCF</x:v>
      </x:c>
    </x:row>
    <x:row r="1515">
      <x:c r="A1515" s="54" t="n">
        <x:v>44834</x:v>
      </x:c>
      <x:c r="B1515" t="n">
        <x:v>44834.624999988424</x:v>
      </x:c>
      <x:c r="C1515" t="str">
        <x:v>024740</x:v>
      </x:c>
      <x:c r="D1515" t="str">
        <x:v>한일단조</x:v>
      </x:c>
      <x:c r="E1515" t="str">
        <x:v>KOSDAQ</x:v>
      </x:c>
      <x:c r="F1515" t="str">
        <x:v>SMALL</x:v>
      </x:c>
      <x:c r="G1515" t="str">
        <x:v>DCF_SCREENING_EXCLUSION</x:v>
      </x:c>
      <x:c r="H1515" t="str">
        <x:v>NON_POSITIVE_ENTERPRISE_VALUE|NON_POSITIVE_EQUITY_VALUE|NON_POSITIVE_TERMINAL_FCF</x:v>
      </x:c>
      <x:c r="I1515" s="54" t="n">
        <x:v>44834</x:v>
      </x:c>
      <x:c r="J1515" s="55" t="n">
        <x:v>2795</x:v>
      </x:c>
      <x:c r="K1515" s="55" t="n">
        <x:v>83546261760</x:v>
      </x:c>
      <x:c r="L1515" s="55" t="n">
        <x:v>29891328</x:v>
      </x:c>
      <x:c r="M1515" t="str">
        <x:v>20220321001231</x:v>
      </x:c>
      <x:c r="N1515" t="n">
        <x:v>44641.624999988424</x:v>
      </x:c>
      <x:c r="O1515" s="54" t="n">
        <x:v>44561</x:v>
      </x:c>
      <x:c r="P1515" t="str">
        <x:v>False</x:v>
      </x:c>
      <x:c r="Q1515" t="str">
        <x:v>077840fee17f9af01264f3120dec1ee29756194c7c19af5659e583de5ce8f598</x:v>
      </x:c>
      <x:c r="R1515" t="str">
        <x:v>9d7fb519c7e09e3d52a3f8a4abbfcc60bd191659ab3ce71252b605384b0a1be2</x:v>
      </x:c>
      <x:c r="S1515" t="n">
        <x:v>7</x:v>
      </x:c>
      <x:c r="T1515" t="str">
        <x:v>2018-12-31|2019-12-31|2020-12-31|2021-12-31</x:v>
      </x:c>
      <x:c r="U1515" s="57" t="n">
        <x:v>-3356.488536663042</x:v>
      </x:c>
      <x:c r="V1515" s="57" t="n">
        <x:v>-2.200890353010033</x:v>
      </x:c>
      <x:c r="W1515"/>
      <x:c r="X1515"/>
      <x:c r="Y1515" s="38" t="n">
        <x:v>0.6409090909090909</x:v>
      </x:c>
      <x:c r="Z1515" s="38" t="n">
        <x:v>0.40181597915254924</x:v>
      </x:c>
      <x:c r="AA1515" t="str">
        <x:v>NON_POSITIVE_ENTERPRISE_VALUE|NON_POSITIVE_EQUITY_VALUE|NON_POSITIVE_TERMINAL_FCF</x:v>
      </x:c>
    </x:row>
    <x:row r="1516">
      <x:c r="A1516" s="54" t="n">
        <x:v>44834</x:v>
      </x:c>
      <x:c r="B1516" t="n">
        <x:v>44834.624999988424</x:v>
      </x:c>
      <x:c r="C1516" t="str">
        <x:v>340930</x:v>
      </x:c>
      <x:c r="D1516" t="str">
        <x:v>유일에너테크</x:v>
      </x:c>
      <x:c r="E1516" t="str">
        <x:v>KOSDAQ</x:v>
      </x:c>
      <x:c r="F1516" t="str">
        <x:v>SMALL</x:v>
      </x:c>
      <x:c r="G1516" t="str">
        <x:v>DCF_SCREENING_EXCLUSION</x:v>
      </x:c>
      <x:c r="H1516" t="str">
        <x:v>NON_POSITIVE_ENTERPRISE_VALUE|NON_POSITIVE_EQUITY_VALUE|NON_POSITIVE_TERMINAL_FCF</x:v>
      </x:c>
      <x:c r="I1516" s="54" t="n">
        <x:v>44834</x:v>
      </x:c>
      <x:c r="J1516" s="55" t="n">
        <x:v>14950</x:v>
      </x:c>
      <x:c r="K1516" s="55" t="n">
        <x:v>159587422800</x:v>
      </x:c>
      <x:c r="L1516" s="55" t="n">
        <x:v>10674744</x:v>
      </x:c>
      <x:c r="M1516" t="str">
        <x:v>20220318000722</x:v>
      </x:c>
      <x:c r="N1516" t="n">
        <x:v>44638.624999988424</x:v>
      </x:c>
      <x:c r="O1516" s="54" t="n">
        <x:v>44561</x:v>
      </x:c>
      <x:c r="P1516" t="str">
        <x:v>False</x:v>
      </x:c>
      <x:c r="Q1516" t="str">
        <x:v>5f6ecf9486be838a497ea76fe0da0a07eabcebc686562bea432dae373ffb41f4</x:v>
      </x:c>
      <x:c r="R1516" t="str">
        <x:v>e1bf5039191c67e14f81124a563b41975ae52413d662967dad0faedd5dea4d4d</x:v>
      </x:c>
      <x:c r="S1516" t="n">
        <x:v>7</x:v>
      </x:c>
      <x:c r="T1516" t="str">
        <x:v>2020-12-31|2021-12-31</x:v>
      </x:c>
      <x:c r="U1516" s="57" t="n">
        <x:v>-2790.691513978419</x:v>
      </x:c>
      <x:c r="V1516" s="57" t="n">
        <x:v>-1.1866683286942086</x:v>
      </x:c>
      <x:c r="W1516"/>
      <x:c r="X1516"/>
      <x:c r="Y1516" s="38" t="n">
        <x:v>0.6409090909090909</x:v>
      </x:c>
      <x:c r="Z1516" s="38" t="n">
        <x:v>0.4677358915820292</x:v>
      </x:c>
      <x:c r="AA1516" t="str">
        <x:v>NON_POSITIVE_ENTERPRISE_VALUE|NON_POSITIVE_EQUITY_VALUE|NON_POSITIVE_TERMINAL_FCF</x:v>
      </x:c>
    </x:row>
    <x:row r="1517">
      <x:c r="A1517" s="54" t="n">
        <x:v>44834</x:v>
      </x:c>
      <x:c r="B1517" t="n">
        <x:v>44834.624999988424</x:v>
      </x:c>
      <x:c r="C1517" t="str">
        <x:v>057030</x:v>
      </x:c>
      <x:c r="D1517" t="str">
        <x:v>YBM넷</x:v>
      </x:c>
      <x:c r="E1517" t="str">
        <x:v>KOSDAQ</x:v>
      </x:c>
      <x:c r="F1517" t="str">
        <x:v>SMALL</x:v>
      </x:c>
      <x:c r="G1517" t="str">
        <x:v>ELIGIBLE</x:v>
      </x:c>
      <x:c r="H1517"/>
      <x:c r="I1517" s="54" t="n">
        <x:v>44834</x:v>
      </x:c>
      <x:c r="J1517" s="55" t="n">
        <x:v>3405</x:v>
      </x:c>
      <x:c r="K1517" s="55" t="n">
        <x:v>55544733285</x:v>
      </x:c>
      <x:c r="L1517" s="55" t="n">
        <x:v>16312697</x:v>
      </x:c>
      <x:c r="M1517" t="str">
        <x:v>20220323000611</x:v>
      </x:c>
      <x:c r="N1517" t="n">
        <x:v>44643.624999988424</x:v>
      </x:c>
      <x:c r="O1517" s="54" t="n">
        <x:v>44561</x:v>
      </x:c>
      <x:c r="P1517" t="str">
        <x:v>False</x:v>
      </x:c>
      <x:c r="Q1517" t="str">
        <x:v>dc4ac923df63aa87ff0f05d94a32761eaf8531210ea4a0c55f38312873dded52</x:v>
      </x:c>
      <x:c r="R1517" t="str">
        <x:v>e2018870c912d1c93fb0f426f20643a07e04445245400f0986b4f4c4e693f540</x:v>
      </x:c>
      <x:c r="S1517" t="n">
        <x:v>6</x:v>
      </x:c>
      <x:c r="T1517" t="str">
        <x:v>2018-12-31|2019-12-31|2020-12-31|2021-12-31</x:v>
      </x:c>
      <x:c r="U1517" s="57" t="n">
        <x:v>690.8931499422238</x:v>
      </x:c>
      <x:c r="V1517" s="57" t="n">
        <x:v>-0.7970945227776142</x:v>
      </x:c>
      <x:c r="W1517" t="n">
        <x:v>61</x:v>
      </x:c>
      <x:c r="X1517" t="n">
        <x:v>5</x:v>
      </x:c>
      <x:c r="Y1517" s="38" t="n">
        <x:v>0.6409090909090909</x:v>
      </x:c>
      <x:c r="Z1517" s="38" t="n">
        <x:v>0.4546761969160054</x:v>
      </x:c>
      <x:c r="AA1517"/>
    </x:row>
    <x:row r="1518">
      <x:c r="A1518" s="54" t="n">
        <x:v>44834</x:v>
      </x:c>
      <x:c r="B1518" t="n">
        <x:v>44834.624999988424</x:v>
      </x:c>
      <x:c r="C1518" t="str">
        <x:v>053160</x:v>
      </x:c>
      <x:c r="D1518" t="str">
        <x:v>프리엠스</x:v>
      </x:c>
      <x:c r="E1518" t="str">
        <x:v>KOSDAQ</x:v>
      </x:c>
      <x:c r="F1518" t="str">
        <x:v>SMALL</x:v>
      </x:c>
      <x:c r="G1518" t="str">
        <x:v>DCF_SCREENING_EXCLUSION</x:v>
      </x:c>
      <x:c r="H1518" t="str">
        <x:v>NON_POSITIVE_TERMINAL_FCF|UNRELIABLE_TERMINAL_VALUE_SHARE</x:v>
      </x:c>
      <x:c r="I1518" s="54" t="n">
        <x:v>44834</x:v>
      </x:c>
      <x:c r="J1518" s="55" t="n">
        <x:v>6280</x:v>
      </x:c>
      <x:c r="K1518" s="55" t="n">
        <x:v>37680000000</x:v>
      </x:c>
      <x:c r="L1518" s="55" t="n">
        <x:v>6000000</x:v>
      </x:c>
      <x:c r="M1518" t="str">
        <x:v>20220317000916</x:v>
      </x:c>
      <x:c r="N1518" t="n">
        <x:v>44637.624999988424</x:v>
      </x:c>
      <x:c r="O1518" s="54" t="n">
        <x:v>44561</x:v>
      </x:c>
      <x:c r="P1518" t="str">
        <x:v>False</x:v>
      </x:c>
      <x:c r="Q1518" t="str">
        <x:v>c9366f65949a70b5d07b68596c98e467aa02812c80e144305fab8224d82e75a2</x:v>
      </x:c>
      <x:c r="R1518" t="str">
        <x:v>765cdd5f90ba326a7de3604289a4ecba090bd46f99e32947b126df0df8c9d6d4</x:v>
      </x:c>
      <x:c r="S1518" t="n">
        <x:v>7</x:v>
      </x:c>
      <x:c r="T1518" t="str">
        <x:v>2018-12-31|2019-12-31|2020-12-31|2021-12-31</x:v>
      </x:c>
      <x:c r="U1518" s="57" t="n">
        <x:v>24.451715793899197</x:v>
      </x:c>
      <x:c r="V1518" s="57" t="n">
        <x:v>-0.9961064146825002</x:v>
      </x:c>
      <x:c r="W1518"/>
      <x:c r="X1518"/>
      <x:c r="Y1518" s="38" t="n">
        <x:v>0.6409090909090909</x:v>
      </x:c>
      <x:c r="Z1518" s="38" t="n">
        <x:v>-1.086588492260703</x:v>
      </x:c>
      <x:c r="AA1518" t="str">
        <x:v>NON_POSITIVE_TERMINAL_FCF|UNRELIABLE_TERMINAL_VALUE_SHARE</x:v>
      </x:c>
    </x:row>
    <x:row r="1519">
      <x:c r="A1519" s="54" t="n">
        <x:v>44834</x:v>
      </x:c>
      <x:c r="B1519" t="n">
        <x:v>44834.624999988424</x:v>
      </x:c>
      <x:c r="C1519" t="str">
        <x:v>038620</x:v>
      </x:c>
      <x:c r="D1519" t="str">
        <x:v>위즈코프</x:v>
      </x:c>
      <x:c r="E1519" t="str">
        <x:v>KOSDAQ</x:v>
      </x:c>
      <x:c r="F1519" t="str">
        <x:v>SMALL</x:v>
      </x:c>
      <x:c r="G1519" t="str">
        <x:v>ELIGIBLE</x:v>
      </x:c>
      <x:c r="H1519"/>
      <x:c r="I1519" s="54" t="n">
        <x:v>44834</x:v>
      </x:c>
      <x:c r="J1519" s="55" t="n">
        <x:v>783</x:v>
      </x:c>
      <x:c r="K1519" s="55" t="n">
        <x:v>52105882095</x:v>
      </x:c>
      <x:c r="L1519" s="55" t="n">
        <x:v>66546465</x:v>
      </x:c>
      <x:c r="M1519" t="str">
        <x:v>20220321000819</x:v>
      </x:c>
      <x:c r="N1519" t="n">
        <x:v>44641.624999988424</x:v>
      </x:c>
      <x:c r="O1519" s="54" t="n">
        <x:v>44561</x:v>
      </x:c>
      <x:c r="P1519" t="str">
        <x:v>False</x:v>
      </x:c>
      <x:c r="Q1519" t="str">
        <x:v>5c4454c4fe18996695981d70e069eb3386a0c108f2aa784feda5035cfc59d817</x:v>
      </x:c>
      <x:c r="R1519" t="str">
        <x:v>87c0bf9aa2b3eebed0be845f0abd88ba82914a06a6c03f61d58a885b537f4ed7</x:v>
      </x:c>
      <x:c r="S1519" t="n">
        <x:v>5</x:v>
      </x:c>
      <x:c r="T1519" t="str">
        <x:v>2018-12-31|2019-12-31|2020-12-31|2021-12-31</x:v>
      </x:c>
      <x:c r="U1519" s="57" t="n">
        <x:v>325.2219975429165</x:v>
      </x:c>
      <x:c r="V1519" s="57" t="n">
        <x:v>-0.5846462355773736</x:v>
      </x:c>
      <x:c r="W1519" t="n">
        <x:v>51</x:v>
      </x:c>
      <x:c r="X1519" t="n">
        <x:v>4</x:v>
      </x:c>
      <x:c r="Y1519" s="38" t="n">
        <x:v>0.6409090909090909</x:v>
      </x:c>
      <x:c r="Z1519" s="38" t="n">
        <x:v>0.6350884475468049</x:v>
      </x:c>
      <x:c r="AA1519"/>
    </x:row>
    <x:row r="1520">
      <x:c r="A1520" s="54" t="n">
        <x:v>44834</x:v>
      </x:c>
      <x:c r="B1520" t="n">
        <x:v>44834.624999988424</x:v>
      </x:c>
      <x:c r="C1520" t="str">
        <x:v>313760</x:v>
      </x:c>
      <x:c r="D1520" t="str">
        <x:v>캐리</x:v>
      </x:c>
      <x:c r="E1520" t="str">
        <x:v>KOSDAQ</x:v>
      </x:c>
      <x:c r="F1520" t="str">
        <x:v>SMALL</x:v>
      </x:c>
      <x:c r="G1520" t="str">
        <x:v>DCF_SCREENING_EXCLUSION</x:v>
      </x:c>
      <x:c r="H1520" t="str">
        <x:v>NON_POSITIVE_ENTERPRISE_VALUE|NON_POSITIVE_EQUITY_VALUE|NON_POSITIVE_TERMINAL_FCF</x:v>
      </x:c>
      <x:c r="I1520" s="54" t="n">
        <x:v>44834</x:v>
      </x:c>
      <x:c r="J1520" s="55" t="n">
        <x:v>8030</x:v>
      </x:c>
      <x:c r="K1520" s="55" t="n">
        <x:v>45671966010</x:v>
      </x:c>
      <x:c r="L1520" s="55" t="n">
        <x:v>5687667</x:v>
      </x:c>
      <x:c r="M1520" t="str">
        <x:v>20220317000439</x:v>
      </x:c>
      <x:c r="N1520" t="n">
        <x:v>44637.624999988424</x:v>
      </x:c>
      <x:c r="O1520" s="54" t="n">
        <x:v>44561</x:v>
      </x:c>
      <x:c r="P1520" t="str">
        <x:v>False</x:v>
      </x:c>
      <x:c r="Q1520" t="str">
        <x:v>9ae179f370a8494e92b8b80e132d8d1f7740bd521b07ed874fe6834451df534c</x:v>
      </x:c>
      <x:c r="R1520" t="str">
        <x:v>e39af1bd104c1f523a839ed3e0a9c6aee093df4b480e4f97b897847ee30d76b8</x:v>
      </x:c>
      <x:c r="S1520" t="n">
        <x:v>5</x:v>
      </x:c>
      <x:c r="T1520" t="str">
        <x:v>2019-12-31|2020-12-31|2021-12-31</x:v>
      </x:c>
      <x:c r="U1520" s="57" t="n">
        <x:v>-1404.5947285122056</x:v>
      </x:c>
      <x:c r="V1520" s="57" t="n">
        <x:v>-1.1749183970749946</x:v>
      </x:c>
      <x:c r="W1520"/>
      <x:c r="X1520"/>
      <x:c r="Y1520" s="38" t="n">
        <x:v>0.6409090909090909</x:v>
      </x:c>
      <x:c r="Z1520" s="38" t="n">
        <x:v>0.4777823497031718</x:v>
      </x:c>
      <x:c r="AA1520" t="str">
        <x:v>NON_POSITIVE_ENTERPRISE_VALUE|NON_POSITIVE_EQUITY_VALUE|NON_POSITIVE_TERMINAL_FCF</x:v>
      </x:c>
    </x:row>
    <x:row r="1521">
      <x:c r="A1521" s="54" t="n">
        <x:v>44834</x:v>
      </x:c>
      <x:c r="B1521" t="n">
        <x:v>44834.624999988424</x:v>
      </x:c>
      <x:c r="C1521" t="str">
        <x:v>372800</x:v>
      </x:c>
      <x:c r="D1521" t="str">
        <x:v>아이티아이즈</x:v>
      </x:c>
      <x:c r="E1521" t="str">
        <x:v>KOSDAQ</x:v>
      </x:c>
      <x:c r="F1521" t="str">
        <x:v>SMALL</x:v>
      </x:c>
      <x:c r="G1521" t="str">
        <x:v>DCF_SCREENING_EXCLUSION</x:v>
      </x:c>
      <x:c r="H1521" t="str">
        <x:v>NON_POSITIVE_ENTERPRISE_VALUE|NON_POSITIVE_EQUITY_VALUE|NON_POSITIVE_TERMINAL_FCF</x:v>
      </x:c>
      <x:c r="I1521" s="54" t="n">
        <x:v>44834</x:v>
      </x:c>
      <x:c r="J1521" s="55" t="n">
        <x:v>7790</x:v>
      </x:c>
      <x:c r="K1521" s="55" t="n">
        <x:v>46560752100</x:v>
      </x:c>
      <x:c r="L1521" s="55" t="n">
        <x:v>5976990</x:v>
      </x:c>
      <x:c r="M1521" t="str">
        <x:v>20220321000273</x:v>
      </x:c>
      <x:c r="N1521" t="n">
        <x:v>44641.624999988424</x:v>
      </x:c>
      <x:c r="O1521" s="54" t="n">
        <x:v>44561</x:v>
      </x:c>
      <x:c r="P1521" t="str">
        <x:v>False</x:v>
      </x:c>
      <x:c r="Q1521" t="str">
        <x:v>1fb2381ef38295f6ab34b31f3ed31f3c71974814bd50d66980821de705c5c184</x:v>
      </x:c>
      <x:c r="R1521" t="str">
        <x:v>9a11bc02e8b82648c2bc87021ec17c2483a25563efed84a508393d719053c6b6</x:v>
      </x:c>
      <x:c r="S1521" t="n">
        <x:v>7</x:v>
      </x:c>
      <x:c r="T1521" t="str">
        <x:v>2021-12-31</x:v>
      </x:c>
      <x:c r="U1521" s="57" t="n">
        <x:v>-1111.210967938377</x:v>
      </x:c>
      <x:c r="V1521" s="57" t="n">
        <x:v>-1.1426458238688546</x:v>
      </x:c>
      <x:c r="W1521"/>
      <x:c r="X1521"/>
      <x:c r="Y1521" s="38" t="n">
        <x:v>0.6409090909090909</x:v>
      </x:c>
      <x:c r="Z1521" s="38" t="n">
        <x:v>0.6264850986190418</x:v>
      </x:c>
      <x:c r="AA1521" t="str">
        <x:v>NON_POSITIVE_ENTERPRISE_VALUE|NON_POSITIVE_EQUITY_VALUE|NON_POSITIVE_TERMINAL_FCF</x:v>
      </x:c>
    </x:row>
    <x:row r="1522">
      <x:c r="A1522" s="54" t="n">
        <x:v>44834</x:v>
      </x:c>
      <x:c r="B1522" t="n">
        <x:v>44834.624999988424</x:v>
      </x:c>
      <x:c r="C1522" t="str">
        <x:v>332290</x:v>
      </x:c>
      <x:c r="D1522" t="str">
        <x:v>누보</x:v>
      </x:c>
      <x:c r="E1522" t="str">
        <x:v>KOSDAQ</x:v>
      </x:c>
      <x:c r="F1522" t="str">
        <x:v>SMALL</x:v>
      </x:c>
      <x:c r="G1522" t="str">
        <x:v>NO_PIT_FINANCIALS</x:v>
      </x:c>
      <x:c r="H1522"/>
      <x:c r="I1522" s="54" t="n">
        <x:v>44834</x:v>
      </x:c>
      <x:c r="J1522" s="55" t="n">
        <x:v>1810</x:v>
      </x:c>
      <x:c r="K1522" s="55" t="n">
        <x:v>59877194630</x:v>
      </x:c>
      <x:c r="L1522" s="55" t="n">
        <x:v>33081323</x:v>
      </x:c>
      <x:c r="M1522"/>
      <x:c r="N1522"/>
      <x:c r="O1522" s="54"/>
      <x:c r="P1522"/>
      <x:c r="Q1522"/>
      <x:c r="R1522"/>
      <x:c r="S1522"/>
      <x:c r="T1522"/>
      <x:c r="U1522" s="57"/>
      <x:c r="V1522" s="57"/>
      <x:c r="W1522"/>
      <x:c r="X1522"/>
      <x:c r="Y1522" s="38"/>
      <x:c r="Z1522" s="38"/>
      <x:c r="AA1522"/>
    </x:row>
    <x:row r="1523">
      <x:c r="A1523" s="54" t="n">
        <x:v>44834</x:v>
      </x:c>
      <x:c r="B1523" t="n">
        <x:v>44834.624999988424</x:v>
      </x:c>
      <x:c r="C1523" t="str">
        <x:v>059100</x:v>
      </x:c>
      <x:c r="D1523" t="str">
        <x:v>아이컴포넌트</x:v>
      </x:c>
      <x:c r="E1523" t="str">
        <x:v>KOSDAQ</x:v>
      </x:c>
      <x:c r="F1523" t="str">
        <x:v>SMALL</x:v>
      </x:c>
      <x:c r="G1523" t="str">
        <x:v>ELIGIBLE</x:v>
      </x:c>
      <x:c r="H1523"/>
      <x:c r="I1523" s="54" t="n">
        <x:v>44834</x:v>
      </x:c>
      <x:c r="J1523" s="55" t="n">
        <x:v>6190</x:v>
      </x:c>
      <x:c r="K1523" s="55" t="n">
        <x:v>43768623400</x:v>
      </x:c>
      <x:c r="L1523" s="55" t="n">
        <x:v>7070860</x:v>
      </x:c>
      <x:c r="M1523" t="str">
        <x:v>20220316000462</x:v>
      </x:c>
      <x:c r="N1523" t="n">
        <x:v>44636.624999988424</x:v>
      </x:c>
      <x:c r="O1523" s="54" t="n">
        <x:v>44561</x:v>
      </x:c>
      <x:c r="P1523" t="str">
        <x:v>False</x:v>
      </x:c>
      <x:c r="Q1523" t="str">
        <x:v>4d0291105bbc3a55906253b35bc66670f9096269357a961ca2dd66009b79d58e</x:v>
      </x:c>
      <x:c r="R1523" t="str">
        <x:v>f0273cce86345aff4a6350833e3d21c6376f41a431a3756460c69999c690aaff</x:v>
      </x:c>
      <x:c r="S1523" t="n">
        <x:v>7</x:v>
      </x:c>
      <x:c r="T1523" t="str">
        <x:v>2018-12-31|2019-12-31|2020-12-31|2021-12-31</x:v>
      </x:c>
      <x:c r="U1523" s="57" t="n">
        <x:v>1027.619480089783</x:v>
      </x:c>
      <x:c r="V1523" s="57" t="n">
        <x:v>-0.8339871599208751</x:v>
      </x:c>
      <x:c r="W1523" t="n">
        <x:v>63</x:v>
      </x:c>
      <x:c r="X1523" t="n">
        <x:v>5</x:v>
      </x:c>
      <x:c r="Y1523" s="38" t="n">
        <x:v>0.6409090909090909</x:v>
      </x:c>
      <x:c r="Z1523" s="38" t="n">
        <x:v>0.5799306062865924</x:v>
      </x:c>
      <x:c r="AA1523"/>
    </x:row>
    <x:row r="1524">
      <x:c r="A1524" s="54" t="n">
        <x:v>44834</x:v>
      </x:c>
      <x:c r="B1524" t="n">
        <x:v>44834.624999988424</x:v>
      </x:c>
      <x:c r="C1524" t="str">
        <x:v>060900</x:v>
      </x:c>
      <x:c r="D1524" t="str">
        <x:v>DGP</x:v>
      </x:c>
      <x:c r="E1524" t="str">
        <x:v>KOSDAQ</x:v>
      </x:c>
      <x:c r="F1524" t="str">
        <x:v>SMALL</x:v>
      </x:c>
      <x:c r="G1524" t="str">
        <x:v>DCF_SCREENING_EXCLUSION</x:v>
      </x:c>
      <x:c r="H1524" t="str">
        <x:v>NON_POSITIVE_ENTERPRISE_VALUE|NON_POSITIVE_EQUITY_VALUE|NON_POSITIVE_TERMINAL_FCF|UNRELIABLE_TERMINAL_VALUE_SHARE</x:v>
      </x:c>
      <x:c r="I1524" s="54" t="n">
        <x:v>44834</x:v>
      </x:c>
      <x:c r="J1524" s="55" t="n">
        <x:v>704</x:v>
      </x:c>
      <x:c r="K1524" s="55" t="n">
        <x:v>121641910720</x:v>
      </x:c>
      <x:c r="L1524" s="55" t="n">
        <x:v>172786805</x:v>
      </x:c>
      <x:c r="M1524" t="str">
        <x:v>20220321000578</x:v>
      </x:c>
      <x:c r="N1524" t="n">
        <x:v>44641.624999988424</x:v>
      </x:c>
      <x:c r="O1524" s="54" t="n">
        <x:v>44561</x:v>
      </x:c>
      <x:c r="P1524" t="str">
        <x:v>False</x:v>
      </x:c>
      <x:c r="Q1524" t="str">
        <x:v>a92665cbc375e381798994e6fb242db5536f90161fb11f4dfa1afeecd75781b8</x:v>
      </x:c>
      <x:c r="R1524" t="str">
        <x:v>8bfbd54d271afaeb9f19f19ed7e42e70f589576253436fa6c6bb117917e601ce</x:v>
      </x:c>
      <x:c r="S1524" t="n">
        <x:v>5</x:v>
      </x:c>
      <x:c r="T1524" t="str">
        <x:v>2018-12-31|2019-12-31|2021-12-31</x:v>
      </x:c>
      <x:c r="U1524" s="57" t="n">
        <x:v>-234.6173189772261</x:v>
      </x:c>
      <x:c r="V1524" s="57" t="n">
        <x:v>-1.3332632371835598</x:v>
      </x:c>
      <x:c r="W1524"/>
      <x:c r="X1524"/>
      <x:c r="Y1524" s="38" t="n">
        <x:v>0.6409090909090909</x:v>
      </x:c>
      <x:c r="Z1524" s="38" t="n">
        <x:v>0.8755789469224888</x:v>
      </x:c>
      <x:c r="AA1524" t="str">
        <x:v>NON_POSITIVE_ENTERPRISE_VALUE|NON_POSITIVE_EQUITY_VALUE|NON_POSITIVE_TERMINAL_FCF|UNRELIABLE_TERMINAL_VALUE_SHARE</x:v>
      </x:c>
    </x:row>
    <x:row r="1525">
      <x:c r="A1525" s="54" t="n">
        <x:v>44834</x:v>
      </x:c>
      <x:c r="B1525" t="n">
        <x:v>44834.624999988424</x:v>
      </x:c>
      <x:c r="C1525" t="str">
        <x:v>232830</x:v>
      </x:c>
      <x:c r="D1525" t="str">
        <x:v>아이티센피엔에스</x:v>
      </x:c>
      <x:c r="E1525" t="str">
        <x:v>KOSDAQ</x:v>
      </x:c>
      <x:c r="F1525" t="str">
        <x:v>SMALL</x:v>
      </x:c>
      <x:c r="G1525" t="str">
        <x:v>NO_PIT_FINANCIALS</x:v>
      </x:c>
      <x:c r="H1525"/>
      <x:c r="I1525" s="54" t="n">
        <x:v>44834</x:v>
      </x:c>
      <x:c r="J1525" s="55" t="n">
        <x:v>4060</x:v>
      </x:c>
      <x:c r="K1525" s="55" t="n">
        <x:v>38606669920</x:v>
      </x:c>
      <x:c r="L1525" s="55" t="n">
        <x:v>9509032</x:v>
      </x:c>
      <x:c r="M1525"/>
      <x:c r="N1525"/>
      <x:c r="O1525" s="54"/>
      <x:c r="P1525"/>
      <x:c r="Q1525"/>
      <x:c r="R1525"/>
      <x:c r="S1525"/>
      <x:c r="T1525"/>
      <x:c r="U1525" s="57"/>
      <x:c r="V1525" s="57"/>
      <x:c r="W1525"/>
      <x:c r="X1525"/>
      <x:c r="Y1525" s="38"/>
      <x:c r="Z1525" s="38"/>
      <x:c r="AA1525"/>
    </x:row>
    <x:row r="1526">
      <x:c r="A1526" s="54" t="n">
        <x:v>44834</x:v>
      </x:c>
      <x:c r="B1526" t="n">
        <x:v>44834.624999988424</x:v>
      </x:c>
      <x:c r="C1526" t="str">
        <x:v>070590</x:v>
      </x:c>
      <x:c r="D1526" t="str">
        <x:v>한솔인티큐브</x:v>
      </x:c>
      <x:c r="E1526" t="str">
        <x:v>KOSDAQ</x:v>
      </x:c>
      <x:c r="F1526" t="str">
        <x:v>SMALL</x:v>
      </x:c>
      <x:c r="G1526" t="str">
        <x:v>DCF_SCREENING_EXCLUSION</x:v>
      </x:c>
      <x:c r="H1526" t="str">
        <x:v>NON_POSITIVE_ENTERPRISE_VALUE|NON_POSITIVE_EQUITY_VALUE|NON_POSITIVE_TERMINAL_FCF</x:v>
      </x:c>
      <x:c r="I1526" s="54" t="n">
        <x:v>44834</x:v>
      </x:c>
      <x:c r="J1526" s="55" t="n">
        <x:v>1705</x:v>
      </x:c>
      <x:c r="K1526" s="55" t="n">
        <x:v>23664583305</x:v>
      </x:c>
      <x:c r="L1526" s="55" t="n">
        <x:v>13879521</x:v>
      </x:c>
      <x:c r="M1526" t="str">
        <x:v>20220929000474</x:v>
      </x:c>
      <x:c r="N1526" t="n">
        <x:v>44833.624999988424</x:v>
      </x:c>
      <x:c r="O1526" s="54" t="n">
        <x:v>44561</x:v>
      </x:c>
      <x:c r="P1526" t="str">
        <x:v>True</x:v>
      </x:c>
      <x:c r="Q1526" t="str">
        <x:v>bb73a4d08b7e64793ffa39899263c1f793738262aa3026eeaacf81a0005fb5ef</x:v>
      </x:c>
      <x:c r="R1526" t="str">
        <x:v>3e27662a4846275a2d5966bcb03cfb4bf05577046e9ea5499a61a539d570edbe</x:v>
      </x:c>
      <x:c r="S1526" t="n">
        <x:v>6</x:v>
      </x:c>
      <x:c r="T1526" t="str">
        <x:v>2018-12-31|2019-12-31|2020-12-31|2021-12-31</x:v>
      </x:c>
      <x:c r="U1526" s="57" t="n">
        <x:v>-119.30159571053062</x:v>
      </x:c>
      <x:c r="V1526" s="57" t="n">
        <x:v>-1.069971610387408</x:v>
      </x:c>
      <x:c r="W1526"/>
      <x:c r="X1526"/>
      <x:c r="Y1526" s="38" t="n">
        <x:v>0.6409090909090909</x:v>
      </x:c>
      <x:c r="Z1526" s="38" t="n">
        <x:v>0.7222895576961198</x:v>
      </x:c>
      <x:c r="AA1526" t="str">
        <x:v>NON_POSITIVE_ENTERPRISE_VALUE|NON_POSITIVE_EQUITY_VALUE|NON_POSITIVE_TERMINAL_FCF</x:v>
      </x:c>
    </x:row>
    <x:row r="1527">
      <x:c r="A1527" s="54" t="n">
        <x:v>44834</x:v>
      </x:c>
      <x:c r="B1527" t="n">
        <x:v>44834.624999988424</x:v>
      </x:c>
      <x:c r="C1527" t="str">
        <x:v>163560</x:v>
      </x:c>
      <x:c r="D1527" t="str">
        <x:v>동일고무벨트</x:v>
      </x:c>
      <x:c r="E1527" t="str">
        <x:v>KOSPI</x:v>
      </x:c>
      <x:c r="F1527" t="str">
        <x:v>SMALL</x:v>
      </x:c>
      <x:c r="G1527" t="str">
        <x:v>ELIGIBLE</x:v>
      </x:c>
      <x:c r="H1527"/>
      <x:c r="I1527" s="54" t="n">
        <x:v>44834</x:v>
      </x:c>
      <x:c r="J1527" s="55" t="n">
        <x:v>5940</x:v>
      </x:c>
      <x:c r="K1527" s="55" t="n">
        <x:v>82566000000</x:v>
      </x:c>
      <x:c r="L1527" s="55" t="n">
        <x:v>13900000</x:v>
      </x:c>
      <x:c r="M1527" t="str">
        <x:v>20220315000862</x:v>
      </x:c>
      <x:c r="N1527" t="n">
        <x:v>44635.624999988424</x:v>
      </x:c>
      <x:c r="O1527" s="54" t="n">
        <x:v>44561</x:v>
      </x:c>
      <x:c r="P1527" t="str">
        <x:v>False</x:v>
      </x:c>
      <x:c r="Q1527" t="str">
        <x:v>a63ac20424bfa217e1c92290fcd14741bae792184f03195408029baab4c7741c</x:v>
      </x:c>
      <x:c r="R1527" t="str">
        <x:v>08269a80f2c9c042f51dc0592ab87e030407d354a4a176b22b8ef3a9f54f60c5</x:v>
      </x:c>
      <x:c r="S1527" t="n">
        <x:v>5</x:v>
      </x:c>
      <x:c r="T1527" t="str">
        <x:v>2018-12-31|2019-12-31|2020-12-31|2021-12-31</x:v>
      </x:c>
      <x:c r="U1527" s="57" t="n">
        <x:v>3225.2626379316716</x:v>
      </x:c>
      <x:c r="V1527" s="57" t="n">
        <x:v>-0.457026491930695</x:v>
      </x:c>
      <x:c r="W1527" t="n">
        <x:v>44</x:v>
      </x:c>
      <x:c r="X1527" t="n">
        <x:v>4</x:v>
      </x:c>
      <x:c r="Y1527" s="38" t="n">
        <x:v>0.6409090909090909</x:v>
      </x:c>
      <x:c r="Z1527" s="38" t="n">
        <x:v>0.8360197484570959</x:v>
      </x:c>
      <x:c r="AA1527"/>
    </x:row>
    <x:row r="1528">
      <x:c r="A1528" s="54" t="n">
        <x:v>44834</x:v>
      </x:c>
      <x:c r="B1528" t="n">
        <x:v>44834.624999988424</x:v>
      </x:c>
      <x:c r="C1528" t="str">
        <x:v>004830</x:v>
      </x:c>
      <x:c r="D1528" t="str">
        <x:v>덕성</x:v>
      </x:c>
      <x:c r="E1528" t="str">
        <x:v>KOSPI</x:v>
      </x:c>
      <x:c r="F1528" t="str">
        <x:v>SMALL</x:v>
      </x:c>
      <x:c r="G1528" t="str">
        <x:v>ELIGIBLE</x:v>
      </x:c>
      <x:c r="H1528"/>
      <x:c r="I1528" s="54" t="n">
        <x:v>44834</x:v>
      </x:c>
      <x:c r="J1528" s="55" t="n">
        <x:v>4410</x:v>
      </x:c>
      <x:c r="K1528" s="55" t="n">
        <x:v>69148800000</x:v>
      </x:c>
      <x:c r="L1528" s="55" t="n">
        <x:v>15680000</x:v>
      </x:c>
      <x:c r="M1528" t="str">
        <x:v>20220318000680</x:v>
      </x:c>
      <x:c r="N1528" t="n">
        <x:v>44638.624999988424</x:v>
      </x:c>
      <x:c r="O1528" s="54" t="n">
        <x:v>44561</x:v>
      </x:c>
      <x:c r="P1528" t="str">
        <x:v>False</x:v>
      </x:c>
      <x:c r="Q1528" t="str">
        <x:v>d97580f7bf9ab35ec4c40d046ce948a9cc7791963fc5d4d70b88cc889cb946c4</x:v>
      </x:c>
      <x:c r="R1528" t="str">
        <x:v>70feffd024d7985472729225cf7d9b55b6d979dca06eec6cf12fd412aa8d2d31</x:v>
      </x:c>
      <x:c r="S1528" t="n">
        <x:v>7</x:v>
      </x:c>
      <x:c r="T1528" t="str">
        <x:v>2018-12-31|2019-12-31|2020-12-31|2021-12-31</x:v>
      </x:c>
      <x:c r="U1528" s="57" t="n">
        <x:v>692.3589943086391</x:v>
      </x:c>
      <x:c r="V1528" s="57" t="n">
        <x:v>-0.8430024956216238</x:v>
      </x:c>
      <x:c r="W1528" t="n">
        <x:v>65</x:v>
      </x:c>
      <x:c r="X1528" t="n">
        <x:v>5</x:v>
      </x:c>
      <x:c r="Y1528" s="38" t="n">
        <x:v>0.6409090909090909</x:v>
      </x:c>
      <x:c r="Z1528" s="38" t="n">
        <x:v>0.5893658841252093</x:v>
      </x:c>
      <x:c r="AA1528"/>
    </x:row>
    <x:row r="1529">
      <x:c r="A1529" s="54" t="n">
        <x:v>44834</x:v>
      </x:c>
      <x:c r="B1529" t="n">
        <x:v>44834.624999988424</x:v>
      </x:c>
      <x:c r="C1529" t="str">
        <x:v>014440</x:v>
      </x:c>
      <x:c r="D1529" t="str">
        <x:v>영보화학</x:v>
      </x:c>
      <x:c r="E1529" t="str">
        <x:v>KOSPI</x:v>
      </x:c>
      <x:c r="F1529" t="str">
        <x:v>SMALL</x:v>
      </x:c>
      <x:c r="G1529" t="str">
        <x:v>ELIGIBLE</x:v>
      </x:c>
      <x:c r="H1529"/>
      <x:c r="I1529" s="54" t="n">
        <x:v>44834</x:v>
      </x:c>
      <x:c r="J1529" s="55" t="n">
        <x:v>3440</x:v>
      </x:c>
      <x:c r="K1529" s="55" t="n">
        <x:v>68800000000</x:v>
      </x:c>
      <x:c r="L1529" s="55" t="n">
        <x:v>20000000</x:v>
      </x:c>
      <x:c r="M1529" t="str">
        <x:v>20220315000699</x:v>
      </x:c>
      <x:c r="N1529" t="n">
        <x:v>44635.624999988424</x:v>
      </x:c>
      <x:c r="O1529" s="54" t="n">
        <x:v>44561</x:v>
      </x:c>
      <x:c r="P1529" t="str">
        <x:v>False</x:v>
      </x:c>
      <x:c r="Q1529" t="str">
        <x:v>ce0ef300c9982a5ae96b8f38e938a76d55aacc2f5d6537116bf577a81156eb75</x:v>
      </x:c>
      <x:c r="R1529" t="str">
        <x:v>442ae15d0e3fed6330f21e670f5fc4175ec0ca53312f19dad42d5ebbb8cba72f</x:v>
      </x:c>
      <x:c r="S1529" t="n">
        <x:v>6</x:v>
      </x:c>
      <x:c r="T1529" t="str">
        <x:v>2018-12-31|2019-12-31|2020-12-31|2021-12-31</x:v>
      </x:c>
      <x:c r="U1529" s="57" t="n">
        <x:v>2132.3902686183465</x:v>
      </x:c>
      <x:c r="V1529" s="57" t="n">
        <x:v>-0.38011910795978304</x:v>
      </x:c>
      <x:c r="W1529" t="n">
        <x:v>40</x:v>
      </x:c>
      <x:c r="X1529" t="n">
        <x:v>3</x:v>
      </x:c>
      <x:c r="Y1529" s="38" t="n">
        <x:v>0.6409090909090909</x:v>
      </x:c>
      <x:c r="Z1529" s="38" t="n">
        <x:v>0.41435690759784355</x:v>
      </x:c>
      <x:c r="AA1529"/>
    </x:row>
    <x:row r="1530">
      <x:c r="A1530" s="54" t="n">
        <x:v>44834</x:v>
      </x:c>
      <x:c r="B1530" t="n">
        <x:v>44834.624999988424</x:v>
      </x:c>
      <x:c r="C1530" t="str">
        <x:v>009180</x:v>
      </x:c>
      <x:c r="D1530" t="str">
        <x:v>한솔로지스틱스</x:v>
      </x:c>
      <x:c r="E1530" t="str">
        <x:v>KOSPI</x:v>
      </x:c>
      <x:c r="F1530" t="str">
        <x:v>SMALL</x:v>
      </x:c>
      <x:c r="G1530" t="str">
        <x:v>ELIGIBLE</x:v>
      </x:c>
      <x:c r="H1530"/>
      <x:c r="I1530" s="54" t="n">
        <x:v>44834</x:v>
      </x:c>
      <x:c r="J1530" s="55" t="n">
        <x:v>2540</x:v>
      </x:c>
      <x:c r="K1530" s="55" t="n">
        <x:v>69792659500</x:v>
      </x:c>
      <x:c r="L1530" s="55" t="n">
        <x:v>27477425</x:v>
      </x:c>
      <x:c r="M1530" t="str">
        <x:v>20220222001884</x:v>
      </x:c>
      <x:c r="N1530" t="n">
        <x:v>44614.624999988424</x:v>
      </x:c>
      <x:c r="O1530" s="54" t="n">
        <x:v>44561</x:v>
      </x:c>
      <x:c r="P1530" t="str">
        <x:v>False</x:v>
      </x:c>
      <x:c r="Q1530" t="str">
        <x:v>26694f062af9291a1934db78e0057c6d1c59607b3fcd65037bf8e5402c498487</x:v>
      </x:c>
      <x:c r="R1530" t="str">
        <x:v>74296849c4685c4c473bf179f0651f096c64f6f6cfbf0f4ae22d104fb6d865fc</x:v>
      </x:c>
      <x:c r="S1530" t="n">
        <x:v>6</x:v>
      </x:c>
      <x:c r="T1530" t="str">
        <x:v>2018-12-31|2019-12-31|2020-12-31|2021-12-31</x:v>
      </x:c>
      <x:c r="U1530" s="57" t="n">
        <x:v>4019.894751293228</x:v>
      </x:c>
      <x:c r="V1530" s="57" t="n">
        <x:v>0.5826357288556016</x:v>
      </x:c>
      <x:c r="W1530" t="n">
        <x:v>12</x:v>
      </x:c>
      <x:c r="X1530" t="n">
        <x:v>1</x:v>
      </x:c>
      <x:c r="Y1530" s="38" t="n">
        <x:v>0.6409090909090909</x:v>
      </x:c>
      <x:c r="Z1530" s="38" t="n">
        <x:v>0.5552380150585722</x:v>
      </x:c>
      <x:c r="AA1530"/>
    </x:row>
    <x:row r="1531">
      <x:c r="A1531" s="54" t="n">
        <x:v>44834</x:v>
      </x:c>
      <x:c r="B1531" t="n">
        <x:v>44834.624999988424</x:v>
      </x:c>
      <x:c r="C1531" t="str">
        <x:v>004910</x:v>
      </x:c>
      <x:c r="D1531" t="str">
        <x:v>조광페인트</x:v>
      </x:c>
      <x:c r="E1531" t="str">
        <x:v>KOSPI</x:v>
      </x:c>
      <x:c r="F1531" t="str">
        <x:v>SMALL</x:v>
      </x:c>
      <x:c r="G1531" t="str">
        <x:v>DCF_SCREENING_EXCLUSION</x:v>
      </x:c>
      <x:c r="H1531" t="str">
        <x:v>NON_POSITIVE_ENTERPRISE_VALUE|NON_POSITIVE_EQUITY_VALUE|NON_POSITIVE_TERMINAL_FCF</x:v>
      </x:c>
      <x:c r="I1531" s="54" t="n">
        <x:v>44834</x:v>
      </x:c>
      <x:c r="J1531" s="55" t="n">
        <x:v>8200</x:v>
      </x:c>
      <x:c r="K1531" s="55" t="n">
        <x:v>104960000000</x:v>
      </x:c>
      <x:c r="L1531" s="55" t="n">
        <x:v>12800000</x:v>
      </x:c>
      <x:c r="M1531" t="str">
        <x:v>20220321001064</x:v>
      </x:c>
      <x:c r="N1531" t="n">
        <x:v>44641.624999988424</x:v>
      </x:c>
      <x:c r="O1531" s="54" t="n">
        <x:v>44561</x:v>
      </x:c>
      <x:c r="P1531" t="str">
        <x:v>False</x:v>
      </x:c>
      <x:c r="Q1531" t="str">
        <x:v>84e6a51a3221357d934f15413421961a602098414a50f2c8ab0a98016b56c007</x:v>
      </x:c>
      <x:c r="R1531" t="str">
        <x:v>5f7e12cbd335feb1261ccb21c89a1dbc5de96f5c90963cc3daeebbf2359610aa</x:v>
      </x:c>
      <x:c r="S1531" t="n">
        <x:v>6</x:v>
      </x:c>
      <x:c r="T1531" t="str">
        <x:v>2018-12-31|2019-12-31|2020-12-31|2021-12-31</x:v>
      </x:c>
      <x:c r="U1531" s="57" t="n">
        <x:v>-10182.360648113614</x:v>
      </x:c>
      <x:c r="V1531" s="57" t="n">
        <x:v>-2.2417512985504406</x:v>
      </x:c>
      <x:c r="W1531"/>
      <x:c r="X1531"/>
      <x:c r="Y1531" s="38" t="n">
        <x:v>0.6409090909090909</x:v>
      </x:c>
      <x:c r="Z1531" s="38" t="n">
        <x:v>0.5690463739969503</x:v>
      </x:c>
      <x:c r="AA1531" t="str">
        <x:v>NON_POSITIVE_ENTERPRISE_VALUE|NON_POSITIVE_EQUITY_VALUE|NON_POSITIVE_TERMINAL_FCF</x:v>
      </x:c>
    </x:row>
    <x:row r="1532">
      <x:c r="A1532" s="54" t="n">
        <x:v>44834</x:v>
      </x:c>
      <x:c r="B1532" t="n">
        <x:v>44834.624999988424</x:v>
      </x:c>
      <x:c r="C1532" t="str">
        <x:v>004870</x:v>
      </x:c>
      <x:c r="D1532" t="str">
        <x:v>티웨이홀딩스</x:v>
      </x:c>
      <x:c r="E1532" t="str">
        <x:v>KOSPI</x:v>
      </x:c>
      <x:c r="F1532" t="str">
        <x:v>SMALL</x:v>
      </x:c>
      <x:c r="G1532" t="str">
        <x:v>EXCLUDED_ARCHETYPE</x:v>
      </x:c>
      <x:c r="H1532" t="str">
        <x:v>FCFF_NOT_COMPARABLE_FOR_FINANCE_OR_HOLDING_HINT</x:v>
      </x:c>
      <x:c r="I1532" s="54"/>
      <x:c r="J1532" s="55"/>
      <x:c r="K1532" s="55"/>
      <x:c r="L1532" s="55"/>
      <x:c r="M1532"/>
      <x:c r="N1532"/>
      <x:c r="O1532" s="54"/>
      <x:c r="P1532"/>
      <x:c r="Q1532"/>
      <x:c r="R1532"/>
      <x:c r="S1532"/>
      <x:c r="T1532"/>
      <x:c r="U1532" s="57"/>
      <x:c r="V1532" s="57"/>
      <x:c r="W1532"/>
      <x:c r="X1532"/>
      <x:c r="Y1532" s="38"/>
      <x:c r="Z1532" s="38"/>
      <x:c r="AA1532"/>
    </x:row>
    <x:row r="1533">
      <x:c r="A1533" s="54" t="n">
        <x:v>44834</x:v>
      </x:c>
      <x:c r="B1533" t="n">
        <x:v>44834.624999988424</x:v>
      </x:c>
      <x:c r="C1533" t="str">
        <x:v>010770</x:v>
      </x:c>
      <x:c r="D1533" t="str">
        <x:v>평화홀딩스</x:v>
      </x:c>
      <x:c r="E1533" t="str">
        <x:v>KOSPI</x:v>
      </x:c>
      <x:c r="F1533" t="str">
        <x:v>SMALL</x:v>
      </x:c>
      <x:c r="G1533" t="str">
        <x:v>EXCLUDED_ARCHETYPE</x:v>
      </x:c>
      <x:c r="H1533" t="str">
        <x:v>FCFF_NOT_COMPARABLE_FOR_FINANCE_OR_HOLDING_HINT</x:v>
      </x:c>
      <x:c r="I1533" s="54"/>
      <x:c r="J1533" s="55"/>
      <x:c r="K1533" s="55"/>
      <x:c r="L1533" s="55"/>
      <x:c r="M1533"/>
      <x:c r="N1533"/>
      <x:c r="O1533" s="54"/>
      <x:c r="P1533"/>
      <x:c r="Q1533"/>
      <x:c r="R1533"/>
      <x:c r="S1533"/>
      <x:c r="T1533"/>
      <x:c r="U1533" s="57"/>
      <x:c r="V1533" s="57"/>
      <x:c r="W1533"/>
      <x:c r="X1533"/>
      <x:c r="Y1533" s="38"/>
      <x:c r="Z1533" s="38"/>
      <x:c r="AA1533"/>
    </x:row>
    <x:row r="1534">
      <x:c r="A1534" s="54" t="n">
        <x:v>44834</x:v>
      </x:c>
      <x:c r="B1534" t="n">
        <x:v>44834.624999988424</x:v>
      </x:c>
      <x:c r="C1534" t="str">
        <x:v>001290</x:v>
      </x:c>
      <x:c r="D1534" t="str">
        <x:v>상상인증권</x:v>
      </x:c>
      <x:c r="E1534" t="str">
        <x:v>KOSPI</x:v>
      </x:c>
      <x:c r="F1534" t="str">
        <x:v>SMALL</x:v>
      </x:c>
      <x:c r="G1534" t="str">
        <x:v>EXCLUDED_ARCHETYPE</x:v>
      </x:c>
      <x:c r="H1534" t="str">
        <x:v>FCFF_NOT_COMPARABLE_FOR_FINANCE_OR_HOLDING_HINT</x:v>
      </x:c>
      <x:c r="I1534" s="54"/>
      <x:c r="J1534" s="55"/>
      <x:c r="K1534" s="55"/>
      <x:c r="L1534" s="55"/>
      <x:c r="M1534"/>
      <x:c r="N1534"/>
      <x:c r="O1534" s="54"/>
      <x:c r="P1534"/>
      <x:c r="Q1534"/>
      <x:c r="R1534"/>
      <x:c r="S1534"/>
      <x:c r="T1534"/>
      <x:c r="U1534" s="57"/>
      <x:c r="V1534" s="57"/>
      <x:c r="W1534"/>
      <x:c r="X1534"/>
      <x:c r="Y1534" s="38"/>
      <x:c r="Z1534" s="38"/>
      <x:c r="AA1534"/>
    </x:row>
    <x:row r="1535">
      <x:c r="A1535" s="54" t="n">
        <x:v>44834</x:v>
      </x:c>
      <x:c r="B1535" t="n">
        <x:v>44834.624999988424</x:v>
      </x:c>
      <x:c r="C1535" t="str">
        <x:v>047400</x:v>
      </x:c>
      <x:c r="D1535" t="str">
        <x:v>유니온머티리얼</x:v>
      </x:c>
      <x:c r="E1535" t="str">
        <x:v>KOSPI</x:v>
      </x:c>
      <x:c r="F1535" t="str">
        <x:v>SMALL</x:v>
      </x:c>
      <x:c r="G1535" t="str">
        <x:v>DCF_SCREENING_EXCLUSION</x:v>
      </x:c>
      <x:c r="H1535" t="str">
        <x:v>NON_POSITIVE_ENTERPRISE_VALUE|NON_POSITIVE_EQUITY_VALUE|NON_POSITIVE_TERMINAL_FCF</x:v>
      </x:c>
      <x:c r="I1535" s="54" t="n">
        <x:v>44834</x:v>
      </x:c>
      <x:c r="J1535" s="55" t="n">
        <x:v>2420</x:v>
      </x:c>
      <x:c r="K1535" s="55" t="n">
        <x:v>101640000000</x:v>
      </x:c>
      <x:c r="L1535" s="55" t="n">
        <x:v>42000000</x:v>
      </x:c>
      <x:c r="M1535" t="str">
        <x:v>20220316001172</x:v>
      </x:c>
      <x:c r="N1535" t="n">
        <x:v>44636.624999988424</x:v>
      </x:c>
      <x:c r="O1535" s="54" t="n">
        <x:v>44561</x:v>
      </x:c>
      <x:c r="P1535" t="str">
        <x:v>False</x:v>
      </x:c>
      <x:c r="Q1535" t="str">
        <x:v>406ec7e9b4bfa064875ab47e84c695216a28d7343d3b7abfb30068d795b3070d</x:v>
      </x:c>
      <x:c r="R1535" t="str">
        <x:v>27bff9065a36277f472f0c455b64979643b6e8149ffcc63fea003d2d08170496</x:v>
      </x:c>
      <x:c r="S1535" t="n">
        <x:v>7</x:v>
      </x:c>
      <x:c r="T1535" t="str">
        <x:v>2018-12-31|2019-12-31|2020-12-31|2021-12-31</x:v>
      </x:c>
      <x:c r="U1535" s="57" t="n">
        <x:v>-2259.92542452363</x:v>
      </x:c>
      <x:c r="V1535" s="57" t="n">
        <x:v>-1.9338534812081116</x:v>
      </x:c>
      <x:c r="W1535"/>
      <x:c r="X1535"/>
      <x:c r="Y1535" s="38" t="n">
        <x:v>0.6409090909090909</x:v>
      </x:c>
      <x:c r="Z1535" s="38" t="n">
        <x:v>0.6434612713817982</x:v>
      </x:c>
      <x:c r="AA1535" t="str">
        <x:v>NON_POSITIVE_ENTERPRISE_VALUE|NON_POSITIVE_EQUITY_VALUE|NON_POSITIVE_TERMINAL_FCF</x:v>
      </x:c>
    </x:row>
    <x:row r="1536">
      <x:c r="A1536" s="54" t="n">
        <x:v>44834</x:v>
      </x:c>
      <x:c r="B1536" t="n">
        <x:v>44834.624999988424</x:v>
      </x:c>
      <x:c r="C1536" t="str">
        <x:v>011300</x:v>
      </x:c>
      <x:c r="D1536" t="str">
        <x:v>성안머티리얼스</x:v>
      </x:c>
      <x:c r="E1536" t="str">
        <x:v>KOSPI</x:v>
      </x:c>
      <x:c r="F1536" t="str">
        <x:v>SMALL</x:v>
      </x:c>
      <x:c r="G1536" t="str">
        <x:v>DCF_SCREENING_EXCLUSION</x:v>
      </x:c>
      <x:c r="H1536" t="str">
        <x:v>NON_POSITIVE_ENTERPRISE_VALUE|NON_POSITIVE_EQUITY_VALUE|NON_POSITIVE_TERMINAL_FCF</x:v>
      </x:c>
      <x:c r="I1536" s="54" t="n">
        <x:v>44834</x:v>
      </x:c>
      <x:c r="J1536" s="55" t="n">
        <x:v>1005</x:v>
      </x:c>
      <x:c r="K1536" s="55" t="n">
        <x:v>57142149300</x:v>
      </x:c>
      <x:c r="L1536" s="55" t="n">
        <x:v>56857860</x:v>
      </x:c>
      <x:c r="M1536" t="str">
        <x:v>20220322000888</x:v>
      </x:c>
      <x:c r="N1536" t="n">
        <x:v>44642.624999988424</x:v>
      </x:c>
      <x:c r="O1536" s="54" t="n">
        <x:v>44561</x:v>
      </x:c>
      <x:c r="P1536" t="str">
        <x:v>False</x:v>
      </x:c>
      <x:c r="Q1536" t="str">
        <x:v>95133812ec7fb5796856517489219b7454f4cc1890aae8ba7c189bc36bf302a4</x:v>
      </x:c>
      <x:c r="R1536" t="str">
        <x:v>f33da9cc559525b90db03385cdae8d78888e82d656b5b9d9dfe10ed15dddbcbe</x:v>
      </x:c>
      <x:c r="S1536" t="n">
        <x:v>7</x:v>
      </x:c>
      <x:c r="T1536" t="str">
        <x:v>2018-12-31|2019-12-31|2020-12-31|2021-12-31</x:v>
      </x:c>
      <x:c r="U1536" s="57" t="n">
        <x:v>-601.6964799427835</x:v>
      </x:c>
      <x:c r="V1536" s="57" t="n">
        <x:v>-1.5987029651171976</x:v>
      </x:c>
      <x:c r="W1536"/>
      <x:c r="X1536"/>
      <x:c r="Y1536" s="38" t="n">
        <x:v>0.6409090909090909</x:v>
      </x:c>
      <x:c r="Z1536" s="38" t="n">
        <x:v>0.7294850497912088</x:v>
      </x:c>
      <x:c r="AA1536" t="str">
        <x:v>NON_POSITIVE_ENTERPRISE_VALUE|NON_POSITIVE_EQUITY_VALUE|NON_POSITIVE_TERMINAL_FCF</x:v>
      </x:c>
    </x:row>
    <x:row r="1537">
      <x:c r="A1537" s="54" t="n">
        <x:v>44834</x:v>
      </x:c>
      <x:c r="B1537" t="n">
        <x:v>44834.624999988424</x:v>
      </x:c>
      <x:c r="C1537" t="str">
        <x:v>018500</x:v>
      </x:c>
      <x:c r="D1537" t="str">
        <x:v>동원금속</x:v>
      </x:c>
      <x:c r="E1537" t="str">
        <x:v>KOSPI</x:v>
      </x:c>
      <x:c r="F1537" t="str">
        <x:v>SMALL</x:v>
      </x:c>
      <x:c r="G1537" t="str">
        <x:v>DCF_SCREENING_EXCLUSION</x:v>
      </x:c>
      <x:c r="H1537" t="str">
        <x:v>NON_POSITIVE_ENTERPRISE_VALUE|NON_POSITIVE_EQUITY_VALUE|NON_POSITIVE_TERMINAL_FCF</x:v>
      </x:c>
      <x:c r="I1537" s="54" t="n">
        <x:v>44834</x:v>
      </x:c>
      <x:c r="J1537" s="55" t="n">
        <x:v>957</x:v>
      </x:c>
      <x:c r="K1537" s="55" t="n">
        <x:v>44744470881</x:v>
      </x:c>
      <x:c r="L1537" s="55" t="n">
        <x:v>46754933</x:v>
      </x:c>
      <x:c r="M1537" t="str">
        <x:v>20220620000208</x:v>
      </x:c>
      <x:c r="N1537" t="n">
        <x:v>44732.624999988424</x:v>
      </x:c>
      <x:c r="O1537" s="54" t="n">
        <x:v>44651</x:v>
      </x:c>
      <x:c r="P1537" t="str">
        <x:v>False</x:v>
      </x:c>
      <x:c r="Q1537" t="str">
        <x:v>6032b6d0ff0fa5c8589ce2e9495f3392e2d87eac4ac6326e2958e1f26443339d</x:v>
      </x:c>
      <x:c r="R1537" t="str">
        <x:v>93395776f505cb3e68e13de0fe0a6c37642acc03a8e4e2a364181c6e986a8788</x:v>
      </x:c>
      <x:c r="S1537" t="n">
        <x:v>6</x:v>
      </x:c>
      <x:c r="T1537" t="str">
        <x:v>2019-03-31|2020-03-31|2021-03-31|2022-03-31</x:v>
      </x:c>
      <x:c r="U1537" s="57" t="n">
        <x:v>-5223.077801948049</x:v>
      </x:c>
      <x:c r="V1537" s="57" t="n">
        <x:v>-6.457761548535056</x:v>
      </x:c>
      <x:c r="W1537"/>
      <x:c r="X1537"/>
      <x:c r="Y1537" s="38" t="n">
        <x:v>0.6409090909090909</x:v>
      </x:c>
      <x:c r="Z1537" s="38" t="n">
        <x:v>0.7019558398857392</x:v>
      </x:c>
      <x:c r="AA1537" t="str">
        <x:v>NON_POSITIVE_ENTERPRISE_VALUE|NON_POSITIVE_EQUITY_VALUE|NON_POSITIVE_TERMINAL_FCF</x:v>
      </x:c>
    </x:row>
    <x:row r="1538">
      <x:c r="A1538" s="54" t="n">
        <x:v>44834</x:v>
      </x:c>
      <x:c r="B1538" t="n">
        <x:v>44834.624999988424</x:v>
      </x:c>
      <x:c r="C1538" t="str">
        <x:v>004770</x:v>
      </x:c>
      <x:c r="D1538" t="str">
        <x:v>써니전자</x:v>
      </x:c>
      <x:c r="E1538" t="str">
        <x:v>KOSPI</x:v>
      </x:c>
      <x:c r="F1538" t="str">
        <x:v>SMALL</x:v>
      </x:c>
      <x:c r="G1538" t="str">
        <x:v>ELIGIBLE</x:v>
      </x:c>
      <x:c r="H1538"/>
      <x:c r="I1538" s="54" t="n">
        <x:v>44834</x:v>
      </x:c>
      <x:c r="J1538" s="55" t="n">
        <x:v>2150</x:v>
      </x:c>
      <x:c r="K1538" s="55" t="n">
        <x:v>74916773650</x:v>
      </x:c>
      <x:c r="L1538" s="55" t="n">
        <x:v>34845011</x:v>
      </x:c>
      <x:c r="M1538" t="str">
        <x:v>20220317001263</x:v>
      </x:c>
      <x:c r="N1538" t="n">
        <x:v>44637.624999988424</x:v>
      </x:c>
      <x:c r="O1538" s="54" t="n">
        <x:v>44561</x:v>
      </x:c>
      <x:c r="P1538" t="str">
        <x:v>False</x:v>
      </x:c>
      <x:c r="Q1538" t="str">
        <x:v>96afd5ff88e93a440895a2ef3c3555963864d98f79a3f40b55a3030c9ac83275</x:v>
      </x:c>
      <x:c r="R1538" t="str">
        <x:v>315d574a8e7ff6895d0fe91250c34ca69416ac523b54c4bd4c1637bd7502cfe0</x:v>
      </x:c>
      <x:c r="S1538" t="n">
        <x:v>7</x:v>
      </x:c>
      <x:c r="T1538" t="str">
        <x:v>2018-12-31|2019-12-31|2020-12-31|2021-12-31</x:v>
      </x:c>
      <x:c r="U1538" s="57" t="n">
        <x:v>438.3487472789498</x:v>
      </x:c>
      <x:c r="V1538" s="57" t="n">
        <x:v>-0.796116861730721</x:v>
      </x:c>
      <x:c r="W1538" t="n">
        <x:v>60</x:v>
      </x:c>
      <x:c r="X1538" t="n">
        <x:v>5</x:v>
      </x:c>
      <x:c r="Y1538" s="38" t="n">
        <x:v>0.6409090909090909</x:v>
      </x:c>
      <x:c r="Z1538" s="38" t="n">
        <x:v>0.5912288589103638</x:v>
      </x:c>
      <x:c r="AA1538"/>
    </x:row>
    <x:row r="1539">
      <x:c r="A1539" s="54" t="n">
        <x:v>44834</x:v>
      </x:c>
      <x:c r="B1539" t="n">
        <x:v>44834.624999988424</x:v>
      </x:c>
      <x:c r="C1539" t="str">
        <x:v>000890</x:v>
      </x:c>
      <x:c r="D1539" t="str">
        <x:v>보해양조</x:v>
      </x:c>
      <x:c r="E1539" t="str">
        <x:v>KOSPI</x:v>
      </x:c>
      <x:c r="F1539" t="str">
        <x:v>SMALL</x:v>
      </x:c>
      <x:c r="G1539" t="str">
        <x:v>DCF_SCREENING_EXCLUSION</x:v>
      </x:c>
      <x:c r="H1539" t="str">
        <x:v>NON_POSITIVE_ENTERPRISE_VALUE|NON_POSITIVE_EQUITY_VALUE|NON_POSITIVE_TERMINAL_FCF</x:v>
      </x:c>
      <x:c r="I1539" s="54" t="n">
        <x:v>44834</x:v>
      </x:c>
      <x:c r="J1539" s="55" t="n">
        <x:v>625</x:v>
      </x:c>
      <x:c r="K1539" s="55" t="n">
        <x:v>86950080625</x:v>
      </x:c>
      <x:c r="L1539" s="55" t="n">
        <x:v>139120129</x:v>
      </x:c>
      <x:c r="M1539" t="str">
        <x:v>20220315001204</x:v>
      </x:c>
      <x:c r="N1539" t="n">
        <x:v>44635.624999988424</x:v>
      </x:c>
      <x:c r="O1539" s="54" t="n">
        <x:v>44561</x:v>
      </x:c>
      <x:c r="P1539" t="str">
        <x:v>False</x:v>
      </x:c>
      <x:c r="Q1539" t="str">
        <x:v>4f3ed550dbfc0dd5e61bfd9eb0276a90fe74344e195b742fb38ee19fbad0ab35</x:v>
      </x:c>
      <x:c r="R1539" t="str">
        <x:v>1347a18563b5f21cfb5ce6f3d0c9d3d99ff6559586f97774c7bfaba7fc01c9d5</x:v>
      </x:c>
      <x:c r="S1539" t="n">
        <x:v>6</x:v>
      </x:c>
      <x:c r="T1539" t="str">
        <x:v>2018-12-31|2019-12-31|2020-12-31|2021-12-31</x:v>
      </x:c>
      <x:c r="U1539" s="57" t="n">
        <x:v>-292.69197653315086</x:v>
      </x:c>
      <x:c r="V1539" s="57" t="n">
        <x:v>-1.4683071624530413</x:v>
      </x:c>
      <x:c r="W1539"/>
      <x:c r="X1539"/>
      <x:c r="Y1539" s="38" t="n">
        <x:v>0.6409090909090909</x:v>
      </x:c>
      <x:c r="Z1539" s="38" t="n">
        <x:v>0.7670157626789917</x:v>
      </x:c>
      <x:c r="AA1539" t="str">
        <x:v>NON_POSITIVE_ENTERPRISE_VALUE|NON_POSITIVE_EQUITY_VALUE|NON_POSITIVE_TERMINAL_FCF</x:v>
      </x:c>
    </x:row>
    <x:row r="1540">
      <x:c r="A1540" s="54" t="n">
        <x:v>44834</x:v>
      </x:c>
      <x:c r="B1540" t="n">
        <x:v>44834.624999988424</x:v>
      </x:c>
      <x:c r="C1540" t="str">
        <x:v>021050</x:v>
      </x:c>
      <x:c r="D1540" t="str">
        <x:v>서원</x:v>
      </x:c>
      <x:c r="E1540" t="str">
        <x:v>KOSPI</x:v>
      </x:c>
      <x:c r="F1540" t="str">
        <x:v>SMALL</x:v>
      </x:c>
      <x:c r="G1540" t="str">
        <x:v>DCF_SCREENING_EXCLUSION</x:v>
      </x:c>
      <x:c r="H1540" t="str">
        <x:v>NON_POSITIVE_EQUITY_VALUE</x:v>
      </x:c>
      <x:c r="I1540" s="54" t="n">
        <x:v>44834</x:v>
      </x:c>
      <x:c r="J1540" s="55" t="n">
        <x:v>1190</x:v>
      </x:c>
      <x:c r="K1540" s="55" t="n">
        <x:v>56494762100</x:v>
      </x:c>
      <x:c r="L1540" s="55" t="n">
        <x:v>47474590</x:v>
      </x:c>
      <x:c r="M1540" t="str">
        <x:v>20220323001011</x:v>
      </x:c>
      <x:c r="N1540" t="n">
        <x:v>44643.624999988424</x:v>
      </x:c>
      <x:c r="O1540" s="54" t="n">
        <x:v>44561</x:v>
      </x:c>
      <x:c r="P1540" t="str">
        <x:v>False</x:v>
      </x:c>
      <x:c r="Q1540" t="str">
        <x:v>728db08f6242cb663662a22c7cc9b8856ff1f56ee217b4c6eab69943d55cdcce</x:v>
      </x:c>
      <x:c r="R1540" t="str">
        <x:v>76ca0092bd955e887eb44f7cdabc306396f0cfdc39cfb96a7c6e40765f37fe85</x:v>
      </x:c>
      <x:c r="S1540" t="n">
        <x:v>6</x:v>
      </x:c>
      <x:c r="T1540" t="str">
        <x:v>2018-12-31|2019-12-31|2020-12-31|2021-12-31</x:v>
      </x:c>
      <x:c r="U1540" s="57" t="n">
        <x:v>-239.7253914947342</x:v>
      </x:c>
      <x:c r="V1540" s="57" t="n">
        <x:v>-1.2014499088191044</x:v>
      </x:c>
      <x:c r="W1540"/>
      <x:c r="X1540"/>
      <x:c r="Y1540" s="38" t="n">
        <x:v>0.6409090909090909</x:v>
      </x:c>
      <x:c r="Z1540" s="38" t="n">
        <x:v>0.47383600945035365</x:v>
      </x:c>
      <x:c r="AA1540" t="str">
        <x:v>NON_POSITIVE_EQUITY_VALUE</x:v>
      </x:c>
    </x:row>
    <x:row r="1541">
      <x:c r="A1541" s="54" t="n">
        <x:v>44834</x:v>
      </x:c>
      <x:c r="B1541" t="n">
        <x:v>44834.624999988424</x:v>
      </x:c>
      <x:c r="C1541" t="str">
        <x:v>134790</x:v>
      </x:c>
      <x:c r="D1541" t="str">
        <x:v>시디즈</x:v>
      </x:c>
      <x:c r="E1541" t="str">
        <x:v>KOSPI</x:v>
      </x:c>
      <x:c r="F1541" t="str">
        <x:v>SMALL</x:v>
      </x:c>
      <x:c r="G1541" t="str">
        <x:v>ELIGIBLE</x:v>
      </x:c>
      <x:c r="H1541"/>
      <x:c r="I1541" s="54" t="n">
        <x:v>44834</x:v>
      </x:c>
      <x:c r="J1541" s="55" t="n">
        <x:v>42900</x:v>
      </x:c>
      <x:c r="K1541" s="55" t="n">
        <x:v>85800000000</x:v>
      </x:c>
      <x:c r="L1541" s="55" t="n">
        <x:v>2000000</x:v>
      </x:c>
      <x:c r="M1541" t="str">
        <x:v>20220317000781</x:v>
      </x:c>
      <x:c r="N1541" t="n">
        <x:v>44637.624999988424</x:v>
      </x:c>
      <x:c r="O1541" s="54" t="n">
        <x:v>44561</x:v>
      </x:c>
      <x:c r="P1541" t="str">
        <x:v>False</x:v>
      </x:c>
      <x:c r="Q1541" t="str">
        <x:v>4308c99f85d1a0ac826a28e107e6174e67b2fb4796810f42928bc80c83f97ebd</x:v>
      </x:c>
      <x:c r="R1541" t="str">
        <x:v>6ab50170c91f93cd835bb0b19e6fb945a84f345f4b3fa2024ae07cb3bed7abc5</x:v>
      </x:c>
      <x:c r="S1541" t="n">
        <x:v>5</x:v>
      </x:c>
      <x:c r="T1541" t="str">
        <x:v>2018-12-31|2019-12-31|2020-12-31|2021-12-31</x:v>
      </x:c>
      <x:c r="U1541" s="57" t="n">
        <x:v>55596.38736945861</x:v>
      </x:c>
      <x:c r="V1541" s="57" t="n">
        <x:v>0.29595308553516575</x:v>
      </x:c>
      <x:c r="W1541" t="n">
        <x:v>17</x:v>
      </x:c>
      <x:c r="X1541" t="n">
        <x:v>2</x:v>
      </x:c>
      <x:c r="Y1541" s="38" t="n">
        <x:v>0.6409090909090909</x:v>
      </x:c>
      <x:c r="Z1541" s="38" t="n">
        <x:v>0.6659522181200753</x:v>
      </x:c>
      <x:c r="AA1541"/>
    </x:row>
    <x:row r="1542">
      <x:c r="A1542" s="54" t="n">
        <x:v>44834</x:v>
      </x:c>
      <x:c r="B1542" t="n">
        <x:v>44834.624999988424</x:v>
      </x:c>
      <x:c r="C1542" t="str">
        <x:v>004920</x:v>
      </x:c>
      <x:c r="D1542" t="str">
        <x:v>씨아이테크</x:v>
      </x:c>
      <x:c r="E1542" t="str">
        <x:v>KOSPI</x:v>
      </x:c>
      <x:c r="F1542" t="str">
        <x:v>SMALL</x:v>
      </x:c>
      <x:c r="G1542" t="str">
        <x:v>DCF_SCREENING_EXCLUSION</x:v>
      </x:c>
      <x:c r="H1542" t="str">
        <x:v>NON_POSITIVE_ENTERPRISE_VALUE|NON_POSITIVE_EQUITY_VALUE|NON_POSITIVE_TERMINAL_FCF</x:v>
      </x:c>
      <x:c r="I1542" s="54" t="n">
        <x:v>44834</x:v>
      </x:c>
      <x:c r="J1542" s="55" t="n">
        <x:v>816</x:v>
      </x:c>
      <x:c r="K1542" s="55" t="n">
        <x:v>35585811408</x:v>
      </x:c>
      <x:c r="L1542" s="55" t="n">
        <x:v>43610063</x:v>
      </x:c>
      <x:c r="M1542" t="str">
        <x:v>20220323000416</x:v>
      </x:c>
      <x:c r="N1542" t="n">
        <x:v>44643.624999988424</x:v>
      </x:c>
      <x:c r="O1542" s="54" t="n">
        <x:v>44561</x:v>
      </x:c>
      <x:c r="P1542" t="str">
        <x:v>False</x:v>
      </x:c>
      <x:c r="Q1542" t="str">
        <x:v>bc631a13505aed08ce97000cf7b9071df32539a077808cccfe6ae4e6f78467f5</x:v>
      </x:c>
      <x:c r="R1542" t="str">
        <x:v>c9c172bbc3807fa6892038fce7dbfcfc380dc2c55fa88fb63070f0e5428c567c</x:v>
      </x:c>
      <x:c r="S1542" t="n">
        <x:v>6</x:v>
      </x:c>
      <x:c r="T1542" t="str">
        <x:v>2018-12-31|2019-12-31|2020-12-31|2021-12-31</x:v>
      </x:c>
      <x:c r="U1542" s="57" t="n">
        <x:v>-713.1935248451213</x:v>
      </x:c>
      <x:c r="V1542" s="57" t="n">
        <x:v>-1.8740116726043152</x:v>
      </x:c>
      <x:c r="W1542"/>
      <x:c r="X1542"/>
      <x:c r="Y1542" s="38" t="n">
        <x:v>0.6409090909090909</x:v>
      </x:c>
      <x:c r="Z1542" s="38" t="n">
        <x:v>0.7574042557637609</x:v>
      </x:c>
      <x:c r="AA1542" t="str">
        <x:v>NON_POSITIVE_ENTERPRISE_VALUE|NON_POSITIVE_EQUITY_VALUE|NON_POSITIVE_TERMINAL_FCF</x:v>
      </x:c>
    </x:row>
    <x:row r="1543">
      <x:c r="A1543" s="54" t="n">
        <x:v>44834</x:v>
      </x:c>
      <x:c r="B1543" t="n">
        <x:v>44834.624999988424</x:v>
      </x:c>
      <x:c r="C1543" t="str">
        <x:v>058730</x:v>
      </x:c>
      <x:c r="D1543" t="str">
        <x:v>다스코</x:v>
      </x:c>
      <x:c r="E1543" t="str">
        <x:v>KOSPI</x:v>
      </x:c>
      <x:c r="F1543" t="str">
        <x:v>SMALL</x:v>
      </x:c>
      <x:c r="G1543" t="str">
        <x:v>DCF_SCREENING_EXCLUSION</x:v>
      </x:c>
      <x:c r="H1543" t="str">
        <x:v>NON_POSITIVE_ENTERPRISE_VALUE|NON_POSITIVE_EQUITY_VALUE|NON_POSITIVE_TERMINAL_FCF</x:v>
      </x:c>
      <x:c r="I1543" s="54" t="n">
        <x:v>44834</x:v>
      </x:c>
      <x:c r="J1543" s="55" t="n">
        <x:v>4845</x:v>
      </x:c>
      <x:c r="K1543" s="55" t="n">
        <x:v>89367299235</x:v>
      </x:c>
      <x:c r="L1543" s="55" t="n">
        <x:v>18445263</x:v>
      </x:c>
      <x:c r="M1543" t="str">
        <x:v>20220405002851</x:v>
      </x:c>
      <x:c r="N1543" t="n">
        <x:v>44656.624999988424</x:v>
      </x:c>
      <x:c r="O1543" s="54" t="n">
        <x:v>44561</x:v>
      </x:c>
      <x:c r="P1543" t="str">
        <x:v>True</x:v>
      </x:c>
      <x:c r="Q1543" t="str">
        <x:v>fc36322dc9262a6c38c4b2f66c1937f809f8184219d9f3becba7107aa77cfdab</x:v>
      </x:c>
      <x:c r="R1543" t="str">
        <x:v>ed21e637a01a932b12458189b30d3c77ddad828f1421498be913e5dd29c8582b</x:v>
      </x:c>
      <x:c r="S1543" t="n">
        <x:v>7</x:v>
      </x:c>
      <x:c r="T1543" t="str">
        <x:v>2019-12-31|2020-12-31|2021-12-31</x:v>
      </x:c>
      <x:c r="U1543" s="57" t="n">
        <x:v>-13029.674111310189</x:v>
      </x:c>
      <x:c r="V1543" s="57" t="n">
        <x:v>-3.6893032221486455</x:v>
      </x:c>
      <x:c r="W1543"/>
      <x:c r="X1543"/>
      <x:c r="Y1543" s="38" t="n">
        <x:v>0.6409090909090909</x:v>
      </x:c>
      <x:c r="Z1543" s="38" t="n">
        <x:v>0.5339702325685373</x:v>
      </x:c>
      <x:c r="AA1543" t="str">
        <x:v>NON_POSITIVE_ENTERPRISE_VALUE|NON_POSITIVE_EQUITY_VALUE|NON_POSITIVE_TERMINAL_FCF</x:v>
      </x:c>
    </x:row>
    <x:row r="1544">
      <x:c r="A1544" s="54" t="n">
        <x:v>44834</x:v>
      </x:c>
      <x:c r="B1544" t="n">
        <x:v>44834.624999988424</x:v>
      </x:c>
      <x:c r="C1544" t="str">
        <x:v>465770</x:v>
      </x:c>
      <x:c r="D1544" t="str">
        <x:v>STX그린로지스</x:v>
      </x:c>
      <x:c r="E1544" t="str">
        <x:v>KOSPI</x:v>
      </x:c>
      <x:c r="F1544" t="str">
        <x:v>SMALL</x:v>
      </x:c>
      <x:c r="G1544" t="str">
        <x:v>NOT_LISTED_OR_NO_PRICE</x:v>
      </x:c>
      <x:c r="H1544"/>
      <x:c r="I1544" s="54"/>
      <x:c r="J1544" s="55"/>
      <x:c r="K1544" s="55"/>
      <x:c r="L1544" s="55"/>
      <x:c r="M1544"/>
      <x:c r="N1544"/>
      <x:c r="O1544" s="54"/>
      <x:c r="P1544"/>
      <x:c r="Q1544"/>
      <x:c r="R1544"/>
      <x:c r="S1544"/>
      <x:c r="T1544"/>
      <x:c r="U1544" s="57"/>
      <x:c r="V1544" s="57"/>
      <x:c r="W1544"/>
      <x:c r="X1544"/>
      <x:c r="Y1544" s="38"/>
      <x:c r="Z1544" s="38"/>
      <x:c r="AA1544"/>
    </x:row>
    <x:row r="1545">
      <x:c r="A1545" s="54" t="n">
        <x:v>44834</x:v>
      </x:c>
      <x:c r="B1545" t="n">
        <x:v>44834.624999988424</x:v>
      </x:c>
      <x:c r="C1545" t="str">
        <x:v>000950</x:v>
      </x:c>
      <x:c r="D1545" t="str">
        <x:v>전방</x:v>
      </x:c>
      <x:c r="E1545" t="str">
        <x:v>KOSPI</x:v>
      </x:c>
      <x:c r="F1545" t="str">
        <x:v>SMALL</x:v>
      </x:c>
      <x:c r="G1545" t="str">
        <x:v>DCF_SCREENING_EXCLUSION</x:v>
      </x:c>
      <x:c r="H1545" t="str">
        <x:v>NON_POSITIVE_ENTERPRISE_VALUE|NON_POSITIVE_EQUITY_VALUE|NON_POSITIVE_TERMINAL_FCF|UNRELIABLE_TERMINAL_VALUE_SHARE</x:v>
      </x:c>
      <x:c r="I1545" s="54" t="n">
        <x:v>44834</x:v>
      </x:c>
      <x:c r="J1545" s="55" t="n">
        <x:v>69100</x:v>
      </x:c>
      <x:c r="K1545" s="55" t="n">
        <x:v>116088000000</x:v>
      </x:c>
      <x:c r="L1545" s="55" t="n">
        <x:v>1680000</x:v>
      </x:c>
      <x:c r="M1545" t="str">
        <x:v>20220317000094</x:v>
      </x:c>
      <x:c r="N1545" t="n">
        <x:v>44637.624999988424</x:v>
      </x:c>
      <x:c r="O1545" s="54" t="n">
        <x:v>44561</x:v>
      </x:c>
      <x:c r="P1545" t="str">
        <x:v>False</x:v>
      </x:c>
      <x:c r="Q1545" t="str">
        <x:v>0b7abe65190e1dd93439f729b035d4ca30f9dc8a5b289f10f1f04ee7ff1f114a</x:v>
      </x:c>
      <x:c r="R1545" t="str">
        <x:v>3f80d3cdb5c8533a3aa6523e95f45c4e35f75216281336deb0666429f4806a1a</x:v>
      </x:c>
      <x:c r="S1545" t="n">
        <x:v>6</x:v>
      </x:c>
      <x:c r="T1545" t="str">
        <x:v>2018-12-31|2019-12-31|2020-12-31|2021-12-31</x:v>
      </x:c>
      <x:c r="U1545" s="57" t="n">
        <x:v>-137666.84924181644</x:v>
      </x:c>
      <x:c r="V1545" s="57" t="n">
        <x:v>-2.992284359505303</x:v>
      </x:c>
      <x:c r="W1545"/>
      <x:c r="X1545"/>
      <x:c r="Y1545" s="38" t="n">
        <x:v>0.6409090909090909</x:v>
      </x:c>
      <x:c r="Z1545" s="38" t="n">
        <x:v>0.9658515454814297</x:v>
      </x:c>
      <x:c r="AA1545" t="str">
        <x:v>NON_POSITIVE_ENTERPRISE_VALUE|NON_POSITIVE_EQUITY_VALUE|NON_POSITIVE_TERMINAL_FCF|UNRELIABLE_TERMINAL_VALUE_SHARE</x:v>
      </x:c>
    </x:row>
    <x:row r="1546">
      <x:c r="A1546" s="54" t="n">
        <x:v>44834</x:v>
      </x:c>
      <x:c r="B1546" t="n">
        <x:v>44834.624999988424</x:v>
      </x:c>
      <x:c r="C1546" t="str">
        <x:v>019180</x:v>
      </x:c>
      <x:c r="D1546" t="str">
        <x:v>티에이치엔</x:v>
      </x:c>
      <x:c r="E1546" t="str">
        <x:v>KOSPI</x:v>
      </x:c>
      <x:c r="F1546" t="str">
        <x:v>SMALL</x:v>
      </x:c>
      <x:c r="G1546" t="str">
        <x:v>ELIGIBLE</x:v>
      </x:c>
      <x:c r="H1546"/>
      <x:c r="I1546" s="54" t="n">
        <x:v>44834</x:v>
      </x:c>
      <x:c r="J1546" s="55" t="n">
        <x:v>3510</x:v>
      </x:c>
      <x:c r="K1546" s="55" t="n">
        <x:v>63180000000</x:v>
      </x:c>
      <x:c r="L1546" s="55" t="n">
        <x:v>18000000</x:v>
      </x:c>
      <x:c r="M1546" t="str">
        <x:v>20220322000923</x:v>
      </x:c>
      <x:c r="N1546" t="n">
        <x:v>44642.624999988424</x:v>
      </x:c>
      <x:c r="O1546" s="54" t="n">
        <x:v>44561</x:v>
      </x:c>
      <x:c r="P1546" t="str">
        <x:v>False</x:v>
      </x:c>
      <x:c r="Q1546" t="str">
        <x:v>caaf496c38b71bf44a4d73b6d0c3032184070476eff4fd0e57ed140f23ab149b</x:v>
      </x:c>
      <x:c r="R1546" t="str">
        <x:v>91fbf763d4c2d389a11be96931fd690e2fea85838fd2e128a150d466e546820d</x:v>
      </x:c>
      <x:c r="S1546" t="n">
        <x:v>6</x:v>
      </x:c>
      <x:c r="T1546" t="str">
        <x:v>2018-12-31|2019-12-31|2020-12-31|2021-12-31</x:v>
      </x:c>
      <x:c r="U1546" s="57" t="n">
        <x:v>1268.1497161747438</x:v>
      </x:c>
      <x:c r="V1546" s="57" t="n">
        <x:v>-0.6387037845656001</x:v>
      </x:c>
      <x:c r="W1546" t="n">
        <x:v>52</x:v>
      </x:c>
      <x:c r="X1546" t="n">
        <x:v>4</x:v>
      </x:c>
      <x:c r="Y1546" s="38" t="n">
        <x:v>0.6409090909090909</x:v>
      </x:c>
      <x:c r="Z1546" s="38" t="n">
        <x:v>0.5976743403843328</x:v>
      </x:c>
      <x:c r="AA1546"/>
    </x:row>
    <x:row r="1547">
      <x:c r="A1547" s="54" t="n">
        <x:v>44834</x:v>
      </x:c>
      <x:c r="B1547" t="n">
        <x:v>44834.624999988424</x:v>
      </x:c>
      <x:c r="C1547" t="str">
        <x:v>020760</x:v>
      </x:c>
      <x:c r="D1547" t="str">
        <x:v>일진디스플</x:v>
      </x:c>
      <x:c r="E1547" t="str">
        <x:v>KOSPI</x:v>
      </x:c>
      <x:c r="F1547" t="str">
        <x:v>SMALL</x:v>
      </x:c>
      <x:c r="G1547" t="str">
        <x:v>DCF_SCREENING_EXCLUSION</x:v>
      </x:c>
      <x:c r="H1547" t="str">
        <x:v>NON_POSITIVE_ENTERPRISE_VALUE|NON_POSITIVE_EQUITY_VALUE|NON_POSITIVE_TERMINAL_FCF</x:v>
      </x:c>
      <x:c r="I1547" s="54" t="n">
        <x:v>44834</x:v>
      </x:c>
      <x:c r="J1547" s="55" t="n">
        <x:v>1215</x:v>
      </x:c>
      <x:c r="K1547" s="55" t="n">
        <x:v>62589195315</x:v>
      </x:c>
      <x:c r="L1547" s="55" t="n">
        <x:v>51513741</x:v>
      </x:c>
      <x:c r="M1547" t="str">
        <x:v>20220322001113</x:v>
      </x:c>
      <x:c r="N1547" t="n">
        <x:v>44642.624999988424</x:v>
      </x:c>
      <x:c r="O1547" s="54" t="n">
        <x:v>44561</x:v>
      </x:c>
      <x:c r="P1547" t="str">
        <x:v>False</x:v>
      </x:c>
      <x:c r="Q1547" t="str">
        <x:v>d5edcc806182a30c55f45f37c0aba3446c47cacb9db6901ad26ad6382598aa6a</x:v>
      </x:c>
      <x:c r="R1547" t="str">
        <x:v>57c5540cde337e2bde5d3310fe9b2de496ff3fb6b831a53b9d652eb4342556c4</x:v>
      </x:c>
      <x:c r="S1547" t="n">
        <x:v>6</x:v>
      </x:c>
      <x:c r="T1547" t="str">
        <x:v>2018-12-31|2019-12-31|2020-12-31|2021-12-31</x:v>
      </x:c>
      <x:c r="U1547" s="57" t="n">
        <x:v>-4015.0665610392907</x:v>
      </x:c>
      <x:c r="V1547" s="57" t="n">
        <x:v>-4.304581531719581</x:v>
      </x:c>
      <x:c r="W1547"/>
      <x:c r="X1547"/>
      <x:c r="Y1547" s="38" t="n">
        <x:v>0.6409090909090909</x:v>
      </x:c>
      <x:c r="Z1547" s="38" t="n">
        <x:v>0.6095054406520231</x:v>
      </x:c>
      <x:c r="AA1547" t="str">
        <x:v>NON_POSITIVE_ENTERPRISE_VALUE|NON_POSITIVE_EQUITY_VALUE|NON_POSITIVE_TERMINAL_FCF</x:v>
      </x:c>
    </x:row>
    <x:row r="1548">
      <x:c r="A1548" s="54" t="n">
        <x:v>44834</x:v>
      </x:c>
      <x:c r="B1548" t="n">
        <x:v>44834.624999988424</x:v>
      </x:c>
      <x:c r="C1548" t="str">
        <x:v>069640</x:v>
      </x:c>
      <x:c r="D1548" t="str">
        <x:v>한세엠케이</x:v>
      </x:c>
      <x:c r="E1548" t="str">
        <x:v>KOSPI</x:v>
      </x:c>
      <x:c r="F1548" t="str">
        <x:v>SMALL</x:v>
      </x:c>
      <x:c r="G1548" t="str">
        <x:v>DCF_SCREENING_EXCLUSION</x:v>
      </x:c>
      <x:c r="H1548" t="str">
        <x:v>NON_POSITIVE_ENTERPRISE_VALUE|NON_POSITIVE_EQUITY_VALUE|NON_POSITIVE_TERMINAL_FCF</x:v>
      </x:c>
      <x:c r="I1548" s="54" t="n">
        <x:v>44834</x:v>
      </x:c>
      <x:c r="J1548" s="55" t="n">
        <x:v>2740</x:v>
      </x:c>
      <x:c r="K1548" s="55" t="n">
        <x:v>82491815480</x:v>
      </x:c>
      <x:c r="L1548" s="55" t="n">
        <x:v>30106502</x:v>
      </x:c>
      <x:c r="M1548" t="str">
        <x:v>20220321001199</x:v>
      </x:c>
      <x:c r="N1548" t="n">
        <x:v>44641.624999988424</x:v>
      </x:c>
      <x:c r="O1548" s="54" t="n">
        <x:v>44561</x:v>
      </x:c>
      <x:c r="P1548" t="str">
        <x:v>False</x:v>
      </x:c>
      <x:c r="Q1548" t="str">
        <x:v>3f80c2d04af8293ae6c99a854b89c2c902e52dcedc2f1f5c9879d54e57c6f979</x:v>
      </x:c>
      <x:c r="R1548" t="str">
        <x:v>264f926dfcbc54b8c4909755ecaba1143b7cd75939a7d72c263c8f1480b3a89e</x:v>
      </x:c>
      <x:c r="S1548" t="n">
        <x:v>6</x:v>
      </x:c>
      <x:c r="T1548" t="str">
        <x:v>2018-12-31|2019-12-31|2020-12-31|2021-12-31</x:v>
      </x:c>
      <x:c r="U1548" s="57" t="n">
        <x:v>-4709.762907620896</x:v>
      </x:c>
      <x:c r="V1548" s="57" t="n">
        <x:v>-2.7188915721244147</x:v>
      </x:c>
      <x:c r="W1548"/>
      <x:c r="X1548"/>
      <x:c r="Y1548" s="38" t="n">
        <x:v>0.6409090909090909</x:v>
      </x:c>
      <x:c r="Z1548" s="38" t="n">
        <x:v>0.6847834688748102</x:v>
      </x:c>
      <x:c r="AA1548" t="str">
        <x:v>NON_POSITIVE_ENTERPRISE_VALUE|NON_POSITIVE_EQUITY_VALUE|NON_POSITIVE_TERMINAL_FCF</x:v>
      </x:c>
    </x:row>
    <x:row r="1549">
      <x:c r="A1549" s="54" t="n">
        <x:v>44834</x:v>
      </x:c>
      <x:c r="B1549" t="n">
        <x:v>44834.624999988424</x:v>
      </x:c>
      <x:c r="C1549" t="str">
        <x:v>000040</x:v>
      </x:c>
      <x:c r="D1549" t="str">
        <x:v>KR모터스</x:v>
      </x:c>
      <x:c r="E1549" t="str">
        <x:v>KOSPI</x:v>
      </x:c>
      <x:c r="F1549" t="str">
        <x:v>SMALL</x:v>
      </x:c>
      <x:c r="G1549" t="str">
        <x:v>DCF_SCREENING_EXCLUSION</x:v>
      </x:c>
      <x:c r="H1549" t="str">
        <x:v>NON_POSITIVE_ENTERPRISE_VALUE|NON_POSITIVE_EQUITY_VALUE|NON_POSITIVE_TERMINAL_FCF</x:v>
      </x:c>
      <x:c r="I1549" s="54" t="n">
        <x:v>44834</x:v>
      </x:c>
      <x:c r="J1549" s="55" t="n">
        <x:v>638</x:v>
      </x:c>
      <x:c r="K1549" s="55" t="n">
        <x:v>61336340670</x:v>
      </x:c>
      <x:c r="L1549" s="55" t="n">
        <x:v>96138465</x:v>
      </x:c>
      <x:c r="M1549" t="str">
        <x:v>20220518000138</x:v>
      </x:c>
      <x:c r="N1549" t="n">
        <x:v>44699.624999988424</x:v>
      </x:c>
      <x:c r="O1549" s="54" t="n">
        <x:v>44561</x:v>
      </x:c>
      <x:c r="P1549" t="str">
        <x:v>True</x:v>
      </x:c>
      <x:c r="Q1549" t="str">
        <x:v>7be1ff9139f478051db49d75476a715a97b65a3c8a38dc280dea0b445eef9d18</x:v>
      </x:c>
      <x:c r="R1549" t="str">
        <x:v>6f6d171846011347edf74407dd0b52b1130efa2688ae4042836e9cfb7c3ef4bd</x:v>
      </x:c>
      <x:c r="S1549" t="n">
        <x:v>5</x:v>
      </x:c>
      <x:c r="T1549" t="str">
        <x:v>2018-12-31|2019-12-31|2020-12-31|2021-12-31</x:v>
      </x:c>
      <x:c r="U1549" s="57" t="n">
        <x:v>-1417.389382874451</x:v>
      </x:c>
      <x:c r="V1549" s="57" t="n">
        <x:v>-3.221613452781271</x:v>
      </x:c>
      <x:c r="W1549"/>
      <x:c r="X1549"/>
      <x:c r="Y1549" s="38" t="n">
        <x:v>0.6409090909090909</x:v>
      </x:c>
      <x:c r="Z1549" s="38" t="n">
        <x:v>0.7415038976089445</x:v>
      </x:c>
      <x:c r="AA1549" t="str">
        <x:v>NON_POSITIVE_ENTERPRISE_VALUE|NON_POSITIVE_EQUITY_VALUE|NON_POSITIVE_TERMINAL_FCF</x:v>
      </x:c>
    </x:row>
    <x:row r="1550">
      <x:c r="A1550" s="54" t="n">
        <x:v>44834</x:v>
      </x:c>
      <x:c r="B1550" t="n">
        <x:v>44834.624999988424</x:v>
      </x:c>
      <x:c r="C1550" t="str">
        <x:v>003680</x:v>
      </x:c>
      <x:c r="D1550" t="str">
        <x:v>한성기업</x:v>
      </x:c>
      <x:c r="E1550" t="str">
        <x:v>KOSPI</x:v>
      </x:c>
      <x:c r="F1550" t="str">
        <x:v>SMALL</x:v>
      </x:c>
      <x:c r="G1550" t="str">
        <x:v>DCF_SCREENING_EXCLUSION</x:v>
      </x:c>
      <x:c r="H1550" t="str">
        <x:v>NON_POSITIVE_ENTERPRISE_VALUE|NON_POSITIVE_EQUITY_VALUE|NON_POSITIVE_TERMINAL_FCF</x:v>
      </x:c>
      <x:c r="I1550" s="54" t="n">
        <x:v>44834</x:v>
      </x:c>
      <x:c r="J1550" s="55" t="n">
        <x:v>5310</x:v>
      </x:c>
      <x:c r="K1550" s="55" t="n">
        <x:v>32972524650</x:v>
      </x:c>
      <x:c r="L1550" s="55" t="n">
        <x:v>6209515</x:v>
      </x:c>
      <x:c r="M1550" t="str">
        <x:v>20220321001488</x:v>
      </x:c>
      <x:c r="N1550" t="n">
        <x:v>44641.624999988424</x:v>
      </x:c>
      <x:c r="O1550" s="54" t="n">
        <x:v>44561</x:v>
      </x:c>
      <x:c r="P1550" t="str">
        <x:v>False</x:v>
      </x:c>
      <x:c r="Q1550" t="str">
        <x:v>43bde3681dcac138193c66ca8f3806fbe182a6a8ea7fce5f3d3cc3d321282198</x:v>
      </x:c>
      <x:c r="R1550" t="str">
        <x:v>3709be2ff5f6c286bb5dc5bba52f9fb66a16880af3f62e28828991ef5d6796d1</x:v>
      </x:c>
      <x:c r="S1550" t="n">
        <x:v>7</x:v>
      </x:c>
      <x:c r="T1550" t="str">
        <x:v>2018-12-31|2019-12-31|2020-12-31|2021-12-31</x:v>
      </x:c>
      <x:c r="U1550" s="57" t="n">
        <x:v>-14272.758559851622</x:v>
      </x:c>
      <x:c r="V1550" s="57" t="n">
        <x:v>-3.6879018003487043</x:v>
      </x:c>
      <x:c r="W1550"/>
      <x:c r="X1550"/>
      <x:c r="Y1550" s="38" t="n">
        <x:v>0.6409090909090909</x:v>
      </x:c>
      <x:c r="Z1550" s="38" t="n">
        <x:v>0.5733329809061016</x:v>
      </x:c>
      <x:c r="AA1550" t="str">
        <x:v>NON_POSITIVE_ENTERPRISE_VALUE|NON_POSITIVE_EQUITY_VALUE|NON_POSITIVE_TERMINAL_FCF</x:v>
      </x:c>
    </x:row>
    <x:row r="1551">
      <x:c r="A1551" s="54" t="n">
        <x:v>44834</x:v>
      </x:c>
      <x:c r="B1551" t="n">
        <x:v>44834.624999988424</x:v>
      </x:c>
      <x:c r="C1551" t="str">
        <x:v>008600</x:v>
      </x:c>
      <x:c r="D1551" t="str">
        <x:v>윌비스</x:v>
      </x:c>
      <x:c r="E1551" t="str">
        <x:v>KOSPI</x:v>
      </x:c>
      <x:c r="F1551" t="str">
        <x:v>SMALL</x:v>
      </x:c>
      <x:c r="G1551" t="str">
        <x:v>DCF_SCREENING_EXCLUSION</x:v>
      </x:c>
      <x:c r="H1551" t="str">
        <x:v>NON_POSITIVE_ENTERPRISE_VALUE|NON_POSITIVE_EQUITY_VALUE|NON_POSITIVE_TERMINAL_FCF|UNRELIABLE_TERMINAL_VALUE_SHARE</x:v>
      </x:c>
      <x:c r="I1551" s="54" t="n">
        <x:v>44834</x:v>
      </x:c>
      <x:c r="J1551" s="55" t="n">
        <x:v>707</x:v>
      </x:c>
      <x:c r="K1551" s="55" t="n">
        <x:v>47535879573</x:v>
      </x:c>
      <x:c r="L1551" s="55" t="n">
        <x:v>67236039</x:v>
      </x:c>
      <x:c r="M1551" t="str">
        <x:v>20220331001744</x:v>
      </x:c>
      <x:c r="N1551" t="n">
        <x:v>44651.624999988424</x:v>
      </x:c>
      <x:c r="O1551" s="54" t="n">
        <x:v>44561</x:v>
      </x:c>
      <x:c r="P1551" t="str">
        <x:v>True</x:v>
      </x:c>
      <x:c r="Q1551" t="str">
        <x:v>c06ad4694bc113d1e51b9dbb0bd42570bd01d189068821a7c535f8685cc0e0ae</x:v>
      </x:c>
      <x:c r="R1551" t="str">
        <x:v>ca3e142ce13eb189904cd3f404c3ac8a1acf03f3a6852e1a41eb0613abd6b716</x:v>
      </x:c>
      <x:c r="S1551" t="n">
        <x:v>6</x:v>
      </x:c>
      <x:c r="T1551" t="str">
        <x:v>2018-12-31|2019-12-31|2020-12-31|2021-12-31</x:v>
      </x:c>
      <x:c r="U1551" s="57" t="n">
        <x:v>-1862.15439954397</x:v>
      </x:c>
      <x:c r="V1551" s="57" t="n">
        <x:v>-3.6338817532446535</x:v>
      </x:c>
      <x:c r="W1551"/>
      <x:c r="X1551"/>
      <x:c r="Y1551" s="38" t="n">
        <x:v>0.6409090909090909</x:v>
      </x:c>
      <x:c r="Z1551" s="38" t="n">
        <x:v>4.288484296060114</x:v>
      </x:c>
      <x:c r="AA1551" t="str">
        <x:v>NON_POSITIVE_ENTERPRISE_VALUE|NON_POSITIVE_EQUITY_VALUE|NON_POSITIVE_TERMINAL_FCF|UNRELIABLE_TERMINAL_VALUE_SHARE</x:v>
      </x:c>
    </x:row>
    <x:row r="1552">
      <x:c r="A1552" s="54" t="n">
        <x:v>44834</x:v>
      </x:c>
      <x:c r="B1552" t="n">
        <x:v>44834.624999988424</x:v>
      </x:c>
      <x:c r="C1552" t="str">
        <x:v>018310</x:v>
      </x:c>
      <x:c r="D1552" t="str">
        <x:v>삼목에스폼</x:v>
      </x:c>
      <x:c r="E1552" t="str">
        <x:v>KOSDAQ</x:v>
      </x:c>
      <x:c r="F1552" t="str">
        <x:v>MID</x:v>
      </x:c>
      <x:c r="G1552" t="str">
        <x:v>DCF_SCREENING_EXCLUSION</x:v>
      </x:c>
      <x:c r="H1552" t="str">
        <x:v>NON_POSITIVE_ENTERPRISE_VALUE|NON_POSITIVE_TERMINAL_FCF</x:v>
      </x:c>
      <x:c r="I1552" s="54" t="n">
        <x:v>44834</x:v>
      </x:c>
      <x:c r="J1552" s="55" t="n">
        <x:v>15250</x:v>
      </x:c>
      <x:c r="K1552" s="55" t="n">
        <x:v>224175000000</x:v>
      </x:c>
      <x:c r="L1552" s="55" t="n">
        <x:v>14700000</x:v>
      </x:c>
      <x:c r="M1552" t="str">
        <x:v>20220812000972</x:v>
      </x:c>
      <x:c r="N1552" t="n">
        <x:v>44785.624999988424</x:v>
      </x:c>
      <x:c r="O1552" s="54" t="n">
        <x:v>44561</x:v>
      </x:c>
      <x:c r="P1552" t="str">
        <x:v>True</x:v>
      </x:c>
      <x:c r="Q1552" t="str">
        <x:v>6592553333af3079f78ed014c21c13351c9a317b2ca0e35ee7dd9600eea9721e</x:v>
      </x:c>
      <x:c r="R1552" t="str">
        <x:v>45ebff37f14e05f857705949c66fc011e9839ee8041a503b41081ff97d02f4af</x:v>
      </x:c>
      <x:c r="S1552" t="n">
        <x:v>5</x:v>
      </x:c>
      <x:c r="T1552" t="str">
        <x:v>2018-12-31|2019-12-31|2020-12-31|2021-12-31</x:v>
      </x:c>
      <x:c r="U1552" s="57" t="n">
        <x:v>1113.724364776664</x:v>
      </x:c>
      <x:c r="V1552" s="57" t="n">
        <x:v>-0.9269688941130056</x:v>
      </x:c>
      <x:c r="W1552"/>
      <x:c r="X1552"/>
      <x:c r="Y1552" s="38" t="n">
        <x:v>0.6409090909090909</x:v>
      </x:c>
      <x:c r="Z1552" s="38" t="n">
        <x:v>0.5663530764565846</x:v>
      </x:c>
      <x:c r="AA1552" t="str">
        <x:v>NON_POSITIVE_ENTERPRISE_VALUE|NON_POSITIVE_TERMINAL_FCF</x:v>
      </x:c>
    </x:row>
    <x:row r="1553">
      <x:c r="A1553" s="54" t="n">
        <x:v>44834</x:v>
      </x:c>
      <x:c r="B1553" t="n">
        <x:v>44834.624999988424</x:v>
      </x:c>
      <x:c r="C1553" t="str">
        <x:v>090360</x:v>
      </x:c>
      <x:c r="D1553" t="str">
        <x:v>로보스타</x:v>
      </x:c>
      <x:c r="E1553" t="str">
        <x:v>KOSDAQ</x:v>
      </x:c>
      <x:c r="F1553" t="str">
        <x:v>MID</x:v>
      </x:c>
      <x:c r="G1553" t="str">
        <x:v>DCF_SCREENING_EXCLUSION</x:v>
      </x:c>
      <x:c r="H1553" t="str">
        <x:v>NON_POSITIVE_ENTERPRISE_VALUE|NON_POSITIVE_EQUITY_VALUE|NON_POSITIVE_TERMINAL_FCF</x:v>
      </x:c>
      <x:c r="I1553" s="54" t="n">
        <x:v>44834</x:v>
      </x:c>
      <x:c r="J1553" s="55" t="n">
        <x:v>17100</x:v>
      </x:c>
      <x:c r="K1553" s="55" t="n">
        <x:v>166725000000</x:v>
      </x:c>
      <x:c r="L1553" s="55" t="n">
        <x:v>9750000</x:v>
      </x:c>
      <x:c r="M1553" t="str">
        <x:v>20220317001258</x:v>
      </x:c>
      <x:c r="N1553" t="n">
        <x:v>44637.624999988424</x:v>
      </x:c>
      <x:c r="O1553" s="54" t="n">
        <x:v>44561</x:v>
      </x:c>
      <x:c r="P1553" t="str">
        <x:v>False</x:v>
      </x:c>
      <x:c r="Q1553" t="str">
        <x:v>812bd368813bd094b40d2783aa1307b6fc6259e07aa27686d1455fafdea88546</x:v>
      </x:c>
      <x:c r="R1553" t="str">
        <x:v>839ccc30141f7f3ff6b6c52030d341ea3b95aa66d0ba87ff0956f4b10439fb9d</x:v>
      </x:c>
      <x:c r="S1553" t="n">
        <x:v>5</x:v>
      </x:c>
      <x:c r="T1553" t="str">
        <x:v>2018-12-31|2019-12-31|2020-12-31|2021-12-31</x:v>
      </x:c>
      <x:c r="U1553" s="57" t="n">
        <x:v>-913.3084498688557</x:v>
      </x:c>
      <x:c r="V1553" s="57" t="n">
        <x:v>-1.0534098508695238</x:v>
      </x:c>
      <x:c r="W1553"/>
      <x:c r="X1553"/>
      <x:c r="Y1553" s="38" t="n">
        <x:v>0.6409090909090909</x:v>
      </x:c>
      <x:c r="Z1553" s="38" t="n">
        <x:v>0.7528044013043851</x:v>
      </x:c>
      <x:c r="AA1553" t="str">
        <x:v>NON_POSITIVE_ENTERPRISE_VALUE|NON_POSITIVE_EQUITY_VALUE|NON_POSITIVE_TERMINAL_FCF</x:v>
      </x:c>
    </x:row>
    <x:row r="1554">
      <x:c r="A1554" s="54" t="n">
        <x:v>44834</x:v>
      </x:c>
      <x:c r="B1554" t="n">
        <x:v>44834.624999988424</x:v>
      </x:c>
      <x:c r="C1554" t="str">
        <x:v>144960</x:v>
      </x:c>
      <x:c r="D1554" t="str">
        <x:v>뉴파워프라즈마</x:v>
      </x:c>
      <x:c r="E1554" t="str">
        <x:v>KOSDAQ</x:v>
      </x:c>
      <x:c r="F1554" t="str">
        <x:v>MID</x:v>
      </x:c>
      <x:c r="G1554" t="str">
        <x:v>ELIGIBLE</x:v>
      </x:c>
      <x:c r="H1554"/>
      <x:c r="I1554" s="54" t="n">
        <x:v>44834</x:v>
      </x:c>
      <x:c r="J1554" s="55" t="n">
        <x:v>3520</x:v>
      </x:c>
      <x:c r="K1554" s="55" t="n">
        <x:v>153798036480</x:v>
      </x:c>
      <x:c r="L1554" s="55" t="n">
        <x:v>43692624</x:v>
      </x:c>
      <x:c r="M1554" t="str">
        <x:v>20220322001019</x:v>
      </x:c>
      <x:c r="N1554" t="n">
        <x:v>44642.624999988424</x:v>
      </x:c>
      <x:c r="O1554" s="54" t="n">
        <x:v>44561</x:v>
      </x:c>
      <x:c r="P1554" t="str">
        <x:v>False</x:v>
      </x:c>
      <x:c r="Q1554" t="str">
        <x:v>ecc05b805a707a36118d073b359c72b5338598397c87140a6e23238691976794</x:v>
      </x:c>
      <x:c r="R1554" t="str">
        <x:v>55508e8788303cc40eab9d84bd6962b6d46e4c3a6e70ba427bee16963b8829fc</x:v>
      </x:c>
      <x:c r="S1554" t="n">
        <x:v>6</x:v>
      </x:c>
      <x:c r="T1554" t="str">
        <x:v>2018-12-31|2019-12-31|2020-12-31|2021-12-31</x:v>
      </x:c>
      <x:c r="U1554" s="57" t="n">
        <x:v>2143.7735145070833</x:v>
      </x:c>
      <x:c r="V1554" s="57" t="n">
        <x:v>-0.39097343337866947</x:v>
      </x:c>
      <x:c r="W1554" t="n">
        <x:v>41</x:v>
      </x:c>
      <x:c r="X1554" t="n">
        <x:v>4</x:v>
      </x:c>
      <x:c r="Y1554" s="38" t="n">
        <x:v>0.6409090909090909</x:v>
      </x:c>
      <x:c r="Z1554" s="38" t="n">
        <x:v>0.8073711628005346</x:v>
      </x:c>
      <x:c r="AA1554"/>
    </x:row>
    <x:row r="1555">
      <x:c r="A1555" s="54" t="n">
        <x:v>44834</x:v>
      </x:c>
      <x:c r="B1555" t="n">
        <x:v>44834.624999988424</x:v>
      </x:c>
      <x:c r="C1555" t="str">
        <x:v>065660</x:v>
      </x:c>
      <x:c r="D1555" t="str">
        <x:v>안트로젠</x:v>
      </x:c>
      <x:c r="E1555" t="str">
        <x:v>KOSDAQ</x:v>
      </x:c>
      <x:c r="F1555" t="str">
        <x:v>MID</x:v>
      </x:c>
      <x:c r="G1555" t="str">
        <x:v>DCF_SCREENING_EXCLUSION</x:v>
      </x:c>
      <x:c r="H1555" t="str">
        <x:v>NON_POSITIVE_ENTERPRISE_VALUE|NON_POSITIVE_EQUITY_VALUE|NON_POSITIVE_TERMINAL_FCF</x:v>
      </x:c>
      <x:c r="I1555" s="54" t="n">
        <x:v>44834</x:v>
      </x:c>
      <x:c r="J1555" s="55" t="n">
        <x:v>14400</x:v>
      </x:c>
      <x:c r="K1555" s="55" t="n">
        <x:v>140131771200</x:v>
      </x:c>
      <x:c r="L1555" s="55" t="n">
        <x:v>9731373</x:v>
      </x:c>
      <x:c r="M1555" t="str">
        <x:v>20220308000561</x:v>
      </x:c>
      <x:c r="N1555" t="n">
        <x:v>44628.624999988424</x:v>
      </x:c>
      <x:c r="O1555" s="54" t="n">
        <x:v>44561</x:v>
      </x:c>
      <x:c r="P1555" t="str">
        <x:v>False</x:v>
      </x:c>
      <x:c r="Q1555" t="str">
        <x:v>ca8cc1135227c8e4226125c29bdedc099d8a54cc791afacfe1af303aff51c30e</x:v>
      </x:c>
      <x:c r="R1555" t="str">
        <x:v>13f8c889046bf7ebd27422fe30c0fb9dc9a262859e07f3464507af3c877cf08d</x:v>
      </x:c>
      <x:c r="S1555" t="n">
        <x:v>6</x:v>
      </x:c>
      <x:c r="T1555" t="str">
        <x:v>2018-12-31|2019-12-31|2020-12-31|2021-12-31</x:v>
      </x:c>
      <x:c r="U1555" s="57" t="n">
        <x:v>-3287.833989215215</x:v>
      </x:c>
      <x:c r="V1555" s="57" t="n">
        <x:v>-1.2283218048066122</x:v>
      </x:c>
      <x:c r="W1555"/>
      <x:c r="X1555"/>
      <x:c r="Y1555" s="38" t="n">
        <x:v>0.6409090909090909</x:v>
      </x:c>
      <x:c r="Z1555" s="38" t="n">
        <x:v>0.6635957394517747</x:v>
      </x:c>
      <x:c r="AA1555" t="str">
        <x:v>NON_POSITIVE_ENTERPRISE_VALUE|NON_POSITIVE_EQUITY_VALUE|NON_POSITIVE_TERMINAL_FCF</x:v>
      </x:c>
    </x:row>
    <x:row r="1556">
      <x:c r="A1556" s="54" t="n">
        <x:v>44834</x:v>
      </x:c>
      <x:c r="B1556" t="n">
        <x:v>44834.624999988424</x:v>
      </x:c>
      <x:c r="C1556" t="str">
        <x:v>255220</x:v>
      </x:c>
      <x:c r="D1556" t="str">
        <x:v>SG</x:v>
      </x:c>
      <x:c r="E1556" t="str">
        <x:v>KOSDAQ</x:v>
      </x:c>
      <x:c r="F1556" t="str">
        <x:v>MID</x:v>
      </x:c>
      <x:c r="G1556" t="str">
        <x:v>DCF_SCREENING_EXCLUSION</x:v>
      </x:c>
      <x:c r="H1556" t="str">
        <x:v>NON_POSITIVE_EQUITY_VALUE|UNRELIABLE_TERMINAL_VALUE_SHARE</x:v>
      </x:c>
      <x:c r="I1556" s="54" t="n">
        <x:v>44834</x:v>
      </x:c>
      <x:c r="J1556" s="55" t="n">
        <x:v>1180</x:v>
      </x:c>
      <x:c r="K1556" s="55" t="n">
        <x:v>52812893020</x:v>
      </x:c>
      <x:c r="L1556" s="55" t="n">
        <x:v>44756689</x:v>
      </x:c>
      <x:c r="M1556" t="str">
        <x:v>20220816000401</x:v>
      </x:c>
      <x:c r="N1556" t="n">
        <x:v>44789.624999988424</x:v>
      </x:c>
      <x:c r="O1556" s="54" t="n">
        <x:v>44561</x:v>
      </x:c>
      <x:c r="P1556" t="str">
        <x:v>True</x:v>
      </x:c>
      <x:c r="Q1556" t="str">
        <x:v>df14914aec7636060548ca830c82840a739d76af3e7eaaba8da328f0ba064b53</x:v>
      </x:c>
      <x:c r="R1556" t="str">
        <x:v>d48e25a8465f70136b83b751c9165986e4c19caa31705d97af14f6bd23885966</x:v>
      </x:c>
      <x:c r="S1556" t="n">
        <x:v>6</x:v>
      </x:c>
      <x:c r="T1556" t="str">
        <x:v>2018-12-31|2019-12-31|2020-12-31|2021-12-31</x:v>
      </x:c>
      <x:c r="U1556" s="57" t="n">
        <x:v>-1466.7676643926793</x:v>
      </x:c>
      <x:c r="V1556" s="57" t="n">
        <x:v>-2.2430234444005754</x:v>
      </x:c>
      <x:c r="W1556"/>
      <x:c r="X1556"/>
      <x:c r="Y1556" s="38" t="n">
        <x:v>0.6409090909090909</x:v>
      </x:c>
      <x:c r="Z1556" s="38" t="n">
        <x:v>1.263959186437666</x:v>
      </x:c>
      <x:c r="AA1556" t="str">
        <x:v>NON_POSITIVE_EQUITY_VALUE|UNRELIABLE_TERMINAL_VALUE_SHARE</x:v>
      </x:c>
    </x:row>
    <x:row r="1557">
      <x:c r="A1557" s="54" t="n">
        <x:v>44834</x:v>
      </x:c>
      <x:c r="B1557" t="n">
        <x:v>44834.624999988424</x:v>
      </x:c>
      <x:c r="C1557" t="str">
        <x:v>356680</x:v>
      </x:c>
      <x:c r="D1557" t="str">
        <x:v>엑스게이트</x:v>
      </x:c>
      <x:c r="E1557" t="str">
        <x:v>KOSDAQ</x:v>
      </x:c>
      <x:c r="F1557" t="str">
        <x:v>MID</x:v>
      </x:c>
      <x:c r="G1557" t="str">
        <x:v>NOT_LISTED_OR_NO_PRICE</x:v>
      </x:c>
      <x:c r="H1557"/>
      <x:c r="I1557" s="54"/>
      <x:c r="J1557" s="55"/>
      <x:c r="K1557" s="55"/>
      <x:c r="L1557" s="55"/>
      <x:c r="M1557"/>
      <x:c r="N1557"/>
      <x:c r="O1557" s="54"/>
      <x:c r="P1557"/>
      <x:c r="Q1557"/>
      <x:c r="R1557"/>
      <x:c r="S1557"/>
      <x:c r="T1557"/>
      <x:c r="U1557" s="57"/>
      <x:c r="V1557" s="57"/>
      <x:c r="W1557"/>
      <x:c r="X1557"/>
      <x:c r="Y1557" s="38"/>
      <x:c r="Z1557" s="38"/>
      <x:c r="AA1557"/>
    </x:row>
    <x:row r="1558">
      <x:c r="A1558" s="54" t="n">
        <x:v>44834</x:v>
      </x:c>
      <x:c r="B1558" t="n">
        <x:v>44834.624999988424</x:v>
      </x:c>
      <x:c r="C1558" t="str">
        <x:v>038390</x:v>
      </x:c>
      <x:c r="D1558" t="str">
        <x:v>레드캡투어</x:v>
      </x:c>
      <x:c r="E1558" t="str">
        <x:v>KOSDAQ</x:v>
      </x:c>
      <x:c r="F1558" t="str">
        <x:v>MID</x:v>
      </x:c>
      <x:c r="G1558" t="str">
        <x:v>ELIGIBLE</x:v>
      </x:c>
      <x:c r="H1558"/>
      <x:c r="I1558" s="54" t="n">
        <x:v>44834</x:v>
      </x:c>
      <x:c r="J1558" s="55" t="n">
        <x:v>18800</x:v>
      </x:c>
      <x:c r="K1558" s="55" t="n">
        <x:v>161482224000</x:v>
      </x:c>
      <x:c r="L1558" s="55" t="n">
        <x:v>8589480</x:v>
      </x:c>
      <x:c r="M1558" t="str">
        <x:v>20220317000890</x:v>
      </x:c>
      <x:c r="N1558" t="n">
        <x:v>44637.624999988424</x:v>
      </x:c>
      <x:c r="O1558" s="54" t="n">
        <x:v>44561</x:v>
      </x:c>
      <x:c r="P1558" t="str">
        <x:v>False</x:v>
      </x:c>
      <x:c r="Q1558" t="str">
        <x:v>8f8828ebfc53547c7e9043d8aae0f7cb754e7fca9b893a3ba8383e35f786d57c</x:v>
      </x:c>
      <x:c r="R1558" t="str">
        <x:v>48ae00dafefcd96cc7e08b1ef88b27681e65cc8aeebda312cebb3712c271f891</x:v>
      </x:c>
      <x:c r="S1558" t="n">
        <x:v>6</x:v>
      </x:c>
      <x:c r="T1558" t="str">
        <x:v>2018-12-31|2019-12-31|2020-12-31|2021-12-31</x:v>
      </x:c>
      <x:c r="U1558" s="57" t="n">
        <x:v>7949.727668580381</x:v>
      </x:c>
      <x:c r="V1558" s="57" t="n">
        <x:v>-0.5771421452882776</x:v>
      </x:c>
      <x:c r="W1558" t="n">
        <x:v>50</x:v>
      </x:c>
      <x:c r="X1558" t="n">
        <x:v>4</x:v>
      </x:c>
      <x:c r="Y1558" s="38" t="n">
        <x:v>0.6409090909090909</x:v>
      </x:c>
      <x:c r="Z1558" s="38" t="n">
        <x:v>0.6747690002838279</x:v>
      </x:c>
      <x:c r="AA1558"/>
    </x:row>
    <x:row r="1559">
      <x:c r="A1559" s="54" t="n">
        <x:v>44834</x:v>
      </x:c>
      <x:c r="B1559" t="n">
        <x:v>44834.624999988424</x:v>
      </x:c>
      <x:c r="C1559" t="str">
        <x:v>083930</x:v>
      </x:c>
      <x:c r="D1559" t="str">
        <x:v>아바코</x:v>
      </x:c>
      <x:c r="E1559" t="str">
        <x:v>KOSDAQ</x:v>
      </x:c>
      <x:c r="F1559" t="str">
        <x:v>MID</x:v>
      </x:c>
      <x:c r="G1559" t="str">
        <x:v>ELIGIBLE</x:v>
      </x:c>
      <x:c r="H1559"/>
      <x:c r="I1559" s="54" t="n">
        <x:v>44834</x:v>
      </x:c>
      <x:c r="J1559" s="55" t="n">
        <x:v>10850</x:v>
      </x:c>
      <x:c r="K1559" s="55" t="n">
        <x:v>167228858300</x:v>
      </x:c>
      <x:c r="L1559" s="55" t="n">
        <x:v>15412798</x:v>
      </x:c>
      <x:c r="M1559" t="str">
        <x:v>20220715000545</x:v>
      </x:c>
      <x:c r="N1559" t="n">
        <x:v>44757.624999988424</x:v>
      </x:c>
      <x:c r="O1559" s="54" t="n">
        <x:v>44561</x:v>
      </x:c>
      <x:c r="P1559" t="str">
        <x:v>True</x:v>
      </x:c>
      <x:c r="Q1559" t="str">
        <x:v>4fb4d83c0909917f283d612650b0a75dc05129836fcb0da1ba67c7ed1286fc15</x:v>
      </x:c>
      <x:c r="R1559" t="str">
        <x:v>3ede7adb0d530b1b2071dee963f71122a5135e3695b92356e861ffe8c5d3b505</x:v>
      </x:c>
      <x:c r="S1559" t="n">
        <x:v>7</x:v>
      </x:c>
      <x:c r="T1559" t="str">
        <x:v>2018-12-31|2019-12-31|2020-12-31|2021-12-31</x:v>
      </x:c>
      <x:c r="U1559" s="57" t="n">
        <x:v>8873.73518255816</x:v>
      </x:c>
      <x:c r="V1559" s="57" t="n">
        <x:v>-0.18214422280569945</x:v>
      </x:c>
      <x:c r="W1559" t="n">
        <x:v>29</x:v>
      </x:c>
      <x:c r="X1559" t="n">
        <x:v>3</x:v>
      </x:c>
      <x:c r="Y1559" s="38" t="n">
        <x:v>0.6409090909090909</x:v>
      </x:c>
      <x:c r="Z1559" s="38" t="n">
        <x:v>0.6330261532715434</x:v>
      </x:c>
      <x:c r="AA1559"/>
    </x:row>
    <x:row r="1560">
      <x:c r="A1560" s="54" t="n">
        <x:v>44834</x:v>
      </x:c>
      <x:c r="B1560" t="n">
        <x:v>44834.624999988424</x:v>
      </x:c>
      <x:c r="C1560" t="str">
        <x:v>089600</x:v>
      </x:c>
      <x:c r="D1560" t="str">
        <x:v>KT나스미디어</x:v>
      </x:c>
      <x:c r="E1560" t="str">
        <x:v>KOSDAQ</x:v>
      </x:c>
      <x:c r="F1560" t="str">
        <x:v>MID</x:v>
      </x:c>
      <x:c r="G1560" t="str">
        <x:v>ELIGIBLE</x:v>
      </x:c>
      <x:c r="H1560"/>
      <x:c r="I1560" s="54" t="n">
        <x:v>44834</x:v>
      </x:c>
      <x:c r="J1560" s="55" t="n">
        <x:v>32000</x:v>
      </x:c>
      <x:c r="K1560" s="55" t="n">
        <x:v>337278784000</x:v>
      </x:c>
      <x:c r="L1560" s="55" t="n">
        <x:v>10539962</x:v>
      </x:c>
      <x:c r="M1560" t="str">
        <x:v>20220317000232</x:v>
      </x:c>
      <x:c r="N1560" t="n">
        <x:v>44637.624999988424</x:v>
      </x:c>
      <x:c r="O1560" s="54" t="n">
        <x:v>44561</x:v>
      </x:c>
      <x:c r="P1560" t="str">
        <x:v>False</x:v>
      </x:c>
      <x:c r="Q1560" t="str">
        <x:v>5302bde4f000b4a1536f675922fd423428599f72845c19dfc98fb7a4d88ef31d</x:v>
      </x:c>
      <x:c r="R1560" t="str">
        <x:v>a5b91bb22df7533e3783212ac90392a43db3f414ee8b6c1015c193b9e5609550</x:v>
      </x:c>
      <x:c r="S1560" t="n">
        <x:v>6</x:v>
      </x:c>
      <x:c r="T1560" t="str">
        <x:v>2019-12-31|2020-12-31|2021-12-31</x:v>
      </x:c>
      <x:c r="U1560" s="57" t="n">
        <x:v>33236.85225811665</x:v>
      </x:c>
      <x:c r="V1560" s="57" t="n">
        <x:v>0.038651633066145184</x:v>
      </x:c>
      <x:c r="W1560" t="n">
        <x:v>23</x:v>
      </x:c>
      <x:c r="X1560" t="n">
        <x:v>2</x:v>
      </x:c>
      <x:c r="Y1560" s="38" t="n">
        <x:v>0.6409090909090909</x:v>
      </x:c>
      <x:c r="Z1560" s="38" t="n">
        <x:v>0.6710290861971622</x:v>
      </x:c>
      <x:c r="AA1560"/>
    </x:row>
    <x:row r="1561">
      <x:c r="A1561" s="54" t="n">
        <x:v>44834</x:v>
      </x:c>
      <x:c r="B1561" t="n">
        <x:v>44834.624999988424</x:v>
      </x:c>
      <x:c r="C1561" t="str">
        <x:v>091120</x:v>
      </x:c>
      <x:c r="D1561" t="str">
        <x:v>이엠텍</x:v>
      </x:c>
      <x:c r="E1561" t="str">
        <x:v>KOSDAQ</x:v>
      </x:c>
      <x:c r="F1561" t="str">
        <x:v>MID</x:v>
      </x:c>
      <x:c r="G1561" t="str">
        <x:v>ELIGIBLE</x:v>
      </x:c>
      <x:c r="H1561"/>
      <x:c r="I1561" s="54" t="n">
        <x:v>44834</x:v>
      </x:c>
      <x:c r="J1561" s="55" t="n">
        <x:v>23350</x:v>
      </x:c>
      <x:c r="K1561" s="55" t="n">
        <x:v>400054055600</x:v>
      </x:c>
      <x:c r="L1561" s="55" t="n">
        <x:v>17132936</x:v>
      </x:c>
      <x:c r="M1561" t="str">
        <x:v>20220315000520</x:v>
      </x:c>
      <x:c r="N1561" t="n">
        <x:v>44635.624999988424</x:v>
      </x:c>
      <x:c r="O1561" s="54" t="n">
        <x:v>44561</x:v>
      </x:c>
      <x:c r="P1561" t="str">
        <x:v>False</x:v>
      </x:c>
      <x:c r="Q1561" t="str">
        <x:v>19299c3f04d71311dd627d515d667c8b0682275ff5e65e515557025aedacf394</x:v>
      </x:c>
      <x:c r="R1561" t="str">
        <x:v>2a3dfa1f875a53e601c207b9d997b3a3bb5a9a16bb99777e3424b29bf7659a4d</x:v>
      </x:c>
      <x:c r="S1561" t="n">
        <x:v>6</x:v>
      </x:c>
      <x:c r="T1561" t="str">
        <x:v>2018-12-31|2019-12-31|2020-12-31|2021-12-31</x:v>
      </x:c>
      <x:c r="U1561" s="57" t="n">
        <x:v>4285.317197438541</x:v>
      </x:c>
      <x:c r="V1561" s="57" t="n">
        <x:v>-0.8164746382253302</x:v>
      </x:c>
      <x:c r="W1561" t="n">
        <x:v>62</x:v>
      </x:c>
      <x:c r="X1561" t="n">
        <x:v>5</x:v>
      </x:c>
      <x:c r="Y1561" s="38" t="n">
        <x:v>0.6409090909090909</x:v>
      </x:c>
      <x:c r="Z1561" s="38" t="n">
        <x:v>0.1788426422228145</x:v>
      </x:c>
      <x:c r="AA1561"/>
    </x:row>
    <x:row r="1562">
      <x:c r="A1562" s="54" t="n">
        <x:v>44834</x:v>
      </x:c>
      <x:c r="B1562" t="n">
        <x:v>44834.624999988424</x:v>
      </x:c>
      <x:c r="C1562" t="str">
        <x:v>353810</x:v>
      </x:c>
      <x:c r="D1562" t="str">
        <x:v>이지바이오</x:v>
      </x:c>
      <x:c r="E1562" t="str">
        <x:v>KOSDAQ</x:v>
      </x:c>
      <x:c r="F1562" t="str">
        <x:v>MID</x:v>
      </x:c>
      <x:c r="G1562" t="str">
        <x:v>ELIGIBLE</x:v>
      </x:c>
      <x:c r="H1562"/>
      <x:c r="I1562" s="54" t="n">
        <x:v>44834</x:v>
      </x:c>
      <x:c r="J1562" s="55" t="n">
        <x:v>3995</x:v>
      </x:c>
      <x:c r="K1562" s="55" t="n">
        <x:v>136595921400</x:v>
      </x:c>
      <x:c r="L1562" s="55" t="n">
        <x:v>34191720</x:v>
      </x:c>
      <x:c r="M1562" t="str">
        <x:v>20220323000853</x:v>
      </x:c>
      <x:c r="N1562" t="n">
        <x:v>44643.624999988424</x:v>
      </x:c>
      <x:c r="O1562" s="54" t="n">
        <x:v>44561</x:v>
      </x:c>
      <x:c r="P1562" t="str">
        <x:v>False</x:v>
      </x:c>
      <x:c r="Q1562" t="str">
        <x:v>1ed3cea215e652a4a56305baf44e340c129acaa328d0ba672d6f2e628eb49202</x:v>
      </x:c>
      <x:c r="R1562" t="str">
        <x:v>1d358b2cb9a135490303ab760a8517a6356f68cd85ecb109e9f45ac8b38a5dc4</x:v>
      </x:c>
      <x:c r="S1562" t="n">
        <x:v>6</x:v>
      </x:c>
      <x:c r="T1562" t="str">
        <x:v>2021-12-31</x:v>
      </x:c>
      <x:c r="U1562" s="57" t="n">
        <x:v>3357.0058336309285</x:v>
      </x:c>
      <x:c r="V1562" s="57" t="n">
        <x:v>-0.1596981642976399</x:v>
      </x:c>
      <x:c r="W1562" t="n">
        <x:v>28</x:v>
      </x:c>
      <x:c r="X1562" t="n">
        <x:v>3</x:v>
      </x:c>
      <x:c r="Y1562" s="38" t="n">
        <x:v>0.6409090909090909</x:v>
      </x:c>
      <x:c r="Z1562" s="38" t="n">
        <x:v>0.6701769222689359</x:v>
      </x:c>
      <x:c r="AA1562"/>
    </x:row>
    <x:row r="1563">
      <x:c r="A1563" s="54" t="n">
        <x:v>44834</x:v>
      </x:c>
      <x:c r="B1563" t="n">
        <x:v>44834.624999988424</x:v>
      </x:c>
      <x:c r="C1563" t="str">
        <x:v>203650</x:v>
      </x:c>
      <x:c r="D1563" t="str">
        <x:v>드림시큐리티</x:v>
      </x:c>
      <x:c r="E1563" t="str">
        <x:v>KOSDAQ</x:v>
      </x:c>
      <x:c r="F1563" t="str">
        <x:v>MID</x:v>
      </x:c>
      <x:c r="G1563" t="str">
        <x:v>ELIGIBLE</x:v>
      </x:c>
      <x:c r="H1563"/>
      <x:c r="I1563" s="54" t="n">
        <x:v>44834</x:v>
      </x:c>
      <x:c r="J1563" s="55" t="n">
        <x:v>2565</x:v>
      </x:c>
      <x:c r="K1563" s="55" t="n">
        <x:v>129803759010</x:v>
      </x:c>
      <x:c r="L1563" s="55" t="n">
        <x:v>50605754</x:v>
      </x:c>
      <x:c r="M1563" t="str">
        <x:v>20220812001277</x:v>
      </x:c>
      <x:c r="N1563" t="n">
        <x:v>44785.624999988424</x:v>
      </x:c>
      <x:c r="O1563" s="54" t="n">
        <x:v>44561</x:v>
      </x:c>
      <x:c r="P1563" t="str">
        <x:v>True</x:v>
      </x:c>
      <x:c r="Q1563" t="str">
        <x:v>85bdfb8b1a0dc397a47daf45a843f87b50d99528523400cb06493140f359ebf6</x:v>
      </x:c>
      <x:c r="R1563" t="str">
        <x:v>c954b599ab8a7dc32f3c055f69216eea2430e3faf79f53b8e848c382d7c52f03</x:v>
      </x:c>
      <x:c r="S1563" t="n">
        <x:v>6</x:v>
      </x:c>
      <x:c r="T1563" t="str">
        <x:v>2018-12-31|2019-12-31|2020-12-31|2021-12-31</x:v>
      </x:c>
      <x:c r="U1563" s="57" t="n">
        <x:v>1991.1706549336343</x:v>
      </x:c>
      <x:c r="V1563" s="57" t="n">
        <x:v>-0.22371514427538627</x:v>
      </x:c>
      <x:c r="W1563" t="n">
        <x:v>32</x:v>
      </x:c>
      <x:c r="X1563" t="n">
        <x:v>3</x:v>
      </x:c>
      <x:c r="Y1563" s="38" t="n">
        <x:v>0.6409090909090909</x:v>
      </x:c>
      <x:c r="Z1563" s="38" t="n">
        <x:v>0.6784362615984412</x:v>
      </x:c>
      <x:c r="AA1563"/>
    </x:row>
    <x:row r="1564">
      <x:c r="A1564" s="54" t="n">
        <x:v>44834</x:v>
      </x:c>
      <x:c r="B1564" t="n">
        <x:v>44834.624999988424</x:v>
      </x:c>
      <x:c r="C1564" t="str">
        <x:v>251120</x:v>
      </x:c>
      <x:c r="D1564" t="str">
        <x:v>바이오에프디엔씨</x:v>
      </x:c>
      <x:c r="E1564" t="str">
        <x:v>KOSDAQ</x:v>
      </x:c>
      <x:c r="F1564" t="str">
        <x:v>MID</x:v>
      </x:c>
      <x:c r="G1564" t="str">
        <x:v>ELIGIBLE</x:v>
      </x:c>
      <x:c r="H1564"/>
      <x:c r="I1564" s="54" t="n">
        <x:v>44834</x:v>
      </x:c>
      <x:c r="J1564" s="55" t="n">
        <x:v>15550</x:v>
      </x:c>
      <x:c r="K1564" s="55" t="n">
        <x:v>135218135000</x:v>
      </x:c>
      <x:c r="L1564" s="55" t="n">
        <x:v>8695700</x:v>
      </x:c>
      <x:c r="M1564" t="str">
        <x:v>20220323000478</x:v>
      </x:c>
      <x:c r="N1564" t="n">
        <x:v>44643.624999988424</x:v>
      </x:c>
      <x:c r="O1564" s="54" t="n">
        <x:v>44561</x:v>
      </x:c>
      <x:c r="P1564" t="str">
        <x:v>False</x:v>
      </x:c>
      <x:c r="Q1564" t="str">
        <x:v>3501561cf0db4cbb7a87ac9eed8b10979b3381409f3a54df0cc284cabda093ba</x:v>
      </x:c>
      <x:c r="R1564" t="str">
        <x:v>0170a7270715039ddac784fcb111aedcac85232fde24a53bfd3d3499602b0a31</x:v>
      </x:c>
      <x:c r="S1564" t="n">
        <x:v>5</x:v>
      </x:c>
      <x:c r="T1564" t="str">
        <x:v>2021-12-31</x:v>
      </x:c>
      <x:c r="U1564" s="57" t="n">
        <x:v>3267.088249886076</x:v>
      </x:c>
      <x:c r="V1564" s="57" t="n">
        <x:v>-0.7898978617436607</x:v>
      </x:c>
      <x:c r="W1564" t="n">
        <x:v>59</x:v>
      </x:c>
      <x:c r="X1564" t="n">
        <x:v>5</x:v>
      </x:c>
      <x:c r="Y1564" s="38" t="n">
        <x:v>0.6409090909090909</x:v>
      </x:c>
      <x:c r="Z1564" s="38" t="n">
        <x:v>0.6701769222689359</x:v>
      </x:c>
      <x:c r="AA1564"/>
    </x:row>
    <x:row r="1565">
      <x:c r="A1565" s="54" t="n">
        <x:v>44834</x:v>
      </x:c>
      <x:c r="B1565" t="n">
        <x:v>44834.624999988424</x:v>
      </x:c>
      <x:c r="C1565" t="str">
        <x:v>094820</x:v>
      </x:c>
      <x:c r="D1565" t="str">
        <x:v>일진파워</x:v>
      </x:c>
      <x:c r="E1565" t="str">
        <x:v>KOSDAQ</x:v>
      </x:c>
      <x:c r="F1565" t="str">
        <x:v>MID</x:v>
      </x:c>
      <x:c r="G1565" t="str">
        <x:v>ELIGIBLE</x:v>
      </x:c>
      <x:c r="H1565"/>
      <x:c r="I1565" s="54" t="n">
        <x:v>44834</x:v>
      </x:c>
      <x:c r="J1565" s="55" t="n">
        <x:v>14000</x:v>
      </x:c>
      <x:c r="K1565" s="55" t="n">
        <x:v>211101926000</x:v>
      </x:c>
      <x:c r="L1565" s="55" t="n">
        <x:v>15078709</x:v>
      </x:c>
      <x:c r="M1565" t="str">
        <x:v>20220317001181</x:v>
      </x:c>
      <x:c r="N1565" t="n">
        <x:v>44637.624999988424</x:v>
      </x:c>
      <x:c r="O1565" s="54" t="n">
        <x:v>44561</x:v>
      </x:c>
      <x:c r="P1565" t="str">
        <x:v>False</x:v>
      </x:c>
      <x:c r="Q1565" t="str">
        <x:v>4b9effa524ed32f7a4097b4c4160b5ffed6dada3a972d752e6f198e408150f8e</x:v>
      </x:c>
      <x:c r="R1565" t="str">
        <x:v>0879e43ab16a65a9bbb1edd3b1e2d24a67dbf41806582b7956c356e41d0f0195</x:v>
      </x:c>
      <x:c r="S1565" t="n">
        <x:v>6</x:v>
      </x:c>
      <x:c r="T1565" t="str">
        <x:v>2018-12-31|2019-12-31|2020-12-31|2021-12-31</x:v>
      </x:c>
      <x:c r="U1565" s="57" t="n">
        <x:v>14804.504335591811</x:v>
      </x:c>
      <x:c r="V1565" s="57" t="n">
        <x:v>0.05746459539941509</x:v>
      </x:c>
      <x:c r="W1565" t="n">
        <x:v>21</x:v>
      </x:c>
      <x:c r="X1565" t="n">
        <x:v>2</x:v>
      </x:c>
      <x:c r="Y1565" s="38" t="n">
        <x:v>0.6409090909090909</x:v>
      </x:c>
      <x:c r="Z1565" s="38" t="n">
        <x:v>0.6685223660850954</x:v>
      </x:c>
      <x:c r="AA1565"/>
    </x:row>
    <x:row r="1566">
      <x:c r="A1566" s="54" t="n">
        <x:v>44834</x:v>
      </x:c>
      <x:c r="B1566" t="n">
        <x:v>44834.624999988424</x:v>
      </x:c>
      <x:c r="C1566" t="str">
        <x:v>333430</x:v>
      </x:c>
      <x:c r="D1566" t="str">
        <x:v>일승</x:v>
      </x:c>
      <x:c r="E1566" t="str">
        <x:v>KOSDAQ</x:v>
      </x:c>
      <x:c r="F1566" t="str">
        <x:v>MID</x:v>
      </x:c>
      <x:c r="G1566" t="str">
        <x:v>ELIGIBLE</x:v>
      </x:c>
      <x:c r="H1566"/>
      <x:c r="I1566" s="54" t="n">
        <x:v>44834</x:v>
      </x:c>
      <x:c r="J1566" s="55" t="n">
        <x:v>4450</x:v>
      </x:c>
      <x:c r="K1566" s="55" t="n">
        <x:v>136734024150</x:v>
      </x:c>
      <x:c r="L1566" s="55" t="n">
        <x:v>30726747</x:v>
      </x:c>
      <x:c r="M1566" t="str">
        <x:v>20220816000391</x:v>
      </x:c>
      <x:c r="N1566" t="n">
        <x:v>44789.624999988424</x:v>
      </x:c>
      <x:c r="O1566" s="54" t="n">
        <x:v>44561</x:v>
      </x:c>
      <x:c r="P1566" t="str">
        <x:v>True</x:v>
      </x:c>
      <x:c r="Q1566" t="str">
        <x:v>73ea19fdf47670bf85ecd26df42d358c069059baf48b7882d12e58fe6e54aff8</x:v>
      </x:c>
      <x:c r="R1566" t="str">
        <x:v>962a51e19ee498e4dee4e08274833e6a927faa9a8a8713e3a30cf623a8502038</x:v>
      </x:c>
      <x:c r="S1566" t="n">
        <x:v>6</x:v>
      </x:c>
      <x:c r="T1566" t="str">
        <x:v>2021-12-31</x:v>
      </x:c>
      <x:c r="U1566" s="57" t="n">
        <x:v>706.0565520511188</x:v>
      </x:c>
      <x:c r="V1566" s="57" t="n">
        <x:v>-0.8413356062806474</x:v>
      </x:c>
      <x:c r="W1566" t="n">
        <x:v>64</x:v>
      </x:c>
      <x:c r="X1566" t="n">
        <x:v>5</x:v>
      </x:c>
      <x:c r="Y1566" s="38" t="n">
        <x:v>0.6409090909090909</x:v>
      </x:c>
      <x:c r="Z1566" s="38" t="n">
        <x:v>0.6701769222689359</x:v>
      </x:c>
      <x:c r="AA1566"/>
    </x:row>
    <x:row r="1567">
      <x:c r="A1567" s="54" t="n">
        <x:v>44834</x:v>
      </x:c>
      <x:c r="B1567" t="n">
        <x:v>44834.624999988424</x:v>
      </x:c>
      <x:c r="C1567" t="str">
        <x:v>041440</x:v>
      </x:c>
      <x:c r="D1567" t="str">
        <x:v>현대에버다임</x:v>
      </x:c>
      <x:c r="E1567" t="str">
        <x:v>KOSDAQ</x:v>
      </x:c>
      <x:c r="F1567" t="str">
        <x:v>MID</x:v>
      </x:c>
      <x:c r="G1567" t="str">
        <x:v>DCF_SCREENING_EXCLUSION</x:v>
      </x:c>
      <x:c r="H1567" t="str">
        <x:v>NON_POSITIVE_ENTERPRISE_VALUE|NON_POSITIVE_EQUITY_VALUE|UNRELIABLE_TERMINAL_VALUE_SHARE</x:v>
      </x:c>
      <x:c r="I1567" s="54" t="n">
        <x:v>44834</x:v>
      </x:c>
      <x:c r="J1567" s="55" t="n">
        <x:v>6460</x:v>
      </x:c>
      <x:c r="K1567" s="55" t="n">
        <x:v>115736998240</x:v>
      </x:c>
      <x:c r="L1567" s="55" t="n">
        <x:v>17915944</x:v>
      </x:c>
      <x:c r="M1567" t="str">
        <x:v>20220318000828</x:v>
      </x:c>
      <x:c r="N1567" t="n">
        <x:v>44638.624999988424</x:v>
      </x:c>
      <x:c r="O1567" s="54" t="n">
        <x:v>44561</x:v>
      </x:c>
      <x:c r="P1567" t="str">
        <x:v>False</x:v>
      </x:c>
      <x:c r="Q1567" t="str">
        <x:v>233d25aca3dd16875696f480814215acee6e161d6bff94e6bd0eb55697d20a52</x:v>
      </x:c>
      <x:c r="R1567" t="str">
        <x:v>c3c9ba2e625a007d3e3a68beb916b800548f63e35d576e817bc46ec00ea87714</x:v>
      </x:c>
      <x:c r="S1567" t="n">
        <x:v>7</x:v>
      </x:c>
      <x:c r="T1567" t="str">
        <x:v>2018-12-31|2019-12-31|2020-12-31|2021-12-31</x:v>
      </x:c>
      <x:c r="U1567" s="57" t="n">
        <x:v>-1086.4361798862215</x:v>
      </x:c>
      <x:c r="V1567" s="57" t="n">
        <x:v>-1.1681789752145855</x:v>
      </x:c>
      <x:c r="W1567"/>
      <x:c r="X1567"/>
      <x:c r="Y1567" s="38" t="n">
        <x:v>0.6409090909090909</x:v>
      </x:c>
      <x:c r="Z1567" s="38" t="n">
        <x:v>-0.7010819502366538</x:v>
      </x:c>
      <x:c r="AA1567" t="str">
        <x:v>NON_POSITIVE_ENTERPRISE_VALUE|NON_POSITIVE_EQUITY_VALUE|UNRELIABLE_TERMINAL_VALUE_SHARE</x:v>
      </x:c>
    </x:row>
    <x:row r="1568">
      <x:c r="A1568" s="54" t="n">
        <x:v>44834</x:v>
      </x:c>
      <x:c r="B1568" t="n">
        <x:v>44834.624999988424</x:v>
      </x:c>
      <x:c r="C1568" t="str">
        <x:v>067990</x:v>
      </x:c>
      <x:c r="D1568" t="str">
        <x:v>도이치모터스</x:v>
      </x:c>
      <x:c r="E1568" t="str">
        <x:v>KOSDAQ</x:v>
      </x:c>
      <x:c r="F1568" t="str">
        <x:v>MID</x:v>
      </x:c>
      <x:c r="G1568" t="str">
        <x:v>DCF_SCREENING_EXCLUSION</x:v>
      </x:c>
      <x:c r="H1568" t="str">
        <x:v>NON_POSITIVE_EQUITY_VALUE|UNRELIABLE_TERMINAL_VALUE_SHARE</x:v>
      </x:c>
      <x:c r="I1568" s="54" t="n">
        <x:v>44834</x:v>
      </x:c>
      <x:c r="J1568" s="55" t="n">
        <x:v>5930</x:v>
      </x:c>
      <x:c r="K1568" s="55" t="n">
        <x:v>189108571710</x:v>
      </x:c>
      <x:c r="L1568" s="55" t="n">
        <x:v>31890147</x:v>
      </x:c>
      <x:c r="M1568" t="str">
        <x:v>20220318001141</x:v>
      </x:c>
      <x:c r="N1568" t="n">
        <x:v>44638.624999988424</x:v>
      </x:c>
      <x:c r="O1568" s="54" t="n">
        <x:v>44561</x:v>
      </x:c>
      <x:c r="P1568" t="str">
        <x:v>False</x:v>
      </x:c>
      <x:c r="Q1568" t="str">
        <x:v>71ba1d6be49545c71bed8dc3caf1d8ffe2c800da4e94d6f804e856ea70e7146f</x:v>
      </x:c>
      <x:c r="R1568" t="str">
        <x:v>51a72ecd10c90084d78182e3eeed636558e9bac540f0e1f366aa3aadaba1a609</x:v>
      </x:c>
      <x:c r="S1568" t="n">
        <x:v>6</x:v>
      </x:c>
      <x:c r="T1568" t="str">
        <x:v>2016-12-31|2018-12-31|2019-12-31|2020-12-31|2021-12-31</x:v>
      </x:c>
      <x:c r="U1568" s="57" t="n">
        <x:v>-9148.321790439319</x:v>
      </x:c>
      <x:c r="V1568" s="57" t="n">
        <x:v>-2.5427186830420436</x:v>
      </x:c>
      <x:c r="W1568"/>
      <x:c r="X1568"/>
      <x:c r="Y1568" s="38" t="n">
        <x:v>0.6409090909090909</x:v>
      </x:c>
      <x:c r="Z1568" s="38" t="n">
        <x:v>0.8856781578573619</x:v>
      </x:c>
      <x:c r="AA1568" t="str">
        <x:v>NON_POSITIVE_EQUITY_VALUE|UNRELIABLE_TERMINAL_VALUE_SHARE</x:v>
      </x:c>
    </x:row>
    <x:row r="1569">
      <x:c r="A1569" s="54" t="n">
        <x:v>44834</x:v>
      </x:c>
      <x:c r="B1569" t="n">
        <x:v>44834.624999988424</x:v>
      </x:c>
      <x:c r="C1569" t="str">
        <x:v>037070</x:v>
      </x:c>
      <x:c r="D1569" t="str">
        <x:v>파세코</x:v>
      </x:c>
      <x:c r="E1569" t="str">
        <x:v>KOSDAQ</x:v>
      </x:c>
      <x:c r="F1569" t="str">
        <x:v>MID</x:v>
      </x:c>
      <x:c r="G1569" t="str">
        <x:v>ELIGIBLE</x:v>
      </x:c>
      <x:c r="H1569"/>
      <x:c r="I1569" s="54" t="n">
        <x:v>44834</x:v>
      </x:c>
      <x:c r="J1569" s="55" t="n">
        <x:v>12200</x:v>
      </x:c>
      <x:c r="K1569" s="55" t="n">
        <x:v>244000000000</x:v>
      </x:c>
      <x:c r="L1569" s="55" t="n">
        <x:v>20000000</x:v>
      </x:c>
      <x:c r="M1569" t="str">
        <x:v>20220713000101</x:v>
      </x:c>
      <x:c r="N1569" t="n">
        <x:v>44755.624999988424</x:v>
      </x:c>
      <x:c r="O1569" s="54" t="n">
        <x:v>44561</x:v>
      </x:c>
      <x:c r="P1569" t="str">
        <x:v>True</x:v>
      </x:c>
      <x:c r="Q1569" t="str">
        <x:v>4480f1874987d8558a5b4859158b2543f91ed7cbe3a75ac5491ac514b1c03ce3</x:v>
      </x:c>
      <x:c r="R1569" t="str">
        <x:v>d6580a5d2f8f5b1c2e988c1b7f03b6529004111221d7cd439742b6d284ecc7e2</x:v>
      </x:c>
      <x:c r="S1569" t="n">
        <x:v>7</x:v>
      </x:c>
      <x:c r="T1569" t="str">
        <x:v>2018-12-31|2019-12-31|2020-12-31|2021-12-31</x:v>
      </x:c>
      <x:c r="U1569" s="57" t="n">
        <x:v>7862.71670004411</x:v>
      </x:c>
      <x:c r="V1569" s="57" t="n">
        <x:v>-0.3555150245865484</x:v>
      </x:c>
      <x:c r="W1569" t="n">
        <x:v>38</x:v>
      </x:c>
      <x:c r="X1569" t="n">
        <x:v>3</x:v>
      </x:c>
      <x:c r="Y1569" s="38" t="n">
        <x:v>0.6409090909090909</x:v>
      </x:c>
      <x:c r="Z1569" s="38" t="n">
        <x:v>0.6740869943779537</x:v>
      </x:c>
      <x:c r="AA1569"/>
    </x:row>
    <x:row r="1570">
      <x:c r="A1570" s="54" t="n">
        <x:v>44834</x:v>
      </x:c>
      <x:c r="B1570" t="n">
        <x:v>44834.624999988424</x:v>
      </x:c>
      <x:c r="C1570" t="str">
        <x:v>365330</x:v>
      </x:c>
      <x:c r="D1570" t="str">
        <x:v>에스와이스틸텍</x:v>
      </x:c>
      <x:c r="E1570" t="str">
        <x:v>KOSDAQ</x:v>
      </x:c>
      <x:c r="F1570" t="str">
        <x:v>MID</x:v>
      </x:c>
      <x:c r="G1570" t="str">
        <x:v>NOT_LISTED_OR_NO_PRICE</x:v>
      </x:c>
      <x:c r="H1570"/>
      <x:c r="I1570" s="54"/>
      <x:c r="J1570" s="55"/>
      <x:c r="K1570" s="55"/>
      <x:c r="L1570" s="55"/>
      <x:c r="M1570"/>
      <x:c r="N1570"/>
      <x:c r="O1570" s="54"/>
      <x:c r="P1570"/>
      <x:c r="Q1570"/>
      <x:c r="R1570"/>
      <x:c r="S1570"/>
      <x:c r="T1570"/>
      <x:c r="U1570" s="57"/>
      <x:c r="V1570" s="57"/>
      <x:c r="W1570"/>
      <x:c r="X1570"/>
      <x:c r="Y1570" s="38"/>
      <x:c r="Z1570" s="38"/>
      <x:c r="AA1570"/>
    </x:row>
    <x:row r="1571">
      <x:c r="A1571" s="54" t="n">
        <x:v>44834</x:v>
      </x:c>
      <x:c r="B1571" t="n">
        <x:v>44834.624999988424</x:v>
      </x:c>
      <x:c r="C1571" t="str">
        <x:v>086960</x:v>
      </x:c>
      <x:c r="D1571" t="str">
        <x:v>MDS테크</x:v>
      </x:c>
      <x:c r="E1571" t="str">
        <x:v>KOSDAQ</x:v>
      </x:c>
      <x:c r="F1571" t="str">
        <x:v>MID</x:v>
      </x:c>
      <x:c r="G1571" t="str">
        <x:v>ELIGIBLE</x:v>
      </x:c>
      <x:c r="H1571"/>
      <x:c r="I1571" s="54" t="n">
        <x:v>44834</x:v>
      </x:c>
      <x:c r="J1571" s="55" t="n">
        <x:v>13000</x:v>
      </x:c>
      <x:c r="K1571" s="55" t="n">
        <x:v>115603904000</x:v>
      </x:c>
      <x:c r="L1571" s="55" t="n">
        <x:v>8892608</x:v>
      </x:c>
      <x:c r="M1571" t="str">
        <x:v>20220316000839</x:v>
      </x:c>
      <x:c r="N1571" t="n">
        <x:v>44636.624999988424</x:v>
      </x:c>
      <x:c r="O1571" s="54" t="n">
        <x:v>44561</x:v>
      </x:c>
      <x:c r="P1571" t="str">
        <x:v>False</x:v>
      </x:c>
      <x:c r="Q1571" t="str">
        <x:v>5f0b235a703db54a6a970650321046b5bde0ef2b5d9f86c6a19a6a5468214a72</x:v>
      </x:c>
      <x:c r="R1571" t="str">
        <x:v>2ed332938082503a4d5306fb50a7c223ac55382ea096b2b7fe974aec1efdd1c9</x:v>
      </x:c>
      <x:c r="S1571" t="n">
        <x:v>6</x:v>
      </x:c>
      <x:c r="T1571" t="str">
        <x:v>2018-12-31|2019-12-31|2020-12-31|2021-12-31</x:v>
      </x:c>
      <x:c r="U1571" s="57" t="n">
        <x:v>4378.528255197623</x:v>
      </x:c>
      <x:c r="V1571" s="57" t="n">
        <x:v>-0.6631901342155674</x:v>
      </x:c>
      <x:c r="W1571" t="n">
        <x:v>54</x:v>
      </x:c>
      <x:c r="X1571" t="n">
        <x:v>5</x:v>
      </x:c>
      <x:c r="Y1571" s="38" t="n">
        <x:v>0.6409090909090909</x:v>
      </x:c>
      <x:c r="Z1571" s="38" t="n">
        <x:v>0.705283246086619</x:v>
      </x:c>
      <x:c r="AA1571"/>
    </x:row>
    <x:row r="1572">
      <x:c r="A1572" s="54" t="n">
        <x:v>44834</x:v>
      </x:c>
      <x:c r="B1572" t="n">
        <x:v>44834.624999988424</x:v>
      </x:c>
      <x:c r="C1572" t="str">
        <x:v>014970</x:v>
      </x:c>
      <x:c r="D1572" t="str">
        <x:v>삼륭물산</x:v>
      </x:c>
      <x:c r="E1572" t="str">
        <x:v>KOSDAQ</x:v>
      </x:c>
      <x:c r="F1572" t="str">
        <x:v>MID</x:v>
      </x:c>
      <x:c r="G1572" t="str">
        <x:v>DCF_SCREENING_EXCLUSION</x:v>
      </x:c>
      <x:c r="H1572" t="str">
        <x:v>NON_POSITIVE_ENTERPRISE_VALUE|NON_POSITIVE_EQUITY_VALUE|NON_POSITIVE_TERMINAL_FCF</x:v>
      </x:c>
      <x:c r="I1572" s="54" t="n">
        <x:v>44834</x:v>
      </x:c>
      <x:c r="J1572" s="55" t="n">
        <x:v>4945</x:v>
      </x:c>
      <x:c r="K1572" s="55" t="n">
        <x:v>74793125000</x:v>
      </x:c>
      <x:c r="L1572" s="55" t="n">
        <x:v>15125000</x:v>
      </x:c>
      <x:c r="M1572" t="str">
        <x:v>20220720000363</x:v>
      </x:c>
      <x:c r="N1572" t="n">
        <x:v>44762.624999988424</x:v>
      </x:c>
      <x:c r="O1572" s="54" t="n">
        <x:v>44561</x:v>
      </x:c>
      <x:c r="P1572" t="str">
        <x:v>True</x:v>
      </x:c>
      <x:c r="Q1572" t="str">
        <x:v>bc65c622e707ebc207cbf68e3ce4fd301ad88633a35f33a9627f98dce2fa288d</x:v>
      </x:c>
      <x:c r="R1572" t="str">
        <x:v>773f24341a90436391885d7bfc808f856dd79596f49c1e07ecf443cdc0b908de</x:v>
      </x:c>
      <x:c r="S1572" t="n">
        <x:v>6</x:v>
      </x:c>
      <x:c r="T1572" t="str">
        <x:v>2018-12-31|2019-12-31|2020-12-31|2021-12-31</x:v>
      </x:c>
      <x:c r="U1572" s="57" t="n">
        <x:v>-1380.103199626044</x:v>
      </x:c>
      <x:c r="V1572" s="57" t="n">
        <x:v>-1.2790906369314547</x:v>
      </x:c>
      <x:c r="W1572"/>
      <x:c r="X1572"/>
      <x:c r="Y1572" s="38" t="n">
        <x:v>0.6409090909090909</x:v>
      </x:c>
      <x:c r="Z1572" s="38" t="n">
        <x:v>0.5764974774013089</x:v>
      </x:c>
      <x:c r="AA1572" t="str">
        <x:v>NON_POSITIVE_ENTERPRISE_VALUE|NON_POSITIVE_EQUITY_VALUE|NON_POSITIVE_TERMINAL_FCF</x:v>
      </x:c>
    </x:row>
    <x:row r="1573">
      <x:c r="A1573" s="54" t="n">
        <x:v>44834</x:v>
      </x:c>
      <x:c r="B1573" t="n">
        <x:v>44834.624999988424</x:v>
      </x:c>
      <x:c r="C1573" t="str">
        <x:v>088390</x:v>
      </x:c>
      <x:c r="D1573" t="str">
        <x:v>이녹스</x:v>
      </x:c>
      <x:c r="E1573" t="str">
        <x:v>KOSDAQ</x:v>
      </x:c>
      <x:c r="F1573" t="str">
        <x:v>MID</x:v>
      </x:c>
      <x:c r="G1573" t="str">
        <x:v>ELIGIBLE</x:v>
      </x:c>
      <x:c r="H1573"/>
      <x:c r="I1573" s="54" t="n">
        <x:v>44834</x:v>
      </x:c>
      <x:c r="J1573" s="55" t="n">
        <x:v>20000</x:v>
      </x:c>
      <x:c r="K1573" s="55" t="n">
        <x:v>187716880000</x:v>
      </x:c>
      <x:c r="L1573" s="55" t="n">
        <x:v>9385844</x:v>
      </x:c>
      <x:c r="M1573" t="str">
        <x:v>20220316000787</x:v>
      </x:c>
      <x:c r="N1573" t="n">
        <x:v>44636.624999988424</x:v>
      </x:c>
      <x:c r="O1573" s="54" t="n">
        <x:v>44561</x:v>
      </x:c>
      <x:c r="P1573" t="str">
        <x:v>False</x:v>
      </x:c>
      <x:c r="Q1573" t="str">
        <x:v>6cbbad5ef424db8018b61b68a740ab01891ec62dced7d230359387f7853c2893</x:v>
      </x:c>
      <x:c r="R1573" t="str">
        <x:v>b40afc16ecd0d554e6fd2034104c1287ec282dd77b38fa4363f66d4307817ce4</x:v>
      </x:c>
      <x:c r="S1573" t="n">
        <x:v>6</x:v>
      </x:c>
      <x:c r="T1573" t="str">
        <x:v>2018-12-31|2019-12-31|2020-12-31|2021-12-31</x:v>
      </x:c>
      <x:c r="U1573" s="57" t="n">
        <x:v>14642.20085175624</x:v>
      </x:c>
      <x:c r="V1573" s="57" t="n">
        <x:v>-0.26788995741218796</x:v>
      </x:c>
      <x:c r="W1573" t="n">
        <x:v>36</x:v>
      </x:c>
      <x:c r="X1573" t="n">
        <x:v>3</x:v>
      </x:c>
      <x:c r="Y1573" s="38" t="n">
        <x:v>0.6409090909090909</x:v>
      </x:c>
      <x:c r="Z1573" s="38" t="n">
        <x:v>0.558573452567217</x:v>
      </x:c>
      <x:c r="AA1573"/>
    </x:row>
    <x:row r="1574">
      <x:c r="A1574" s="54" t="n">
        <x:v>44834</x:v>
      </x:c>
      <x:c r="B1574" t="n">
        <x:v>44834.624999988424</x:v>
      </x:c>
      <x:c r="C1574" t="str">
        <x:v>170920</x:v>
      </x:c>
      <x:c r="D1574" t="str">
        <x:v>엘티씨</x:v>
      </x:c>
      <x:c r="E1574" t="str">
        <x:v>KOSDAQ</x:v>
      </x:c>
      <x:c r="F1574" t="str">
        <x:v>MID</x:v>
      </x:c>
      <x:c r="G1574" t="str">
        <x:v>DCF_SCREENING_EXCLUSION</x:v>
      </x:c>
      <x:c r="H1574" t="str">
        <x:v>NON_POSITIVE_ENTERPRISE_VALUE|NON_POSITIVE_EQUITY_VALUE|UNRELIABLE_TERMINAL_VALUE_SHARE</x:v>
      </x:c>
      <x:c r="I1574" s="54" t="n">
        <x:v>44834</x:v>
      </x:c>
      <x:c r="J1574" s="55" t="n">
        <x:v>9610</x:v>
      </x:c>
      <x:c r="K1574" s="55" t="n">
        <x:v>77502391650</x:v>
      </x:c>
      <x:c r="L1574" s="55" t="n">
        <x:v>8064765</x:v>
      </x:c>
      <x:c r="M1574" t="str">
        <x:v>20220321001027</x:v>
      </x:c>
      <x:c r="N1574" t="n">
        <x:v>44641.624999988424</x:v>
      </x:c>
      <x:c r="O1574" s="54" t="n">
        <x:v>44561</x:v>
      </x:c>
      <x:c r="P1574" t="str">
        <x:v>False</x:v>
      </x:c>
      <x:c r="Q1574" t="str">
        <x:v>c31ea1711439ee62df6eea540291a40d1aadb3cbd2fc5ad16cbfcd104e015fdd</x:v>
      </x:c>
      <x:c r="R1574" t="str">
        <x:v>e6a957fe77c598d18ce422ef44b848d85cbc07a029d302f4bfa18a765f5e9dbe</x:v>
      </x:c>
      <x:c r="S1574" t="n">
        <x:v>6</x:v>
      </x:c>
      <x:c r="T1574" t="str">
        <x:v>2018-12-31|2019-12-31|2020-12-31|2021-12-31</x:v>
      </x:c>
      <x:c r="U1574" s="57" t="n">
        <x:v>-3932.3846801395957</x:v>
      </x:c>
      <x:c r="V1574" s="57" t="n">
        <x:v>-1.4091971571425177</x:v>
      </x:c>
      <x:c r="W1574"/>
      <x:c r="X1574"/>
      <x:c r="Y1574" s="38" t="n">
        <x:v>0.6409090909090909</x:v>
      </x:c>
      <x:c r="Z1574" s="38" t="n">
        <x:v>-2.2353620034548816</x:v>
      </x:c>
      <x:c r="AA1574" t="str">
        <x:v>NON_POSITIVE_ENTERPRISE_VALUE|NON_POSITIVE_EQUITY_VALUE|UNRELIABLE_TERMINAL_VALUE_SHARE</x:v>
      </x:c>
    </x:row>
    <x:row r="1575">
      <x:c r="A1575" s="54" t="n">
        <x:v>44834</x:v>
      </x:c>
      <x:c r="B1575" t="n">
        <x:v>44834.624999988424</x:v>
      </x:c>
      <x:c r="C1575" t="str">
        <x:v>021080</x:v>
      </x:c>
      <x:c r="D1575" t="str">
        <x:v>에이티넘인베스트</x:v>
      </x:c>
      <x:c r="E1575" t="str">
        <x:v>KOSDAQ</x:v>
      </x:c>
      <x:c r="F1575" t="str">
        <x:v>MID</x:v>
      </x:c>
      <x:c r="G1575" t="str">
        <x:v>ELIGIBLE</x:v>
      </x:c>
      <x:c r="H1575"/>
      <x:c r="I1575" s="54" t="n">
        <x:v>44834</x:v>
      </x:c>
      <x:c r="J1575" s="55" t="n">
        <x:v>2715</x:v>
      </x:c>
      <x:c r="K1575" s="55" t="n">
        <x:v>130320000000</x:v>
      </x:c>
      <x:c r="L1575" s="55" t="n">
        <x:v>48000000</x:v>
      </x:c>
      <x:c r="M1575" t="str">
        <x:v>20220315001124</x:v>
      </x:c>
      <x:c r="N1575" t="n">
        <x:v>44635.624999988424</x:v>
      </x:c>
      <x:c r="O1575" s="54" t="n">
        <x:v>44561</x:v>
      </x:c>
      <x:c r="P1575" t="str">
        <x:v>False</x:v>
      </x:c>
      <x:c r="Q1575" t="str">
        <x:v>a795f008e81c0c9fb6ce25b7d59e30379d4f9ca332d7e7688348b696d0f67d34</x:v>
      </x:c>
      <x:c r="R1575" t="str">
        <x:v>6e1c969bcc08ffb861fee1971a7fd0e672780df9b4121316059a34d9a1614af9</x:v>
      </x:c>
      <x:c r="S1575" t="n">
        <x:v>5</x:v>
      </x:c>
      <x:c r="T1575" t="str">
        <x:v>2018-12-31|2019-12-31|2020-12-31|2021-12-31</x:v>
      </x:c>
      <x:c r="U1575" s="57" t="n">
        <x:v>11240.4103910266</x:v>
      </x:c>
      <x:c r="V1575" s="57" t="n">
        <x:v>3.140114324503352</x:v>
      </x:c>
      <x:c r="W1575" t="n">
        <x:v>4</x:v>
      </x:c>
      <x:c r="X1575" t="n">
        <x:v>1</x:v>
      </x:c>
      <x:c r="Y1575" s="38" t="n">
        <x:v>0.6409090909090909</x:v>
      </x:c>
      <x:c r="Z1575" s="38" t="n">
        <x:v>0.6847587029208964</x:v>
      </x:c>
      <x:c r="AA1575"/>
    </x:row>
    <x:row r="1576">
      <x:c r="A1576" s="54" t="n">
        <x:v>44834</x:v>
      </x:c>
      <x:c r="B1576" t="n">
        <x:v>44834.624999988424</x:v>
      </x:c>
      <x:c r="C1576" t="str">
        <x:v>302550</x:v>
      </x:c>
      <x:c r="D1576" t="str">
        <x:v>리메드</x:v>
      </x:c>
      <x:c r="E1576" t="str">
        <x:v>KOSDAQ</x:v>
      </x:c>
      <x:c r="F1576" t="str">
        <x:v>MID</x:v>
      </x:c>
      <x:c r="G1576" t="str">
        <x:v>ELIGIBLE</x:v>
      </x:c>
      <x:c r="H1576"/>
      <x:c r="I1576" s="54" t="n">
        <x:v>44834</x:v>
      </x:c>
      <x:c r="J1576" s="55" t="n">
        <x:v>11750</x:v>
      </x:c>
      <x:c r="K1576" s="55" t="n">
        <x:v>71999488000</x:v>
      </x:c>
      <x:c r="L1576" s="55" t="n">
        <x:v>6127616</x:v>
      </x:c>
      <x:c r="M1576" t="str">
        <x:v>20220318000588</x:v>
      </x:c>
      <x:c r="N1576" t="n">
        <x:v>44638.624999988424</x:v>
      </x:c>
      <x:c r="O1576" s="54" t="n">
        <x:v>44561</x:v>
      </x:c>
      <x:c r="P1576" t="str">
        <x:v>False</x:v>
      </x:c>
      <x:c r="Q1576" t="str">
        <x:v>e9e7a60f1aebf723bb1cd1bc376d275c0d0c3d009d2a6798b589c1f714f07bd4</x:v>
      </x:c>
      <x:c r="R1576" t="str">
        <x:v>10e9944e8e3b196b35f02515fd6ab5310d2c46ae10aa5e28dda2e1e3f7c0c2a1</x:v>
      </x:c>
      <x:c r="S1576" t="n">
        <x:v>5</x:v>
      </x:c>
      <x:c r="T1576" t="str">
        <x:v>2019-12-31|2020-12-31|2021-12-31</x:v>
      </x:c>
      <x:c r="U1576" s="57" t="n">
        <x:v>4100.758120032042</x:v>
      </x:c>
      <x:c r="V1576" s="57" t="n">
        <x:v>-0.6509993089334433</x:v>
      </x:c>
      <x:c r="W1576" t="n">
        <x:v>53</x:v>
      </x:c>
      <x:c r="X1576" t="n">
        <x:v>4</x:v>
      </x:c>
      <x:c r="Y1576" s="38" t="n">
        <x:v>0.6409090909090909</x:v>
      </x:c>
      <x:c r="Z1576" s="38" t="n">
        <x:v>0.7707391455939948</x:v>
      </x:c>
      <x:c r="AA1576"/>
    </x:row>
    <x:row r="1577">
      <x:c r="A1577" s="54" t="n">
        <x:v>44834</x:v>
      </x:c>
      <x:c r="B1577" t="n">
        <x:v>44834.624999988424</x:v>
      </x:c>
      <x:c r="C1577" t="str">
        <x:v>011760</x:v>
      </x:c>
      <x:c r="D1577" t="str">
        <x:v>현대코퍼레이션</x:v>
      </x:c>
      <x:c r="E1577" t="str">
        <x:v>KOSPI</x:v>
      </x:c>
      <x:c r="F1577" t="str">
        <x:v>MID</x:v>
      </x:c>
      <x:c r="G1577" t="str">
        <x:v>DCF_SCREENING_EXCLUSION</x:v>
      </x:c>
      <x:c r="H1577" t="str">
        <x:v>NON_POSITIVE_EQUITY_VALUE</x:v>
      </x:c>
      <x:c r="I1577" s="54" t="n">
        <x:v>44834</x:v>
      </x:c>
      <x:c r="J1577" s="55" t="n">
        <x:v>15600</x:v>
      </x:c>
      <x:c r="K1577" s="55" t="n">
        <x:v>206371869600</x:v>
      </x:c>
      <x:c r="L1577" s="55" t="n">
        <x:v>13228966</x:v>
      </x:c>
      <x:c r="M1577" t="str">
        <x:v>20220322000850</x:v>
      </x:c>
      <x:c r="N1577" t="n">
        <x:v>44642.624999988424</x:v>
      </x:c>
      <x:c r="O1577" s="54" t="n">
        <x:v>44561</x:v>
      </x:c>
      <x:c r="P1577" t="str">
        <x:v>False</x:v>
      </x:c>
      <x:c r="Q1577" t="str">
        <x:v>099bfc1ab82fd79f99a7e0b8f4bec45d890efdd6405d41b5afb4080f2939023f</x:v>
      </x:c>
      <x:c r="R1577" t="str">
        <x:v>d21f6ebac0ac8694a30b566950084bdad44862d5622fb7e5ed9c4d3baf150081</x:v>
      </x:c>
      <x:c r="S1577" t="n">
        <x:v>6</x:v>
      </x:c>
      <x:c r="T1577" t="str">
        <x:v>2018-12-31|2019-12-31|2020-12-31|2021-12-31</x:v>
      </x:c>
      <x:c r="U1577" s="57" t="n">
        <x:v>-11068.169193106498</x:v>
      </x:c>
      <x:c r="V1577" s="57" t="n">
        <x:v>-1.7094980251991345</x:v>
      </x:c>
      <x:c r="W1577"/>
      <x:c r="X1577"/>
      <x:c r="Y1577" s="38" t="n">
        <x:v>0.6409090909090909</x:v>
      </x:c>
      <x:c r="Z1577" s="38" t="n">
        <x:v>0.6790710168575033</x:v>
      </x:c>
      <x:c r="AA1577" t="str">
        <x:v>NON_POSITIVE_EQUITY_VALUE</x:v>
      </x:c>
    </x:row>
    <x:row r="1578">
      <x:c r="A1578" s="54" t="n">
        <x:v>44834</x:v>
      </x:c>
      <x:c r="B1578" t="n">
        <x:v>44834.624999988424</x:v>
      </x:c>
      <x:c r="C1578" t="str">
        <x:v>010690</x:v>
      </x:c>
      <x:c r="D1578" t="str">
        <x:v>화신</x:v>
      </x:c>
      <x:c r="E1578" t="str">
        <x:v>KOSPI</x:v>
      </x:c>
      <x:c r="F1578" t="str">
        <x:v>MID</x:v>
      </x:c>
      <x:c r="G1578" t="str">
        <x:v>DCF_SCREENING_EXCLUSION</x:v>
      </x:c>
      <x:c r="H1578" t="str">
        <x:v>NON_POSITIVE_ENTERPRISE_VALUE|NON_POSITIVE_EQUITY_VALUE|NON_POSITIVE_TERMINAL_FCF</x:v>
      </x:c>
      <x:c r="I1578" s="54" t="n">
        <x:v>44834</x:v>
      </x:c>
      <x:c r="J1578" s="55" t="n">
        <x:v>8370</x:v>
      </x:c>
      <x:c r="K1578" s="55" t="n">
        <x:v>292283831700</x:v>
      </x:c>
      <x:c r="L1578" s="55" t="n">
        <x:v>34920410</x:v>
      </x:c>
      <x:c r="M1578" t="str">
        <x:v>20220321001215</x:v>
      </x:c>
      <x:c r="N1578" t="n">
        <x:v>44641.624999988424</x:v>
      </x:c>
      <x:c r="O1578" s="54" t="n">
        <x:v>44561</x:v>
      </x:c>
      <x:c r="P1578" t="str">
        <x:v>False</x:v>
      </x:c>
      <x:c r="Q1578" t="str">
        <x:v>0cf96cfa209d746266e6c4849aca1a0964cb395d303c35dcb71c75d49ad3383e</x:v>
      </x:c>
      <x:c r="R1578" t="str">
        <x:v>2fa378b86e1d87fdc61a53db9d7a0085fe40cf513bfad4fec6796e17a4c6533a</x:v>
      </x:c>
      <x:c r="S1578" t="n">
        <x:v>6</x:v>
      </x:c>
      <x:c r="T1578" t="str">
        <x:v>2018-12-31|2019-12-31|2020-12-31|2021-12-31</x:v>
      </x:c>
      <x:c r="U1578" s="57" t="n">
        <x:v>-17727.972190762088</x:v>
      </x:c>
      <x:c r="V1578" s="57" t="n">
        <x:v>-3.1180372987768323</x:v>
      </x:c>
      <x:c r="W1578"/>
      <x:c r="X1578"/>
      <x:c r="Y1578" s="38" t="n">
        <x:v>0.6409090909090909</x:v>
      </x:c>
      <x:c r="Z1578" s="38" t="n">
        <x:v>0.7207690520545919</x:v>
      </x:c>
      <x:c r="AA1578" t="str">
        <x:v>NON_POSITIVE_ENTERPRISE_VALUE|NON_POSITIVE_EQUITY_VALUE|NON_POSITIVE_TERMINAL_FCF</x:v>
      </x:c>
    </x:row>
    <x:row r="1579">
      <x:c r="A1579" s="54" t="n">
        <x:v>44834</x:v>
      </x:c>
      <x:c r="B1579" t="n">
        <x:v>44834.624999988424</x:v>
      </x:c>
      <x:c r="C1579" t="str">
        <x:v>029460</x:v>
      </x:c>
      <x:c r="D1579" t="str">
        <x:v>케이씨</x:v>
      </x:c>
      <x:c r="E1579" t="str">
        <x:v>KOSPI</x:v>
      </x:c>
      <x:c r="F1579" t="str">
        <x:v>MID</x:v>
      </x:c>
      <x:c r="G1579" t="str">
        <x:v>ELIGIBLE</x:v>
      </x:c>
      <x:c r="H1579"/>
      <x:c r="I1579" s="54" t="n">
        <x:v>44834</x:v>
      </x:c>
      <x:c r="J1579" s="55" t="n">
        <x:v>14150</x:v>
      </x:c>
      <x:c r="K1579" s="55" t="n">
        <x:v>191789722600</x:v>
      </x:c>
      <x:c r="L1579" s="55" t="n">
        <x:v>13554044</x:v>
      </x:c>
      <x:c r="M1579" t="str">
        <x:v>20220321000938</x:v>
      </x:c>
      <x:c r="N1579" t="n">
        <x:v>44641.624999988424</x:v>
      </x:c>
      <x:c r="O1579" s="54" t="n">
        <x:v>44561</x:v>
      </x:c>
      <x:c r="P1579" t="str">
        <x:v>False</x:v>
      </x:c>
      <x:c r="Q1579" t="str">
        <x:v>7990398da750779e98cdabb4c9eb463b85f1ae129963b0a8a83ccf72f66d7ec9</x:v>
      </x:c>
      <x:c r="R1579" t="str">
        <x:v>b1740a5e137b094c6c4f36ced93b37b4bb1b5ee1193537044d37bf5ed2a57d5c</x:v>
      </x:c>
      <x:c r="S1579" t="n">
        <x:v>7</x:v>
      </x:c>
      <x:c r="T1579" t="str">
        <x:v>2018-12-31|2019-12-31|2020-12-31|2021-12-31</x:v>
      </x:c>
      <x:c r="U1579" s="57" t="n">
        <x:v>38835.80598528565</x:v>
      </x:c>
      <x:c r="V1579" s="57" t="n">
        <x:v>1.7445799282887386</x:v>
      </x:c>
      <x:c r="W1579" t="n">
        <x:v>7</x:v>
      </x:c>
      <x:c r="X1579" t="n">
        <x:v>1</x:v>
      </x:c>
      <x:c r="Y1579" s="38" t="n">
        <x:v>0.6409090909090909</x:v>
      </x:c>
      <x:c r="Z1579" s="38" t="n">
        <x:v>0.6797227260709177</x:v>
      </x:c>
      <x:c r="AA1579"/>
    </x:row>
    <x:row r="1580">
      <x:c r="A1580" s="54" t="n">
        <x:v>44834</x:v>
      </x:c>
      <x:c r="B1580" t="n">
        <x:v>44834.624999988424</x:v>
      </x:c>
      <x:c r="C1580" t="str">
        <x:v>122900</x:v>
      </x:c>
      <x:c r="D1580" t="str">
        <x:v>아이마켓코리아</x:v>
      </x:c>
      <x:c r="E1580" t="str">
        <x:v>KOSPI</x:v>
      </x:c>
      <x:c r="F1580" t="str">
        <x:v>MID</x:v>
      </x:c>
      <x:c r="G1580" t="str">
        <x:v>ELIGIBLE</x:v>
      </x:c>
      <x:c r="H1580"/>
      <x:c r="I1580" s="54" t="n">
        <x:v>44834</x:v>
      </x:c>
      <x:c r="J1580" s="55" t="n">
        <x:v>10400</x:v>
      </x:c>
      <x:c r="K1580" s="55" t="n">
        <x:v>347659936000</x:v>
      </x:c>
      <x:c r="L1580" s="55" t="n">
        <x:v>33428840</x:v>
      </x:c>
      <x:c r="M1580" t="str">
        <x:v>20220322000751</x:v>
      </x:c>
      <x:c r="N1580" t="n">
        <x:v>44642.624999988424</x:v>
      </x:c>
      <x:c r="O1580" s="54" t="n">
        <x:v>44561</x:v>
      </x:c>
      <x:c r="P1580" t="str">
        <x:v>False</x:v>
      </x:c>
      <x:c r="Q1580" t="str">
        <x:v>b259e827b070061f4ae50eecae5c99d0628008976e645d93bfa331cd61be8f30</x:v>
      </x:c>
      <x:c r="R1580" t="str">
        <x:v>23ab80e21333384a7c38b881259a6c4d6a7539fa6909c5eccf1aaca52c0581df</x:v>
      </x:c>
      <x:c r="S1580" t="n">
        <x:v>7</x:v>
      </x:c>
      <x:c r="T1580" t="str">
        <x:v>2018-12-31|2019-12-31|2020-12-31|2021-12-31</x:v>
      </x:c>
      <x:c r="U1580" s="57" t="n">
        <x:v>7621.586787115335</x:v>
      </x:c>
      <x:c r="V1580" s="57" t="n">
        <x:v>-0.26715511662352553</x:v>
      </x:c>
      <x:c r="W1580" t="n">
        <x:v>35</x:v>
      </x:c>
      <x:c r="X1580" t="n">
        <x:v>3</x:v>
      </x:c>
      <x:c r="Y1580" s="38" t="n">
        <x:v>0.6409090909090909</x:v>
      </x:c>
      <x:c r="Z1580" s="38" t="n">
        <x:v>0.6654434098575983</x:v>
      </x:c>
      <x:c r="AA1580"/>
    </x:row>
    <x:row r="1581">
      <x:c r="A1581" s="54" t="n">
        <x:v>44834</x:v>
      </x:c>
      <x:c r="B1581" t="n">
        <x:v>44834.624999988424</x:v>
      </x:c>
      <x:c r="C1581" t="str">
        <x:v>001820</x:v>
      </x:c>
      <x:c r="D1581" t="str">
        <x:v>삼화콘덴서</x:v>
      </x:c>
      <x:c r="E1581" t="str">
        <x:v>KOSPI</x:v>
      </x:c>
      <x:c r="F1581" t="str">
        <x:v>MID</x:v>
      </x:c>
      <x:c r="G1581" t="str">
        <x:v>ELIGIBLE</x:v>
      </x:c>
      <x:c r="H1581"/>
      <x:c r="I1581" s="54" t="n">
        <x:v>44834</x:v>
      </x:c>
      <x:c r="J1581" s="55" t="n">
        <x:v>30250</x:v>
      </x:c>
      <x:c r="K1581" s="55" t="n">
        <x:v>314448750000</x:v>
      </x:c>
      <x:c r="L1581" s="55" t="n">
        <x:v>10395000</x:v>
      </x:c>
      <x:c r="M1581" t="str">
        <x:v>20220317000863</x:v>
      </x:c>
      <x:c r="N1581" t="n">
        <x:v>44637.624999988424</x:v>
      </x:c>
      <x:c r="O1581" s="54" t="n">
        <x:v>44561</x:v>
      </x:c>
      <x:c r="P1581" t="str">
        <x:v>False</x:v>
      </x:c>
      <x:c r="Q1581" t="str">
        <x:v>41d4c3f670049ce822e3e8797ac27f2bb7d6cc9f1154c4d75ff3d0f432b9f08e</x:v>
      </x:c>
      <x:c r="R1581" t="str">
        <x:v>f586c4b9742e8353ab8dd3b80dc35df23281949a6aaa5e4d28a26d535935c7b7</x:v>
      </x:c>
      <x:c r="S1581" t="n">
        <x:v>6</x:v>
      </x:c>
      <x:c r="T1581" t="str">
        <x:v>2018-12-31|2019-12-31|2020-12-31|2021-12-31</x:v>
      </x:c>
      <x:c r="U1581" s="57" t="n">
        <x:v>22632.273036284816</x:v>
      </x:c>
      <x:c r="V1581" s="57" t="n">
        <x:v>-0.2518256847509151</x:v>
      </x:c>
      <x:c r="W1581" t="n">
        <x:v>34</x:v>
      </x:c>
      <x:c r="X1581" t="n">
        <x:v>3</x:v>
      </x:c>
      <x:c r="Y1581" s="38" t="n">
        <x:v>0.6409090909090909</x:v>
      </x:c>
      <x:c r="Z1581" s="38" t="n">
        <x:v>0.6670606110582535</x:v>
      </x:c>
      <x:c r="AA1581"/>
    </x:row>
    <x:row r="1582">
      <x:c r="A1582" s="54" t="n">
        <x:v>44834</x:v>
      </x:c>
      <x:c r="B1582" t="n">
        <x:v>44834.624999988424</x:v>
      </x:c>
      <x:c r="C1582" t="str">
        <x:v>001790</x:v>
      </x:c>
      <x:c r="D1582" t="str">
        <x:v>대한제당</x:v>
      </x:c>
      <x:c r="E1582" t="str">
        <x:v>KOSPI</x:v>
      </x:c>
      <x:c r="F1582" t="str">
        <x:v>MID</x:v>
      </x:c>
      <x:c r="G1582" t="str">
        <x:v>ELIGIBLE</x:v>
      </x:c>
      <x:c r="H1582"/>
      <x:c r="I1582" s="54" t="n">
        <x:v>44834</x:v>
      </x:c>
      <x:c r="J1582" s="55" t="n">
        <x:v>2585</x:v>
      </x:c>
      <x:c r="K1582" s="55" t="n">
        <x:v>231865659300</x:v>
      </x:c>
      <x:c r="L1582" s="55" t="n">
        <x:v>89696580</x:v>
      </x:c>
      <x:c r="M1582" t="str">
        <x:v>20220317000728</x:v>
      </x:c>
      <x:c r="N1582" t="n">
        <x:v>44637.624999988424</x:v>
      </x:c>
      <x:c r="O1582" s="54" t="n">
        <x:v>44561</x:v>
      </x:c>
      <x:c r="P1582" t="str">
        <x:v>False</x:v>
      </x:c>
      <x:c r="Q1582" t="str">
        <x:v>fcdc3a13ee9dd76aa9798177cec4b35a242d11208fba1d39d433983586abd3cf</x:v>
      </x:c>
      <x:c r="R1582" t="str">
        <x:v>384750aef1f962d54928ed7d80660330c0c7c0a0df14c2fb3ecaa31c8ffaff09</x:v>
      </x:c>
      <x:c r="S1582" t="n">
        <x:v>6</x:v>
      </x:c>
      <x:c r="T1582" t="str">
        <x:v>2018-12-31|2019-12-31|2020-12-31|2021-12-31</x:v>
      </x:c>
      <x:c r="U1582" s="57" t="n">
        <x:v>1193.117638754748</x:v>
      </x:c>
      <x:c r="V1582" s="57" t="n">
        <x:v>-0.5384457877157648</x:v>
      </x:c>
      <x:c r="W1582" t="n">
        <x:v>49</x:v>
      </x:c>
      <x:c r="X1582" t="n">
        <x:v>4</x:v>
      </x:c>
      <x:c r="Y1582" s="38" t="n">
        <x:v>0.6409090909090909</x:v>
      </x:c>
      <x:c r="Z1582" s="38" t="n">
        <x:v>0.6304165082883136</x:v>
      </x:c>
      <x:c r="AA1582"/>
    </x:row>
    <x:row r="1583">
      <x:c r="A1583" s="54" t="n">
        <x:v>44834</x:v>
      </x:c>
      <x:c r="B1583" t="n">
        <x:v>44834.624999988424</x:v>
      </x:c>
      <x:c r="C1583" t="str">
        <x:v>001340</x:v>
      </x:c>
      <x:c r="D1583" t="str">
        <x:v>PKC</x:v>
      </x:c>
      <x:c r="E1583" t="str">
        <x:v>KOSPI</x:v>
      </x:c>
      <x:c r="F1583" t="str">
        <x:v>MID</x:v>
      </x:c>
      <x:c r="G1583" t="str">
        <x:v>DCF_SCREENING_EXCLUSION</x:v>
      </x:c>
      <x:c r="H1583" t="str">
        <x:v>NON_POSITIVE_EQUITY_VALUE</x:v>
      </x:c>
      <x:c r="I1583" s="54" t="n">
        <x:v>44834</x:v>
      </x:c>
      <x:c r="J1583" s="55" t="n">
        <x:v>4015</x:v>
      </x:c>
      <x:c r="K1583" s="55" t="n">
        <x:v>180347404105</x:v>
      </x:c>
      <x:c r="L1583" s="55" t="n">
        <x:v>44918407</x:v>
      </x:c>
      <x:c r="M1583" t="str">
        <x:v>20220316000411</x:v>
      </x:c>
      <x:c r="N1583" t="n">
        <x:v>44636.624999988424</x:v>
      </x:c>
      <x:c r="O1583" s="54" t="n">
        <x:v>44561</x:v>
      </x:c>
      <x:c r="P1583" t="str">
        <x:v>False</x:v>
      </x:c>
      <x:c r="Q1583" t="str">
        <x:v>c50eabab0b5ec29ee023ad61d21d4413c1e9c5ab7bd8de1e1630c201325cd207</x:v>
      </x:c>
      <x:c r="R1583" t="str">
        <x:v>82e32e558df84cf48ba41bcba8c2452f77ee1041cd1bf1e4acf99011782c8082</x:v>
      </x:c>
      <x:c r="S1583" t="n">
        <x:v>6</x:v>
      </x:c>
      <x:c r="T1583" t="str">
        <x:v>2016-12-31|2017-12-31|2018-12-31|2019-12-31|2020-12-31|2021-12-31</x:v>
      </x:c>
      <x:c r="U1583" s="57" t="n">
        <x:v>-539.5628118252989</x:v>
      </x:c>
      <x:c r="V1583" s="57" t="n">
        <x:v>-1.1343867526339475</x:v>
      </x:c>
      <x:c r="W1583"/>
      <x:c r="X1583"/>
      <x:c r="Y1583" s="38" t="n">
        <x:v>0.6409090909090909</x:v>
      </x:c>
      <x:c r="Z1583" s="38" t="n">
        <x:v>0.6348909598465705</x:v>
      </x:c>
      <x:c r="AA1583" t="str">
        <x:v>NON_POSITIVE_EQUITY_VALUE</x:v>
      </x:c>
    </x:row>
    <x:row r="1584">
      <x:c r="A1584" s="54" t="n">
        <x:v>44834</x:v>
      </x:c>
      <x:c r="B1584" t="n">
        <x:v>44834.624999988424</x:v>
      </x:c>
      <x:c r="C1584" t="str">
        <x:v>096760</x:v>
      </x:c>
      <x:c r="D1584" t="str">
        <x:v>JW홀딩스</x:v>
      </x:c>
      <x:c r="E1584" t="str">
        <x:v>KOSPI</x:v>
      </x:c>
      <x:c r="F1584" t="str">
        <x:v>MID</x:v>
      </x:c>
      <x:c r="G1584" t="str">
        <x:v>EXCLUDED_ARCHETYPE</x:v>
      </x:c>
      <x:c r="H1584" t="str">
        <x:v>FCFF_NOT_COMPARABLE_FOR_FINANCE_OR_HOLDING_HINT</x:v>
      </x:c>
      <x:c r="I1584" s="54"/>
      <x:c r="J1584" s="55"/>
      <x:c r="K1584" s="55"/>
      <x:c r="L1584" s="55"/>
      <x:c r="M1584"/>
      <x:c r="N1584"/>
      <x:c r="O1584" s="54"/>
      <x:c r="P1584"/>
      <x:c r="Q1584"/>
      <x:c r="R1584"/>
      <x:c r="S1584"/>
      <x:c r="T1584"/>
      <x:c r="U1584" s="57"/>
      <x:c r="V1584" s="57"/>
      <x:c r="W1584"/>
      <x:c r="X1584"/>
      <x:c r="Y1584" s="38"/>
      <x:c r="Z1584" s="38"/>
      <x:c r="AA1584"/>
    </x:row>
    <x:row r="1585">
      <x:c r="A1585" s="54" t="n">
        <x:v>44834</x:v>
      </x:c>
      <x:c r="B1585" t="n">
        <x:v>44834.624999988424</x:v>
      </x:c>
      <x:c r="C1585" t="str">
        <x:v>005010</x:v>
      </x:c>
      <x:c r="D1585" t="str">
        <x:v>휴스틸</x:v>
      </x:c>
      <x:c r="E1585" t="str">
        <x:v>KOSPI</x:v>
      </x:c>
      <x:c r="F1585" t="str">
        <x:v>MID</x:v>
      </x:c>
      <x:c r="G1585" t="str">
        <x:v>ELIGIBLE</x:v>
      </x:c>
      <x:c r="H1585"/>
      <x:c r="I1585" s="54" t="n">
        <x:v>44834</x:v>
      </x:c>
      <x:c r="J1585" s="55" t="n">
        <x:v>5820</x:v>
      </x:c>
      <x:c r="K1585" s="55" t="n">
        <x:v>228074596500</x:v>
      </x:c>
      <x:c r="L1585" s="55" t="n">
        <x:v>39188075</x:v>
      </x:c>
      <x:c r="M1585" t="str">
        <x:v>20220323001079</x:v>
      </x:c>
      <x:c r="N1585" t="n">
        <x:v>44643.624999988424</x:v>
      </x:c>
      <x:c r="O1585" s="54" t="n">
        <x:v>44561</x:v>
      </x:c>
      <x:c r="P1585" t="str">
        <x:v>False</x:v>
      </x:c>
      <x:c r="Q1585" t="str">
        <x:v>945051d840ca3edc9dac918a4058a8d2dbd8221edb5a3c5af970da22dbd89b76</x:v>
      </x:c>
      <x:c r="R1585" t="str">
        <x:v>e86ec943c7105178fb1f56724e90afbd76738b2e2ad9f0cb278b8f61015b7138</x:v>
      </x:c>
      <x:c r="S1585" t="n">
        <x:v>7</x:v>
      </x:c>
      <x:c r="T1585" t="str">
        <x:v>2018-12-31|2019-12-31|2020-12-31|2021-12-31</x:v>
      </x:c>
      <x:c r="U1585" s="57" t="n">
        <x:v>3623.0027240737445</x:v>
      </x:c>
      <x:c r="V1585" s="57" t="n">
        <x:v>-0.37749094088079993</x:v>
      </x:c>
      <x:c r="W1585" t="n">
        <x:v>39</x:v>
      </x:c>
      <x:c r="X1585" t="n">
        <x:v>3</x:v>
      </x:c>
      <x:c r="Y1585" s="38" t="n">
        <x:v>0.6409090909090909</x:v>
      </x:c>
      <x:c r="Z1585" s="38" t="n">
        <x:v>0.33371724080942344</x:v>
      </x:c>
      <x:c r="AA1585"/>
    </x:row>
    <x:row r="1586">
      <x:c r="A1586" s="54" t="n">
        <x:v>44834</x:v>
      </x:c>
      <x:c r="B1586" t="n">
        <x:v>44834.624999988424</x:v>
      </x:c>
      <x:c r="C1586" t="str">
        <x:v>001630</x:v>
      </x:c>
      <x:c r="D1586" t="str">
        <x:v>종근당홀딩스</x:v>
      </x:c>
      <x:c r="E1586" t="str">
        <x:v>KOSPI</x:v>
      </x:c>
      <x:c r="F1586" t="str">
        <x:v>MID</x:v>
      </x:c>
      <x:c r="G1586" t="str">
        <x:v>EXCLUDED_ARCHETYPE</x:v>
      </x:c>
      <x:c r="H1586" t="str">
        <x:v>FCFF_NOT_COMPARABLE_FOR_FINANCE_OR_HOLDING_HINT</x:v>
      </x:c>
      <x:c r="I1586" s="54"/>
      <x:c r="J1586" s="55"/>
      <x:c r="K1586" s="55"/>
      <x:c r="L1586" s="55"/>
      <x:c r="M1586"/>
      <x:c r="N1586"/>
      <x:c r="O1586" s="54"/>
      <x:c r="P1586"/>
      <x:c r="Q1586"/>
      <x:c r="R1586"/>
      <x:c r="S1586"/>
      <x:c r="T1586"/>
      <x:c r="U1586" s="57"/>
      <x:c r="V1586" s="57"/>
      <x:c r="W1586"/>
      <x:c r="X1586"/>
      <x:c r="Y1586" s="38"/>
      <x:c r="Z1586" s="38"/>
      <x:c r="AA1586"/>
    </x:row>
    <x:row r="1587">
      <x:c r="A1587" s="54" t="n">
        <x:v>44834</x:v>
      </x:c>
      <x:c r="B1587" t="n">
        <x:v>44834.624999988424</x:v>
      </x:c>
      <x:c r="C1587" t="str">
        <x:v>005680</x:v>
      </x:c>
      <x:c r="D1587" t="str">
        <x:v>삼영전자</x:v>
      </x:c>
      <x:c r="E1587" t="str">
        <x:v>KOSPI</x:v>
      </x:c>
      <x:c r="F1587" t="str">
        <x:v>MID</x:v>
      </x:c>
      <x:c r="G1587" t="str">
        <x:v>ELIGIBLE</x:v>
      </x:c>
      <x:c r="H1587"/>
      <x:c r="I1587" s="54" t="n">
        <x:v>44834</x:v>
      </x:c>
      <x:c r="J1587" s="55" t="n">
        <x:v>9390</x:v>
      </x:c>
      <x:c r="K1587" s="55" t="n">
        <x:v>187800000000</x:v>
      </x:c>
      <x:c r="L1587" s="55" t="n">
        <x:v>20000000</x:v>
      </x:c>
      <x:c r="M1587" t="str">
        <x:v>20220310001191</x:v>
      </x:c>
      <x:c r="N1587" t="n">
        <x:v>44630.624999988424</x:v>
      </x:c>
      <x:c r="O1587" s="54" t="n">
        <x:v>44561</x:v>
      </x:c>
      <x:c r="P1587" t="str">
        <x:v>False</x:v>
      </x:c>
      <x:c r="Q1587" t="str">
        <x:v>7bde21400f9091b9d1afc58a9981e9ed312b08fc1962b509c3c6978778d15175</x:v>
      </x:c>
      <x:c r="R1587" t="str">
        <x:v>cd5bd6578495a21e28c14ed9349ea3c6c56d60ceaaf40a3a073db8a22f485c4a</x:v>
      </x:c>
      <x:c r="S1587" t="n">
        <x:v>6</x:v>
      </x:c>
      <x:c r="T1587" t="str">
        <x:v>2018-12-31|2019-12-31|2020-12-31|2021-12-31</x:v>
      </x:c>
      <x:c r="U1587" s="57" t="n">
        <x:v>5134.734268963097</x:v>
      </x:c>
      <x:c r="V1587" s="57" t="n">
        <x:v>-0.4531699394075509</x:v>
      </x:c>
      <x:c r="W1587" t="n">
        <x:v>43</x:v>
      </x:c>
      <x:c r="X1587" t="n">
        <x:v>4</x:v>
      </x:c>
      <x:c r="Y1587" s="38" t="n">
        <x:v>0.6409090909090909</x:v>
      </x:c>
      <x:c r="Z1587" s="38" t="n">
        <x:v>0.5881027523780626</x:v>
      </x:c>
      <x:c r="AA1587"/>
    </x:row>
    <x:row r="1588">
      <x:c r="A1588" s="54" t="n">
        <x:v>44834</x:v>
      </x:c>
      <x:c r="B1588" t="n">
        <x:v>44834.624999988424</x:v>
      </x:c>
      <x:c r="C1588" t="str">
        <x:v>028100</x:v>
      </x:c>
      <x:c r="D1588" t="str">
        <x:v>동아지질</x:v>
      </x:c>
      <x:c r="E1588" t="str">
        <x:v>KOSPI</x:v>
      </x:c>
      <x:c r="F1588" t="str">
        <x:v>MID</x:v>
      </x:c>
      <x:c r="G1588" t="str">
        <x:v>ELIGIBLE</x:v>
      </x:c>
      <x:c r="H1588"/>
      <x:c r="I1588" s="54" t="n">
        <x:v>44834</x:v>
      </x:c>
      <x:c r="J1588" s="55" t="n">
        <x:v>13400</x:v>
      </x:c>
      <x:c r="K1588" s="55" t="n">
        <x:v>188305456400</x:v>
      </x:c>
      <x:c r="L1588" s="55" t="n">
        <x:v>14052646</x:v>
      </x:c>
      <x:c r="M1588" t="str">
        <x:v>20220315001251</x:v>
      </x:c>
      <x:c r="N1588" t="n">
        <x:v>44635.624999988424</x:v>
      </x:c>
      <x:c r="O1588" s="54" t="n">
        <x:v>44561</x:v>
      </x:c>
      <x:c r="P1588" t="str">
        <x:v>False</x:v>
      </x:c>
      <x:c r="Q1588" t="str">
        <x:v>0ef7bdc2b69cc7308dfffeeae10d7ff81e874f024016366d07d7bf5e6a5733a9</x:v>
      </x:c>
      <x:c r="R1588" t="str">
        <x:v>f3fed0f2b8f0b5e45a61eebe2665ed1a3e1e29b033817c4db2f8095fa5398038</x:v>
      </x:c>
      <x:c r="S1588" t="n">
        <x:v>7</x:v>
      </x:c>
      <x:c r="T1588" t="str">
        <x:v>2018-12-31|2019-12-31|2020-12-31|2021-12-31</x:v>
      </x:c>
      <x:c r="U1588" s="57" t="n">
        <x:v>7574.5375060645765</x:v>
      </x:c>
      <x:c r="V1588" s="57" t="n">
        <x:v>-0.43473600701010623</x:v>
      </x:c>
      <x:c r="W1588" t="n">
        <x:v>42</x:v>
      </x:c>
      <x:c r="X1588" t="n">
        <x:v>4</x:v>
      </x:c>
      <x:c r="Y1588" s="38" t="n">
        <x:v>0.6409090909090909</x:v>
      </x:c>
      <x:c r="Z1588" s="38" t="n">
        <x:v>0.7841782203292177</x:v>
      </x:c>
      <x:c r="AA1588"/>
    </x:row>
    <x:row r="1589">
      <x:c r="A1589" s="54" t="n">
        <x:v>44834</x:v>
      </x:c>
      <x:c r="B1589" t="n">
        <x:v>44834.624999988424</x:v>
      </x:c>
      <x:c r="C1589" t="str">
        <x:v>001750</x:v>
      </x:c>
      <x:c r="D1589" t="str">
        <x:v>한양증권</x:v>
      </x:c>
      <x:c r="E1589" t="str">
        <x:v>KOSPI</x:v>
      </x:c>
      <x:c r="F1589" t="str">
        <x:v>MID</x:v>
      </x:c>
      <x:c r="G1589" t="str">
        <x:v>EXCLUDED_ARCHETYPE</x:v>
      </x:c>
      <x:c r="H1589" t="str">
        <x:v>FCFF_NOT_COMPARABLE_FOR_FINANCE_OR_HOLDING_HINT</x:v>
      </x:c>
      <x:c r="I1589" s="54"/>
      <x:c r="J1589" s="55"/>
      <x:c r="K1589" s="55"/>
      <x:c r="L1589" s="55"/>
      <x:c r="M1589"/>
      <x:c r="N1589"/>
      <x:c r="O1589" s="54"/>
      <x:c r="P1589"/>
      <x:c r="Q1589"/>
      <x:c r="R1589"/>
      <x:c r="S1589"/>
      <x:c r="T1589"/>
      <x:c r="U1589" s="57"/>
      <x:c r="V1589" s="57"/>
      <x:c r="W1589"/>
      <x:c r="X1589"/>
      <x:c r="Y1589" s="38"/>
      <x:c r="Z1589" s="38"/>
      <x:c r="AA1589"/>
    </x:row>
    <x:row r="1590">
      <x:c r="A1590" s="54" t="n">
        <x:v>44834</x:v>
      </x:c>
      <x:c r="B1590" t="n">
        <x:v>44834.624999988424</x:v>
      </x:c>
      <x:c r="C1590" t="str">
        <x:v>102460</x:v>
      </x:c>
      <x:c r="D1590" t="str">
        <x:v>이연제약</x:v>
      </x:c>
      <x:c r="E1590" t="str">
        <x:v>KOSPI</x:v>
      </x:c>
      <x:c r="F1590" t="str">
        <x:v>MID</x:v>
      </x:c>
      <x:c r="G1590" t="str">
        <x:v>ELIGIBLE</x:v>
      </x:c>
      <x:c r="H1590"/>
      <x:c r="I1590" s="54" t="n">
        <x:v>44834</x:v>
      </x:c>
      <x:c r="J1590" s="55" t="n">
        <x:v>19150</x:v>
      </x:c>
      <x:c r="K1590" s="55" t="n">
        <x:v>344672749550</x:v>
      </x:c>
      <x:c r="L1590" s="55" t="n">
        <x:v>17998577</x:v>
      </x:c>
      <x:c r="M1590" t="str">
        <x:v>20220322000922</x:v>
      </x:c>
      <x:c r="N1590" t="n">
        <x:v>44642.624999988424</x:v>
      </x:c>
      <x:c r="O1590" s="54" t="n">
        <x:v>44561</x:v>
      </x:c>
      <x:c r="P1590" t="str">
        <x:v>False</x:v>
      </x:c>
      <x:c r="Q1590" t="str">
        <x:v>b45ea7a82754f8f5b4af4a81987f009a90ea14f20b45b9194a834b785983ef7c</x:v>
      </x:c>
      <x:c r="R1590" t="str">
        <x:v>6700a022cf30d3ef006448b0f2c3129224598050b6ec6f44f22905556baddd71</x:v>
      </x:c>
      <x:c r="S1590" t="n">
        <x:v>4</x:v>
      </x:c>
      <x:c r="T1590" t="str">
        <x:v>2018-12-31|2019-12-31|2020-12-31|2021-12-31</x:v>
      </x:c>
      <x:c r="U1590" s="57" t="n">
        <x:v>4614.415679788735</x:v>
      </x:c>
      <x:c r="V1590" s="57" t="n">
        <x:v>-0.7590383457029382</x:v>
      </x:c>
      <x:c r="W1590" t="n">
        <x:v>56</x:v>
      </x:c>
      <x:c r="X1590" t="n">
        <x:v>5</x:v>
      </x:c>
      <x:c r="Y1590" s="38" t="n">
        <x:v>0.6409090909090909</x:v>
      </x:c>
      <x:c r="Z1590" s="38" t="n">
        <x:v>0.8011386169947403</x:v>
      </x:c>
      <x:c r="AA1590"/>
    </x:row>
    <x:row r="1591">
      <x:c r="A1591" s="54" t="n">
        <x:v>44834</x:v>
      </x:c>
      <x:c r="B1591" t="n">
        <x:v>44834.624999988424</x:v>
      </x:c>
      <x:c r="C1591" t="str">
        <x:v>053690</x:v>
      </x:c>
      <x:c r="D1591" t="str">
        <x:v>한미글로벌</x:v>
      </x:c>
      <x:c r="E1591" t="str">
        <x:v>KOSPI</x:v>
      </x:c>
      <x:c r="F1591" t="str">
        <x:v>MID</x:v>
      </x:c>
      <x:c r="G1591" t="str">
        <x:v>ELIGIBLE</x:v>
      </x:c>
      <x:c r="H1591"/>
      <x:c r="I1591" s="54" t="n">
        <x:v>44834</x:v>
      </x:c>
      <x:c r="J1591" s="55" t="n">
        <x:v>21300</x:v>
      </x:c>
      <x:c r="K1591" s="55" t="n">
        <x:v>233395815000</x:v>
      </x:c>
      <x:c r="L1591" s="55" t="n">
        <x:v>10957550</x:v>
      </x:c>
      <x:c r="M1591" t="str">
        <x:v>20220816000695</x:v>
      </x:c>
      <x:c r="N1591" t="n">
        <x:v>44789.624999988424</x:v>
      </x:c>
      <x:c r="O1591" s="54" t="n">
        <x:v>44561</x:v>
      </x:c>
      <x:c r="P1591" t="str">
        <x:v>True</x:v>
      </x:c>
      <x:c r="Q1591" t="str">
        <x:v>8a7b91aca7b5423a2966fe0f91b80455a4157435318ebc30793c12c3dc837ae2</x:v>
      </x:c>
      <x:c r="R1591" t="str">
        <x:v>da375cc1dbb1d1dd146786ed92913f186a41b10b9bb7aceddc540a2e3b12b0f4</x:v>
      </x:c>
      <x:c r="S1591" t="n">
        <x:v>6</x:v>
      </x:c>
      <x:c r="T1591" t="str">
        <x:v>2018-12-31|2019-12-31|2020-12-31|2021-12-31</x:v>
      </x:c>
      <x:c r="U1591" s="57" t="n">
        <x:v>19774.17782610372</x:v>
      </x:c>
      <x:c r="V1591" s="57" t="n">
        <x:v>-0.07163484384489568</x:v>
      </x:c>
      <x:c r="W1591" t="n">
        <x:v>25</x:v>
      </x:c>
      <x:c r="X1591" t="n">
        <x:v>2</x:v>
      </x:c>
      <x:c r="Y1591" s="38" t="n">
        <x:v>0.6409090909090909</x:v>
      </x:c>
      <x:c r="Z1591" s="38" t="n">
        <x:v>0.6833165297703682</x:v>
      </x:c>
      <x:c r="AA1591"/>
    </x:row>
    <x:row r="1592">
      <x:c r="A1592" s="54" t="n">
        <x:v>44834</x:v>
      </x:c>
      <x:c r="B1592" t="n">
        <x:v>44834.624999988424</x:v>
      </x:c>
      <x:c r="C1592" t="str">
        <x:v>213500</x:v>
      </x:c>
      <x:c r="D1592" t="str">
        <x:v>한솔제지</x:v>
      </x:c>
      <x:c r="E1592" t="str">
        <x:v>KOSPI</x:v>
      </x:c>
      <x:c r="F1592" t="str">
        <x:v>MID</x:v>
      </x:c>
      <x:c r="G1592" t="str">
        <x:v>ELIGIBLE</x:v>
      </x:c>
      <x:c r="H1592"/>
      <x:c r="I1592" s="54" t="n">
        <x:v>44834</x:v>
      </x:c>
      <x:c r="J1592" s="55" t="n">
        <x:v>15000</x:v>
      </x:c>
      <x:c r="K1592" s="55" t="n">
        <x:v>357008640000</x:v>
      </x:c>
      <x:c r="L1592" s="55" t="n">
        <x:v>23800576</x:v>
      </x:c>
      <x:c r="M1592" t="str">
        <x:v>20220315001234</x:v>
      </x:c>
      <x:c r="N1592" t="n">
        <x:v>44635.624999988424</x:v>
      </x:c>
      <x:c r="O1592" s="54" t="n">
        <x:v>44561</x:v>
      </x:c>
      <x:c r="P1592" t="str">
        <x:v>False</x:v>
      </x:c>
      <x:c r="Q1592" t="str">
        <x:v>afe287d5f0f93c98221a065a8ee480258d597b2bf6acca15421809ee674ef84a</x:v>
      </x:c>
      <x:c r="R1592" t="str">
        <x:v>26e87a2c105e49e33d901563ab4a31b95d090c9f5281b76e2311feb43f9e138a</x:v>
      </x:c>
      <x:c r="S1592" t="n">
        <x:v>6</x:v>
      </x:c>
      <x:c r="T1592" t="str">
        <x:v>2018-12-31|2019-12-31|2020-12-31|2021-12-31</x:v>
      </x:c>
      <x:c r="U1592" s="57" t="n">
        <x:v>13574.502606796379</x:v>
      </x:c>
      <x:c r="V1592" s="57" t="n">
        <x:v>-0.09503315954690811</x:v>
      </x:c>
      <x:c r="W1592" t="n">
        <x:v>26</x:v>
      </x:c>
      <x:c r="X1592" t="n">
        <x:v>2</x:v>
      </x:c>
      <x:c r="Y1592" s="38" t="n">
        <x:v>0.6409090909090909</x:v>
      </x:c>
      <x:c r="Z1592" s="38" t="n">
        <x:v>0.7791505392550995</x:v>
      </x:c>
      <x:c r="AA1592"/>
    </x:row>
    <x:row r="1593">
      <x:c r="A1593" s="54" t="n">
        <x:v>44834</x:v>
      </x:c>
      <x:c r="B1593" t="n">
        <x:v>44834.624999988424</x:v>
      </x:c>
      <x:c r="C1593" t="str">
        <x:v>005430</x:v>
      </x:c>
      <x:c r="D1593" t="str">
        <x:v>한국공항</x:v>
      </x:c>
      <x:c r="E1593" t="str">
        <x:v>KOSPI</x:v>
      </x:c>
      <x:c r="F1593" t="str">
        <x:v>MID</x:v>
      </x:c>
      <x:c r="G1593" t="str">
        <x:v>ELIGIBLE</x:v>
      </x:c>
      <x:c r="H1593"/>
      <x:c r="I1593" s="54" t="n">
        <x:v>44834</x:v>
      </x:c>
      <x:c r="J1593" s="55" t="n">
        <x:v>36550</x:v>
      </x:c>
      <x:c r="K1593" s="55" t="n">
        <x:v>115730275250</x:v>
      </x:c>
      <x:c r="L1593" s="55" t="n">
        <x:v>3166355</x:v>
      </x:c>
      <x:c r="M1593" t="str">
        <x:v>20220315001111</x:v>
      </x:c>
      <x:c r="N1593" t="n">
        <x:v>44635.624999988424</x:v>
      </x:c>
      <x:c r="O1593" s="54" t="n">
        <x:v>44561</x:v>
      </x:c>
      <x:c r="P1593" t="str">
        <x:v>False</x:v>
      </x:c>
      <x:c r="Q1593" t="str">
        <x:v>eddd391d8ced6decbf06d7a0a762609a13efea282c2a696d1b028890b1c580f1</x:v>
      </x:c>
      <x:c r="R1593" t="str">
        <x:v>52627e6dde84c85b4630d13366475d7c946cc072f50d725aea58844899cd5c84</x:v>
      </x:c>
      <x:c r="S1593" t="n">
        <x:v>7</x:v>
      </x:c>
      <x:c r="T1593" t="str">
        <x:v>2018-12-31|2019-12-31|2020-12-31|2021-12-31</x:v>
      </x:c>
      <x:c r="U1593" s="57" t="n">
        <x:v>58170.54373799912</x:v>
      </x:c>
      <x:c r="V1593" s="57" t="n">
        <x:v>0.5915333444049008</x:v>
      </x:c>
      <x:c r="W1593" t="n">
        <x:v>11</x:v>
      </x:c>
      <x:c r="X1593" t="n">
        <x:v>1</x:v>
      </x:c>
      <x:c r="Y1593" s="38" t="n">
        <x:v>0.6409090909090909</x:v>
      </x:c>
      <x:c r="Z1593" s="38" t="n">
        <x:v>0.7506799838267476</x:v>
      </x:c>
      <x:c r="AA1593"/>
    </x:row>
    <x:row r="1594">
      <x:c r="A1594" s="54" t="n">
        <x:v>44834</x:v>
      </x:c>
      <x:c r="B1594" t="n">
        <x:v>44834.624999988424</x:v>
      </x:c>
      <x:c r="C1594" t="str">
        <x:v>003460</x:v>
      </x:c>
      <x:c r="D1594" t="str">
        <x:v>유화증권</x:v>
      </x:c>
      <x:c r="E1594" t="str">
        <x:v>KOSPI</x:v>
      </x:c>
      <x:c r="F1594" t="str">
        <x:v>MID</x:v>
      </x:c>
      <x:c r="G1594" t="str">
        <x:v>EXCLUDED_ARCHETYPE</x:v>
      </x:c>
      <x:c r="H1594" t="str">
        <x:v>FCFF_NOT_COMPARABLE_FOR_FINANCE_OR_HOLDING_HINT</x:v>
      </x:c>
      <x:c r="I1594" s="54"/>
      <x:c r="J1594" s="55"/>
      <x:c r="K1594" s="55"/>
      <x:c r="L1594" s="55"/>
      <x:c r="M1594"/>
      <x:c r="N1594"/>
      <x:c r="O1594" s="54"/>
      <x:c r="P1594"/>
      <x:c r="Q1594"/>
      <x:c r="R1594"/>
      <x:c r="S1594"/>
      <x:c r="T1594"/>
      <x:c r="U1594" s="57"/>
      <x:c r="V1594" s="57"/>
      <x:c r="W1594"/>
      <x:c r="X1594"/>
      <x:c r="Y1594" s="38"/>
      <x:c r="Z1594" s="38"/>
      <x:c r="AA1594"/>
    </x:row>
    <x:row r="1595">
      <x:c r="A1595" s="54" t="n">
        <x:v>44834</x:v>
      </x:c>
      <x:c r="B1595" t="n">
        <x:v>44834.624999988424</x:v>
      </x:c>
      <x:c r="C1595" t="str">
        <x:v>004140</x:v>
      </x:c>
      <x:c r="D1595" t="str">
        <x:v>동방</x:v>
      </x:c>
      <x:c r="E1595" t="str">
        <x:v>KOSPI</x:v>
      </x:c>
      <x:c r="F1595" t="str">
        <x:v>MID</x:v>
      </x:c>
      <x:c r="G1595" t="str">
        <x:v>DCF_SCREENING_EXCLUSION</x:v>
      </x:c>
      <x:c r="H1595" t="str">
        <x:v>NON_POSITIVE_EQUITY_VALUE</x:v>
      </x:c>
      <x:c r="I1595" s="54" t="n">
        <x:v>44834</x:v>
      </x:c>
      <x:c r="J1595" s="55" t="n">
        <x:v>2070</x:v>
      </x:c>
      <x:c r="K1595" s="55" t="n">
        <x:v>99301555620</x:v>
      </x:c>
      <x:c r="L1595" s="55" t="n">
        <x:v>47971766</x:v>
      </x:c>
      <x:c r="M1595" t="str">
        <x:v>20220317001208</x:v>
      </x:c>
      <x:c r="N1595" t="n">
        <x:v>44637.624999988424</x:v>
      </x:c>
      <x:c r="O1595" s="54" t="n">
        <x:v>44561</x:v>
      </x:c>
      <x:c r="P1595" t="str">
        <x:v>False</x:v>
      </x:c>
      <x:c r="Q1595" t="str">
        <x:v>2ec7a4ce6f35bcabe04e9598c56e6c3f76c37f5ae200fe83edf6c256370a53fd</x:v>
      </x:c>
      <x:c r="R1595" t="str">
        <x:v>6a2d823b0bb72c5e2c0fba1c34fc411907f242e79c4a3b7d04e72ad6aaa4e39f</x:v>
      </x:c>
      <x:c r="S1595" t="n">
        <x:v>7</x:v>
      </x:c>
      <x:c r="T1595" t="str">
        <x:v>2013-12-31|2014-12-31|2015-12-31|2016-12-31|2018-12-31|2019-12-31|2020-12-31|2021-12-31</x:v>
      </x:c>
      <x:c r="U1595" s="57" t="n">
        <x:v>-1069.8647959827435</x:v>
      </x:c>
      <x:c r="V1595" s="57" t="n">
        <x:v>-1.5168428966100211</x:v>
      </x:c>
      <x:c r="W1595"/>
      <x:c r="X1595"/>
      <x:c r="Y1595" s="38" t="n">
        <x:v>0.6409090909090909</x:v>
      </x:c>
      <x:c r="Z1595" s="38" t="n">
        <x:v>0.27600380609333103</x:v>
      </x:c>
      <x:c r="AA1595" t="str">
        <x:v>NON_POSITIVE_EQUITY_VALUE</x:v>
      </x:c>
    </x:row>
    <x:row r="1596">
      <x:c r="A1596" s="54" t="n">
        <x:v>44834</x:v>
      </x:c>
      <x:c r="B1596" t="n">
        <x:v>44834.624999988424</x:v>
      </x:c>
      <x:c r="C1596" t="str">
        <x:v>317400</x:v>
      </x:c>
      <x:c r="D1596" t="str">
        <x:v>자이에스앤디</x:v>
      </x:c>
      <x:c r="E1596" t="str">
        <x:v>KOSPI</x:v>
      </x:c>
      <x:c r="F1596" t="str">
        <x:v>MID</x:v>
      </x:c>
      <x:c r="G1596" t="str">
        <x:v>ELIGIBLE</x:v>
      </x:c>
      <x:c r="H1596"/>
      <x:c r="I1596" s="54" t="n">
        <x:v>44834</x:v>
      </x:c>
      <x:c r="J1596" s="55" t="n">
        <x:v>6140</x:v>
      </x:c>
      <x:c r="K1596" s="55" t="n">
        <x:v>238124672800</x:v>
      </x:c>
      <x:c r="L1596" s="55" t="n">
        <x:v>38782520</x:v>
      </x:c>
      <x:c r="M1596" t="str">
        <x:v>20220809000116</x:v>
      </x:c>
      <x:c r="N1596" t="n">
        <x:v>44782.624999988424</x:v>
      </x:c>
      <x:c r="O1596" s="54" t="n">
        <x:v>44561</x:v>
      </x:c>
      <x:c r="P1596" t="str">
        <x:v>True</x:v>
      </x:c>
      <x:c r="Q1596" t="str">
        <x:v>6201ca64114ea16a5bf622367bf959c627df6e0a6f7baebe17b677134dd3a75f</x:v>
      </x:c>
      <x:c r="R1596" t="str">
        <x:v>6aa11805438fd1f5c06376780f8acf94349f1d4d1cc3934a09f3df46158d4c31</x:v>
      </x:c>
      <x:c r="S1596" t="n">
        <x:v>6</x:v>
      </x:c>
      <x:c r="T1596" t="str">
        <x:v>2019-12-31|2020-12-31|2021-12-31</x:v>
      </x:c>
      <x:c r="U1596" s="57" t="n">
        <x:v>12746.103573389322</x:v>
      </x:c>
      <x:c r="V1596" s="57" t="n">
        <x:v>1.0759126341024954</x:v>
      </x:c>
      <x:c r="W1596" t="n">
        <x:v>8</x:v>
      </x:c>
      <x:c r="X1596" t="n">
        <x:v>1</x:v>
      </x:c>
      <x:c r="Y1596" s="38" t="n">
        <x:v>0.6409090909090909</x:v>
      </x:c>
      <x:c r="Z1596" s="38" t="n">
        <x:v>0.6401924820596153</x:v>
      </x:c>
      <x:c r="AA1596"/>
    </x:row>
    <x:row r="1597">
      <x:c r="A1597" s="54" t="n">
        <x:v>44834</x:v>
      </x:c>
      <x:c r="B1597" t="n">
        <x:v>44834.624999988424</x:v>
      </x:c>
      <x:c r="C1597" t="str">
        <x:v>077500</x:v>
      </x:c>
      <x:c r="D1597" t="str">
        <x:v>유니퀘스트</x:v>
      </x:c>
      <x:c r="E1597" t="str">
        <x:v>KOSPI</x:v>
      </x:c>
      <x:c r="F1597" t="str">
        <x:v>MID</x:v>
      </x:c>
      <x:c r="G1597" t="str">
        <x:v>ELIGIBLE</x:v>
      </x:c>
      <x:c r="H1597"/>
      <x:c r="I1597" s="54" t="n">
        <x:v>44834</x:v>
      </x:c>
      <x:c r="J1597" s="55" t="n">
        <x:v>7590</x:v>
      </x:c>
      <x:c r="K1597" s="55" t="n">
        <x:v>207631850250</x:v>
      </x:c>
      <x:c r="L1597" s="55" t="n">
        <x:v>27355975</x:v>
      </x:c>
      <x:c r="M1597" t="str">
        <x:v>20220317000373</x:v>
      </x:c>
      <x:c r="N1597" t="n">
        <x:v>44637.624999988424</x:v>
      </x:c>
      <x:c r="O1597" s="54" t="n">
        <x:v>44561</x:v>
      </x:c>
      <x:c r="P1597" t="str">
        <x:v>False</x:v>
      </x:c>
      <x:c r="Q1597" t="str">
        <x:v>210a8f5e5d5697c53bf6c4a8a660c872a2ae67e91d5750be078b7007a90af8b2</x:v>
      </x:c>
      <x:c r="R1597" t="str">
        <x:v>5e1a5480a4c2e1658cee90ab36c955f78b5cb3446e3a3df99144669848292c6c</x:v>
      </x:c>
      <x:c r="S1597" t="n">
        <x:v>6</x:v>
      </x:c>
      <x:c r="T1597" t="str">
        <x:v>2011-12-31|2012-12-31|2013-12-31|2014-12-31|2015-12-31|2016-12-31|2017-12-31|2018-12-31|2019-12-31|2020-12-31|2021-12-31</x:v>
      </x:c>
      <x:c r="U1597" s="57" t="n">
        <x:v>5735.249720702407</x:v>
      </x:c>
      <x:c r="V1597" s="57" t="n">
        <x:v>-0.24436762573090812</x:v>
      </x:c>
      <x:c r="W1597" t="n">
        <x:v>33</x:v>
      </x:c>
      <x:c r="X1597" t="n">
        <x:v>3</x:v>
      </x:c>
      <x:c r="Y1597" s="38" t="n">
        <x:v>0.6409090909090909</x:v>
      </x:c>
      <x:c r="Z1597" s="38" t="n">
        <x:v>0.6400227791268169</x:v>
      </x:c>
      <x:c r="AA1597"/>
    </x:row>
    <x:row r="1598">
      <x:c r="A1598" s="54" t="n">
        <x:v>44834</x:v>
      </x:c>
      <x:c r="B1598" t="n">
        <x:v>44834.624999988424</x:v>
      </x:c>
      <x:c r="C1598" t="str">
        <x:v>012800</x:v>
      </x:c>
      <x:c r="D1598" t="str">
        <x:v>대창</x:v>
      </x:c>
      <x:c r="E1598" t="str">
        <x:v>KOSPI</x:v>
      </x:c>
      <x:c r="F1598" t="str">
        <x:v>MID</x:v>
      </x:c>
      <x:c r="G1598" t="str">
        <x:v>DCF_SCREENING_EXCLUSION</x:v>
      </x:c>
      <x:c r="H1598" t="str">
        <x:v>NON_POSITIVE_EQUITY_VALUE</x:v>
      </x:c>
      <x:c r="I1598" s="54" t="n">
        <x:v>44834</x:v>
      </x:c>
      <x:c r="J1598" s="55" t="n">
        <x:v>1205</x:v>
      </x:c>
      <x:c r="K1598" s="55" t="n">
        <x:v>109824301295</x:v>
      </x:c>
      <x:c r="L1598" s="55" t="n">
        <x:v>91140499</x:v>
      </x:c>
      <x:c r="M1598" t="str">
        <x:v>20220322000499</x:v>
      </x:c>
      <x:c r="N1598" t="n">
        <x:v>44642.624999988424</x:v>
      </x:c>
      <x:c r="O1598" s="54" t="n">
        <x:v>44561</x:v>
      </x:c>
      <x:c r="P1598" t="str">
        <x:v>False</x:v>
      </x:c>
      <x:c r="Q1598" t="str">
        <x:v>4b5d8bf4f702613c1e649a2a157096e03b3185abe22447fd66c1415e31c2a6d8</x:v>
      </x:c>
      <x:c r="R1598" t="str">
        <x:v>741796de1fea00e082c57e998dafac41ec18c097ca0506df49a34431f1aff24f</x:v>
      </x:c>
      <x:c r="S1598" t="n">
        <x:v>6</x:v>
      </x:c>
      <x:c r="T1598" t="str">
        <x:v>2018-12-31|2019-12-31|2020-12-31|2021-12-31</x:v>
      </x:c>
      <x:c r="U1598" s="57" t="n">
        <x:v>-259.90853479790894</x:v>
      </x:c>
      <x:c r="V1598" s="57" t="n">
        <x:v>-1.2156917301227461</x:v>
      </x:c>
      <x:c r="W1598"/>
      <x:c r="X1598"/>
      <x:c r="Y1598" s="38" t="n">
        <x:v>0.6409090909090909</x:v>
      </x:c>
      <x:c r="Z1598" s="38" t="n">
        <x:v>0.5511862681987276</x:v>
      </x:c>
      <x:c r="AA1598" t="str">
        <x:v>NON_POSITIVE_EQUITY_VALUE</x:v>
      </x:c>
    </x:row>
    <x:row r="1599">
      <x:c r="A1599" s="54" t="n">
        <x:v>44834</x:v>
      </x:c>
      <x:c r="B1599" t="n">
        <x:v>44834.624999988424</x:v>
      </x:c>
      <x:c r="C1599" t="str">
        <x:v>063160</x:v>
      </x:c>
      <x:c r="D1599" t="str">
        <x:v>종근당바이오</x:v>
      </x:c>
      <x:c r="E1599" t="str">
        <x:v>KOSPI</x:v>
      </x:c>
      <x:c r="F1599" t="str">
        <x:v>MID</x:v>
      </x:c>
      <x:c r="G1599" t="str">
        <x:v>DCF_SCREENING_EXCLUSION</x:v>
      </x:c>
      <x:c r="H1599" t="str">
        <x:v>NON_POSITIVE_ENTERPRISE_VALUE|NON_POSITIVE_EQUITY_VALUE|NON_POSITIVE_TERMINAL_FCF</x:v>
      </x:c>
      <x:c r="I1599" s="54" t="n">
        <x:v>44834</x:v>
      </x:c>
      <x:c r="J1599" s="55" t="n">
        <x:v>21500</x:v>
      </x:c>
      <x:c r="K1599" s="55" t="n">
        <x:v>117948183000</x:v>
      </x:c>
      <x:c r="L1599" s="55" t="n">
        <x:v>5485962</x:v>
      </x:c>
      <x:c r="M1599" t="str">
        <x:v>20220317000204</x:v>
      </x:c>
      <x:c r="N1599" t="n">
        <x:v>44637.624999988424</x:v>
      </x:c>
      <x:c r="O1599" s="54" t="n">
        <x:v>44561</x:v>
      </x:c>
      <x:c r="P1599" t="str">
        <x:v>False</x:v>
      </x:c>
      <x:c r="Q1599" t="str">
        <x:v>7dbafeb68bb26a75a078a298a4527a6155a3315721f924f523f7000faa18d6cc</x:v>
      </x:c>
      <x:c r="R1599" t="str">
        <x:v>bb8086828333cb453e40bfc3e0dc0a959bee118a213721442a2a260fe54a337f</x:v>
      </x:c>
      <x:c r="S1599" t="n">
        <x:v>6</x:v>
      </x:c>
      <x:c r="T1599" t="str">
        <x:v>2018-12-31|2019-12-31|2020-12-31|2021-12-31</x:v>
      </x:c>
      <x:c r="U1599" s="57" t="n">
        <x:v>-13995.88727853284</x:v>
      </x:c>
      <x:c r="V1599" s="57" t="n">
        <x:v>-1.650971501327109</x:v>
      </x:c>
      <x:c r="W1599"/>
      <x:c r="X1599"/>
      <x:c r="Y1599" s="38" t="n">
        <x:v>0.6409090909090909</x:v>
      </x:c>
      <x:c r="Z1599" s="38" t="n">
        <x:v>0.1680586412084802</x:v>
      </x:c>
      <x:c r="AA1599" t="str">
        <x:v>NON_POSITIVE_ENTERPRISE_VALUE|NON_POSITIVE_EQUITY_VALUE|NON_POSITIVE_TERMINAL_FCF</x:v>
      </x:c>
    </x:row>
    <x:row r="1600">
      <x:c r="A1600" s="54" t="n">
        <x:v>44834</x:v>
      </x:c>
      <x:c r="B1600" t="n">
        <x:v>44834.624999988424</x:v>
      </x:c>
      <x:c r="C1600" t="str">
        <x:v>013570</x:v>
      </x:c>
      <x:c r="D1600" t="str">
        <x:v>디와이</x:v>
      </x:c>
      <x:c r="E1600" t="str">
        <x:v>KOSPI</x:v>
      </x:c>
      <x:c r="F1600" t="str">
        <x:v>MID</x:v>
      </x:c>
      <x:c r="G1600" t="str">
        <x:v>ELIGIBLE</x:v>
      </x:c>
      <x:c r="H1600"/>
      <x:c r="I1600" s="54" t="n">
        <x:v>44834</x:v>
      </x:c>
      <x:c r="J1600" s="55" t="n">
        <x:v>5300</x:v>
      </x:c>
      <x:c r="K1600" s="55" t="n">
        <x:v>139494054900</x:v>
      </x:c>
      <x:c r="L1600" s="55" t="n">
        <x:v>26319633</x:v>
      </x:c>
      <x:c r="M1600" t="str">
        <x:v>20220316000565</x:v>
      </x:c>
      <x:c r="N1600" t="n">
        <x:v>44636.624999988424</x:v>
      </x:c>
      <x:c r="O1600" s="54" t="n">
        <x:v>44561</x:v>
      </x:c>
      <x:c r="P1600" t="str">
        <x:v>False</x:v>
      </x:c>
      <x:c r="Q1600" t="str">
        <x:v>bc0483c8afae055bed93059d24ec68d80da6c133c8bdd50000c20e0e83e7f8bf</x:v>
      </x:c>
      <x:c r="R1600" t="str">
        <x:v>74a2c3deb7f5611d74289606a3fe2a600f496dc6706f1e7a0439d844fb334ae2</x:v>
      </x:c>
      <x:c r="S1600" t="n">
        <x:v>6</x:v>
      </x:c>
      <x:c r="T1600" t="str">
        <x:v>2018-12-31|2019-12-31|2020-12-31|2021-12-31</x:v>
      </x:c>
      <x:c r="U1600" s="57" t="n">
        <x:v>8272.677688519547</x:v>
      </x:c>
      <x:c r="V1600" s="57" t="n">
        <x:v>0.5608825827395373</x:v>
      </x:c>
      <x:c r="W1600" t="n">
        <x:v>13</x:v>
      </x:c>
      <x:c r="X1600" t="n">
        <x:v>1</x:v>
      </x:c>
      <x:c r="Y1600" s="38" t="n">
        <x:v>0.6409090909090909</x:v>
      </x:c>
      <x:c r="Z1600" s="38" t="n">
        <x:v>0.6060132143974482</x:v>
      </x:c>
      <x:c r="AA1600"/>
    </x:row>
    <x:row r="1601">
      <x:c r="A1601" s="54" t="n">
        <x:v>44834</x:v>
      </x:c>
      <x:c r="B1601" t="n">
        <x:v>44834.624999988424</x:v>
      </x:c>
      <x:c r="C1601" t="str">
        <x:v>227840</x:v>
      </x:c>
      <x:c r="D1601" t="str">
        <x:v>현대코퍼레이션홀딩스</x:v>
      </x:c>
      <x:c r="E1601" t="str">
        <x:v>KOSPI</x:v>
      </x:c>
      <x:c r="F1601" t="str">
        <x:v>MID</x:v>
      </x:c>
      <x:c r="G1601" t="str">
        <x:v>EXCLUDED_ARCHETYPE</x:v>
      </x:c>
      <x:c r="H1601" t="str">
        <x:v>FCFF_NOT_COMPARABLE_FOR_FINANCE_OR_HOLDING_HINT</x:v>
      </x:c>
      <x:c r="I1601" s="54"/>
      <x:c r="J1601" s="55"/>
      <x:c r="K1601" s="55"/>
      <x:c r="L1601" s="55"/>
      <x:c r="M1601"/>
      <x:c r="N1601"/>
      <x:c r="O1601" s="54"/>
      <x:c r="P1601"/>
      <x:c r="Q1601"/>
      <x:c r="R1601"/>
      <x:c r="S1601"/>
      <x:c r="T1601"/>
      <x:c r="U1601" s="57"/>
      <x:c r="V1601" s="57"/>
      <x:c r="W1601"/>
      <x:c r="X1601"/>
      <x:c r="Y1601" s="38"/>
      <x:c r="Z1601" s="38"/>
      <x:c r="AA1601"/>
    </x:row>
    <x:row r="1602">
      <x:c r="A1602" s="54" t="n">
        <x:v>44834</x:v>
      </x:c>
      <x:c r="B1602" t="n">
        <x:v>44834.624999988424</x:v>
      </x:c>
      <x:c r="C1602" t="str">
        <x:v>247540</x:v>
      </x:c>
      <x:c r="D1602" t="str">
        <x:v>에코프로비엠</x:v>
      </x:c>
      <x:c r="E1602" t="str">
        <x:v>KOSDAQ</x:v>
      </x:c>
      <x:c r="F1602" t="str">
        <x:v>LARGE</x:v>
      </x:c>
      <x:c r="G1602" t="str">
        <x:v>DCF_SCREENING_EXCLUSION</x:v>
      </x:c>
      <x:c r="H1602" t="str">
        <x:v>NON_POSITIVE_EQUITY_VALUE|UNRELIABLE_TERMINAL_VALUE_SHARE</x:v>
      </x:c>
      <x:c r="I1602" s="54" t="n">
        <x:v>44834</x:v>
      </x:c>
      <x:c r="J1602" s="55" t="n">
        <x:v>88100</x:v>
      </x:c>
      <x:c r="K1602" s="55" t="n">
        <x:v>8616298406400</x:v>
      </x:c>
      <x:c r="L1602" s="55" t="n">
        <x:v>97801344</x:v>
      </x:c>
      <x:c r="M1602" t="str">
        <x:v>20220321001523</x:v>
      </x:c>
      <x:c r="N1602" t="n">
        <x:v>44641.624999988424</x:v>
      </x:c>
      <x:c r="O1602" s="54" t="n">
        <x:v>44561</x:v>
      </x:c>
      <x:c r="P1602" t="str">
        <x:v>False</x:v>
      </x:c>
      <x:c r="Q1602" t="str">
        <x:v>cbc91e0ba83b283028e5f5e5e3e7a50ae5602f35d2cca94cdd6ec5c547e0804e</x:v>
      </x:c>
      <x:c r="R1602" t="str">
        <x:v>350f169b8fc77369ffdf00edf5ba19785da465fb26fc9f8f7eab14f69a37cb9e</x:v>
      </x:c>
      <x:c r="S1602" t="n">
        <x:v>5</x:v>
      </x:c>
      <x:c r="T1602" t="str">
        <x:v>2018-12-31|2019-12-31|2020-12-31|2021-12-31</x:v>
      </x:c>
      <x:c r="U1602" s="57" t="n">
        <x:v>-1316.243401663571</x:v>
      </x:c>
      <x:c r="V1602" s="57" t="n">
        <x:v>-1.014940333730574</x:v>
      </x:c>
      <x:c r="W1602"/>
      <x:c r="X1602"/>
      <x:c r="Y1602" s="38" t="n">
        <x:v>0.6409090909090909</x:v>
      </x:c>
      <x:c r="Z1602" s="38" t="n">
        <x:v>0.9384923696568169</x:v>
      </x:c>
      <x:c r="AA1602" t="str">
        <x:v>NON_POSITIVE_EQUITY_VALUE|UNRELIABLE_TERMINAL_VALUE_SHARE</x:v>
      </x:c>
    </x:row>
    <x:row r="1603">
      <x:c r="A1603" s="54" t="n">
        <x:v>44834</x:v>
      </x:c>
      <x:c r="B1603" t="n">
        <x:v>44834.624999988424</x:v>
      </x:c>
      <x:c r="C1603" t="str">
        <x:v>086520</x:v>
      </x:c>
      <x:c r="D1603" t="str">
        <x:v>에코프로</x:v>
      </x:c>
      <x:c r="E1603" t="str">
        <x:v>KOSDAQ</x:v>
      </x:c>
      <x:c r="F1603" t="str">
        <x:v>LARGE</x:v>
      </x:c>
      <x:c r="G1603" t="str">
        <x:v>DCF_SCREENING_EXCLUSION</x:v>
      </x:c>
      <x:c r="H1603" t="str">
        <x:v>UNRELIABLE_TERMINAL_VALUE_SHARE</x:v>
      </x:c>
      <x:c r="I1603" s="54" t="n">
        <x:v>44834</x:v>
      </x:c>
      <x:c r="J1603" s="55" t="n">
        <x:v>115700</x:v>
      </x:c>
      <x:c r="K1603" s="55" t="n">
        <x:v>2898459012800</x:v>
      </x:c>
      <x:c r="L1603" s="55" t="n">
        <x:v>25051504</x:v>
      </x:c>
      <x:c r="M1603" t="str">
        <x:v>20220323000932</x:v>
      </x:c>
      <x:c r="N1603" t="n">
        <x:v>44643.624999988424</x:v>
      </x:c>
      <x:c r="O1603" s="54" t="n">
        <x:v>44561</x:v>
      </x:c>
      <x:c r="P1603" t="str">
        <x:v>True</x:v>
      </x:c>
      <x:c r="Q1603" t="str">
        <x:v>8adc28c165c1572b07cf2b5c793cbfaa4c6d44199ae5527404703617eb878f41</x:v>
      </x:c>
      <x:c r="R1603" t="str">
        <x:v>985940aa2f06e6644941bb3525395cfb3167d3968304358edf4823452a801e4d</x:v>
      </x:c>
      <x:c r="S1603" t="n">
        <x:v>5</x:v>
      </x:c>
      <x:c r="T1603" t="str">
        <x:v>2018-12-31|2019-12-31|2020-12-31|2021-12-31</x:v>
      </x:c>
      <x:c r="U1603" s="57" t="n">
        <x:v>15056.295192250158</x:v>
      </x:c>
      <x:c r="V1603" s="57" t="n">
        <x:v>-0.8698678030056166</x:v>
      </x:c>
      <x:c r="W1603"/>
      <x:c r="X1603"/>
      <x:c r="Y1603" s="38" t="n">
        <x:v>0.6409090909090909</x:v>
      </x:c>
      <x:c r="Z1603" s="38" t="n">
        <x:v>2.075070518961312</x:v>
      </x:c>
      <x:c r="AA1603" t="str">
        <x:v>UNRELIABLE_TERMINAL_VALUE_SHARE</x:v>
      </x:c>
    </x:row>
    <x:row r="1604">
      <x:c r="A1604" s="54" t="n">
        <x:v>44834</x:v>
      </x:c>
      <x:c r="B1604" t="n">
        <x:v>44834.624999988424</x:v>
      </x:c>
      <x:c r="C1604" t="str">
        <x:v>214450</x:v>
      </x:c>
      <x:c r="D1604" t="str">
        <x:v>파마리서치</x:v>
      </x:c>
      <x:c r="E1604" t="str">
        <x:v>KOSDAQ</x:v>
      </x:c>
      <x:c r="F1604" t="str">
        <x:v>LARGE</x:v>
      </x:c>
      <x:c r="G1604" t="str">
        <x:v>ELIGIBLE</x:v>
      </x:c>
      <x:c r="H1604"/>
      <x:c r="I1604" s="54" t="n">
        <x:v>44834</x:v>
      </x:c>
      <x:c r="J1604" s="55" t="n">
        <x:v>56600</x:v>
      </x:c>
      <x:c r="K1604" s="55" t="n">
        <x:v>572335238000</x:v>
      </x:c>
      <x:c r="L1604" s="55" t="n">
        <x:v>10111930</x:v>
      </x:c>
      <x:c r="M1604" t="str">
        <x:v>20220728000031</x:v>
      </x:c>
      <x:c r="N1604" t="n">
        <x:v>44770.624999988424</x:v>
      </x:c>
      <x:c r="O1604" s="54" t="n">
        <x:v>44561</x:v>
      </x:c>
      <x:c r="P1604" t="str">
        <x:v>True</x:v>
      </x:c>
      <x:c r="Q1604" t="str">
        <x:v>5c637202561b5bd3d36c7c90bded3fabbc7f34b4e2351bca44a12157c665ee9e</x:v>
      </x:c>
      <x:c r="R1604" t="str">
        <x:v>32da42e6b379d1fa4e8fd44fbb4dadd174170be1303302fcb212347b50e69b4d</x:v>
      </x:c>
      <x:c r="S1604" t="n">
        <x:v>6</x:v>
      </x:c>
      <x:c r="T1604" t="str">
        <x:v>2018-12-31|2019-12-31|2020-12-31|2021-12-31</x:v>
      </x:c>
      <x:c r="U1604" s="57" t="n">
        <x:v>45713.68277668952</x:v>
      </x:c>
      <x:c r="V1604" s="57" t="n">
        <x:v>-0.19233776012916046</x:v>
      </x:c>
      <x:c r="W1604" t="n">
        <x:v>31</x:v>
      </x:c>
      <x:c r="X1604" t="n">
        <x:v>3</x:v>
      </x:c>
      <x:c r="Y1604" s="38" t="n">
        <x:v>0.6409090909090909</x:v>
      </x:c>
      <x:c r="Z1604" s="38" t="n">
        <x:v>0.682474677265348</x:v>
      </x:c>
      <x:c r="AA1604"/>
    </x:row>
    <x:row r="1605">
      <x:c r="A1605" s="54" t="n">
        <x:v>44834</x:v>
      </x:c>
      <x:c r="B1605" t="n">
        <x:v>44834.624999988424</x:v>
      </x:c>
      <x:c r="C1605" t="str">
        <x:v>277810</x:v>
      </x:c>
      <x:c r="D1605" t="str">
        <x:v>레인보우로보틱스</x:v>
      </x:c>
      <x:c r="E1605" t="str">
        <x:v>KOSDAQ</x:v>
      </x:c>
      <x:c r="F1605" t="str">
        <x:v>LARGE</x:v>
      </x:c>
      <x:c r="G1605" t="str">
        <x:v>DCF_SCREENING_EXCLUSION</x:v>
      </x:c>
      <x:c r="H1605" t="str">
        <x:v>NON_POSITIVE_ENTERPRISE_VALUE|NON_POSITIVE_TERMINAL_FCF</x:v>
      </x:c>
      <x:c r="I1605" s="54" t="n">
        <x:v>44834</x:v>
      </x:c>
      <x:c r="J1605" s="55" t="n">
        <x:v>31050</x:v>
      </x:c>
      <x:c r="K1605" s="55" t="n">
        <x:v>500998394700</x:v>
      </x:c>
      <x:c r="L1605" s="55" t="n">
        <x:v>16135214</x:v>
      </x:c>
      <x:c r="M1605" t="str">
        <x:v>20220323000415</x:v>
      </x:c>
      <x:c r="N1605" t="n">
        <x:v>44643.624999988424</x:v>
      </x:c>
      <x:c r="O1605" s="54" t="n">
        <x:v>44561</x:v>
      </x:c>
      <x:c r="P1605" t="str">
        <x:v>False</x:v>
      </x:c>
      <x:c r="Q1605" t="str">
        <x:v>2256f4cbe30f0bf27f0505b5e4329833072712c67563a64c2bd2cbb0af612f14</x:v>
      </x:c>
      <x:c r="R1605" t="str">
        <x:v>e1a682af07c87f355dbbe79a6f3caf1188e3e4d7445cfb8d37dd813706b514ac</x:v>
      </x:c>
      <x:c r="S1605" t="n">
        <x:v>6</x:v>
      </x:c>
      <x:c r="T1605" t="str">
        <x:v>2020-12-31|2021-12-31</x:v>
      </x:c>
      <x:c r="U1605" s="57" t="n">
        <x:v>551.5976669407456</x:v>
      </x:c>
      <x:c r="V1605" s="57" t="n">
        <x:v>-0.9822351798086716</x:v>
      </x:c>
      <x:c r="W1605"/>
      <x:c r="X1605"/>
      <x:c r="Y1605" s="38" t="n">
        <x:v>0.6409090909090909</x:v>
      </x:c>
      <x:c r="Z1605" s="38" t="n">
        <x:v>0.7216980722373881</x:v>
      </x:c>
      <x:c r="AA1605" t="str">
        <x:v>NON_POSITIVE_ENTERPRISE_VALUE|NON_POSITIVE_TERMINAL_FCF</x:v>
      </x:c>
    </x:row>
    <x:row r="1606">
      <x:c r="A1606" s="54" t="n">
        <x:v>44834</x:v>
      </x:c>
      <x:c r="B1606" t="n">
        <x:v>44834.624999988424</x:v>
      </x:c>
      <x:c r="C1606" t="str">
        <x:v>310210</x:v>
      </x:c>
      <x:c r="D1606" t="str">
        <x:v>보로노이</x:v>
      </x:c>
      <x:c r="E1606" t="str">
        <x:v>KOSDAQ</x:v>
      </x:c>
      <x:c r="F1606" t="str">
        <x:v>LARGE</x:v>
      </x:c>
      <x:c r="G1606" t="str">
        <x:v>NO_PIT_FINANCIALS</x:v>
      </x:c>
      <x:c r="H1606"/>
      <x:c r="I1606" s="54" t="n">
        <x:v>44834</x:v>
      </x:c>
      <x:c r="J1606" s="55" t="n">
        <x:v>24700</x:v>
      </x:c>
      <x:c r="K1606" s="55" t="n">
        <x:v>312352964300</x:v>
      </x:c>
      <x:c r="L1606" s="55" t="n">
        <x:v>12645869</x:v>
      </x:c>
      <x:c r="M1606"/>
      <x:c r="N1606"/>
      <x:c r="O1606" s="54"/>
      <x:c r="P1606"/>
      <x:c r="Q1606"/>
      <x:c r="R1606"/>
      <x:c r="S1606"/>
      <x:c r="T1606"/>
      <x:c r="U1606" s="57"/>
      <x:c r="V1606" s="57"/>
      <x:c r="W1606"/>
      <x:c r="X1606"/>
      <x:c r="Y1606" s="38"/>
      <x:c r="Z1606" s="38"/>
      <x:c r="AA1606"/>
    </x:row>
    <x:row r="1607">
      <x:c r="A1607" s="54" t="n">
        <x:v>44834</x:v>
      </x:c>
      <x:c r="B1607" t="n">
        <x:v>44834.624999988424</x:v>
      </x:c>
      <x:c r="C1607" t="str">
        <x:v>195940</x:v>
      </x:c>
      <x:c r="D1607" t="str">
        <x:v>HK이노엔</x:v>
      </x:c>
      <x:c r="E1607" t="str">
        <x:v>KOSDAQ</x:v>
      </x:c>
      <x:c r="F1607" t="str">
        <x:v>LARGE</x:v>
      </x:c>
      <x:c r="G1607" t="str">
        <x:v>ELIGIBLE</x:v>
      </x:c>
      <x:c r="H1607"/>
      <x:c r="I1607" s="54" t="n">
        <x:v>44834</x:v>
      </x:c>
      <x:c r="J1607" s="55" t="n">
        <x:v>32950</x:v>
      </x:c>
      <x:c r="K1607" s="55" t="n">
        <x:v>952403242050</x:v>
      </x:c>
      <x:c r="L1607" s="55" t="n">
        <x:v>28904499</x:v>
      </x:c>
      <x:c r="M1607" t="str">
        <x:v>20220317000877</x:v>
      </x:c>
      <x:c r="N1607" t="n">
        <x:v>44637.624999988424</x:v>
      </x:c>
      <x:c r="O1607" s="54" t="n">
        <x:v>44561</x:v>
      </x:c>
      <x:c r="P1607" t="str">
        <x:v>False</x:v>
      </x:c>
      <x:c r="Q1607" t="str">
        <x:v>b6d1bbf87d4fa02415fe4deb61455b58001d9c504e850a2bec8d1c783ae6d1aa</x:v>
      </x:c>
      <x:c r="R1607" t="str">
        <x:v>74da26fae4176c1daa7df7aff6286f12100338600444927a1c8078663d316480</x:v>
      </x:c>
      <x:c r="S1607" t="n">
        <x:v>6</x:v>
      </x:c>
      <x:c r="T1607" t="str">
        <x:v>2021-12-31</x:v>
      </x:c>
      <x:c r="U1607" s="57" t="n">
        <x:v>7082.6390942903845</x:v>
      </x:c>
      <x:c r="V1607" s="57" t="n">
        <x:v>-0.7850488893993813</x:v>
      </x:c>
      <x:c r="W1607" t="n">
        <x:v>58</x:v>
      </x:c>
      <x:c r="X1607" t="n">
        <x:v>5</x:v>
      </x:c>
      <x:c r="Y1607" s="38" t="n">
        <x:v>0.6409090909090909</x:v>
      </x:c>
      <x:c r="Z1607" s="38" t="n">
        <x:v>0.7013426708992583</x:v>
      </x:c>
      <x:c r="AA1607"/>
    </x:row>
    <x:row r="1608">
      <x:c r="A1608" s="54" t="n">
        <x:v>44834</x:v>
      </x:c>
      <x:c r="B1608" t="n">
        <x:v>44834.624999988424</x:v>
      </x:c>
      <x:c r="C1608" t="str">
        <x:v>039200</x:v>
      </x:c>
      <x:c r="D1608" t="str">
        <x:v>오스코텍</x:v>
      </x:c>
      <x:c r="E1608" t="str">
        <x:v>KOSDAQ</x:v>
      </x:c>
      <x:c r="F1608" t="str">
        <x:v>LARGE</x:v>
      </x:c>
      <x:c r="G1608" t="str">
        <x:v>FINANCIAL_DISCONTINUITY</x:v>
      </x:c>
      <x:c r="H1608" t="str">
        <x:v>LATEST_REVENUE_RATIO_OUTSIDE_0.1_TO_10:0.08977831891691337528407323719</x:v>
      </x:c>
      <x:c r="I1608" s="54" t="n">
        <x:v>44834</x:v>
      </x:c>
      <x:c r="J1608" s="55" t="n">
        <x:v>18500</x:v>
      </x:c>
      <x:c r="K1608" s="55" t="n">
        <x:v>558820712500</x:v>
      </x:c>
      <x:c r="L1608" s="55" t="n">
        <x:v>30206525</x:v>
      </x:c>
      <x:c r="M1608" t="str">
        <x:v>20220314001077</x:v>
      </x:c>
      <x:c r="N1608" t="n">
        <x:v>44634.624999988424</x:v>
      </x:c>
      <x:c r="O1608" s="54" t="n">
        <x:v>44561</x:v>
      </x:c>
      <x:c r="P1608" t="str">
        <x:v>False</x:v>
      </x:c>
      <x:c r="Q1608" t="str">
        <x:v>eac12db12722c707f5c12bbd7321ecfc067e71a955c358625551ebc702c8ab53</x:v>
      </x:c>
      <x:c r="R1608" t="str">
        <x:v>4925d1e99e161c68b6b8473ea2462bd2f278cc4a944b997bd93488d0893678fb</x:v>
      </x:c>
      <x:c r="S1608" t="n">
        <x:v>6</x:v>
      </x:c>
      <x:c r="T1608" t="str">
        <x:v>2018-12-31|2019-12-31|2020-12-31|2021-12-31</x:v>
      </x:c>
      <x:c r="U1608" s="57"/>
      <x:c r="V1608" s="57"/>
      <x:c r="W1608"/>
      <x:c r="X1608"/>
      <x:c r="Y1608" s="38"/>
      <x:c r="Z1608" s="38"/>
      <x:c r="AA1608"/>
    </x:row>
    <x:row r="1609">
      <x:c r="A1609" s="54" t="n">
        <x:v>44834</x:v>
      </x:c>
      <x:c r="B1609" t="n">
        <x:v>44834.624999988424</x:v>
      </x:c>
      <x:c r="C1609" t="str">
        <x:v>084370</x:v>
      </x:c>
      <x:c r="D1609" t="str">
        <x:v>유진테크</x:v>
      </x:c>
      <x:c r="E1609" t="str">
        <x:v>KOSDAQ</x:v>
      </x:c>
      <x:c r="F1609" t="str">
        <x:v>LARGE</x:v>
      </x:c>
      <x:c r="G1609" t="str">
        <x:v>ELIGIBLE</x:v>
      </x:c>
      <x:c r="H1609"/>
      <x:c r="I1609" s="54" t="n">
        <x:v>44834</x:v>
      </x:c>
      <x:c r="J1609" s="55" t="n">
        <x:v>20100</x:v>
      </x:c>
      <x:c r="K1609" s="55" t="n">
        <x:v>460612444200</x:v>
      </x:c>
      <x:c r="L1609" s="55" t="n">
        <x:v>22916042</x:v>
      </x:c>
      <x:c r="M1609" t="str">
        <x:v>20220315001157</x:v>
      </x:c>
      <x:c r="N1609" t="n">
        <x:v>44635.624999988424</x:v>
      </x:c>
      <x:c r="O1609" s="54" t="n">
        <x:v>44561</x:v>
      </x:c>
      <x:c r="P1609" t="str">
        <x:v>False</x:v>
      </x:c>
      <x:c r="Q1609" t="str">
        <x:v>ba66255b29a640ce08b39f96987638ea7e9439520d8e3e11d923a92aadaba95e</x:v>
      </x:c>
      <x:c r="R1609" t="str">
        <x:v>21d7e5b6106b5291425e4efc78d2215f7384d23adcfbd979041b7b38d44bdb9a</x:v>
      </x:c>
      <x:c r="S1609" t="n">
        <x:v>5</x:v>
      </x:c>
      <x:c r="T1609" t="str">
        <x:v>2018-12-31|2019-12-31|2020-12-31|2021-12-31</x:v>
      </x:c>
      <x:c r="U1609" s="57" t="n">
        <x:v>17562.323572803878</x:v>
      </x:c>
      <x:c r="V1609" s="57" t="n">
        <x:v>-0.1262525585669713</x:v>
      </x:c>
      <x:c r="W1609" t="n">
        <x:v>27</x:v>
      </x:c>
      <x:c r="X1609" t="n">
        <x:v>2</x:v>
      </x:c>
      <x:c r="Y1609" s="38" t="n">
        <x:v>0.6409090909090909</x:v>
      </x:c>
      <x:c r="Z1609" s="38" t="n">
        <x:v>0.6142442229678472</x:v>
      </x:c>
      <x:c r="AA1609"/>
    </x:row>
    <x:row r="1610">
      <x:c r="A1610" s="54" t="n">
        <x:v>44834</x:v>
      </x:c>
      <x:c r="B1610" t="n">
        <x:v>44834.624999988424</x:v>
      </x:c>
      <x:c r="C1610" t="str">
        <x:v>160190</x:v>
      </x:c>
      <x:c r="D1610" t="str">
        <x:v>하이젠알앤엠</x:v>
      </x:c>
      <x:c r="E1610" t="str">
        <x:v>KOSDAQ</x:v>
      </x:c>
      <x:c r="F1610" t="str">
        <x:v>LARGE</x:v>
      </x:c>
      <x:c r="G1610" t="str">
        <x:v>NOT_LISTED_OR_NO_PRICE</x:v>
      </x:c>
      <x:c r="H1610"/>
      <x:c r="I1610" s="54"/>
      <x:c r="J1610" s="55"/>
      <x:c r="K1610" s="55"/>
      <x:c r="L1610" s="55"/>
      <x:c r="M1610"/>
      <x:c r="N1610"/>
      <x:c r="O1610" s="54"/>
      <x:c r="P1610"/>
      <x:c r="Q1610"/>
      <x:c r="R1610"/>
      <x:c r="S1610"/>
      <x:c r="T1610"/>
      <x:c r="U1610" s="57"/>
      <x:c r="V1610" s="57"/>
      <x:c r="W1610"/>
      <x:c r="X1610"/>
      <x:c r="Y1610" s="38"/>
      <x:c r="Z1610" s="38"/>
      <x:c r="AA1610"/>
    </x:row>
    <x:row r="1611">
      <x:c r="A1611" s="54" t="n">
        <x:v>44834</x:v>
      </x:c>
      <x:c r="B1611" t="n">
        <x:v>44834.624999988424</x:v>
      </x:c>
      <x:c r="C1611" t="str">
        <x:v>281740</x:v>
      </x:c>
      <x:c r="D1611" t="str">
        <x:v>레이크머티리얼즈</x:v>
      </x:c>
      <x:c r="E1611" t="str">
        <x:v>KOSDAQ</x:v>
      </x:c>
      <x:c r="F1611" t="str">
        <x:v>LARGE</x:v>
      </x:c>
      <x:c r="G1611" t="str">
        <x:v>ELIGIBLE</x:v>
      </x:c>
      <x:c r="H1611"/>
      <x:c r="I1611" s="54" t="n">
        <x:v>44834</x:v>
      </x:c>
      <x:c r="J1611" s="55" t="n">
        <x:v>5630</x:v>
      </x:c>
      <x:c r="K1611" s="55" t="n">
        <x:v>370062985240</x:v>
      </x:c>
      <x:c r="L1611" s="55" t="n">
        <x:v>65730548</x:v>
      </x:c>
      <x:c r="M1611" t="str">
        <x:v>20220328000299</x:v>
      </x:c>
      <x:c r="N1611" t="n">
        <x:v>44648.624999988424</x:v>
      </x:c>
      <x:c r="O1611" s="54" t="n">
        <x:v>44561</x:v>
      </x:c>
      <x:c r="P1611" t="str">
        <x:v>True</x:v>
      </x:c>
      <x:c r="Q1611" t="str">
        <x:v>6cf027b604a41b80d074658e23b64178171cc96f7f73135ed52966f74c1c7c2a</x:v>
      </x:c>
      <x:c r="R1611" t="str">
        <x:v>bb80be86695d7b0a381afeb5fca37f8a53662525e7f1f2df5166e6a9df582ef9</x:v>
      </x:c>
      <x:c r="S1611" t="n">
        <x:v>6</x:v>
      </x:c>
      <x:c r="T1611" t="str">
        <x:v>2020-12-31|2021-12-31</x:v>
      </x:c>
      <x:c r="U1611" s="57" t="n">
        <x:v>1701.6250919791116</x:v>
      </x:c>
      <x:c r="V1611" s="57" t="n">
        <x:v>-0.6977575325081506</x:v>
      </x:c>
      <x:c r="W1611" t="n">
        <x:v>55</x:v>
      </x:c>
      <x:c r="X1611" t="n">
        <x:v>5</x:v>
      </x:c>
      <x:c r="Y1611" s="38" t="n">
        <x:v>0.6409090909090909</x:v>
      </x:c>
      <x:c r="Z1611" s="38" t="n">
        <x:v>0.6793926263967092</x:v>
      </x:c>
      <x:c r="AA1611"/>
    </x:row>
    <x:row r="1612">
      <x:c r="A1612" s="54" t="n">
        <x:v>44834</x:v>
      </x:c>
      <x:c r="B1612" t="n">
        <x:v>44834.624999988424</x:v>
      </x:c>
      <x:c r="C1612" t="str">
        <x:v>078130</x:v>
      </x:c>
      <x:c r="D1612" t="str">
        <x:v>국일제지</x:v>
      </x:c>
      <x:c r="E1612" t="str">
        <x:v>KOSDAQ</x:v>
      </x:c>
      <x:c r="F1612" t="str">
        <x:v>LARGE</x:v>
      </x:c>
      <x:c r="G1612" t="str">
        <x:v>DCF_SCREENING_EXCLUSION</x:v>
      </x:c>
      <x:c r="H1612" t="str">
        <x:v>NON_POSITIVE_ENTERPRISE_VALUE|NON_POSITIVE_EQUITY_VALUE|UNRELIABLE_TERMINAL_VALUE_SHARE</x:v>
      </x:c>
      <x:c r="I1612" s="54" t="n">
        <x:v>44834</x:v>
      </x:c>
      <x:c r="J1612" s="55" t="n">
        <x:v>2030</x:v>
      </x:c>
      <x:c r="K1612" s="55" t="n">
        <x:v>259063470190</x:v>
      </x:c>
      <x:c r="L1612" s="55" t="n">
        <x:v>127617473</x:v>
      </x:c>
      <x:c r="M1612" t="str">
        <x:v>20220321001299</x:v>
      </x:c>
      <x:c r="N1612" t="n">
        <x:v>44641.624999988424</x:v>
      </x:c>
      <x:c r="O1612" s="54" t="n">
        <x:v>44561</x:v>
      </x:c>
      <x:c r="P1612" t="str">
        <x:v>False</x:v>
      </x:c>
      <x:c r="Q1612" t="str">
        <x:v>eba50d65089a3c2cb1033c9b240144d8cc7c44765d3689bd26b67f91551b7f96</x:v>
      </x:c>
      <x:c r="R1612" t="str">
        <x:v>90b22a7ab23a3c05c33a45bf126a9351b411446cc29cb893c1c47cd23432e601</x:v>
      </x:c>
      <x:c r="S1612" t="n">
        <x:v>7</x:v>
      </x:c>
      <x:c r="T1612" t="str">
        <x:v>2018-12-31|2019-12-31|2020-12-31|2021-12-31</x:v>
      </x:c>
      <x:c r="U1612" s="57" t="n">
        <x:v>-293.18932146531364</x:v>
      </x:c>
      <x:c r="V1612" s="57" t="n">
        <x:v>-1.1444282371750314</x:v>
      </x:c>
      <x:c r="W1612"/>
      <x:c r="X1612"/>
      <x:c r="Y1612" s="38" t="n">
        <x:v>0.6409090909090909</x:v>
      </x:c>
      <x:c r="Z1612" s="38" t="n">
        <x:v>-22.090761592354845</x:v>
      </x:c>
      <x:c r="AA1612" t="str">
        <x:v>NON_POSITIVE_ENTERPRISE_VALUE|NON_POSITIVE_EQUITY_VALUE|UNRELIABLE_TERMINAL_VALUE_SHARE</x:v>
      </x:c>
    </x:row>
    <x:row r="1613">
      <x:c r="A1613" s="54" t="n">
        <x:v>44834</x:v>
      </x:c>
      <x:c r="B1613" t="n">
        <x:v>44834.624999988424</x:v>
      </x:c>
      <x:c r="C1613" t="str">
        <x:v>131970</x:v>
      </x:c>
      <x:c r="D1613" t="str">
        <x:v>두산테스나</x:v>
      </x:c>
      <x:c r="E1613" t="str">
        <x:v>KOSDAQ</x:v>
      </x:c>
      <x:c r="F1613" t="str">
        <x:v>LARGE</x:v>
      </x:c>
      <x:c r="G1613" t="str">
        <x:v>ELIGIBLE</x:v>
      </x:c>
      <x:c r="H1613"/>
      <x:c r="I1613" s="54" t="n">
        <x:v>44834</x:v>
      </x:c>
      <x:c r="J1613" s="55" t="n">
        <x:v>20450</x:v>
      </x:c>
      <x:c r="K1613" s="55" t="n">
        <x:v>301833349650</x:v>
      </x:c>
      <x:c r="L1613" s="55" t="n">
        <x:v>14759577</x:v>
      </x:c>
      <x:c r="M1613" t="str">
        <x:v>20220321001055</x:v>
      </x:c>
      <x:c r="N1613" t="n">
        <x:v>44641.624999988424</x:v>
      </x:c>
      <x:c r="O1613" s="54" t="n">
        <x:v>44561</x:v>
      </x:c>
      <x:c r="P1613" t="str">
        <x:v>False</x:v>
      </x:c>
      <x:c r="Q1613" t="str">
        <x:v>97dab3f189e66aef81c095e114dcd880ce69b87540e1cd7975c5252d852b3239</x:v>
      </x:c>
      <x:c r="R1613" t="str">
        <x:v>3204cdfa88c0c4b81fa1a8f8361ff1720e693e2eae8b99cc60b74fd5cb4cb37c</x:v>
      </x:c>
      <x:c r="S1613" t="n">
        <x:v>5</x:v>
      </x:c>
      <x:c r="T1613" t="str">
        <x:v>2018-12-31|2019-12-31|2020-12-31|2021-12-31</x:v>
      </x:c>
      <x:c r="U1613" s="57" t="n">
        <x:v>34782.1914507577</x:v>
      </x:c>
      <x:c r="V1613" s="57" t="n">
        <x:v>0.7008406577387629</x:v>
      </x:c>
      <x:c r="W1613" t="n">
        <x:v>10</x:v>
      </x:c>
      <x:c r="X1613" t="n">
        <x:v>1</x:v>
      </x:c>
      <x:c r="Y1613" s="38" t="n">
        <x:v>0.6409090909090909</x:v>
      </x:c>
      <x:c r="Z1613" s="38" t="n">
        <x:v>0.7121290266414918</x:v>
      </x:c>
      <x:c r="AA1613"/>
    </x:row>
    <x:row r="1614">
      <x:c r="A1614" s="54" t="n">
        <x:v>44834</x:v>
      </x:c>
      <x:c r="B1614" t="n">
        <x:v>44834.624999988424</x:v>
      </x:c>
      <x:c r="C1614" t="str">
        <x:v>025320</x:v>
      </x:c>
      <x:c r="D1614" t="str">
        <x:v>시노펙스</x:v>
      </x:c>
      <x:c r="E1614" t="str">
        <x:v>KOSDAQ</x:v>
      </x:c>
      <x:c r="F1614" t="str">
        <x:v>LARGE</x:v>
      </x:c>
      <x:c r="G1614" t="str">
        <x:v>DCF_SCREENING_EXCLUSION</x:v>
      </x:c>
      <x:c r="H1614" t="str">
        <x:v>NON_POSITIVE_ENTERPRISE_VALUE|NON_POSITIVE_EQUITY_VALUE|NON_POSITIVE_TERMINAL_FCF</x:v>
      </x:c>
      <x:c r="I1614" s="54" t="n">
        <x:v>44834</x:v>
      </x:c>
      <x:c r="J1614" s="55" t="n">
        <x:v>2405</x:v>
      </x:c>
      <x:c r="K1614" s="55" t="n">
        <x:v>176397250250</x:v>
      </x:c>
      <x:c r="L1614" s="55" t="n">
        <x:v>73346050</x:v>
      </x:c>
      <x:c r="M1614" t="str">
        <x:v>20220318000396</x:v>
      </x:c>
      <x:c r="N1614" t="n">
        <x:v>44638.624999988424</x:v>
      </x:c>
      <x:c r="O1614" s="54" t="n">
        <x:v>44561</x:v>
      </x:c>
      <x:c r="P1614" t="str">
        <x:v>False</x:v>
      </x:c>
      <x:c r="Q1614" t="str">
        <x:v>964f25029a64df18763da066afb2fe972836cab3bbc80567f2535cf6d4bf6a48</x:v>
      </x:c>
      <x:c r="R1614" t="str">
        <x:v>bd2a792cfe84e3fe25c53f7de5d27e0763a735d587d0f47b19d92bdcd029a344</x:v>
      </x:c>
      <x:c r="S1614" t="n">
        <x:v>6</x:v>
      </x:c>
      <x:c r="T1614" t="str">
        <x:v>2018-12-31|2019-12-31|2020-12-31|2021-12-31</x:v>
      </x:c>
      <x:c r="U1614" s="57" t="n">
        <x:v>-1529.5913405547333</x:v>
      </x:c>
      <x:c r="V1614" s="57" t="n">
        <x:v>-1.6360047154073736</x:v>
      </x:c>
      <x:c r="W1614"/>
      <x:c r="X1614"/>
      <x:c r="Y1614" s="38" t="n">
        <x:v>0.6409090909090909</x:v>
      </x:c>
      <x:c r="Z1614" s="38" t="n">
        <x:v>0.7059904894392338</x:v>
      </x:c>
      <x:c r="AA1614" t="str">
        <x:v>NON_POSITIVE_ENTERPRISE_VALUE|NON_POSITIVE_EQUITY_VALUE|NON_POSITIVE_TERMINAL_FCF</x:v>
      </x:c>
    </x:row>
    <x:row r="1615">
      <x:c r="A1615" s="54" t="n">
        <x:v>44834</x:v>
      </x:c>
      <x:c r="B1615" t="n">
        <x:v>44834.624999988424</x:v>
      </x:c>
      <x:c r="C1615" t="str">
        <x:v>347700</x:v>
      </x:c>
      <x:c r="D1615" t="str">
        <x:v>스피어</x:v>
      </x:c>
      <x:c r="E1615" t="str">
        <x:v>KOSDAQ</x:v>
      </x:c>
      <x:c r="F1615" t="str">
        <x:v>LARGE</x:v>
      </x:c>
      <x:c r="G1615" t="str">
        <x:v>DCF_SCREENING_EXCLUSION</x:v>
      </x:c>
      <x:c r="H1615" t="str">
        <x:v>NON_POSITIVE_ENTERPRISE_VALUE|NON_POSITIVE_TERMINAL_FCF</x:v>
      </x:c>
      <x:c r="I1615" s="54" t="n">
        <x:v>44834</x:v>
      </x:c>
      <x:c r="J1615" s="55" t="n">
        <x:v>4340</x:v>
      </x:c>
      <x:c r="K1615" s="55" t="n">
        <x:v>44389303000</x:v>
      </x:c>
      <x:c r="L1615" s="55" t="n">
        <x:v>10227950</x:v>
      </x:c>
      <x:c r="M1615" t="str">
        <x:v>20220323000809</x:v>
      </x:c>
      <x:c r="N1615" t="n">
        <x:v>44643.624999988424</x:v>
      </x:c>
      <x:c r="O1615" s="54" t="n">
        <x:v>44561</x:v>
      </x:c>
      <x:c r="P1615" t="str">
        <x:v>False</x:v>
      </x:c>
      <x:c r="Q1615" t="str">
        <x:v>f7f3af7a28d62cd0586f5ef87d8ce77a1131375c4801e17cc5605778fa4bef58</x:v>
      </x:c>
      <x:c r="R1615" t="str">
        <x:v>8dac81ca8df4f2c77dc27b30369e4da6bdb6a1c1ff8d5d11d7b6d89f7609ffaa</x:v>
      </x:c>
      <x:c r="S1615" t="n">
        <x:v>6</x:v>
      </x:c>
      <x:c r="T1615" t="str">
        <x:v>2020-12-31|2021-12-31</x:v>
      </x:c>
      <x:c r="U1615" s="57" t="n">
        <x:v>250.5216023445337</x:v>
      </x:c>
      <x:c r="V1615" s="57" t="n">
        <x:v>-0.9422761284920429</x:v>
      </x:c>
      <x:c r="W1615"/>
      <x:c r="X1615"/>
      <x:c r="Y1615" s="38" t="n">
        <x:v>0.6409090909090909</x:v>
      </x:c>
      <x:c r="Z1615" s="38" t="n">
        <x:v>0.7149594422554854</x:v>
      </x:c>
      <x:c r="AA1615" t="str">
        <x:v>NON_POSITIVE_ENTERPRISE_VALUE|NON_POSITIVE_TERMINAL_FCF</x:v>
      </x:c>
    </x:row>
    <x:row r="1616">
      <x:c r="A1616" s="54" t="n">
        <x:v>44834</x:v>
      </x:c>
      <x:c r="B1616" t="n">
        <x:v>44834.624999988424</x:v>
      </x:c>
      <x:c r="C1616" t="str">
        <x:v>119850</x:v>
      </x:c>
      <x:c r="D1616" t="str">
        <x:v>지엔씨에너지</x:v>
      </x:c>
      <x:c r="E1616" t="str">
        <x:v>KOSDAQ</x:v>
      </x:c>
      <x:c r="F1616" t="str">
        <x:v>LARGE</x:v>
      </x:c>
      <x:c r="G1616" t="str">
        <x:v>ELIGIBLE</x:v>
      </x:c>
      <x:c r="H1616"/>
      <x:c r="I1616" s="54" t="n">
        <x:v>44834</x:v>
      </x:c>
      <x:c r="J1616" s="55" t="n">
        <x:v>3475</x:v>
      </x:c>
      <x:c r="K1616" s="55" t="n">
        <x:v>57159958775</x:v>
      </x:c>
      <x:c r="L1616" s="55" t="n">
        <x:v>16448909</x:v>
      </x:c>
      <x:c r="M1616" t="str">
        <x:v>20220318001122</x:v>
      </x:c>
      <x:c r="N1616" t="n">
        <x:v>44638.624999988424</x:v>
      </x:c>
      <x:c r="O1616" s="54" t="n">
        <x:v>44561</x:v>
      </x:c>
      <x:c r="P1616" t="str">
        <x:v>False</x:v>
      </x:c>
      <x:c r="Q1616" t="str">
        <x:v>ae73d3d4b2895b6be9878c551cbd20c4f4233ec1da8abc62cfd96d371b094769</x:v>
      </x:c>
      <x:c r="R1616" t="str">
        <x:v>8c951c3d87768f8fd968f2cc3671b45872eaa12e9d2ef96931743473e6738e02</x:v>
      </x:c>
      <x:c r="S1616" t="n">
        <x:v>6</x:v>
      </x:c>
      <x:c r="T1616" t="str">
        <x:v>2018-12-31|2019-12-31|2020-12-31|2021-12-31</x:v>
      </x:c>
      <x:c r="U1616" s="57" t="n">
        <x:v>4357.199500773308</x:v>
      </x:c>
      <x:c r="V1616" s="57" t="n">
        <x:v>0.25387035993476464</x:v>
      </x:c>
      <x:c r="W1616" t="n">
        <x:v>19</x:v>
      </x:c>
      <x:c r="X1616" t="n">
        <x:v>2</x:v>
      </x:c>
      <x:c r="Y1616" s="38" t="n">
        <x:v>0.6409090909090909</x:v>
      </x:c>
      <x:c r="Z1616" s="38" t="n">
        <x:v>0.7218340444865093</x:v>
      </x:c>
      <x:c r="AA1616"/>
    </x:row>
    <x:row r="1617">
      <x:c r="A1617" s="54" t="n">
        <x:v>44834</x:v>
      </x:c>
      <x:c r="B1617" t="n">
        <x:v>44834.624999988424</x:v>
      </x:c>
      <x:c r="C1617" t="str">
        <x:v>084110</x:v>
      </x:c>
      <x:c r="D1617" t="str">
        <x:v>휴온스글로벌</x:v>
      </x:c>
      <x:c r="E1617" t="str">
        <x:v>KOSDAQ</x:v>
      </x:c>
      <x:c r="F1617" t="str">
        <x:v>LARGE</x:v>
      </x:c>
      <x:c r="G1617" t="str">
        <x:v>ELIGIBLE</x:v>
      </x:c>
      <x:c r="H1617"/>
      <x:c r="I1617" s="54" t="n">
        <x:v>44834</x:v>
      </x:c>
      <x:c r="J1617" s="55" t="n">
        <x:v>17750</x:v>
      </x:c>
      <x:c r="K1617" s="55" t="n">
        <x:v>224031483000</x:v>
      </x:c>
      <x:c r="L1617" s="55" t="n">
        <x:v>12621492</x:v>
      </x:c>
      <x:c r="M1617" t="str">
        <x:v>20220323001316</x:v>
      </x:c>
      <x:c r="N1617" t="n">
        <x:v>44643.624999988424</x:v>
      </x:c>
      <x:c r="O1617" s="54" t="n">
        <x:v>44561</x:v>
      </x:c>
      <x:c r="P1617" t="str">
        <x:v>False</x:v>
      </x:c>
      <x:c r="Q1617" t="str">
        <x:v>61a4106ca1436439b115b45b309307d670f88550d1c4e65f1054441ff8bd1773</x:v>
      </x:c>
      <x:c r="R1617" t="str">
        <x:v>6c138f9c4fafd5af82b56441fab7e4bb491dd9e4aa5589ba5dbc716b961c2ab1</x:v>
      </x:c>
      <x:c r="S1617" t="n">
        <x:v>6</x:v>
      </x:c>
      <x:c r="T1617" t="str">
        <x:v>2018-12-31|2019-12-31|2020-12-31|2021-12-31</x:v>
      </x:c>
      <x:c r="U1617" s="57" t="n">
        <x:v>62350.99484672869</x:v>
      </x:c>
      <x:c r="V1617" s="57" t="n">
        <x:v>2.512732104041053</x:v>
      </x:c>
      <x:c r="W1617" t="n">
        <x:v>5</x:v>
      </x:c>
      <x:c r="X1617" t="n">
        <x:v>1</x:v>
      </x:c>
      <x:c r="Y1617" s="38" t="n">
        <x:v>0.6409090909090909</x:v>
      </x:c>
      <x:c r="Z1617" s="38" t="n">
        <x:v>0.7784114693524872</x:v>
      </x:c>
      <x:c r="AA1617"/>
    </x:row>
    <x:row r="1618">
      <x:c r="A1618" s="54" t="n">
        <x:v>44834</x:v>
      </x:c>
      <x:c r="B1618" t="n">
        <x:v>44834.624999988424</x:v>
      </x:c>
      <x:c r="C1618" t="str">
        <x:v>206650</x:v>
      </x:c>
      <x:c r="D1618" t="str">
        <x:v>유바이오로직스</x:v>
      </x:c>
      <x:c r="E1618" t="str">
        <x:v>KOSDAQ</x:v>
      </x:c>
      <x:c r="F1618" t="str">
        <x:v>LARGE</x:v>
      </x:c>
      <x:c r="G1618" t="str">
        <x:v>DCF_SCREENING_EXCLUSION</x:v>
      </x:c>
      <x:c r="H1618" t="str">
        <x:v>NON_POSITIVE_ENTERPRISE_VALUE|NON_POSITIVE_EQUITY_VALUE|NON_POSITIVE_TERMINAL_FCF</x:v>
      </x:c>
      <x:c r="I1618" s="54" t="n">
        <x:v>44834</x:v>
      </x:c>
      <x:c r="J1618" s="55" t="n">
        <x:v>11650</x:v>
      </x:c>
      <x:c r="K1618" s="55" t="n">
        <x:v>424582001550</x:v>
      </x:c>
      <x:c r="L1618" s="55" t="n">
        <x:v>36444807</x:v>
      </x:c>
      <x:c r="M1618" t="str">
        <x:v>20220321001422</x:v>
      </x:c>
      <x:c r="N1618" t="n">
        <x:v>44641.624999988424</x:v>
      </x:c>
      <x:c r="O1618" s="54" t="n">
        <x:v>44561</x:v>
      </x:c>
      <x:c r="P1618" t="str">
        <x:v>False</x:v>
      </x:c>
      <x:c r="Q1618" t="str">
        <x:v>8d3c86f36f05bae65484262e1b74a0fa313abb7a6c116331476fa851286ef5c7</x:v>
      </x:c>
      <x:c r="R1618" t="str">
        <x:v>564bf2b7d7951fd138746a041006be1e2d10426a4995177d1a5cf063ce57effe</x:v>
      </x:c>
      <x:c r="S1618" t="n">
        <x:v>5</x:v>
      </x:c>
      <x:c r="T1618" t="str">
        <x:v>2018-12-31|2019-12-31|2020-12-31|2021-12-31</x:v>
      </x:c>
      <x:c r="U1618" s="57" t="n">
        <x:v>-686.7207231115198</x:v>
      </x:c>
      <x:c r="V1618" s="57" t="n">
        <x:v>-1.0589459848164395</x:v>
      </x:c>
      <x:c r="W1618"/>
      <x:c r="X1618"/>
      <x:c r="Y1618" s="38" t="n">
        <x:v>0.6409090909090909</x:v>
      </x:c>
      <x:c r="Z1618" s="38" t="n">
        <x:v>0.09988018003939338</x:v>
      </x:c>
      <x:c r="AA1618" t="str">
        <x:v>NON_POSITIVE_ENTERPRISE_VALUE|NON_POSITIVE_EQUITY_VALUE|NON_POSITIVE_TERMINAL_FCF</x:v>
      </x:c>
    </x:row>
    <x:row r="1619">
      <x:c r="A1619" s="54" t="n">
        <x:v>44834</x:v>
      </x:c>
      <x:c r="B1619" t="n">
        <x:v>44834.624999988424</x:v>
      </x:c>
      <x:c r="C1619" t="str">
        <x:v>365340</x:v>
      </x:c>
      <x:c r="D1619" t="str">
        <x:v>성일하이텍</x:v>
      </x:c>
      <x:c r="E1619" t="str">
        <x:v>KOSDAQ</x:v>
      </x:c>
      <x:c r="F1619" t="str">
        <x:v>LARGE</x:v>
      </x:c>
      <x:c r="G1619" t="str">
        <x:v>NO_PIT_FINANCIALS</x:v>
      </x:c>
      <x:c r="H1619"/>
      <x:c r="I1619" s="54" t="n">
        <x:v>44834</x:v>
      </x:c>
      <x:c r="J1619" s="55" t="n">
        <x:v>128200</x:v>
      </x:c>
      <x:c r="K1619" s="55" t="n">
        <x:v>1488869801800</x:v>
      </x:c>
      <x:c r="L1619" s="55" t="n">
        <x:v>11613649</x:v>
      </x:c>
      <x:c r="M1619"/>
      <x:c r="N1619"/>
      <x:c r="O1619" s="54"/>
      <x:c r="P1619"/>
      <x:c r="Q1619"/>
      <x:c r="R1619"/>
      <x:c r="S1619"/>
      <x:c r="T1619"/>
      <x:c r="U1619" s="57"/>
      <x:c r="V1619" s="57"/>
      <x:c r="W1619"/>
      <x:c r="X1619"/>
      <x:c r="Y1619" s="38"/>
      <x:c r="Z1619" s="38"/>
      <x:c r="AA1619"/>
    </x:row>
    <x:row r="1620">
      <x:c r="A1620" s="54" t="n">
        <x:v>44834</x:v>
      </x:c>
      <x:c r="B1620" t="n">
        <x:v>44834.624999988424</x:v>
      </x:c>
      <x:c r="C1620" t="str">
        <x:v>030530</x:v>
      </x:c>
      <x:c r="D1620" t="str">
        <x:v>원익홀딩스</x:v>
      </x:c>
      <x:c r="E1620" t="str">
        <x:v>KOSDAQ</x:v>
      </x:c>
      <x:c r="F1620" t="str">
        <x:v>LARGE</x:v>
      </x:c>
      <x:c r="G1620" t="str">
        <x:v>EXCLUDED_ARCHETYPE</x:v>
      </x:c>
      <x:c r="H1620" t="str">
        <x:v>FCFF_NOT_COMPARABLE_FOR_FINANCE_OR_HOLDING_HINT</x:v>
      </x:c>
      <x:c r="I1620" s="54"/>
      <x:c r="J1620" s="55"/>
      <x:c r="K1620" s="55"/>
      <x:c r="L1620" s="55"/>
      <x:c r="M1620"/>
      <x:c r="N1620"/>
      <x:c r="O1620" s="54"/>
      <x:c r="P1620"/>
      <x:c r="Q1620"/>
      <x:c r="R1620"/>
      <x:c r="S1620"/>
      <x:c r="T1620"/>
      <x:c r="U1620" s="57"/>
      <x:c r="V1620" s="57"/>
      <x:c r="W1620"/>
      <x:c r="X1620"/>
      <x:c r="Y1620" s="38"/>
      <x:c r="Z1620" s="38"/>
      <x:c r="AA1620"/>
    </x:row>
    <x:row r="1621">
      <x:c r="A1621" s="54" t="n">
        <x:v>44834</x:v>
      </x:c>
      <x:c r="B1621" t="n">
        <x:v>44834.624999988424</x:v>
      </x:c>
      <x:c r="C1621" t="str">
        <x:v>220100</x:v>
      </x:c>
      <x:c r="D1621" t="str">
        <x:v>퓨쳐켐</x:v>
      </x:c>
      <x:c r="E1621" t="str">
        <x:v>KOSDAQ</x:v>
      </x:c>
      <x:c r="F1621" t="str">
        <x:v>LARGE</x:v>
      </x:c>
      <x:c r="G1621" t="str">
        <x:v>DCF_SCREENING_EXCLUSION</x:v>
      </x:c>
      <x:c r="H1621" t="str">
        <x:v>NON_POSITIVE_ENTERPRISE_VALUE|NON_POSITIVE_EQUITY_VALUE|NON_POSITIVE_TERMINAL_FCF</x:v>
      </x:c>
      <x:c r="I1621" s="54" t="n">
        <x:v>44834</x:v>
      </x:c>
      <x:c r="J1621" s="55" t="n">
        <x:v>12050</x:v>
      </x:c>
      <x:c r="K1621" s="55" t="n">
        <x:v>164988250550</x:v>
      </x:c>
      <x:c r="L1621" s="55" t="n">
        <x:v>13691971</x:v>
      </x:c>
      <x:c r="M1621" t="str">
        <x:v>20220318000211</x:v>
      </x:c>
      <x:c r="N1621" t="n">
        <x:v>44638.624999988424</x:v>
      </x:c>
      <x:c r="O1621" s="54" t="n">
        <x:v>44561</x:v>
      </x:c>
      <x:c r="P1621" t="str">
        <x:v>False</x:v>
      </x:c>
      <x:c r="Q1621" t="str">
        <x:v>e8465716d8b100d2e997996432799dfdee4265e4572a8ee6033f260045ff58bc</x:v>
      </x:c>
      <x:c r="R1621" t="str">
        <x:v>52e7ad1c2657d6c9f0668d0401e9f6d92724dbb8e5787c654c50a7a789b1fdce</x:v>
      </x:c>
      <x:c r="S1621" t="n">
        <x:v>5</x:v>
      </x:c>
      <x:c r="T1621" t="str">
        <x:v>2018-12-31|2019-12-31|2020-12-31|2021-12-31</x:v>
      </x:c>
      <x:c r="U1621" s="57" t="n">
        <x:v>-2874.1642423662197</x:v>
      </x:c>
      <x:c r="V1621" s="57" t="n">
        <x:v>-1.2385198541382754</x:v>
      </x:c>
      <x:c r="W1621"/>
      <x:c r="X1621"/>
      <x:c r="Y1621" s="38" t="n">
        <x:v>0.6409090909090909</x:v>
      </x:c>
      <x:c r="Z1621" s="38" t="n">
        <x:v>0.7090268120204184</x:v>
      </x:c>
      <x:c r="AA1621" t="str">
        <x:v>NON_POSITIVE_ENTERPRISE_VALUE|NON_POSITIVE_EQUITY_VALUE|NON_POSITIVE_TERMINAL_FCF</x:v>
      </x:c>
    </x:row>
    <x:row r="1622">
      <x:c r="A1622" s="54" t="n">
        <x:v>44834</x:v>
      </x:c>
      <x:c r="B1622" t="n">
        <x:v>44834.624999988424</x:v>
      </x:c>
      <x:c r="C1622" t="str">
        <x:v>416180</x:v>
      </x:c>
      <x:c r="D1622" t="str">
        <x:v>신성에스티</x:v>
      </x:c>
      <x:c r="E1622" t="str">
        <x:v>KOSDAQ</x:v>
      </x:c>
      <x:c r="F1622" t="str">
        <x:v>LARGE</x:v>
      </x:c>
      <x:c r="G1622" t="str">
        <x:v>NOT_LISTED_OR_NO_PRICE</x:v>
      </x:c>
      <x:c r="H1622"/>
      <x:c r="I1622" s="54"/>
      <x:c r="J1622" s="55"/>
      <x:c r="K1622" s="55"/>
      <x:c r="L1622" s="55"/>
      <x:c r="M1622"/>
      <x:c r="N1622"/>
      <x:c r="O1622" s="54"/>
      <x:c r="P1622"/>
      <x:c r="Q1622"/>
      <x:c r="R1622"/>
      <x:c r="S1622"/>
      <x:c r="T1622"/>
      <x:c r="U1622" s="57"/>
      <x:c r="V1622" s="57"/>
      <x:c r="W1622"/>
      <x:c r="X1622"/>
      <x:c r="Y1622" s="38"/>
      <x:c r="Z1622" s="38"/>
      <x:c r="AA1622"/>
    </x:row>
    <x:row r="1623">
      <x:c r="A1623" s="54" t="n">
        <x:v>44834</x:v>
      </x:c>
      <x:c r="B1623" t="n">
        <x:v>44834.624999988424</x:v>
      </x:c>
      <x:c r="C1623" t="str">
        <x:v>082800</x:v>
      </x:c>
      <x:c r="D1623" t="str">
        <x:v>비보존제약</x:v>
      </x:c>
      <x:c r="E1623" t="str">
        <x:v>KOSDAQ</x:v>
      </x:c>
      <x:c r="F1623" t="str">
        <x:v>LARGE</x:v>
      </x:c>
      <x:c r="G1623" t="str">
        <x:v>DCF_SCREENING_EXCLUSION</x:v>
      </x:c>
      <x:c r="H1623" t="str">
        <x:v>NON_POSITIVE_ENTERPRISE_VALUE|NON_POSITIVE_EQUITY_VALUE|NON_POSITIVE_TERMINAL_FCF</x:v>
      </x:c>
      <x:c r="I1623" s="54" t="n">
        <x:v>44834</x:v>
      </x:c>
      <x:c r="J1623" s="55" t="n">
        <x:v>552</x:v>
      </x:c>
      <x:c r="K1623" s="55" t="n">
        <x:v>129191530104</x:v>
      </x:c>
      <x:c r="L1623" s="55" t="n">
        <x:v>234042627</x:v>
      </x:c>
      <x:c r="M1623" t="str">
        <x:v>20220816000816</x:v>
      </x:c>
      <x:c r="N1623" t="n">
        <x:v>44789.624999988424</x:v>
      </x:c>
      <x:c r="O1623" s="54" t="n">
        <x:v>44561</x:v>
      </x:c>
      <x:c r="P1623" t="str">
        <x:v>True</x:v>
      </x:c>
      <x:c r="Q1623" t="str">
        <x:v>d1b42f6f974c4c7a5619cb9724bf3f04646973ec1cddb24e071a509234db6c5e</x:v>
      </x:c>
      <x:c r="R1623" t="str">
        <x:v>951a36c9d216cff62dafc69618445b62bf3dc64216379cefa85d2e8793727e22</x:v>
      </x:c>
      <x:c r="S1623" t="n">
        <x:v>7</x:v>
      </x:c>
      <x:c r="T1623" t="str">
        <x:v>2018-12-31|2019-12-31|2020-12-31|2021-12-31</x:v>
      </x:c>
      <x:c r="U1623" s="57" t="n">
        <x:v>-1051.272654327603</x:v>
      </x:c>
      <x:c r="V1623" s="57" t="n">
        <x:v>-2.9044794462456576</x:v>
      </x:c>
      <x:c r="W1623"/>
      <x:c r="X1623"/>
      <x:c r="Y1623" s="38" t="n">
        <x:v>0.6409090909090909</x:v>
      </x:c>
      <x:c r="Z1623" s="38" t="n">
        <x:v>0.701328758981148</x:v>
      </x:c>
      <x:c r="AA1623" t="str">
        <x:v>NON_POSITIVE_ENTERPRISE_VALUE|NON_POSITIVE_EQUITY_VALUE|NON_POSITIVE_TERMINAL_FCF</x:v>
      </x:c>
    </x:row>
    <x:row r="1624">
      <x:c r="A1624" s="54" t="n">
        <x:v>44834</x:v>
      </x:c>
      <x:c r="B1624" t="n">
        <x:v>44834.624999988424</x:v>
      </x:c>
      <x:c r="C1624" t="str">
        <x:v>204620</x:v>
      </x:c>
      <x:c r="D1624" t="str">
        <x:v>글로벌텍스프리</x:v>
      </x:c>
      <x:c r="E1624" t="str">
        <x:v>KOSDAQ</x:v>
      </x:c>
      <x:c r="F1624" t="str">
        <x:v>LARGE</x:v>
      </x:c>
      <x:c r="G1624" t="str">
        <x:v>DCF_SCREENING_EXCLUSION</x:v>
      </x:c>
      <x:c r="H1624" t="str">
        <x:v>NON_POSITIVE_ENTERPRISE_VALUE|NON_POSITIVE_EQUITY_VALUE|NON_POSITIVE_TERMINAL_FCF</x:v>
      </x:c>
      <x:c r="I1624" s="54" t="n">
        <x:v>44834</x:v>
      </x:c>
      <x:c r="J1624" s="55" t="n">
        <x:v>2440</x:v>
      </x:c>
      <x:c r="K1624" s="55" t="n">
        <x:v>126195926480</x:v>
      </x:c>
      <x:c r="L1624" s="55" t="n">
        <x:v>51719642</x:v>
      </x:c>
      <x:c r="M1624" t="str">
        <x:v>20220816001123</x:v>
      </x:c>
      <x:c r="N1624" t="n">
        <x:v>44789.624999988424</x:v>
      </x:c>
      <x:c r="O1624" s="54" t="n">
        <x:v>44561</x:v>
      </x:c>
      <x:c r="P1624" t="str">
        <x:v>True</x:v>
      </x:c>
      <x:c r="Q1624" t="str">
        <x:v>95da21f4a75f162848ef19f8b801b253a863b689871a6e2c21556719545b6978</x:v>
      </x:c>
      <x:c r="R1624" t="str">
        <x:v>b22b874d08cf1775978e139d5b861967414f0b3649e8d5809dc369f57e8b9e5a</x:v>
      </x:c>
      <x:c r="S1624" t="n">
        <x:v>7</x:v>
      </x:c>
      <x:c r="T1624" t="str">
        <x:v>2018-12-31|2019-12-31|2020-12-31|2021-12-31</x:v>
      </x:c>
      <x:c r="U1624" s="57" t="n">
        <x:v>-658.736736793322</x:v>
      </x:c>
      <x:c r="V1624" s="57" t="n">
        <x:v>-1.2699740724562796</x:v>
      </x:c>
      <x:c r="W1624"/>
      <x:c r="X1624"/>
      <x:c r="Y1624" s="38" t="n">
        <x:v>0.6409090909090909</x:v>
      </x:c>
      <x:c r="Z1624" s="38" t="n">
        <x:v>0.6847952001444609</x:v>
      </x:c>
      <x:c r="AA1624" t="str">
        <x:v>NON_POSITIVE_ENTERPRISE_VALUE|NON_POSITIVE_EQUITY_VALUE|NON_POSITIVE_TERMINAL_FCF</x:v>
      </x:c>
    </x:row>
    <x:row r="1625">
      <x:c r="A1625" s="54" t="n">
        <x:v>44834</x:v>
      </x:c>
      <x:c r="B1625" t="n">
        <x:v>44834.624999988424</x:v>
      </x:c>
      <x:c r="C1625" t="str">
        <x:v>445090</x:v>
      </x:c>
      <x:c r="D1625" t="str">
        <x:v>에이직랜드</x:v>
      </x:c>
      <x:c r="E1625" t="str">
        <x:v>KOSDAQ</x:v>
      </x:c>
      <x:c r="F1625" t="str">
        <x:v>LARGE</x:v>
      </x:c>
      <x:c r="G1625" t="str">
        <x:v>NOT_LISTED_OR_NO_PRICE</x:v>
      </x:c>
      <x:c r="H1625"/>
      <x:c r="I1625" s="54"/>
      <x:c r="J1625" s="55"/>
      <x:c r="K1625" s="55"/>
      <x:c r="L1625" s="55"/>
      <x:c r="M1625"/>
      <x:c r="N1625"/>
      <x:c r="O1625" s="54"/>
      <x:c r="P1625"/>
      <x:c r="Q1625"/>
      <x:c r="R1625"/>
      <x:c r="S1625"/>
      <x:c r="T1625"/>
      <x:c r="U1625" s="57"/>
      <x:c r="V1625" s="57"/>
      <x:c r="W1625"/>
      <x:c r="X1625"/>
      <x:c r="Y1625" s="38"/>
      <x:c r="Z1625" s="38"/>
      <x:c r="AA1625"/>
    </x:row>
    <x:row r="1626">
      <x:c r="A1626" s="54" t="n">
        <x:v>44834</x:v>
      </x:c>
      <x:c r="B1626" t="n">
        <x:v>44834.624999988424</x:v>
      </x:c>
      <x:c r="C1626" t="str">
        <x:v>115450</x:v>
      </x:c>
      <x:c r="D1626" t="str">
        <x:v>HLB테라퓨틱스</x:v>
      </x:c>
      <x:c r="E1626" t="str">
        <x:v>KOSDAQ</x:v>
      </x:c>
      <x:c r="F1626" t="str">
        <x:v>LARGE</x:v>
      </x:c>
      <x:c r="G1626" t="str">
        <x:v>DCF_SCREENING_EXCLUSION</x:v>
      </x:c>
      <x:c r="H1626" t="str">
        <x:v>NON_POSITIVE_ENTERPRISE_VALUE|NON_POSITIVE_EQUITY_VALUE|NON_POSITIVE_TERMINAL_FCF</x:v>
      </x:c>
      <x:c r="I1626" s="54" t="n">
        <x:v>44834</x:v>
      </x:c>
      <x:c r="J1626" s="55" t="n">
        <x:v>14250</x:v>
      </x:c>
      <x:c r="K1626" s="55" t="n">
        <x:v>446526756750</x:v>
      </x:c>
      <x:c r="L1626" s="55" t="n">
        <x:v>31335211</x:v>
      </x:c>
      <x:c r="M1626" t="str">
        <x:v>20220318000493</x:v>
      </x:c>
      <x:c r="N1626" t="n">
        <x:v>44638.624999988424</x:v>
      </x:c>
      <x:c r="O1626" s="54" t="n">
        <x:v>44561</x:v>
      </x:c>
      <x:c r="P1626" t="str">
        <x:v>False</x:v>
      </x:c>
      <x:c r="Q1626" t="str">
        <x:v>19b116bac11eca83c7aadf1511c40a12d291bf58cb4fdf0f9751796946cf89f7</x:v>
      </x:c>
      <x:c r="R1626" t="str">
        <x:v>6796f979a22130ce741de8d61f21d0c70b7305365e669634e21b3a9acc14c7e4</x:v>
      </x:c>
      <x:c r="S1626" t="n">
        <x:v>6</x:v>
      </x:c>
      <x:c r="T1626" t="str">
        <x:v>2018-12-31|2019-12-31|2020-12-31|2021-12-31</x:v>
      </x:c>
      <x:c r="U1626" s="57" t="n">
        <x:v>-2031.1495374094657</x:v>
      </x:c>
      <x:c r="V1626" s="57" t="n">
        <x:v>-1.1425368096427695</x:v>
      </x:c>
      <x:c r="W1626"/>
      <x:c r="X1626"/>
      <x:c r="Y1626" s="38" t="n">
        <x:v>0.6409090909090909</x:v>
      </x:c>
      <x:c r="Z1626" s="38" t="n">
        <x:v>0.7008058105901518</x:v>
      </x:c>
      <x:c r="AA1626" t="str">
        <x:v>NON_POSITIVE_ENTERPRISE_VALUE|NON_POSITIVE_EQUITY_VALUE|NON_POSITIVE_TERMINAL_FCF</x:v>
      </x:c>
    </x:row>
    <x:row r="1627">
      <x:c r="A1627" s="54" t="n">
        <x:v>44834</x:v>
      </x:c>
      <x:c r="B1627" t="n">
        <x:v>44834.624999988424</x:v>
      </x:c>
      <x:c r="C1627" t="str">
        <x:v>035420</x:v>
      </x:c>
      <x:c r="D1627" t="str">
        <x:v>NAVER</x:v>
      </x:c>
      <x:c r="E1627" t="str">
        <x:v>KOSPI</x:v>
      </x:c>
      <x:c r="F1627" t="str">
        <x:v>LARGE</x:v>
      </x:c>
      <x:c r="G1627" t="str">
        <x:v>ELIGIBLE</x:v>
      </x:c>
      <x:c r="H1627"/>
      <x:c r="I1627" s="54" t="n">
        <x:v>44834</x:v>
      </x:c>
      <x:c r="J1627" s="55" t="n">
        <x:v>193500</x:v>
      </x:c>
      <x:c r="K1627" s="55" t="n">
        <x:v>31743497947500</x:v>
      </x:c>
      <x:c r="L1627" s="55" t="n">
        <x:v>164049085</x:v>
      </x:c>
      <x:c r="M1627" t="str">
        <x:v>20220304000687</x:v>
      </x:c>
      <x:c r="N1627" t="n">
        <x:v>44624.624999988424</x:v>
      </x:c>
      <x:c r="O1627" s="54" t="n">
        <x:v>44561</x:v>
      </x:c>
      <x:c r="P1627" t="str">
        <x:v>False</x:v>
      </x:c>
      <x:c r="Q1627" t="str">
        <x:v>8062dc2efd520120838c1783c4c22ec37df88a95ada7b3f569c86f66bca19e98</x:v>
      </x:c>
      <x:c r="R1627" t="str">
        <x:v>b699f0151426f842e3bf3a89f7ccc2473161a634c6656b22467bbaf7ada9edd3</x:v>
      </x:c>
      <x:c r="S1627" t="n">
        <x:v>6</x:v>
      </x:c>
      <x:c r="T1627" t="str">
        <x:v>2018-12-31|2019-12-31|2020-12-31|2021-12-31</x:v>
      </x:c>
      <x:c r="U1627" s="57" t="n">
        <x:v>90110.51803973874</x:v>
      </x:c>
      <x:c r="V1627" s="57" t="n">
        <x:v>-0.534312568270084</x:v>
      </x:c>
      <x:c r="W1627" t="n">
        <x:v>48</x:v>
      </x:c>
      <x:c r="X1627" t="n">
        <x:v>4</x:v>
      </x:c>
      <x:c r="Y1627" s="38" t="n">
        <x:v>0.6409090909090909</x:v>
      </x:c>
      <x:c r="Z1627" s="38" t="n">
        <x:v>0.7130098333809185</x:v>
      </x:c>
      <x:c r="AA1627"/>
    </x:row>
    <x:row r="1628">
      <x:c r="A1628" s="54" t="n">
        <x:v>44834</x:v>
      </x:c>
      <x:c r="B1628" t="n">
        <x:v>44834.624999988424</x:v>
      </x:c>
      <x:c r="C1628" t="str">
        <x:v>030200</x:v>
      </x:c>
      <x:c r="D1628" t="str">
        <x:v>KT</x:v>
      </x:c>
      <x:c r="E1628" t="str">
        <x:v>KOSPI</x:v>
      </x:c>
      <x:c r="F1628" t="str">
        <x:v>LARGE</x:v>
      </x:c>
      <x:c r="G1628" t="str">
        <x:v>ELIGIBLE</x:v>
      </x:c>
      <x:c r="H1628"/>
      <x:c r="I1628" s="54" t="n">
        <x:v>44834</x:v>
      </x:c>
      <x:c r="J1628" s="55" t="n">
        <x:v>36200</x:v>
      </x:c>
      <x:c r="K1628" s="55" t="n">
        <x:v>9452247449600</x:v>
      </x:c>
      <x:c r="L1628" s="55" t="n">
        <x:v>261111808</x:v>
      </x:c>
      <x:c r="M1628" t="str">
        <x:v>20220323001025</x:v>
      </x:c>
      <x:c r="N1628" t="n">
        <x:v>44643.624999988424</x:v>
      </x:c>
      <x:c r="O1628" s="54" t="n">
        <x:v>44561</x:v>
      </x:c>
      <x:c r="P1628" t="str">
        <x:v>False</x:v>
      </x:c>
      <x:c r="Q1628" t="str">
        <x:v>9773eff6dca32e975b54776fef1d2328155afd728302ed27a21c95f6964efe30</x:v>
      </x:c>
      <x:c r="R1628" t="str">
        <x:v>6f61742c132190f81273700516063bc7041cd22ce8b158d3b049602bffce13e3</x:v>
      </x:c>
      <x:c r="S1628" t="n">
        <x:v>6</x:v>
      </x:c>
      <x:c r="T1628" t="str">
        <x:v>2018-12-31|2019-12-31|2020-12-31|2021-12-31</x:v>
      </x:c>
      <x:c r="U1628" s="57" t="n">
        <x:v>49888.059619663385</x:v>
      </x:c>
      <x:c r="V1628" s="57" t="n">
        <x:v>0.37812319391335314</x:v>
      </x:c>
      <x:c r="W1628" t="n">
        <x:v>16</x:v>
      </x:c>
      <x:c r="X1628" t="n">
        <x:v>2</x:v>
      </x:c>
      <x:c r="Y1628" s="38" t="n">
        <x:v>0.6409090909090909</x:v>
      </x:c>
      <x:c r="Z1628" s="38" t="n">
        <x:v>0.664036442335115</x:v>
      </x:c>
      <x:c r="AA1628"/>
    </x:row>
    <x:row r="1629">
      <x:c r="A1629" s="54" t="n">
        <x:v>44834</x:v>
      </x:c>
      <x:c r="B1629" t="n">
        <x:v>44834.624999988424</x:v>
      </x:c>
      <x:c r="C1629" t="str">
        <x:v>018260</x:v>
      </x:c>
      <x:c r="D1629" t="str">
        <x:v>삼성에스디에스</x:v>
      </x:c>
      <x:c r="E1629" t="str">
        <x:v>KOSPI</x:v>
      </x:c>
      <x:c r="F1629" t="str">
        <x:v>LARGE</x:v>
      </x:c>
      <x:c r="G1629" t="str">
        <x:v>ELIGIBLE</x:v>
      </x:c>
      <x:c r="H1629"/>
      <x:c r="I1629" s="54" t="n">
        <x:v>44834</x:v>
      </x:c>
      <x:c r="J1629" s="55" t="n">
        <x:v>115000</x:v>
      </x:c>
      <x:c r="K1629" s="55" t="n">
        <x:v>8898447000000</x:v>
      </x:c>
      <x:c r="L1629" s="55" t="n">
        <x:v>77377800</x:v>
      </x:c>
      <x:c r="M1629" t="str">
        <x:v>20220308000737</x:v>
      </x:c>
      <x:c r="N1629" t="n">
        <x:v>44628.624999988424</x:v>
      </x:c>
      <x:c r="O1629" s="54" t="n">
        <x:v>44561</x:v>
      </x:c>
      <x:c r="P1629" t="str">
        <x:v>False</x:v>
      </x:c>
      <x:c r="Q1629" t="str">
        <x:v>38aa268ec71e5b47b845550cd28018f2fe3009e7cc818f7b44ace1b7a237b51e</x:v>
      </x:c>
      <x:c r="R1629" t="str">
        <x:v>cf1d658682de167bf9e49e741d4c7221903595ba111cb88043d08f3bbe7a9e90</x:v>
      </x:c>
      <x:c r="S1629" t="n">
        <x:v>6</x:v>
      </x:c>
      <x:c r="T1629" t="str">
        <x:v>2018-12-31|2019-12-31|2020-12-31|2021-12-31</x:v>
      </x:c>
      <x:c r="U1629" s="57" t="n">
        <x:v>148624.48194424633</x:v>
      </x:c>
      <x:c r="V1629" s="57" t="n">
        <x:v>0.29238679951518554</x:v>
      </x:c>
      <x:c r="W1629" t="n">
        <x:v>18</x:v>
      </x:c>
      <x:c r="X1629" t="n">
        <x:v>2</x:v>
      </x:c>
      <x:c r="Y1629" s="38" t="n">
        <x:v>0.6409090909090909</x:v>
      </x:c>
      <x:c r="Z1629" s="38" t="n">
        <x:v>0.7444527110580923</x:v>
      </x:c>
      <x:c r="AA1629"/>
    </x:row>
    <x:row r="1630">
      <x:c r="A1630" s="54" t="n">
        <x:v>44834</x:v>
      </x:c>
      <x:c r="B1630" t="n">
        <x:v>44834.624999988424</x:v>
      </x:c>
      <x:c r="C1630" t="str">
        <x:v>090430</x:v>
      </x:c>
      <x:c r="D1630" t="str">
        <x:v>아모레퍼시픽</x:v>
      </x:c>
      <x:c r="E1630" t="str">
        <x:v>KOSPI</x:v>
      </x:c>
      <x:c r="F1630" t="str">
        <x:v>LARGE</x:v>
      </x:c>
      <x:c r="G1630" t="str">
        <x:v>ELIGIBLE</x:v>
      </x:c>
      <x:c r="H1630"/>
      <x:c r="I1630" s="54" t="n">
        <x:v>44834</x:v>
      </x:c>
      <x:c r="J1630" s="55" t="n">
        <x:v>102000</x:v>
      </x:c>
      <x:c r="K1630" s="55" t="n">
        <x:v>5966261418000</x:v>
      </x:c>
      <x:c r="L1630" s="55" t="n">
        <x:v>58492759</x:v>
      </x:c>
      <x:c r="M1630" t="str">
        <x:v>20220316000772</x:v>
      </x:c>
      <x:c r="N1630" t="n">
        <x:v>44636.624999988424</x:v>
      </x:c>
      <x:c r="O1630" s="54" t="n">
        <x:v>44561</x:v>
      </x:c>
      <x:c r="P1630" t="str">
        <x:v>False</x:v>
      </x:c>
      <x:c r="Q1630" t="str">
        <x:v>1f2a22cf38a5f17871d37e4f5dc35c86496866290651a5413ea91f13146c364c</x:v>
      </x:c>
      <x:c r="R1630" t="str">
        <x:v>be8f83dd3d5391a7945fa7f9ac094116afd24bcf4680ddf025b3cbf1c916208e</x:v>
      </x:c>
      <x:c r="S1630" t="n">
        <x:v>6</x:v>
      </x:c>
      <x:c r="T1630" t="str">
        <x:v>2018-12-31|2019-12-31|2020-12-31|2021-12-31</x:v>
      </x:c>
      <x:c r="U1630" s="57" t="n">
        <x:v>51339.05035733971</x:v>
      </x:c>
      <x:c r="V1630" s="57" t="n">
        <x:v>-0.4966759768888264</x:v>
      </x:c>
      <x:c r="W1630" t="n">
        <x:v>46</x:v>
      </x:c>
      <x:c r="X1630" t="n">
        <x:v>4</x:v>
      </x:c>
      <x:c r="Y1630" s="38" t="n">
        <x:v>0.6409090909090909</x:v>
      </x:c>
      <x:c r="Z1630" s="38" t="n">
        <x:v>0.7160228310475385</x:v>
      </x:c>
      <x:c r="AA1630"/>
    </x:row>
    <x:row r="1631">
      <x:c r="A1631" s="54" t="n">
        <x:v>44834</x:v>
      </x:c>
      <x:c r="B1631" t="n">
        <x:v>44834.624999988424</x:v>
      </x:c>
      <x:c r="C1631" t="str">
        <x:v>278470</x:v>
      </x:c>
      <x:c r="D1631" t="str">
        <x:v>에이피알</x:v>
      </x:c>
      <x:c r="E1631" t="str">
        <x:v>KOSPI</x:v>
      </x:c>
      <x:c r="F1631" t="str">
        <x:v>LARGE</x:v>
      </x:c>
      <x:c r="G1631" t="str">
        <x:v>NOT_LISTED_OR_NO_PRICE</x:v>
      </x:c>
      <x:c r="H1631"/>
      <x:c r="I1631" s="54"/>
      <x:c r="J1631" s="55"/>
      <x:c r="K1631" s="55"/>
      <x:c r="L1631" s="55"/>
      <x:c r="M1631"/>
      <x:c r="N1631"/>
      <x:c r="O1631" s="54"/>
      <x:c r="P1631"/>
      <x:c r="Q1631"/>
      <x:c r="R1631"/>
      <x:c r="S1631"/>
      <x:c r="T1631"/>
      <x:c r="U1631" s="57"/>
      <x:c r="V1631" s="57"/>
      <x:c r="W1631"/>
      <x:c r="X1631"/>
      <x:c r="Y1631" s="38"/>
      <x:c r="Z1631" s="38"/>
      <x:c r="AA1631"/>
    </x:row>
    <x:row r="1632">
      <x:c r="A1632" s="54" t="n">
        <x:v>44834</x:v>
      </x:c>
      <x:c r="B1632" t="n">
        <x:v>44834.624999988424</x:v>
      </x:c>
      <x:c r="C1632" t="str">
        <x:v>006260</x:v>
      </x:c>
      <x:c r="D1632" t="str">
        <x:v>LS</x:v>
      </x:c>
      <x:c r="E1632" t="str">
        <x:v>KOSPI</x:v>
      </x:c>
      <x:c r="F1632" t="str">
        <x:v>LARGE</x:v>
      </x:c>
      <x:c r="G1632" t="str">
        <x:v>ELIGIBLE</x:v>
      </x:c>
      <x:c r="H1632"/>
      <x:c r="I1632" s="54" t="n">
        <x:v>44834</x:v>
      </x:c>
      <x:c r="J1632" s="55" t="n">
        <x:v>56700</x:v>
      </x:c>
      <x:c r="K1632" s="55" t="n">
        <x:v>1825740000000</x:v>
      </x:c>
      <x:c r="L1632" s="55" t="n">
        <x:v>32200000</x:v>
      </x:c>
      <x:c r="M1632" t="str">
        <x:v>20220321001306</x:v>
      </x:c>
      <x:c r="N1632" t="n">
        <x:v>44641.624999988424</x:v>
      </x:c>
      <x:c r="O1632" s="54" t="n">
        <x:v>44561</x:v>
      </x:c>
      <x:c r="P1632" t="str">
        <x:v>False</x:v>
      </x:c>
      <x:c r="Q1632" t="str">
        <x:v>fc618c60adc023ca76aeeab8e90a7b9805e086e0e9a3002a54c537bc55178ab9</x:v>
      </x:c>
      <x:c r="R1632" t="str">
        <x:v>ee4dce741094d997c599cb5bd8d6799ab50260dd452eea046c6ccbcbf3e86bb1</x:v>
      </x:c>
      <x:c r="S1632" t="n">
        <x:v>6</x:v>
      </x:c>
      <x:c r="T1632" t="str">
        <x:v>2017-12-31|2018-12-31|2019-12-31|2020-12-31|2021-12-31</x:v>
      </x:c>
      <x:c r="U1632" s="57" t="n">
        <x:v>97062.99213156228</x:v>
      </x:c>
      <x:c r="V1632" s="57" t="n">
        <x:v>0.7118693497630031</x:v>
      </x:c>
      <x:c r="W1632" t="n">
        <x:v>9</x:v>
      </x:c>
      <x:c r="X1632" t="n">
        <x:v>1</x:v>
      </x:c>
      <x:c r="Y1632" s="38" t="n">
        <x:v>0.6409090909090909</x:v>
      </x:c>
      <x:c r="Z1632" s="38" t="n">
        <x:v>0.7104670417334864</x:v>
      </x:c>
      <x:c r="AA1632"/>
    </x:row>
    <x:row r="1633">
      <x:c r="A1633" s="54" t="n">
        <x:v>44834</x:v>
      </x:c>
      <x:c r="B1633" t="n">
        <x:v>44834.624999988424</x:v>
      </x:c>
      <x:c r="C1633" t="str">
        <x:v>454910</x:v>
      </x:c>
      <x:c r="D1633" t="str">
        <x:v>두산로보틱스</x:v>
      </x:c>
      <x:c r="E1633" t="str">
        <x:v>KOSPI</x:v>
      </x:c>
      <x:c r="F1633" t="str">
        <x:v>LARGE</x:v>
      </x:c>
      <x:c r="G1633" t="str">
        <x:v>NOT_LISTED_OR_NO_PRICE</x:v>
      </x:c>
      <x:c r="H1633"/>
      <x:c r="I1633" s="54"/>
      <x:c r="J1633" s="55"/>
      <x:c r="K1633" s="55"/>
      <x:c r="L1633" s="55"/>
      <x:c r="M1633"/>
      <x:c r="N1633"/>
      <x:c r="O1633" s="54"/>
      <x:c r="P1633"/>
      <x:c r="Q1633"/>
      <x:c r="R1633"/>
      <x:c r="S1633"/>
      <x:c r="T1633"/>
      <x:c r="U1633" s="57"/>
      <x:c r="V1633" s="57"/>
      <x:c r="W1633"/>
      <x:c r="X1633"/>
      <x:c r="Y1633" s="38"/>
      <x:c r="Z1633" s="38"/>
      <x:c r="AA1633"/>
    </x:row>
    <x:row r="1634">
      <x:c r="A1634" s="54" t="n">
        <x:v>44834</x:v>
      </x:c>
      <x:c r="B1634" t="n">
        <x:v>44834.624999988424</x:v>
      </x:c>
      <x:c r="C1634" t="str">
        <x:v>012750</x:v>
      </x:c>
      <x:c r="D1634" t="str">
        <x:v>에스원</x:v>
      </x:c>
      <x:c r="E1634" t="str">
        <x:v>KOSPI</x:v>
      </x:c>
      <x:c r="F1634" t="str">
        <x:v>LARGE</x:v>
      </x:c>
      <x:c r="G1634" t="str">
        <x:v>ELIGIBLE</x:v>
      </x:c>
      <x:c r="H1634"/>
      <x:c r="I1634" s="54" t="n">
        <x:v>44834</x:v>
      </x:c>
      <x:c r="J1634" s="55" t="n">
        <x:v>57900</x:v>
      </x:c>
      <x:c r="K1634" s="55" t="n">
        <x:v>2200152406200</x:v>
      </x:c>
      <x:c r="L1634" s="55" t="n">
        <x:v>37999178</x:v>
      </x:c>
      <x:c r="M1634" t="str">
        <x:v>20220308000980</x:v>
      </x:c>
      <x:c r="N1634" t="n">
        <x:v>44628.624999988424</x:v>
      </x:c>
      <x:c r="O1634" s="54" t="n">
        <x:v>44561</x:v>
      </x:c>
      <x:c r="P1634" t="str">
        <x:v>False</x:v>
      </x:c>
      <x:c r="Q1634" t="str">
        <x:v>cec7e2443b6d929ff3ce1f705e82edd95d1335ba81c3abd09d81ee04ce512714</x:v>
      </x:c>
      <x:c r="R1634" t="str">
        <x:v>d0def0bed3ea87eb005eb2ae3f4fbfca3ad3a18c84025c562c37472834ad011a</x:v>
      </x:c>
      <x:c r="S1634" t="n">
        <x:v>6</x:v>
      </x:c>
      <x:c r="T1634" t="str">
        <x:v>2018-12-31|2019-12-31|2020-12-31|2021-12-31</x:v>
      </x:c>
      <x:c r="U1634" s="57" t="n">
        <x:v>47044.103793118324</x:v>
      </x:c>
      <x:c r="V1634" s="57" t="n">
        <x:v>-0.1874938895834486</x:v>
      </x:c>
      <x:c r="W1634" t="n">
        <x:v>30</x:v>
      </x:c>
      <x:c r="X1634" t="n">
        <x:v>3</x:v>
      </x:c>
      <x:c r="Y1634" s="38" t="n">
        <x:v>0.6409090909090909</x:v>
      </x:c>
      <x:c r="Z1634" s="38" t="n">
        <x:v>0.7281119900370651</x:v>
      </x:c>
      <x:c r="AA1634"/>
    </x:row>
    <x:row r="1635">
      <x:c r="A1635" s="54" t="n">
        <x:v>44834</x:v>
      </x:c>
      <x:c r="B1635" t="n">
        <x:v>44834.624999988424</x:v>
      </x:c>
      <x:c r="C1635" t="str">
        <x:v>081660</x:v>
      </x:c>
      <x:c r="D1635" t="str">
        <x:v>미스토홀딩스</x:v>
      </x:c>
      <x:c r="E1635" t="str">
        <x:v>KOSPI</x:v>
      </x:c>
      <x:c r="F1635" t="str">
        <x:v>LARGE</x:v>
      </x:c>
      <x:c r="G1635" t="str">
        <x:v>EXCLUDED_ARCHETYPE</x:v>
      </x:c>
      <x:c r="H1635" t="str">
        <x:v>FCFF_NOT_COMPARABLE_FOR_FINANCE_OR_HOLDING_HINT</x:v>
      </x:c>
      <x:c r="I1635" s="54"/>
      <x:c r="J1635" s="55"/>
      <x:c r="K1635" s="55"/>
      <x:c r="L1635" s="55"/>
      <x:c r="M1635"/>
      <x:c r="N1635"/>
      <x:c r="O1635" s="54"/>
      <x:c r="P1635"/>
      <x:c r="Q1635"/>
      <x:c r="R1635"/>
      <x:c r="S1635"/>
      <x:c r="T1635"/>
      <x:c r="U1635" s="57"/>
      <x:c r="V1635" s="57"/>
      <x:c r="W1635"/>
      <x:c r="X1635"/>
      <x:c r="Y1635" s="38"/>
      <x:c r="Z1635" s="38"/>
      <x:c r="AA1635"/>
    </x:row>
    <x:row r="1636">
      <x:c r="A1636" s="54" t="n">
        <x:v>44834</x:v>
      </x:c>
      <x:c r="B1636" t="n">
        <x:v>44834.624999988424</x:v>
      </x:c>
      <x:c r="C1636" t="str">
        <x:v>282330</x:v>
      </x:c>
      <x:c r="D1636" t="str">
        <x:v>BGF리테일</x:v>
      </x:c>
      <x:c r="E1636" t="str">
        <x:v>KOSPI</x:v>
      </x:c>
      <x:c r="F1636" t="str">
        <x:v>LARGE</x:v>
      </x:c>
      <x:c r="G1636" t="str">
        <x:v>ELIGIBLE</x:v>
      </x:c>
      <x:c r="H1636"/>
      <x:c r="I1636" s="54" t="n">
        <x:v>44834</x:v>
      </x:c>
      <x:c r="J1636" s="55" t="n">
        <x:v>165500</x:v>
      </x:c>
      <x:c r="K1636" s="55" t="n">
        <x:v>2860486443000</x:v>
      </x:c>
      <x:c r="L1636" s="55" t="n">
        <x:v>17283906</x:v>
      </x:c>
      <x:c r="M1636" t="str">
        <x:v>20220321001041</x:v>
      </x:c>
      <x:c r="N1636" t="n">
        <x:v>44641.624999988424</x:v>
      </x:c>
      <x:c r="O1636" s="54" t="n">
        <x:v>44561</x:v>
      </x:c>
      <x:c r="P1636" t="str">
        <x:v>False</x:v>
      </x:c>
      <x:c r="Q1636" t="str">
        <x:v>651736971ff0b9b9188968659f9c2f1ffeb75f8c2930c8ac2af586a189e0cfba</x:v>
      </x:c>
      <x:c r="R1636" t="str">
        <x:v>e0b4f923f8575e89ee093b500db780d210168598911d0b837e7d4ca63024d313</x:v>
      </x:c>
      <x:c r="S1636" t="n">
        <x:v>6</x:v>
      </x:c>
      <x:c r="T1636" t="str">
        <x:v>2018-12-31|2019-12-31|2020-12-31|2021-12-31</x:v>
      </x:c>
      <x:c r="U1636" s="57" t="n">
        <x:v>84617.55770400933</x:v>
      </x:c>
      <x:c r="V1636" s="57" t="n">
        <x:v>-0.48871566341988315</x:v>
      </x:c>
      <x:c r="W1636" t="n">
        <x:v>45</x:v>
      </x:c>
      <x:c r="X1636" t="n">
        <x:v>4</x:v>
      </x:c>
      <x:c r="Y1636" s="38" t="n">
        <x:v>0.6409090909090909</x:v>
      </x:c>
      <x:c r="Z1636" s="38" t="n">
        <x:v>0.7132111125746716</x:v>
      </x:c>
      <x:c r="AA1636"/>
    </x:row>
    <x:row r="1637">
      <x:c r="A1637" s="54" t="n">
        <x:v>44834</x:v>
      </x:c>
      <x:c r="B1637" t="n">
        <x:v>44834.624999988424</x:v>
      </x:c>
      <x:c r="C1637" t="str">
        <x:v>023590</x:v>
      </x:c>
      <x:c r="D1637" t="str">
        <x:v>다우기술</x:v>
      </x:c>
      <x:c r="E1637" t="str">
        <x:v>KOSPI</x:v>
      </x:c>
      <x:c r="F1637" t="str">
        <x:v>LARGE</x:v>
      </x:c>
      <x:c r="G1637" t="str">
        <x:v>ELIGIBLE</x:v>
      </x:c>
      <x:c r="H1637"/>
      <x:c r="I1637" s="54" t="n">
        <x:v>44834</x:v>
      </x:c>
      <x:c r="J1637" s="55" t="n">
        <x:v>17000</x:v>
      </x:c>
      <x:c r="K1637" s="55" t="n">
        <x:v>762732489000</x:v>
      </x:c>
      <x:c r="L1637" s="55" t="n">
        <x:v>44866617</x:v>
      </x:c>
      <x:c r="M1637" t="str">
        <x:v>20220324000698</x:v>
      </x:c>
      <x:c r="N1637" t="n">
        <x:v>44644.624999988424</x:v>
      </x:c>
      <x:c r="O1637" s="54" t="n">
        <x:v>44561</x:v>
      </x:c>
      <x:c r="P1637" t="str">
        <x:v>True</x:v>
      </x:c>
      <x:c r="Q1637" t="str">
        <x:v>d0a46c46e27c8ae567a1dfc53454f300052035b327ed42abee11ed73f4655af4</x:v>
      </x:c>
      <x:c r="R1637" t="str">
        <x:v>8cf29e2e38938abfb231b4a20cb9ee8fe75d696d12fdb390fc02fa850ff809a7</x:v>
      </x:c>
      <x:c r="S1637" t="n">
        <x:v>7</x:v>
      </x:c>
      <x:c r="T1637" t="str">
        <x:v>2015-12-31|2016-12-31|2017-12-31|2018-12-31|2019-12-31|2020-12-31|2021-12-31</x:v>
      </x:c>
      <x:c r="U1637" s="57" t="n">
        <x:v>93413.85451487372</x:v>
      </x:c>
      <x:c r="V1637" s="57" t="n">
        <x:v>4.494932618521983</x:v>
      </x:c>
      <x:c r="W1637" t="n">
        <x:v>3</x:v>
      </x:c>
      <x:c r="X1637" t="n">
        <x:v>1</x:v>
      </x:c>
      <x:c r="Y1637" s="38" t="n">
        <x:v>0.6409090909090909</x:v>
      </x:c>
      <x:c r="Z1637" s="38" t="n">
        <x:v>0.7191763171494087</x:v>
      </x:c>
      <x:c r="AA1637"/>
    </x:row>
    <x:row r="1638">
      <x:c r="A1638" s="54" t="n">
        <x:v>44834</x:v>
      </x:c>
      <x:c r="B1638" t="n">
        <x:v>44834.624999988424</x:v>
      </x:c>
      <x:c r="C1638" t="str">
        <x:v>300720</x:v>
      </x:c>
      <x:c r="D1638" t="str">
        <x:v>한일시멘트</x:v>
      </x:c>
      <x:c r="E1638" t="str">
        <x:v>KOSPI</x:v>
      </x:c>
      <x:c r="F1638" t="str">
        <x:v>LARGE</x:v>
      </x:c>
      <x:c r="G1638" t="str">
        <x:v>ELIGIBLE</x:v>
      </x:c>
      <x:c r="H1638"/>
      <x:c r="I1638" s="54" t="n">
        <x:v>44834</x:v>
      </x:c>
      <x:c r="J1638" s="55" t="n">
        <x:v>11350</x:v>
      </x:c>
      <x:c r="K1638" s="55" t="n">
        <x:v>786118479000</x:v>
      </x:c>
      <x:c r="L1638" s="55" t="n">
        <x:v>69261540</x:v>
      </x:c>
      <x:c r="M1638" t="str">
        <x:v>20220318000879</x:v>
      </x:c>
      <x:c r="N1638" t="n">
        <x:v>44638.624999988424</x:v>
      </x:c>
      <x:c r="O1638" s="54" t="n">
        <x:v>44561</x:v>
      </x:c>
      <x:c r="P1638" t="str">
        <x:v>False</x:v>
      </x:c>
      <x:c r="Q1638" t="str">
        <x:v>b196a80dcf59e61dbe3d67ba0a09efff25d1f6208c8248f423e92d47fe25d712</x:v>
      </x:c>
      <x:c r="R1638" t="str">
        <x:v>ad87301155d8a4e6539ee50da42c0e93e9271ccfed51cff4c306a5b90517ff77</x:v>
      </x:c>
      <x:c r="S1638" t="n">
        <x:v>6</x:v>
      </x:c>
      <x:c r="T1638" t="str">
        <x:v>2019-12-31|2020-12-31|2021-12-31</x:v>
      </x:c>
      <x:c r="U1638" s="57" t="n">
        <x:v>16562.403284589214</x:v>
      </x:c>
      <x:c r="V1638" s="57" t="n">
        <x:v>0.459242580140019</x:v>
      </x:c>
      <x:c r="W1638" t="n">
        <x:v>15</x:v>
      </x:c>
      <x:c r="X1638" t="n">
        <x:v>2</x:v>
      </x:c>
      <x:c r="Y1638" s="38" t="n">
        <x:v>0.6409090909090909</x:v>
      </x:c>
      <x:c r="Z1638" s="38" t="n">
        <x:v>0.7149594422554854</x:v>
      </x:c>
      <x:c r="AA1638"/>
    </x:row>
    <x:row r="1639">
      <x:c r="A1639" s="54" t="n">
        <x:v>44834</x:v>
      </x:c>
      <x:c r="B1639" t="n">
        <x:v>44834.624999988424</x:v>
      </x:c>
      <x:c r="C1639" t="str">
        <x:v>007070</x:v>
      </x:c>
      <x:c r="D1639" t="str">
        <x:v>GS리테일</x:v>
      </x:c>
      <x:c r="E1639" t="str">
        <x:v>KOSPI</x:v>
      </x:c>
      <x:c r="F1639" t="str">
        <x:v>LARGE</x:v>
      </x:c>
      <x:c r="G1639" t="str">
        <x:v>DCF_SCREENING_EXCLUSION</x:v>
      </x:c>
      <x:c r="H1639" t="str">
        <x:v>NON_POSITIVE_EQUITY_VALUE</x:v>
      </x:c>
      <x:c r="I1639" s="54" t="n">
        <x:v>44834</x:v>
      </x:c>
      <x:c r="J1639" s="55" t="n">
        <x:v>25600</x:v>
      </x:c>
      <x:c r="K1639" s="55" t="n">
        <x:v>2680778803200</x:v>
      </x:c>
      <x:c r="L1639" s="55" t="n">
        <x:v>104717922</x:v>
      </x:c>
      <x:c r="M1639" t="str">
        <x:v>20220317001215</x:v>
      </x:c>
      <x:c r="N1639" t="n">
        <x:v>44637.624999988424</x:v>
      </x:c>
      <x:c r="O1639" s="54" t="n">
        <x:v>44561</x:v>
      </x:c>
      <x:c r="P1639" t="str">
        <x:v>False</x:v>
      </x:c>
      <x:c r="Q1639" t="str">
        <x:v>f64b3c79e40a2ceb1645ef31fe31ccca916ab600cdc6d604592b2c3031c2f744</x:v>
      </x:c>
      <x:c r="R1639" t="str">
        <x:v>e9b2f019099ecb24a9c28a1127d88758685b3d86aa672865957d93c7ccc37d57</x:v>
      </x:c>
      <x:c r="S1639" t="n">
        <x:v>6</x:v>
      </x:c>
      <x:c r="T1639" t="str">
        <x:v>2018-12-31|2019-12-31|2020-12-31|2021-12-31</x:v>
      </x:c>
      <x:c r="U1639" s="57" t="n">
        <x:v>-3644.2924059700817</x:v>
      </x:c>
      <x:c r="V1639" s="57" t="n">
        <x:v>-1.1423551721082064</x:v>
      </x:c>
      <x:c r="W1639"/>
      <x:c r="X1639"/>
      <x:c r="Y1639" s="38" t="n">
        <x:v>0.6409090909090909</x:v>
      </x:c>
      <x:c r="Z1639" s="38" t="n">
        <x:v>0.7332893647436171</x:v>
      </x:c>
      <x:c r="AA1639" t="str">
        <x:v>NON_POSITIVE_EQUITY_VALUE</x:v>
      </x:c>
    </x:row>
    <x:row r="1640">
      <x:c r="A1640" s="54" t="n">
        <x:v>44834</x:v>
      </x:c>
      <x:c r="B1640" t="n">
        <x:v>44834.624999988424</x:v>
      </x:c>
      <x:c r="C1640" t="str">
        <x:v>280360</x:v>
      </x:c>
      <x:c r="D1640" t="str">
        <x:v>롯데웰푸드</x:v>
      </x:c>
      <x:c r="E1640" t="str">
        <x:v>KOSPI</x:v>
      </x:c>
      <x:c r="F1640" t="str">
        <x:v>LARGE</x:v>
      </x:c>
      <x:c r="G1640" t="str">
        <x:v>ELIGIBLE</x:v>
      </x:c>
      <x:c r="H1640"/>
      <x:c r="I1640" s="54" t="n">
        <x:v>44834</x:v>
      </x:c>
      <x:c r="J1640" s="55" t="n">
        <x:v>138500</x:v>
      </x:c>
      <x:c r="K1640" s="55" t="n">
        <x:v>1306688499000</x:v>
      </x:c>
      <x:c r="L1640" s="55" t="n">
        <x:v>9434574</x:v>
      </x:c>
      <x:c r="M1640" t="str">
        <x:v>20220315001046</x:v>
      </x:c>
      <x:c r="N1640" t="n">
        <x:v>44635.624999988424</x:v>
      </x:c>
      <x:c r="O1640" s="54" t="n">
        <x:v>44561</x:v>
      </x:c>
      <x:c r="P1640" t="str">
        <x:v>False</x:v>
      </x:c>
      <x:c r="Q1640" t="str">
        <x:v>f16cc84e5e84a78e01941a6d8724081baed110f487f36c5f2e64119753cf828a</x:v>
      </x:c>
      <x:c r="R1640" t="str">
        <x:v>bbe3dc1762297940426e40878e7befb3db43e1bb0b5e630c135b1803aa2730fd</x:v>
      </x:c>
      <x:c r="S1640" t="n">
        <x:v>5</x:v>
      </x:c>
      <x:c r="T1640" t="str">
        <x:v>2018-12-31|2019-12-31|2020-12-31|2021-12-31</x:v>
      </x:c>
      <x:c r="U1640" s="57" t="n">
        <x:v>203001.44722875682</x:v>
      </x:c>
      <x:c r="V1640" s="57" t="n">
        <x:v>0.465714420424237</x:v>
      </x:c>
      <x:c r="W1640" t="n">
        <x:v>14</x:v>
      </x:c>
      <x:c r="X1640" t="n">
        <x:v>1</x:v>
      </x:c>
      <x:c r="Y1640" s="38" t="n">
        <x:v>0.6409090909090909</x:v>
      </x:c>
      <x:c r="Z1640" s="38" t="n">
        <x:v>0.7026857389622789</x:v>
      </x:c>
      <x:c r="AA1640"/>
    </x:row>
    <x:row r="1641">
      <x:c r="A1641" s="54" t="n">
        <x:v>44834</x:v>
      </x:c>
      <x:c r="B1641" t="n">
        <x:v>44834.624999988424</x:v>
      </x:c>
      <x:c r="C1641" t="str">
        <x:v>039130</x:v>
      </x:c>
      <x:c r="D1641" t="str">
        <x:v>하나투어</x:v>
      </x:c>
      <x:c r="E1641" t="str">
        <x:v>KOSPI</x:v>
      </x:c>
      <x:c r="F1641" t="str">
        <x:v>LARGE</x:v>
      </x:c>
      <x:c r="G1641" t="str">
        <x:v>DCF_SCREENING_EXCLUSION</x:v>
      </x:c>
      <x:c r="H1641" t="str">
        <x:v>NON_POSITIVE_ENTERPRISE_VALUE|NON_POSITIVE_EQUITY_VALUE|NON_POSITIVE_TERMINAL_FCF</x:v>
      </x:c>
      <x:c r="I1641" s="54" t="n">
        <x:v>44834</x:v>
      </x:c>
      <x:c r="J1641" s="55" t="n">
        <x:v>53900</x:v>
      </x:c>
      <x:c r="K1641" s="55" t="n">
        <x:v>864512071500</x:v>
      </x:c>
      <x:c r="L1641" s="55" t="n">
        <x:v>16039185</x:v>
      </x:c>
      <x:c r="M1641" t="str">
        <x:v>20220317001007</x:v>
      </x:c>
      <x:c r="N1641" t="n">
        <x:v>44637.624999988424</x:v>
      </x:c>
      <x:c r="O1641" s="54" t="n">
        <x:v>44561</x:v>
      </x:c>
      <x:c r="P1641" t="str">
        <x:v>False</x:v>
      </x:c>
      <x:c r="Q1641" t="str">
        <x:v>5bcb1f2d50c33aafa6183c4f95a41750ae45bdd4edec6bb6a16bbf23458b852a</x:v>
      </x:c>
      <x:c r="R1641" t="str">
        <x:v>05ecb0980a80addf75d2f505184039d4bcbadff414cd00cf37a1f651754c284f</x:v>
      </x:c>
      <x:c r="S1641" t="n">
        <x:v>5</x:v>
      </x:c>
      <x:c r="T1641" t="str">
        <x:v>2018-12-31|2019-12-31|2020-12-31|2021-12-31</x:v>
      </x:c>
      <x:c r="U1641" s="57" t="n">
        <x:v>-12152.441923821247</x:v>
      </x:c>
      <x:c r="V1641" s="57" t="n">
        <x:v>-1.225462744412268</x:v>
      </x:c>
      <x:c r="W1641"/>
      <x:c r="X1641"/>
      <x:c r="Y1641" s="38" t="n">
        <x:v>0.6409090909090909</x:v>
      </x:c>
      <x:c r="Z1641" s="38" t="n">
        <x:v>0.6865240790654953</x:v>
      </x:c>
      <x:c r="AA1641" t="str">
        <x:v>NON_POSITIVE_ENTERPRISE_VALUE|NON_POSITIVE_EQUITY_VALUE|NON_POSITIVE_TERMINAL_FCF</x:v>
      </x:c>
    </x:row>
    <x:row r="1642">
      <x:c r="A1642" s="54" t="n">
        <x:v>44834</x:v>
      </x:c>
      <x:c r="B1642" t="n">
        <x:v>44834.624999988424</x:v>
      </x:c>
      <x:c r="C1642" t="str">
        <x:v>005690</x:v>
      </x:c>
      <x:c r="D1642" t="str">
        <x:v>파미셀</x:v>
      </x:c>
      <x:c r="E1642" t="str">
        <x:v>KOSPI</x:v>
      </x:c>
      <x:c r="F1642" t="str">
        <x:v>LARGE</x:v>
      </x:c>
      <x:c r="G1642" t="str">
        <x:v>ELIGIBLE</x:v>
      </x:c>
      <x:c r="H1642"/>
      <x:c r="I1642" s="54" t="n">
        <x:v>44834</x:v>
      </x:c>
      <x:c r="J1642" s="55" t="n">
        <x:v>10300</x:v>
      </x:c>
      <x:c r="K1642" s="55" t="n">
        <x:v>617577185000</x:v>
      </x:c>
      <x:c r="L1642" s="55" t="n">
        <x:v>59958950</x:v>
      </x:c>
      <x:c r="M1642" t="str">
        <x:v>20220315000612</x:v>
      </x:c>
      <x:c r="N1642" t="n">
        <x:v>44635.624999988424</x:v>
      </x:c>
      <x:c r="O1642" s="54" t="n">
        <x:v>44561</x:v>
      </x:c>
      <x:c r="P1642" t="str">
        <x:v>False</x:v>
      </x:c>
      <x:c r="Q1642" t="str">
        <x:v>c771552e6714a123b5de4fae842ee329f4a2e13c3bf0d7fb1e618ef6fa88916f</x:v>
      </x:c>
      <x:c r="R1642" t="str">
        <x:v>286775aaf5d0ab80a4885d275e6e2006e3ac08a907600682c39f41a095f54439</x:v>
      </x:c>
      <x:c r="S1642" t="n">
        <x:v>6</x:v>
      </x:c>
      <x:c r="T1642" t="str">
        <x:v>2018-12-31|2019-12-31|2020-12-31|2021-12-31</x:v>
      </x:c>
      <x:c r="U1642" s="57" t="n">
        <x:v>942.2444826082835</x:v>
      </x:c>
      <x:c r="V1642" s="57" t="n">
        <x:v>-0.9085199531448268</x:v>
      </x:c>
      <x:c r="W1642" t="n">
        <x:v>66</x:v>
      </x:c>
      <x:c r="X1642" t="n">
        <x:v>5</x:v>
      </x:c>
      <x:c r="Y1642" s="38" t="n">
        <x:v>0.6409090909090909</x:v>
      </x:c>
      <x:c r="Z1642" s="38" t="n">
        <x:v>0.7272764453764741</x:v>
      </x:c>
      <x:c r="AA1642"/>
    </x:row>
    <x:row r="1643">
      <x:c r="A1643" s="54" t="n">
        <x:v>44834</x:v>
      </x:c>
      <x:c r="B1643" t="n">
        <x:v>44834.624999988424</x:v>
      </x:c>
      <x:c r="C1643" t="str">
        <x:v>002030</x:v>
      </x:c>
      <x:c r="D1643" t="str">
        <x:v>아세아</x:v>
      </x:c>
      <x:c r="E1643" t="str">
        <x:v>KOSPI</x:v>
      </x:c>
      <x:c r="F1643" t="str">
        <x:v>LARGE</x:v>
      </x:c>
      <x:c r="G1643" t="str">
        <x:v>ELIGIBLE</x:v>
      </x:c>
      <x:c r="H1643"/>
      <x:c r="I1643" s="54" t="n">
        <x:v>44834</x:v>
      </x:c>
      <x:c r="J1643" s="55" t="n">
        <x:v>102000</x:v>
      </x:c>
      <x:c r="K1643" s="55" t="n">
        <x:v>223484448000</x:v>
      </x:c>
      <x:c r="L1643" s="55" t="n">
        <x:v>2191024</x:v>
      </x:c>
      <x:c r="M1643" t="str">
        <x:v>20220310001179</x:v>
      </x:c>
      <x:c r="N1643" t="n">
        <x:v>44630.624999988424</x:v>
      </x:c>
      <x:c r="O1643" s="54" t="n">
        <x:v>44561</x:v>
      </x:c>
      <x:c r="P1643" t="str">
        <x:v>False</x:v>
      </x:c>
      <x:c r="Q1643" t="str">
        <x:v>e8aa48af423f31c6f0ec59de3ffc4b0afef8af58c02763e735a75a1958951553</x:v>
      </x:c>
      <x:c r="R1643" t="str">
        <x:v>a686171d78d58caea12ee58aef85969ccf53c09680455e066e53afd9bc4b440e</x:v>
      </x:c>
      <x:c r="S1643" t="n">
        <x:v>6</x:v>
      </x:c>
      <x:c r="T1643" t="str">
        <x:v>2018-12-31|2019-12-31|2020-12-31|2021-12-31</x:v>
      </x:c>
      <x:c r="U1643" s="57" t="n">
        <x:v>656764.7552904254</x:v>
      </x:c>
      <x:c r="V1643" s="57" t="n">
        <x:v>5.438870149906132</x:v>
      </x:c>
      <x:c r="W1643" t="n">
        <x:v>2</x:v>
      </x:c>
      <x:c r="X1643" t="n">
        <x:v>1</x:v>
      </x:c>
      <x:c r="Y1643" s="38" t="n">
        <x:v>0.6409090909090909</x:v>
      </x:c>
      <x:c r="Z1643" s="38" t="n">
        <x:v>0.6683222274422937</x:v>
      </x:c>
      <x:c r="AA1643"/>
    </x:row>
    <x:row r="1644">
      <x:c r="A1644" s="54" t="n">
        <x:v>44834</x:v>
      </x:c>
      <x:c r="B1644" t="n">
        <x:v>44834.624999988424</x:v>
      </x:c>
      <x:c r="C1644" t="str">
        <x:v>009410</x:v>
      </x:c>
      <x:c r="D1644" t="str">
        <x:v>태영건설</x:v>
      </x:c>
      <x:c r="E1644" t="str">
        <x:v>KOSPI</x:v>
      </x:c>
      <x:c r="F1644" t="str">
        <x:v>LARGE</x:v>
      </x:c>
      <x:c r="G1644" t="str">
        <x:v>ELIGIBLE</x:v>
      </x:c>
      <x:c r="H1644"/>
      <x:c r="I1644" s="54" t="n">
        <x:v>44834</x:v>
      </x:c>
      <x:c r="J1644" s="55" t="n">
        <x:v>4705</x:v>
      </x:c>
      <x:c r="K1644" s="55" t="n">
        <x:v>183020256090</x:v>
      </x:c>
      <x:c r="L1644" s="55" t="n">
        <x:v>38899098</x:v>
      </x:c>
      <x:c r="M1644" t="str">
        <x:v>20220310001209</x:v>
      </x:c>
      <x:c r="N1644" t="n">
        <x:v>44630.624999988424</x:v>
      </x:c>
      <x:c r="O1644" s="54" t="n">
        <x:v>44561</x:v>
      </x:c>
      <x:c r="P1644" t="str">
        <x:v>False</x:v>
      </x:c>
      <x:c r="Q1644" t="str">
        <x:v>c3c8e2fb094477028fc3b807a9becd53f2d3fcf08a783fff5e8c5b89be705e0c</x:v>
      </x:c>
      <x:c r="R1644" t="str">
        <x:v>7a89d73d15b371faead427ed33d6e7853e8b10667ea5c57638e3913f076fd16b</x:v>
      </x:c>
      <x:c r="S1644" t="n">
        <x:v>6</x:v>
      </x:c>
      <x:c r="T1644" t="str">
        <x:v>2018-12-31|2019-12-31|2020-12-31|2021-12-31</x:v>
      </x:c>
      <x:c r="U1644" s="57" t="n">
        <x:v>54474.001680438516</x:v>
      </x:c>
      <x:c r="V1644" s="57" t="n">
        <x:v>10.577896212633053</x:v>
      </x:c>
      <x:c r="W1644" t="n">
        <x:v>1</x:v>
      </x:c>
      <x:c r="X1644" t="n">
        <x:v>1</x:v>
      </x:c>
      <x:c r="Y1644" s="38" t="n">
        <x:v>0.6409090909090909</x:v>
      </x:c>
      <x:c r="Z1644" s="38" t="n">
        <x:v>0.7547903731869546</x:v>
      </x:c>
      <x:c r="AA1644"/>
    </x:row>
    <x:row r="1645">
      <x:c r="A1645" s="54" t="n">
        <x:v>44834</x:v>
      </x:c>
      <x:c r="B1645" t="n">
        <x:v>44834.624999988424</x:v>
      </x:c>
      <x:c r="C1645" t="str">
        <x:v>010780</x:v>
      </x:c>
      <x:c r="D1645" t="str">
        <x:v>아이에스동서</x:v>
      </x:c>
      <x:c r="E1645" t="str">
        <x:v>KOSPI</x:v>
      </x:c>
      <x:c r="F1645" t="str">
        <x:v>LARGE</x:v>
      </x:c>
      <x:c r="G1645" t="str">
        <x:v>ELIGIBLE</x:v>
      </x:c>
      <x:c r="H1645"/>
      <x:c r="I1645" s="54" t="n">
        <x:v>44834</x:v>
      </x:c>
      <x:c r="J1645" s="55" t="n">
        <x:v>30600</x:v>
      </x:c>
      <x:c r="K1645" s="55" t="n">
        <x:v>945313743600</x:v>
      </x:c>
      <x:c r="L1645" s="55" t="n">
        <x:v>30892606</x:v>
      </x:c>
      <x:c r="M1645" t="str">
        <x:v>20220317001305</x:v>
      </x:c>
      <x:c r="N1645" t="n">
        <x:v>44637.624999988424</x:v>
      </x:c>
      <x:c r="O1645" s="54" t="n">
        <x:v>44561</x:v>
      </x:c>
      <x:c r="P1645" t="str">
        <x:v>False</x:v>
      </x:c>
      <x:c r="Q1645" t="str">
        <x:v>c05e73b24baa90ac74b979ae28f0970a58df3cdddce5db19d9c196bad8831469</x:v>
      </x:c>
      <x:c r="R1645" t="str">
        <x:v>ef4e0e300d3d0d4e3d20d1f5488c803f7fc4c458e06071e652beec181eedc073</x:v>
      </x:c>
      <x:c r="S1645" t="n">
        <x:v>6</x:v>
      </x:c>
      <x:c r="T1645" t="str">
        <x:v>2018-12-31|2019-12-31|2020-12-31|2021-12-31</x:v>
      </x:c>
      <x:c r="U1645" s="57" t="n">
        <x:v>95452.99373152091</x:v>
      </x:c>
      <x:c r="V1645" s="57" t="n">
        <x:v>2.1193788801150624</x:v>
      </x:c>
      <x:c r="W1645" t="n">
        <x:v>6</x:v>
      </x:c>
      <x:c r="X1645" t="n">
        <x:v>1</x:v>
      </x:c>
      <x:c r="Y1645" s="38" t="n">
        <x:v>0.6409090909090909</x:v>
      </x:c>
      <x:c r="Z1645" s="38" t="n">
        <x:v>0.7432360050182876</x:v>
      </x:c>
      <x:c r="AA1645"/>
    </x:row>
    <x:row r="1646">
      <x:c r="A1646" s="54" t="n">
        <x:v>44834</x:v>
      </x:c>
      <x:c r="B1646" t="n">
        <x:v>44834.624999988424</x:v>
      </x:c>
      <x:c r="C1646" t="str">
        <x:v>453340</x:v>
      </x:c>
      <x:c r="D1646" t="str">
        <x:v>현대그린푸드</x:v>
      </x:c>
      <x:c r="E1646" t="str">
        <x:v>KOSPI</x:v>
      </x:c>
      <x:c r="F1646" t="str">
        <x:v>LARGE</x:v>
      </x:c>
      <x:c r="G1646" t="str">
        <x:v>NOT_LISTED_OR_NO_PRICE</x:v>
      </x:c>
      <x:c r="H1646"/>
      <x:c r="I1646" s="54"/>
      <x:c r="J1646" s="55"/>
      <x:c r="K1646" s="55"/>
      <x:c r="L1646" s="55"/>
      <x:c r="M1646"/>
      <x:c r="N1646"/>
      <x:c r="O1646" s="54"/>
      <x:c r="P1646"/>
      <x:c r="Q1646"/>
      <x:c r="R1646"/>
      <x:c r="S1646"/>
      <x:c r="T1646"/>
      <x:c r="U1646" s="57"/>
      <x:c r="V1646" s="57"/>
      <x:c r="W1646"/>
      <x:c r="X1646"/>
      <x:c r="Y1646" s="38"/>
      <x:c r="Z1646" s="38"/>
      <x:c r="AA1646"/>
    </x:row>
    <x:row r="1647">
      <x:c r="A1647" s="54" t="n">
        <x:v>44834</x:v>
      </x:c>
      <x:c r="B1647" t="n">
        <x:v>44834.624999988424</x:v>
      </x:c>
      <x:c r="C1647" t="str">
        <x:v>006220</x:v>
      </x:c>
      <x:c r="D1647" t="str">
        <x:v>제주은행</x:v>
      </x:c>
      <x:c r="E1647" t="str">
        <x:v>KOSPI</x:v>
      </x:c>
      <x:c r="F1647" t="str">
        <x:v>LARGE</x:v>
      </x:c>
      <x:c r="G1647" t="str">
        <x:v>EXCLUDED_ARCHETYPE</x:v>
      </x:c>
      <x:c r="H1647" t="str">
        <x:v>FCFF_NOT_COMPARABLE_FOR_FINANCE_OR_HOLDING_HINT</x:v>
      </x:c>
      <x:c r="I1647" s="54"/>
      <x:c r="J1647" s="55"/>
      <x:c r="K1647" s="55"/>
      <x:c r="L1647" s="55"/>
      <x:c r="M1647"/>
      <x:c r="N1647"/>
      <x:c r="O1647" s="54"/>
      <x:c r="P1647"/>
      <x:c r="Q1647"/>
      <x:c r="R1647"/>
      <x:c r="S1647"/>
      <x:c r="T1647"/>
      <x:c r="U1647" s="57"/>
      <x:c r="V1647" s="57"/>
      <x:c r="W1647"/>
      <x:c r="X1647"/>
      <x:c r="Y1647" s="38"/>
      <x:c r="Z1647" s="38"/>
      <x:c r="AA1647"/>
    </x:row>
    <x:row r="1648">
      <x:c r="A1648" s="54" t="n">
        <x:v>44834</x:v>
      </x:c>
      <x:c r="B1648" t="n">
        <x:v>44834.624999988424</x:v>
      </x:c>
      <x:c r="C1648" t="str">
        <x:v>094800</x:v>
      </x:c>
      <x:c r="D1648" t="str">
        <x:v>맵스리얼티1</x:v>
      </x:c>
      <x:c r="E1648" t="str">
        <x:v>KOSPI</x:v>
      </x:c>
      <x:c r="F1648" t="str">
        <x:v>LARGE</x:v>
      </x:c>
      <x:c r="G1648" t="str">
        <x:v>NO_PIT_FINANCIALS</x:v>
      </x:c>
      <x:c r="H1648"/>
      <x:c r="I1648" s="54" t="n">
        <x:v>44834</x:v>
      </x:c>
      <x:c r="J1648" s="55" t="n">
        <x:v>4180</x:v>
      </x:c>
      <x:c r="K1648" s="55" t="n">
        <x:v>388047503580</x:v>
      </x:c>
      <x:c r="L1648" s="55" t="n">
        <x:v>92834331</x:v>
      </x:c>
      <x:c r="M1648"/>
      <x:c r="N1648"/>
      <x:c r="O1648" s="54"/>
      <x:c r="P1648"/>
      <x:c r="Q1648"/>
      <x:c r="R1648"/>
      <x:c r="S1648"/>
      <x:c r="T1648"/>
      <x:c r="U1648" s="57"/>
      <x:c r="V1648" s="57"/>
      <x:c r="W1648"/>
      <x:c r="X1648"/>
      <x:c r="Y1648" s="38"/>
      <x:c r="Z1648" s="38"/>
      <x:c r="AA1648"/>
    </x:row>
    <x:row r="1649">
      <x:c r="A1649" s="54" t="n">
        <x:v>44834</x:v>
      </x:c>
      <x:c r="B1649" t="n">
        <x:v>44834.624999988424</x:v>
      </x:c>
      <x:c r="C1649" t="str">
        <x:v>003160</x:v>
      </x:c>
      <x:c r="D1649" t="str">
        <x:v>디아이</x:v>
      </x:c>
      <x:c r="E1649" t="str">
        <x:v>KOSPI</x:v>
      </x:c>
      <x:c r="F1649" t="str">
        <x:v>LARGE</x:v>
      </x:c>
      <x:c r="G1649" t="str">
        <x:v>DCF_SCREENING_EXCLUSION</x:v>
      </x:c>
      <x:c r="H1649" t="str">
        <x:v>UNRELIABLE_TERMINAL_VALUE_SHARE</x:v>
      </x:c>
      <x:c r="I1649" s="54" t="n">
        <x:v>44834</x:v>
      </x:c>
      <x:c r="J1649" s="55" t="n">
        <x:v>4255</x:v>
      </x:c>
      <x:c r="K1649" s="55" t="n">
        <x:v>134018820175</x:v>
      </x:c>
      <x:c r="L1649" s="55" t="n">
        <x:v>31496785</x:v>
      </x:c>
      <x:c r="M1649" t="str">
        <x:v>20220317001034</x:v>
      </x:c>
      <x:c r="N1649" t="n">
        <x:v>44637.624999988424</x:v>
      </x:c>
      <x:c r="O1649" s="54" t="n">
        <x:v>44561</x:v>
      </x:c>
      <x:c r="P1649" t="str">
        <x:v>False</x:v>
      </x:c>
      <x:c r="Q1649" t="str">
        <x:v>f840bf80ccdf08030d39622021b7af1faf02c6755d42c5215f867726f3e69083</x:v>
      </x:c>
      <x:c r="R1649" t="str">
        <x:v>2b8b9a9b4b19408dccf729fe8d4593a595aa8d7e61e45153fcf6140e123bbc4d</x:v>
      </x:c>
      <x:c r="S1649" t="n">
        <x:v>6</x:v>
      </x:c>
      <x:c r="T1649" t="str">
        <x:v>2018-12-31|2019-12-31|2020-12-31|2021-12-31</x:v>
      </x:c>
      <x:c r="U1649" s="57" t="n">
        <x:v>869.8230903571238</x:v>
      </x:c>
      <x:c r="V1649" s="57" t="n">
        <x:v>-0.7955762419842247</x:v>
      </x:c>
      <x:c r="W1649"/>
      <x:c r="X1649"/>
      <x:c r="Y1649" s="38" t="n">
        <x:v>0.6409090909090909</x:v>
      </x:c>
      <x:c r="Z1649" s="38" t="n">
        <x:v>0.8713470186696386</x:v>
      </x:c>
      <x:c r="AA1649" t="str">
        <x:v>UNRELIABLE_TERMINAL_VALUE_SHARE</x:v>
      </x:c>
    </x:row>
    <x:row r="1650">
      <x:c r="A1650" s="54" t="n">
        <x:v>44834</x:v>
      </x:c>
      <x:c r="B1650" t="n">
        <x:v>44834.624999988424</x:v>
      </x:c>
      <x:c r="C1650" t="str">
        <x:v>001940</x:v>
      </x:c>
      <x:c r="D1650" t="str">
        <x:v>KISCO홀딩스</x:v>
      </x:c>
      <x:c r="E1650" t="str">
        <x:v>KOSPI</x:v>
      </x:c>
      <x:c r="F1650" t="str">
        <x:v>LARGE</x:v>
      </x:c>
      <x:c r="G1650" t="str">
        <x:v>EXCLUDED_ARCHETYPE</x:v>
      </x:c>
      <x:c r="H1650" t="str">
        <x:v>FCFF_NOT_COMPARABLE_FOR_FINANCE_OR_HOLDING_HINT</x:v>
      </x:c>
      <x:c r="I1650" s="54"/>
      <x:c r="J1650" s="55"/>
      <x:c r="K1650" s="55"/>
      <x:c r="L1650" s="55"/>
      <x:c r="M1650"/>
      <x:c r="N1650"/>
      <x:c r="O1650" s="54"/>
      <x:c r="P1650"/>
      <x:c r="Q1650"/>
      <x:c r="R1650"/>
      <x:c r="S1650"/>
      <x:c r="T1650"/>
      <x:c r="U1650" s="57"/>
      <x:c r="V1650" s="57"/>
      <x:c r="W1650"/>
      <x:c r="X1650"/>
      <x:c r="Y1650" s="38"/>
      <x:c r="Z1650" s="38"/>
      <x:c r="AA1650"/>
    </x:row>
    <x:row r="1651">
      <x:c r="A1651" s="54" t="n">
        <x:v>44834</x:v>
      </x:c>
      <x:c r="B1651" t="n">
        <x:v>44834.624999988424</x:v>
      </x:c>
      <x:c r="C1651" t="str">
        <x:v>009290</x:v>
      </x:c>
      <x:c r="D1651" t="str">
        <x:v>광동제약</x:v>
      </x:c>
      <x:c r="E1651" t="str">
        <x:v>KOSPI</x:v>
      </x:c>
      <x:c r="F1651" t="str">
        <x:v>LARGE</x:v>
      </x:c>
      <x:c r="G1651" t="str">
        <x:v>ELIGIBLE</x:v>
      </x:c>
      <x:c r="H1651"/>
      <x:c r="I1651" s="54" t="n">
        <x:v>44834</x:v>
      </x:c>
      <x:c r="J1651" s="55" t="n">
        <x:v>5920</x:v>
      </x:c>
      <x:c r="K1651" s="55" t="n">
        <x:v>310331437920</x:v>
      </x:c>
      <x:c r="L1651" s="55" t="n">
        <x:v>52420851</x:v>
      </x:c>
      <x:c r="M1651" t="str">
        <x:v>20220317000780</x:v>
      </x:c>
      <x:c r="N1651" t="n">
        <x:v>44637.624999988424</x:v>
      </x:c>
      <x:c r="O1651" s="54" t="n">
        <x:v>44561</x:v>
      </x:c>
      <x:c r="P1651" t="str">
        <x:v>False</x:v>
      </x:c>
      <x:c r="Q1651" t="str">
        <x:v>e44bc3d7ba370690742feb51621cea3aac8cb2c91d5b74a2a0d2498f719e465d</x:v>
      </x:c>
      <x:c r="R1651" t="str">
        <x:v>f31dc408005b1a30eaa364173e3ac5570532c4c28772770059a911b075764aae</x:v>
      </x:c>
      <x:c r="S1651" t="n">
        <x:v>6</x:v>
      </x:c>
      <x:c r="T1651" t="str">
        <x:v>2018-12-31|2019-12-31|2020-12-31|2021-12-31</x:v>
      </x:c>
      <x:c r="U1651" s="57" t="n">
        <x:v>6174.840700813396</x:v>
      </x:c>
      <x:c r="V1651" s="57" t="n">
        <x:v>0.04304741567793864</x:v>
      </x:c>
      <x:c r="W1651" t="n">
        <x:v>22</x:v>
      </x:c>
      <x:c r="X1651" t="n">
        <x:v>2</x:v>
      </x:c>
      <x:c r="Y1651" s="38" t="n">
        <x:v>0.6409090909090909</x:v>
      </x:c>
      <x:c r="Z1651" s="38" t="n">
        <x:v>0.7309033788545352</x:v>
      </x:c>
      <x:c r="AA1651"/>
    </x:row>
    <x:row r="1652">
      <x:c r="A1652" s="54" t="n">
        <x:v>44926</x:v>
      </x:c>
      <x:c r="B1652" t="n">
        <x:v>44926.624999988424</x:v>
      </x:c>
      <x:c r="C1652" t="str">
        <x:v>168330</x:v>
      </x:c>
      <x:c r="D1652" t="str">
        <x:v>내츄럴엔도텍</x:v>
      </x:c>
      <x:c r="E1652" t="str">
        <x:v>KOSDAQ</x:v>
      </x:c>
      <x:c r="F1652" t="str">
        <x:v>SMALL</x:v>
      </x:c>
      <x:c r="G1652" t="str">
        <x:v>DCF_SCREENING_EXCLUSION</x:v>
      </x:c>
      <x:c r="H1652" t="str">
        <x:v>NON_POSITIVE_ENTERPRISE_VALUE|NON_POSITIVE_EQUITY_VALUE|NON_POSITIVE_TERMINAL_FCF</x:v>
      </x:c>
      <x:c r="I1652" s="54" t="n">
        <x:v>44924</x:v>
      </x:c>
      <x:c r="J1652" s="55" t="n">
        <x:v>3250</x:v>
      </x:c>
      <x:c r="K1652" s="55" t="n">
        <x:v>103203425000</x:v>
      </x:c>
      <x:c r="L1652" s="55" t="n">
        <x:v>31754900</x:v>
      </x:c>
      <x:c r="M1652" t="str">
        <x:v>20220321000680</x:v>
      </x:c>
      <x:c r="N1652" t="n">
        <x:v>44641.624999988424</x:v>
      </x:c>
      <x:c r="O1652" s="54" t="n">
        <x:v>44561</x:v>
      </x:c>
      <x:c r="P1652" t="str">
        <x:v>False</x:v>
      </x:c>
      <x:c r="Q1652" t="str">
        <x:v>a22a5e955f0d8d6304d77a81e230013a90d8fa1dbd4663cf29c710f31a85df12</x:v>
      </x:c>
      <x:c r="R1652" t="str">
        <x:v>4a4aae3091fc1f7611ddc20a26e3c3b2d9b6921dfb1cc13ffe134dc183433b0d</x:v>
      </x:c>
      <x:c r="S1652" t="n">
        <x:v>6</x:v>
      </x:c>
      <x:c r="T1652" t="str">
        <x:v>2018-12-31|2019-12-31|2020-12-31|2021-12-31</x:v>
      </x:c>
      <x:c r="U1652" s="57" t="n">
        <x:v>-1103.9311682589619</x:v>
      </x:c>
      <x:c r="V1652" s="57" t="n">
        <x:v>-1.339671128695065</x:v>
      </x:c>
      <x:c r="W1652"/>
      <x:c r="X1652"/>
      <x:c r="Y1652" s="38" t="n">
        <x:v>0.6409090909090909</x:v>
      </x:c>
      <x:c r="Z1652" s="38" t="n">
        <x:v>0.619354619431729</x:v>
      </x:c>
      <x:c r="AA1652" t="str">
        <x:v>NON_POSITIVE_ENTERPRISE_VALUE|NON_POSITIVE_EQUITY_VALUE|NON_POSITIVE_TERMINAL_FCF</x:v>
      </x:c>
    </x:row>
    <x:row r="1653">
      <x:c r="A1653" s="54" t="n">
        <x:v>44926</x:v>
      </x:c>
      <x:c r="B1653" t="n">
        <x:v>44926.624999988424</x:v>
      </x:c>
      <x:c r="C1653" t="str">
        <x:v>120240</x:v>
      </x:c>
      <x:c r="D1653" t="str">
        <x:v>대정화금</x:v>
      </x:c>
      <x:c r="E1653" t="str">
        <x:v>KOSDAQ</x:v>
      </x:c>
      <x:c r="F1653" t="str">
        <x:v>SMALL</x:v>
      </x:c>
      <x:c r="G1653" t="str">
        <x:v>DCF_SCREENING_EXCLUSION</x:v>
      </x:c>
      <x:c r="H1653" t="str">
        <x:v>UNRELIABLE_TERMINAL_VALUE_SHARE</x:v>
      </x:c>
      <x:c r="I1653" s="54" t="n">
        <x:v>44924</x:v>
      </x:c>
      <x:c r="J1653" s="55" t="n">
        <x:v>16050</x:v>
      </x:c>
      <x:c r="K1653" s="55" t="n">
        <x:v>115405775550</x:v>
      </x:c>
      <x:c r="L1653" s="55" t="n">
        <x:v>7190391</x:v>
      </x:c>
      <x:c r="M1653" t="str">
        <x:v>20220316000108</x:v>
      </x:c>
      <x:c r="N1653" t="n">
        <x:v>44636.624999988424</x:v>
      </x:c>
      <x:c r="O1653" s="54" t="n">
        <x:v>44561</x:v>
      </x:c>
      <x:c r="P1653" t="str">
        <x:v>False</x:v>
      </x:c>
      <x:c r="Q1653" t="str">
        <x:v>f2137e4cfbd7dad6e3845236ffc52f6936feb9f558511c760a15158653dc838a</x:v>
      </x:c>
      <x:c r="R1653" t="str">
        <x:v>61d3ec683bbb7c755de94613e6d870afb1cc1a462871743f7b15c8d0e5da5685</x:v>
      </x:c>
      <x:c r="S1653" t="n">
        <x:v>7</x:v>
      </x:c>
      <x:c r="T1653" t="str">
        <x:v>2018-12-31|2019-12-31|2020-12-31|2021-12-31</x:v>
      </x:c>
      <x:c r="U1653" s="57" t="n">
        <x:v>5596.37075362496</x:v>
      </x:c>
      <x:c r="V1653" s="57" t="n">
        <x:v>-0.6513164639486007</x:v>
      </x:c>
      <x:c r="W1653"/>
      <x:c r="X1653"/>
      <x:c r="Y1653" s="38" t="n">
        <x:v>0.6409090909090909</x:v>
      </x:c>
      <x:c r="Z1653" s="38" t="n">
        <x:v>0.905098847871658</x:v>
      </x:c>
      <x:c r="AA1653" t="str">
        <x:v>UNRELIABLE_TERMINAL_VALUE_SHARE</x:v>
      </x:c>
    </x:row>
    <x:row r="1654">
      <x:c r="A1654" s="54" t="n">
        <x:v>44926</x:v>
      </x:c>
      <x:c r="B1654" t="n">
        <x:v>44926.624999988424</x:v>
      </x:c>
      <x:c r="C1654" t="str">
        <x:v>348350</x:v>
      </x:c>
      <x:c r="D1654" t="str">
        <x:v>위드텍</x:v>
      </x:c>
      <x:c r="E1654" t="str">
        <x:v>KOSDAQ</x:v>
      </x:c>
      <x:c r="F1654" t="str">
        <x:v>SMALL</x:v>
      </x:c>
      <x:c r="G1654" t="str">
        <x:v>ELIGIBLE</x:v>
      </x:c>
      <x:c r="H1654"/>
      <x:c r="I1654" s="54" t="n">
        <x:v>44924</x:v>
      </x:c>
      <x:c r="J1654" s="55" t="n">
        <x:v>11250</x:v>
      </x:c>
      <x:c r="K1654" s="55" t="n">
        <x:v>114565500000</x:v>
      </x:c>
      <x:c r="L1654" s="55" t="n">
        <x:v>10183600</x:v>
      </x:c>
      <x:c r="M1654" t="str">
        <x:v>20220318000824</x:v>
      </x:c>
      <x:c r="N1654" t="n">
        <x:v>44638.624999988424</x:v>
      </x:c>
      <x:c r="O1654" s="54" t="n">
        <x:v>44561</x:v>
      </x:c>
      <x:c r="P1654" t="str">
        <x:v>False</x:v>
      </x:c>
      <x:c r="Q1654" t="str">
        <x:v>2729d0c33f8b488b8bb0a85b04599a9c0e44cecbb15645734153885029a189d7</x:v>
      </x:c>
      <x:c r="R1654" t="str">
        <x:v>58c9942c414bf9cc8cb27d803093fff949abdb014db6c15c233a2be5934a2cce</x:v>
      </x:c>
      <x:c r="S1654" t="n">
        <x:v>5</x:v>
      </x:c>
      <x:c r="T1654" t="str">
        <x:v>2020-12-31|2021-12-31</x:v>
      </x:c>
      <x:c r="U1654" s="57" t="n">
        <x:v>12305.808625906286</x:v>
      </x:c>
      <x:c r="V1654" s="57" t="n">
        <x:v>0.09384965563611432</x:v>
      </x:c>
      <x:c r="W1654" t="n">
        <x:v>22</x:v>
      </x:c>
      <x:c r="X1654" t="n">
        <x:v>2</x:v>
      </x:c>
      <x:c r="Y1654" s="38" t="n">
        <x:v>0.6409090909090909</x:v>
      </x:c>
      <x:c r="Z1654" s="38" t="n">
        <x:v>0.6763585407839688</x:v>
      </x:c>
      <x:c r="AA1654"/>
    </x:row>
    <x:row r="1655">
      <x:c r="A1655" s="54" t="n">
        <x:v>44926</x:v>
      </x:c>
      <x:c r="B1655" t="n">
        <x:v>44926.624999988424</x:v>
      </x:c>
      <x:c r="C1655" t="str">
        <x:v>226330</x:v>
      </x:c>
      <x:c r="D1655" t="str">
        <x:v>신테카바이오</x:v>
      </x:c>
      <x:c r="E1655" t="str">
        <x:v>KOSDAQ</x:v>
      </x:c>
      <x:c r="F1655" t="str">
        <x:v>SMALL</x:v>
      </x:c>
      <x:c r="G1655" t="str">
        <x:v>DCF_SCREENING_EXCLUSION</x:v>
      </x:c>
      <x:c r="H1655" t="str">
        <x:v>NON_POSITIVE_ENTERPRISE_VALUE|NON_POSITIVE_TERMINAL_FCF</x:v>
      </x:c>
      <x:c r="I1655" s="54" t="n">
        <x:v>44924</x:v>
      </x:c>
      <x:c r="J1655" s="55" t="n">
        <x:v>8580</x:v>
      </x:c>
      <x:c r="K1655" s="55" t="n">
        <x:v>115982003280</x:v>
      </x:c>
      <x:c r="L1655" s="55" t="n">
        <x:v>13517716</x:v>
      </x:c>
      <x:c r="M1655" t="str">
        <x:v>20220325001075</x:v>
      </x:c>
      <x:c r="N1655" t="n">
        <x:v>44645.624999988424</x:v>
      </x:c>
      <x:c r="O1655" s="54" t="n">
        <x:v>44561</x:v>
      </x:c>
      <x:c r="P1655" t="str">
        <x:v>True</x:v>
      </x:c>
      <x:c r="Q1655" t="str">
        <x:v>f808ed36b40981ed378e9484ce7143a24e427cceb94dcd51686677ebe41823f1</x:v>
      </x:c>
      <x:c r="R1655" t="str">
        <x:v>c21a3b720ce6dc5dcc9b6ddd0e99c2b0090ed76e5c1b0da4deef579abead30de</x:v>
      </x:c>
      <x:c r="S1655" t="n">
        <x:v>5</x:v>
      </x:c>
      <x:c r="T1655" t="str">
        <x:v>2019-12-31|2020-12-31|2021-12-31</x:v>
      </x:c>
      <x:c r="U1655" s="57" t="n">
        <x:v>373.67636286010395</x:v>
      </x:c>
      <x:c r="V1655" s="57" t="n">
        <x:v>-0.9564479763566313</x:v>
      </x:c>
      <x:c r="W1655"/>
      <x:c r="X1655"/>
      <x:c r="Y1655" s="38" t="n">
        <x:v>0.6409090909090909</x:v>
      </x:c>
      <x:c r="Z1655" s="38" t="n">
        <x:v>0.6125806699299453</x:v>
      </x:c>
      <x:c r="AA1655" t="str">
        <x:v>NON_POSITIVE_ENTERPRISE_VALUE|NON_POSITIVE_TERMINAL_FCF</x:v>
      </x:c>
    </x:row>
    <x:row r="1656">
      <x:c r="A1656" s="54" t="n">
        <x:v>44926</x:v>
      </x:c>
      <x:c r="B1656" t="n">
        <x:v>44926.624999988424</x:v>
      </x:c>
      <x:c r="C1656" t="str">
        <x:v>215090</x:v>
      </x:c>
      <x:c r="D1656" t="str">
        <x:v>솔디펜스</x:v>
      </x:c>
      <x:c r="E1656" t="str">
        <x:v>KOSDAQ</x:v>
      </x:c>
      <x:c r="F1656" t="str">
        <x:v>SMALL</x:v>
      </x:c>
      <x:c r="G1656" t="str">
        <x:v>DCF_SCREENING_EXCLUSION</x:v>
      </x:c>
      <x:c r="H1656" t="str">
        <x:v>NON_POSITIVE_ENTERPRISE_VALUE|NON_POSITIVE_EQUITY_VALUE|NON_POSITIVE_TERMINAL_FCF</x:v>
      </x:c>
      <x:c r="I1656" s="54" t="n">
        <x:v>44924</x:v>
      </x:c>
      <x:c r="J1656" s="55" t="n">
        <x:v>1505</x:v>
      </x:c>
      <x:c r="K1656" s="55" t="n">
        <x:v>120843123170</x:v>
      </x:c>
      <x:c r="L1656" s="55" t="n">
        <x:v>80294434</x:v>
      </x:c>
      <x:c r="M1656" t="str">
        <x:v>20220322001144</x:v>
      </x:c>
      <x:c r="N1656" t="n">
        <x:v>44642.624999988424</x:v>
      </x:c>
      <x:c r="O1656" s="54" t="n">
        <x:v>44561</x:v>
      </x:c>
      <x:c r="P1656" t="str">
        <x:v>False</x:v>
      </x:c>
      <x:c r="Q1656" t="str">
        <x:v>40276901574d6aece73f7b57c55892afe00979d1d437551c5f2c2f5483865001</x:v>
      </x:c>
      <x:c r="R1656" t="str">
        <x:v>c26baaa7afd91d68dbd8e191261f96e0eecd1a4c9dbb6ccd89e0a539a09f04a2</x:v>
      </x:c>
      <x:c r="S1656" t="n">
        <x:v>5</x:v>
      </x:c>
      <x:c r="T1656" t="str">
        <x:v>2018-12-31|2019-12-31|2020-12-31|2021-12-31</x:v>
      </x:c>
      <x:c r="U1656" s="57" t="n">
        <x:v>-270.3993691558958</x:v>
      </x:c>
      <x:c r="V1656" s="57" t="n">
        <x:v>-1.179667354920861</x:v>
      </x:c>
      <x:c r="W1656"/>
      <x:c r="X1656"/>
      <x:c r="Y1656" s="38" t="n">
        <x:v>0.6409090909090909</x:v>
      </x:c>
      <x:c r="Z1656" s="38" t="n">
        <x:v>0.5457100409369903</x:v>
      </x:c>
      <x:c r="AA1656" t="str">
        <x:v>NON_POSITIVE_ENTERPRISE_VALUE|NON_POSITIVE_EQUITY_VALUE|NON_POSITIVE_TERMINAL_FCF</x:v>
      </x:c>
    </x:row>
    <x:row r="1657">
      <x:c r="A1657" s="54" t="n">
        <x:v>44926</x:v>
      </x:c>
      <x:c r="B1657" t="n">
        <x:v>44926.624999988424</x:v>
      </x:c>
      <x:c r="C1657" t="str">
        <x:v>185490</x:v>
      </x:c>
      <x:c r="D1657" t="str">
        <x:v>아이진</x:v>
      </x:c>
      <x:c r="E1657" t="str">
        <x:v>KOSDAQ</x:v>
      </x:c>
      <x:c r="F1657" t="str">
        <x:v>SMALL</x:v>
      </x:c>
      <x:c r="G1657" t="str">
        <x:v>DCF_SCREENING_EXCLUSION</x:v>
      </x:c>
      <x:c r="H1657" t="str">
        <x:v>NON_POSITIVE_ENTERPRISE_VALUE|NON_POSITIVE_EQUITY_VALUE|NON_POSITIVE_TERMINAL_FCF</x:v>
      </x:c>
      <x:c r="I1657" s="54" t="n">
        <x:v>44924</x:v>
      </x:c>
      <x:c r="J1657" s="55" t="n">
        <x:v>5030</x:v>
      </x:c>
      <x:c r="K1657" s="55" t="n">
        <x:v>108036050200</x:v>
      </x:c>
      <x:c r="L1657" s="55" t="n">
        <x:v>21478340</x:v>
      </x:c>
      <x:c r="M1657" t="str">
        <x:v>20220517000419</x:v>
      </x:c>
      <x:c r="N1657" t="n">
        <x:v>44699.624999988424</x:v>
      </x:c>
      <x:c r="O1657" s="54" t="n">
        <x:v>44561</x:v>
      </x:c>
      <x:c r="P1657" t="str">
        <x:v>True</x:v>
      </x:c>
      <x:c r="Q1657" t="str">
        <x:v>f4dbab5a9339a0a7c3ea97f743741cd5b1919cb5057738e37251f09b88911162</x:v>
      </x:c>
      <x:c r="R1657" t="str">
        <x:v>bd210d9a68e2dd4917f2f0b1eb65b0afad69632d8ca62da136bddf40bf3300b2</x:v>
      </x:c>
      <x:c r="S1657" t="n">
        <x:v>5</x:v>
      </x:c>
      <x:c r="T1657" t="str">
        <x:v>2018-12-31|2019-12-31|2020-12-31|2021-12-31</x:v>
      </x:c>
      <x:c r="U1657" s="57" t="n">
        <x:v>-138.9088539373143</x:v>
      </x:c>
      <x:c r="V1657" s="57" t="n">
        <x:v>-1.0276160743414144</x:v>
      </x:c>
      <x:c r="W1657"/>
      <x:c r="X1657"/>
      <x:c r="Y1657" s="38" t="n">
        <x:v>0.6409090909090909</x:v>
      </x:c>
      <x:c r="Z1657" s="38" t="n">
        <x:v>0.6188730723228777</x:v>
      </x:c>
      <x:c r="AA1657" t="str">
        <x:v>NON_POSITIVE_ENTERPRISE_VALUE|NON_POSITIVE_EQUITY_VALUE|NON_POSITIVE_TERMINAL_FCF</x:v>
      </x:c>
    </x:row>
    <x:row r="1658">
      <x:c r="A1658" s="54" t="n">
        <x:v>44926</x:v>
      </x:c>
      <x:c r="B1658" t="n">
        <x:v>44926.624999988424</x:v>
      </x:c>
      <x:c r="C1658" t="str">
        <x:v>333620</x:v>
      </x:c>
      <x:c r="D1658" t="str">
        <x:v>엔시스</x:v>
      </x:c>
      <x:c r="E1658" t="str">
        <x:v>KOSDAQ</x:v>
      </x:c>
      <x:c r="F1658" t="str">
        <x:v>SMALL</x:v>
      </x:c>
      <x:c r="G1658" t="str">
        <x:v>ELIGIBLE</x:v>
      </x:c>
      <x:c r="H1658"/>
      <x:c r="I1658" s="54" t="n">
        <x:v>44924</x:v>
      </x:c>
      <x:c r="J1658" s="55" t="n">
        <x:v>9960</x:v>
      </x:c>
      <x:c r="K1658" s="55" t="n">
        <x:v>105141186240</x:v>
      </x:c>
      <x:c r="L1658" s="55" t="n">
        <x:v>10556344</x:v>
      </x:c>
      <x:c r="M1658" t="str">
        <x:v>20220323000235</x:v>
      </x:c>
      <x:c r="N1658" t="n">
        <x:v>44643.624999988424</x:v>
      </x:c>
      <x:c r="O1658" s="54" t="n">
        <x:v>44561</x:v>
      </x:c>
      <x:c r="P1658" t="str">
        <x:v>False</x:v>
      </x:c>
      <x:c r="Q1658" t="str">
        <x:v>e79b7284eff2a90a38ec72f27d71732356db7a1e9c984d4a7d2b48c420d4b839</x:v>
      </x:c>
      <x:c r="R1658" t="str">
        <x:v>7e006979238b4411b427ffb934ead83cbe683db6f50d7f091e2667e348d04d7b</x:v>
      </x:c>
      <x:c r="S1658" t="n">
        <x:v>6</x:v>
      </x:c>
      <x:c r="T1658" t="str">
        <x:v>2020-12-31|2021-12-31</x:v>
      </x:c>
      <x:c r="U1658" s="57" t="n">
        <x:v>5977.9445546388615</x:v>
      </x:c>
      <x:c r="V1658" s="57" t="n">
        <x:v>-0.3998047635904758</x:v>
      </x:c>
      <x:c r="W1658" t="n">
        <x:v>41</x:v>
      </x:c>
      <x:c r="X1658" t="n">
        <x:v>4</x:v>
      </x:c>
      <x:c r="Y1658" s="38" t="n">
        <x:v>0.6409090909090909</x:v>
      </x:c>
      <x:c r="Z1658" s="38" t="n">
        <x:v>0.6935321663021952</x:v>
      </x:c>
      <x:c r="AA1658"/>
    </x:row>
    <x:row r="1659">
      <x:c r="A1659" s="54" t="n">
        <x:v>44926</x:v>
      </x:c>
      <x:c r="B1659" t="n">
        <x:v>44926.624999988424</x:v>
      </x:c>
      <x:c r="C1659" t="str">
        <x:v>036710</x:v>
      </x:c>
      <x:c r="D1659" t="str">
        <x:v>심텍홀딩스</x:v>
      </x:c>
      <x:c r="E1659" t="str">
        <x:v>KOSDAQ</x:v>
      </x:c>
      <x:c r="F1659" t="str">
        <x:v>SMALL</x:v>
      </x:c>
      <x:c r="G1659" t="str">
        <x:v>EXCLUDED_ARCHETYPE</x:v>
      </x:c>
      <x:c r="H1659" t="str">
        <x:v>FCFF_NOT_COMPARABLE_FOR_FINANCE_OR_HOLDING_HINT</x:v>
      </x:c>
      <x:c r="I1659" s="54"/>
      <x:c r="J1659" s="55"/>
      <x:c r="K1659" s="55"/>
      <x:c r="L1659" s="55"/>
      <x:c r="M1659"/>
      <x:c r="N1659"/>
      <x:c r="O1659" s="54"/>
      <x:c r="P1659"/>
      <x:c r="Q1659"/>
      <x:c r="R1659"/>
      <x:c r="S1659"/>
      <x:c r="T1659"/>
      <x:c r="U1659" s="57"/>
      <x:c r="V1659" s="57"/>
      <x:c r="W1659"/>
      <x:c r="X1659"/>
      <x:c r="Y1659" s="38"/>
      <x:c r="Z1659" s="38"/>
      <x:c r="AA1659"/>
    </x:row>
    <x:row r="1660">
      <x:c r="A1660" s="54" t="n">
        <x:v>44926</x:v>
      </x:c>
      <x:c r="B1660" t="n">
        <x:v>44926.624999988424</x:v>
      </x:c>
      <x:c r="C1660" t="str">
        <x:v>049480</x:v>
      </x:c>
      <x:c r="D1660" t="str">
        <x:v>오픈베이스</x:v>
      </x:c>
      <x:c r="E1660" t="str">
        <x:v>KOSDAQ</x:v>
      </x:c>
      <x:c r="F1660" t="str">
        <x:v>SMALL</x:v>
      </x:c>
      <x:c r="G1660" t="str">
        <x:v>ELIGIBLE</x:v>
      </x:c>
      <x:c r="H1660"/>
      <x:c r="I1660" s="54" t="n">
        <x:v>44924</x:v>
      </x:c>
      <x:c r="J1660" s="55" t="n">
        <x:v>2690</x:v>
      </x:c>
      <x:c r="K1660" s="55" t="n">
        <x:v>84526210270</x:v>
      </x:c>
      <x:c r="L1660" s="55" t="n">
        <x:v>31422383</x:v>
      </x:c>
      <x:c r="M1660" t="str">
        <x:v>20220331000651</x:v>
      </x:c>
      <x:c r="N1660" t="n">
        <x:v>44651.624999988424</x:v>
      </x:c>
      <x:c r="O1660" s="54" t="n">
        <x:v>44561</x:v>
      </x:c>
      <x:c r="P1660" t="str">
        <x:v>True</x:v>
      </x:c>
      <x:c r="Q1660" t="str">
        <x:v>cd2fefca2ce620b233077ae0bdfb74587d3594740b8d2de6a681f1e5c21247bb</x:v>
      </x:c>
      <x:c r="R1660" t="str">
        <x:v>ceae9fb7724f25d07ef1071bcc2056646414fd83d98510811882559b5191e7d6</x:v>
      </x:c>
      <x:c r="S1660" t="n">
        <x:v>6</x:v>
      </x:c>
      <x:c r="T1660" t="str">
        <x:v>2018-12-31|2019-12-31|2020-12-31|2021-12-31</x:v>
      </x:c>
      <x:c r="U1660" s="57" t="n">
        <x:v>1607.4184644032093</x:v>
      </x:c>
      <x:c r="V1660" s="57" t="n">
        <x:v>-0.40244666750810065</x:v>
      </x:c>
      <x:c r="W1660" t="n">
        <x:v>42</x:v>
      </x:c>
      <x:c r="X1660" t="n">
        <x:v>4</x:v>
      </x:c>
      <x:c r="Y1660" s="38" t="n">
        <x:v>0.6409090909090909</x:v>
      </x:c>
      <x:c r="Z1660" s="38" t="n">
        <x:v>0.5397986934105109</x:v>
      </x:c>
      <x:c r="AA1660"/>
    </x:row>
    <x:row r="1661">
      <x:c r="A1661" s="54" t="n">
        <x:v>44926</x:v>
      </x:c>
      <x:c r="B1661" t="n">
        <x:v>44926.624999988424</x:v>
      </x:c>
      <x:c r="C1661" t="str">
        <x:v>302430</x:v>
      </x:c>
      <x:c r="D1661" t="str">
        <x:v>이노메트리</x:v>
      </x:c>
      <x:c r="E1661" t="str">
        <x:v>KOSDAQ</x:v>
      </x:c>
      <x:c r="F1661" t="str">
        <x:v>SMALL</x:v>
      </x:c>
      <x:c r="G1661" t="str">
        <x:v>ELIGIBLE</x:v>
      </x:c>
      <x:c r="H1661"/>
      <x:c r="I1661" s="54" t="n">
        <x:v>44924</x:v>
      </x:c>
      <x:c r="J1661" s="55" t="n">
        <x:v>12850</x:v>
      </x:c>
      <x:c r="K1661" s="55" t="n">
        <x:v>126356722800</x:v>
      </x:c>
      <x:c r="L1661" s="55" t="n">
        <x:v>9833208</x:v>
      </x:c>
      <x:c r="M1661" t="str">
        <x:v>20220316000910</x:v>
      </x:c>
      <x:c r="N1661" t="n">
        <x:v>44636.624999988424</x:v>
      </x:c>
      <x:c r="O1661" s="54" t="n">
        <x:v>44561</x:v>
      </x:c>
      <x:c r="P1661" t="str">
        <x:v>False</x:v>
      </x:c>
      <x:c r="Q1661" t="str">
        <x:v>62f74c705c0287867a4c198ce0da7e369d5f1ba7b5afee44ee823211b781ac7d</x:v>
      </x:c>
      <x:c r="R1661" t="str">
        <x:v>1802b265b988d32d7ea737dd304269e072d114d979a13e4fa1f7d910c3227b5f</x:v>
      </x:c>
      <x:c r="S1661" t="n">
        <x:v>6</x:v>
      </x:c>
      <x:c r="T1661" t="str">
        <x:v>2018-12-31|2019-12-31|2020-12-31|2021-12-31</x:v>
      </x:c>
      <x:c r="U1661" s="57" t="n">
        <x:v>2119.7587558255723</x:v>
      </x:c>
      <x:c r="V1661" s="57" t="n">
        <x:v>-0.8350382291186325</x:v>
      </x:c>
      <x:c r="W1661" t="n">
        <x:v>63</x:v>
      </x:c>
      <x:c r="X1661" t="n">
        <x:v>5</x:v>
      </x:c>
      <x:c r="Y1661" s="38" t="n">
        <x:v>0.6409090909090909</x:v>
      </x:c>
      <x:c r="Z1661" s="38" t="n">
        <x:v>0.7873695239620717</x:v>
      </x:c>
      <x:c r="AA1661"/>
    </x:row>
    <x:row r="1662">
      <x:c r="A1662" s="54" t="n">
        <x:v>44926</x:v>
      </x:c>
      <x:c r="B1662" t="n">
        <x:v>44926.624999988424</x:v>
      </x:c>
      <x:c r="C1662" t="str">
        <x:v>288620</x:v>
      </x:c>
      <x:c r="D1662" t="str">
        <x:v>에스퓨얼셀</x:v>
      </x:c>
      <x:c r="E1662" t="str">
        <x:v>KOSDAQ</x:v>
      </x:c>
      <x:c r="F1662" t="str">
        <x:v>SMALL</x:v>
      </x:c>
      <x:c r="G1662" t="str">
        <x:v>DCF_SCREENING_EXCLUSION</x:v>
      </x:c>
      <x:c r="H1662" t="str">
        <x:v>NON_POSITIVE_EQUITY_VALUE|UNRELIABLE_TERMINAL_VALUE_SHARE</x:v>
      </x:c>
      <x:c r="I1662" s="54" t="n">
        <x:v>44924</x:v>
      </x:c>
      <x:c r="J1662" s="55" t="n">
        <x:v>20300</x:v>
      </x:c>
      <x:c r="K1662" s="55" t="n">
        <x:v>139548614800</x:v>
      </x:c>
      <x:c r="L1662" s="55" t="n">
        <x:v>6874316</x:v>
      </x:c>
      <x:c r="M1662" t="str">
        <x:v>20220816001210</x:v>
      </x:c>
      <x:c r="N1662" t="n">
        <x:v>44789.624999988424</x:v>
      </x:c>
      <x:c r="O1662" s="54" t="n">
        <x:v>44561</x:v>
      </x:c>
      <x:c r="P1662" t="str">
        <x:v>True</x:v>
      </x:c>
      <x:c r="Q1662" t="str">
        <x:v>5d20c749bc08c24c587bbc0fa84f85b0a30a4aa0a8ce40fd58e933e12cbfaec0</x:v>
      </x:c>
      <x:c r="R1662" t="str">
        <x:v>6d7573ba2ed607d440a6be3b8340e90b3ed2c8134a26e84fc27053c727a9dee3</x:v>
      </x:c>
      <x:c r="S1662" t="n">
        <x:v>6</x:v>
      </x:c>
      <x:c r="T1662" t="str">
        <x:v>2018-12-31|2019-12-31|2020-12-31|2021-12-31</x:v>
      </x:c>
      <x:c r="U1662" s="57" t="n">
        <x:v>-1554.5731783956426</x:v>
      </x:c>
      <x:c r="V1662" s="57" t="n">
        <x:v>-1.076579959526879</x:v>
      </x:c>
      <x:c r="W1662"/>
      <x:c r="X1662"/>
      <x:c r="Y1662" s="38" t="n">
        <x:v>0.6409090909090909</x:v>
      </x:c>
      <x:c r="Z1662" s="38" t="n">
        <x:v>1.56886999524186</x:v>
      </x:c>
      <x:c r="AA1662" t="str">
        <x:v>NON_POSITIVE_EQUITY_VALUE|UNRELIABLE_TERMINAL_VALUE_SHARE</x:v>
      </x:c>
    </x:row>
    <x:row r="1663">
      <x:c r="A1663" s="54" t="n">
        <x:v>44926</x:v>
      </x:c>
      <x:c r="B1663" t="n">
        <x:v>44926.624999988424</x:v>
      </x:c>
      <x:c r="C1663" t="str">
        <x:v>094840</x:v>
      </x:c>
      <x:c r="D1663" t="str">
        <x:v>슈프리마에이치큐</x:v>
      </x:c>
      <x:c r="E1663" t="str">
        <x:v>KOSDAQ</x:v>
      </x:c>
      <x:c r="F1663" t="str">
        <x:v>SMALL</x:v>
      </x:c>
      <x:c r="G1663" t="str">
        <x:v>ELIGIBLE</x:v>
      </x:c>
      <x:c r="H1663"/>
      <x:c r="I1663" s="54" t="n">
        <x:v>44924</x:v>
      </x:c>
      <x:c r="J1663" s="55" t="n">
        <x:v>5400</x:v>
      </x:c>
      <x:c r="K1663" s="55" t="n">
        <x:v>56547936000</x:v>
      </x:c>
      <x:c r="L1663" s="55" t="n">
        <x:v>10471840</x:v>
      </x:c>
      <x:c r="M1663" t="str">
        <x:v>20220315001144</x:v>
      </x:c>
      <x:c r="N1663" t="n">
        <x:v>44635.624999988424</x:v>
      </x:c>
      <x:c r="O1663" s="54" t="n">
        <x:v>44561</x:v>
      </x:c>
      <x:c r="P1663" t="str">
        <x:v>False</x:v>
      </x:c>
      <x:c r="Q1663" t="str">
        <x:v>3055b44bdf1a0bc3f1c2b63955ecab3f1f8befbe36f39b51c0ee4f27cc1e2216</x:v>
      </x:c>
      <x:c r="R1663" t="str">
        <x:v>0a9461d98757f448405ad4567d4387ef3bd81a693a35a4285e52fba80d932a13</x:v>
      </x:c>
      <x:c r="S1663" t="n">
        <x:v>6</x:v>
      </x:c>
      <x:c r="T1663" t="str">
        <x:v>2018-12-31|2019-12-31|2020-12-31|2021-12-31</x:v>
      </x:c>
      <x:c r="U1663" s="57" t="n">
        <x:v>5564.559591376181</x:v>
      </x:c>
      <x:c r="V1663" s="57" t="n">
        <x:v>0.03047399840299644</x:v>
      </x:c>
      <x:c r="W1663" t="n">
        <x:v>24</x:v>
      </x:c>
      <x:c r="X1663" t="n">
        <x:v>2</x:v>
      </x:c>
      <x:c r="Y1663" s="38" t="n">
        <x:v>0.6409090909090909</x:v>
      </x:c>
      <x:c r="Z1663" s="38" t="n">
        <x:v>0.6038666227370082</x:v>
      </x:c>
      <x:c r="AA1663"/>
    </x:row>
    <x:row r="1664">
      <x:c r="A1664" s="54" t="n">
        <x:v>44926</x:v>
      </x:c>
      <x:c r="B1664" t="n">
        <x:v>44926.624999988424</x:v>
      </x:c>
      <x:c r="C1664" t="str">
        <x:v>019990</x:v>
      </x:c>
      <x:c r="D1664" t="str">
        <x:v>에너토크</x:v>
      </x:c>
      <x:c r="E1664" t="str">
        <x:v>KOSDAQ</x:v>
      </x:c>
      <x:c r="F1664" t="str">
        <x:v>SMALL</x:v>
      </x:c>
      <x:c r="G1664" t="str">
        <x:v>DCF_SCREENING_EXCLUSION</x:v>
      </x:c>
      <x:c r="H1664" t="str">
        <x:v>NON_POSITIVE_ENTERPRISE_VALUE|NON_POSITIVE_EQUITY_VALUE|NON_POSITIVE_TERMINAL_FCF</x:v>
      </x:c>
      <x:c r="I1664" s="54" t="n">
        <x:v>44924</x:v>
      </x:c>
      <x:c r="J1664" s="55" t="n">
        <x:v>9950</x:v>
      </x:c>
      <x:c r="K1664" s="55" t="n">
        <x:v>97073075600</x:v>
      </x:c>
      <x:c r="L1664" s="55" t="n">
        <x:v>9756088</x:v>
      </x:c>
      <x:c r="M1664" t="str">
        <x:v>20220317001066</x:v>
      </x:c>
      <x:c r="N1664" t="n">
        <x:v>44637.624999988424</x:v>
      </x:c>
      <x:c r="O1664" s="54" t="n">
        <x:v>44561</x:v>
      </x:c>
      <x:c r="P1664" t="str">
        <x:v>False</x:v>
      </x:c>
      <x:c r="Q1664" t="str">
        <x:v>089b7c92444a9ef621a7bf8f5273ef6fdef7220071b096c9fe7f43e742e55092</x:v>
      </x:c>
      <x:c r="R1664" t="str">
        <x:v>35368cfe0bb7705445e965c9724628dcf461681b5765679f98fd5eb478d15561</x:v>
      </x:c>
      <x:c r="S1664" t="n">
        <x:v>7</x:v>
      </x:c>
      <x:c r="T1664" t="str">
        <x:v>2018-12-31|2019-12-31|2020-12-31|2021-12-31</x:v>
      </x:c>
      <x:c r="U1664" s="57" t="n">
        <x:v>-456.7175493444326</x:v>
      </x:c>
      <x:c r="V1664" s="57" t="n">
        <x:v>-1.0459012612406464</x:v>
      </x:c>
      <x:c r="W1664"/>
      <x:c r="X1664"/>
      <x:c r="Y1664" s="38" t="n">
        <x:v>0.6409090909090909</x:v>
      </x:c>
      <x:c r="Z1664" s="38" t="n">
        <x:v>0.7116290567781939</x:v>
      </x:c>
      <x:c r="AA1664" t="str">
        <x:v>NON_POSITIVE_ENTERPRISE_VALUE|NON_POSITIVE_EQUITY_VALUE|NON_POSITIVE_TERMINAL_FCF</x:v>
      </x:c>
    </x:row>
    <x:row r="1665">
      <x:c r="A1665" s="54" t="n">
        <x:v>44926</x:v>
      </x:c>
      <x:c r="B1665" t="n">
        <x:v>44926.624999988424</x:v>
      </x:c>
      <x:c r="C1665" t="str">
        <x:v>024740</x:v>
      </x:c>
      <x:c r="D1665" t="str">
        <x:v>한일단조</x:v>
      </x:c>
      <x:c r="E1665" t="str">
        <x:v>KOSDAQ</x:v>
      </x:c>
      <x:c r="F1665" t="str">
        <x:v>SMALL</x:v>
      </x:c>
      <x:c r="G1665" t="str">
        <x:v>DCF_SCREENING_EXCLUSION</x:v>
      </x:c>
      <x:c r="H1665" t="str">
        <x:v>NON_POSITIVE_ENTERPRISE_VALUE|NON_POSITIVE_EQUITY_VALUE|NON_POSITIVE_TERMINAL_FCF</x:v>
      </x:c>
      <x:c r="I1665" s="54" t="n">
        <x:v>44924</x:v>
      </x:c>
      <x:c r="J1665" s="55" t="n">
        <x:v>2510</x:v>
      </x:c>
      <x:c r="K1665" s="55" t="n">
        <x:v>75649941690</x:v>
      </x:c>
      <x:c r="L1665" s="55" t="n">
        <x:v>30139419</x:v>
      </x:c>
      <x:c r="M1665" t="str">
        <x:v>20220321001231</x:v>
      </x:c>
      <x:c r="N1665" t="n">
        <x:v>44641.624999988424</x:v>
      </x:c>
      <x:c r="O1665" s="54" t="n">
        <x:v>44561</x:v>
      </x:c>
      <x:c r="P1665" t="str">
        <x:v>False</x:v>
      </x:c>
      <x:c r="Q1665" t="str">
        <x:v>077840fee17f9af01264f3120dec1ee29756194c7c19af5659e583de5ce8f598</x:v>
      </x:c>
      <x:c r="R1665" t="str">
        <x:v>9d7fb519c7e09e3d52a3f8a4abbfcc60bd191659ab3ce71252b605384b0a1be2</x:v>
      </x:c>
      <x:c r="S1665" t="n">
        <x:v>7</x:v>
      </x:c>
      <x:c r="T1665" t="str">
        <x:v>2018-12-31|2019-12-31|2020-12-31|2021-12-31</x:v>
      </x:c>
      <x:c r="U1665" s="57" t="n">
        <x:v>-3328.859782520526</x:v>
      </x:c>
      <x:c r="V1665" s="57" t="n">
        <x:v>-2.3262389571794926</x:v>
      </x:c>
      <x:c r="W1665"/>
      <x:c r="X1665"/>
      <x:c r="Y1665" s="38" t="n">
        <x:v>0.6409090909090909</x:v>
      </x:c>
      <x:c r="Z1665" s="38" t="n">
        <x:v>0.40181597915254924</x:v>
      </x:c>
      <x:c r="AA1665" t="str">
        <x:v>NON_POSITIVE_ENTERPRISE_VALUE|NON_POSITIVE_EQUITY_VALUE|NON_POSITIVE_TERMINAL_FCF</x:v>
      </x:c>
    </x:row>
    <x:row r="1666">
      <x:c r="A1666" s="54" t="n">
        <x:v>44926</x:v>
      </x:c>
      <x:c r="B1666" t="n">
        <x:v>44926.624999988424</x:v>
      </x:c>
      <x:c r="C1666" t="str">
        <x:v>340930</x:v>
      </x:c>
      <x:c r="D1666" t="str">
        <x:v>유일에너테크</x:v>
      </x:c>
      <x:c r="E1666" t="str">
        <x:v>KOSDAQ</x:v>
      </x:c>
      <x:c r="F1666" t="str">
        <x:v>SMALL</x:v>
      </x:c>
      <x:c r="G1666" t="str">
        <x:v>DCF_SCREENING_EXCLUSION</x:v>
      </x:c>
      <x:c r="H1666" t="str">
        <x:v>NON_POSITIVE_ENTERPRISE_VALUE|NON_POSITIVE_EQUITY_VALUE|NON_POSITIVE_TERMINAL_FCF</x:v>
      </x:c>
      <x:c r="I1666" s="54" t="n">
        <x:v>44924</x:v>
      </x:c>
      <x:c r="J1666" s="55" t="n">
        <x:v>16150</x:v>
      </x:c>
      <x:c r="K1666" s="55" t="n">
        <x:v>172397115600</x:v>
      </x:c>
      <x:c r="L1666" s="55" t="n">
        <x:v>10674744</x:v>
      </x:c>
      <x:c r="M1666" t="str">
        <x:v>20220318000722</x:v>
      </x:c>
      <x:c r="N1666" t="n">
        <x:v>44638.624999988424</x:v>
      </x:c>
      <x:c r="O1666" s="54" t="n">
        <x:v>44561</x:v>
      </x:c>
      <x:c r="P1666" t="str">
        <x:v>False</x:v>
      </x:c>
      <x:c r="Q1666" t="str">
        <x:v>5f6ecf9486be838a497ea76fe0da0a07eabcebc686562bea432dae373ffb41f4</x:v>
      </x:c>
      <x:c r="R1666" t="str">
        <x:v>e1bf5039191c67e14f81124a563b41975ae52413d662967dad0faedd5dea4d4d</x:v>
      </x:c>
      <x:c r="S1666" t="n">
        <x:v>7</x:v>
      </x:c>
      <x:c r="T1666" t="str">
        <x:v>2020-12-31|2021-12-31</x:v>
      </x:c>
      <x:c r="U1666" s="57" t="n">
        <x:v>-2790.691513978419</x:v>
      </x:c>
      <x:c r="V1666" s="57" t="n">
        <x:v>-1.1727982361596545</x:v>
      </x:c>
      <x:c r="W1666"/>
      <x:c r="X1666"/>
      <x:c r="Y1666" s="38" t="n">
        <x:v>0.6409090909090909</x:v>
      </x:c>
      <x:c r="Z1666" s="38" t="n">
        <x:v>0.4677358915820292</x:v>
      </x:c>
      <x:c r="AA1666" t="str">
        <x:v>NON_POSITIVE_ENTERPRISE_VALUE|NON_POSITIVE_EQUITY_VALUE|NON_POSITIVE_TERMINAL_FCF</x:v>
      </x:c>
    </x:row>
    <x:row r="1667">
      <x:c r="A1667" s="54" t="n">
        <x:v>44926</x:v>
      </x:c>
      <x:c r="B1667" t="n">
        <x:v>44926.624999988424</x:v>
      </x:c>
      <x:c r="C1667" t="str">
        <x:v>057030</x:v>
      </x:c>
      <x:c r="D1667" t="str">
        <x:v>YBM넷</x:v>
      </x:c>
      <x:c r="E1667" t="str">
        <x:v>KOSDAQ</x:v>
      </x:c>
      <x:c r="F1667" t="str">
        <x:v>SMALL</x:v>
      </x:c>
      <x:c r="G1667" t="str">
        <x:v>ELIGIBLE</x:v>
      </x:c>
      <x:c r="H1667"/>
      <x:c r="I1667" s="54" t="n">
        <x:v>44924</x:v>
      </x:c>
      <x:c r="J1667" s="55" t="n">
        <x:v>3360</x:v>
      </x:c>
      <x:c r="K1667" s="55" t="n">
        <x:v>54810661920</x:v>
      </x:c>
      <x:c r="L1667" s="55" t="n">
        <x:v>16312697</x:v>
      </x:c>
      <x:c r="M1667" t="str">
        <x:v>20220323000611</x:v>
      </x:c>
      <x:c r="N1667" t="n">
        <x:v>44643.624999988424</x:v>
      </x:c>
      <x:c r="O1667" s="54" t="n">
        <x:v>44561</x:v>
      </x:c>
      <x:c r="P1667" t="str">
        <x:v>False</x:v>
      </x:c>
      <x:c r="Q1667" t="str">
        <x:v>dc4ac923df63aa87ff0f05d94a32761eaf8531210ea4a0c55f38312873dded52</x:v>
      </x:c>
      <x:c r="R1667" t="str">
        <x:v>e2018870c912d1c93fb0f426f20643a07e04445245400f0986b4f4c4e693f540</x:v>
      </x:c>
      <x:c r="S1667" t="n">
        <x:v>6</x:v>
      </x:c>
      <x:c r="T1667" t="str">
        <x:v>2018-12-31|2019-12-31|2020-12-31|2021-12-31</x:v>
      </x:c>
      <x:c r="U1667" s="57" t="n">
        <x:v>690.8931499422238</x:v>
      </x:c>
      <x:c r="V1667" s="57" t="n">
        <x:v>-0.7943770387076715</x:v>
      </x:c>
      <x:c r="W1667" t="n">
        <x:v>58</x:v>
      </x:c>
      <x:c r="X1667" t="n">
        <x:v>5</x:v>
      </x:c>
      <x:c r="Y1667" s="38" t="n">
        <x:v>0.6409090909090909</x:v>
      </x:c>
      <x:c r="Z1667" s="38" t="n">
        <x:v>0.4546761969160054</x:v>
      </x:c>
      <x:c r="AA1667"/>
    </x:row>
    <x:row r="1668">
      <x:c r="A1668" s="54" t="n">
        <x:v>44926</x:v>
      </x:c>
      <x:c r="B1668" t="n">
        <x:v>44926.624999988424</x:v>
      </x:c>
      <x:c r="C1668" t="str">
        <x:v>053160</x:v>
      </x:c>
      <x:c r="D1668" t="str">
        <x:v>프리엠스</x:v>
      </x:c>
      <x:c r="E1668" t="str">
        <x:v>KOSDAQ</x:v>
      </x:c>
      <x:c r="F1668" t="str">
        <x:v>SMALL</x:v>
      </x:c>
      <x:c r="G1668" t="str">
        <x:v>DCF_SCREENING_EXCLUSION</x:v>
      </x:c>
      <x:c r="H1668" t="str">
        <x:v>NON_POSITIVE_TERMINAL_FCF|UNRELIABLE_TERMINAL_VALUE_SHARE</x:v>
      </x:c>
      <x:c r="I1668" s="54" t="n">
        <x:v>44924</x:v>
      </x:c>
      <x:c r="J1668" s="55" t="n">
        <x:v>6780</x:v>
      </x:c>
      <x:c r="K1668" s="55" t="n">
        <x:v>40680000000</x:v>
      </x:c>
      <x:c r="L1668" s="55" t="n">
        <x:v>6000000</x:v>
      </x:c>
      <x:c r="M1668" t="str">
        <x:v>20220317000916</x:v>
      </x:c>
      <x:c r="N1668" t="n">
        <x:v>44637.624999988424</x:v>
      </x:c>
      <x:c r="O1668" s="54" t="n">
        <x:v>44561</x:v>
      </x:c>
      <x:c r="P1668" t="str">
        <x:v>False</x:v>
      </x:c>
      <x:c r="Q1668" t="str">
        <x:v>c9366f65949a70b5d07b68596c98e467aa02812c80e144305fab8224d82e75a2</x:v>
      </x:c>
      <x:c r="R1668" t="str">
        <x:v>765cdd5f90ba326a7de3604289a4ecba090bd46f99e32947b126df0df8c9d6d4</x:v>
      </x:c>
      <x:c r="S1668" t="n">
        <x:v>7</x:v>
      </x:c>
      <x:c r="T1668" t="str">
        <x:v>2018-12-31|2019-12-31|2020-12-31|2021-12-31</x:v>
      </x:c>
      <x:c r="U1668" s="57" t="n">
        <x:v>24.451715793899197</x:v>
      </x:c>
      <x:c r="V1668" s="57" t="n">
        <x:v>-0.9963935522427877</x:v>
      </x:c>
      <x:c r="W1668"/>
      <x:c r="X1668"/>
      <x:c r="Y1668" s="38" t="n">
        <x:v>0.6409090909090909</x:v>
      </x:c>
      <x:c r="Z1668" s="38" t="n">
        <x:v>-1.086588492260703</x:v>
      </x:c>
      <x:c r="AA1668" t="str">
        <x:v>NON_POSITIVE_TERMINAL_FCF|UNRELIABLE_TERMINAL_VALUE_SHARE</x:v>
      </x:c>
    </x:row>
    <x:row r="1669">
      <x:c r="A1669" s="54" t="n">
        <x:v>44926</x:v>
      </x:c>
      <x:c r="B1669" t="n">
        <x:v>44926.624999988424</x:v>
      </x:c>
      <x:c r="C1669" t="str">
        <x:v>038620</x:v>
      </x:c>
      <x:c r="D1669" t="str">
        <x:v>위즈코프</x:v>
      </x:c>
      <x:c r="E1669" t="str">
        <x:v>KOSDAQ</x:v>
      </x:c>
      <x:c r="F1669" t="str">
        <x:v>SMALL</x:v>
      </x:c>
      <x:c r="G1669" t="str">
        <x:v>ELIGIBLE</x:v>
      </x:c>
      <x:c r="H1669"/>
      <x:c r="I1669" s="54" t="n">
        <x:v>44924</x:v>
      </x:c>
      <x:c r="J1669" s="55" t="n">
        <x:v>791</x:v>
      </x:c>
      <x:c r="K1669" s="55" t="n">
        <x:v>52638253815</x:v>
      </x:c>
      <x:c r="L1669" s="55" t="n">
        <x:v>66546465</x:v>
      </x:c>
      <x:c r="M1669" t="str">
        <x:v>20220321000819</x:v>
      </x:c>
      <x:c r="N1669" t="n">
        <x:v>44641.624999988424</x:v>
      </x:c>
      <x:c r="O1669" s="54" t="n">
        <x:v>44561</x:v>
      </x:c>
      <x:c r="P1669" t="str">
        <x:v>False</x:v>
      </x:c>
      <x:c r="Q1669" t="str">
        <x:v>5c4454c4fe18996695981d70e069eb3386a0c108f2aa784feda5035cfc59d817</x:v>
      </x:c>
      <x:c r="R1669" t="str">
        <x:v>87c0bf9aa2b3eebed0be845f0abd88ba82914a06a6c03f61d58a885b537f4ed7</x:v>
      </x:c>
      <x:c r="S1669" t="n">
        <x:v>5</x:v>
      </x:c>
      <x:c r="T1669" t="str">
        <x:v>2018-12-31|2019-12-31|2020-12-31|2021-12-31</x:v>
      </x:c>
      <x:c r="U1669" s="57" t="n">
        <x:v>325.2219975429165</x:v>
      </x:c>
      <x:c r="V1669" s="57" t="n">
        <x:v>-0.5888470321834178</x:v>
      </x:c>
      <x:c r="W1669" t="n">
        <x:v>49</x:v>
      </x:c>
      <x:c r="X1669" t="n">
        <x:v>4</x:v>
      </x:c>
      <x:c r="Y1669" s="38" t="n">
        <x:v>0.6409090909090909</x:v>
      </x:c>
      <x:c r="Z1669" s="38" t="n">
        <x:v>0.6350884475468049</x:v>
      </x:c>
      <x:c r="AA1669"/>
    </x:row>
    <x:row r="1670">
      <x:c r="A1670" s="54" t="n">
        <x:v>44926</x:v>
      </x:c>
      <x:c r="B1670" t="n">
        <x:v>44926.624999988424</x:v>
      </x:c>
      <x:c r="C1670" t="str">
        <x:v>313760</x:v>
      </x:c>
      <x:c r="D1670" t="str">
        <x:v>캐리</x:v>
      </x:c>
      <x:c r="E1670" t="str">
        <x:v>KOSDAQ</x:v>
      </x:c>
      <x:c r="F1670" t="str">
        <x:v>SMALL</x:v>
      </x:c>
      <x:c r="G1670" t="str">
        <x:v>DCF_SCREENING_EXCLUSION</x:v>
      </x:c>
      <x:c r="H1670" t="str">
        <x:v>NON_POSITIVE_ENTERPRISE_VALUE|NON_POSITIVE_EQUITY_VALUE|NON_POSITIVE_TERMINAL_FCF</x:v>
      </x:c>
      <x:c r="I1670" s="54" t="n">
        <x:v>44924</x:v>
      </x:c>
      <x:c r="J1670" s="55" t="n">
        <x:v>6810</x:v>
      </x:c>
      <x:c r="K1670" s="55" t="n">
        <x:v>38733012270</x:v>
      </x:c>
      <x:c r="L1670" s="55" t="n">
        <x:v>5687667</x:v>
      </x:c>
      <x:c r="M1670" t="str">
        <x:v>20220317000439</x:v>
      </x:c>
      <x:c r="N1670" t="n">
        <x:v>44637.624999988424</x:v>
      </x:c>
      <x:c r="O1670" s="54" t="n">
        <x:v>44561</x:v>
      </x:c>
      <x:c r="P1670" t="str">
        <x:v>False</x:v>
      </x:c>
      <x:c r="Q1670" t="str">
        <x:v>9ae179f370a8494e92b8b80e132d8d1f7740bd521b07ed874fe6834451df534c</x:v>
      </x:c>
      <x:c r="R1670" t="str">
        <x:v>e39af1bd104c1f523a839ed3e0a9c6aee093df4b480e4f97b897847ee30d76b8</x:v>
      </x:c>
      <x:c r="S1670" t="n">
        <x:v>5</x:v>
      </x:c>
      <x:c r="T1670" t="str">
        <x:v>2019-12-31|2020-12-31|2021-12-31</x:v>
      </x:c>
      <x:c r="U1670" s="57" t="n">
        <x:v>-1404.5947285122056</x:v>
      </x:c>
      <x:c r="V1670" s="57" t="n">
        <x:v>-1.2062547325274897</x:v>
      </x:c>
      <x:c r="W1670"/>
      <x:c r="X1670"/>
      <x:c r="Y1670" s="38" t="n">
        <x:v>0.6409090909090909</x:v>
      </x:c>
      <x:c r="Z1670" s="38" t="n">
        <x:v>0.4777823497031718</x:v>
      </x:c>
      <x:c r="AA1670" t="str">
        <x:v>NON_POSITIVE_ENTERPRISE_VALUE|NON_POSITIVE_EQUITY_VALUE|NON_POSITIVE_TERMINAL_FCF</x:v>
      </x:c>
    </x:row>
    <x:row r="1671">
      <x:c r="A1671" s="54" t="n">
        <x:v>44926</x:v>
      </x:c>
      <x:c r="B1671" t="n">
        <x:v>44926.624999988424</x:v>
      </x:c>
      <x:c r="C1671" t="str">
        <x:v>372800</x:v>
      </x:c>
      <x:c r="D1671" t="str">
        <x:v>아이티아이즈</x:v>
      </x:c>
      <x:c r="E1671" t="str">
        <x:v>KOSDAQ</x:v>
      </x:c>
      <x:c r="F1671" t="str">
        <x:v>SMALL</x:v>
      </x:c>
      <x:c r="G1671" t="str">
        <x:v>DCF_SCREENING_EXCLUSION</x:v>
      </x:c>
      <x:c r="H1671" t="str">
        <x:v>NON_POSITIVE_ENTERPRISE_VALUE|NON_POSITIVE_EQUITY_VALUE|NON_POSITIVE_TERMINAL_FCF</x:v>
      </x:c>
      <x:c r="I1671" s="54" t="n">
        <x:v>44924</x:v>
      </x:c>
      <x:c r="J1671" s="55" t="n">
        <x:v>7450</x:v>
      </x:c>
      <x:c r="K1671" s="55" t="n">
        <x:v>44528575500</x:v>
      </x:c>
      <x:c r="L1671" s="55" t="n">
        <x:v>5976990</x:v>
      </x:c>
      <x:c r="M1671" t="str">
        <x:v>20220321000273</x:v>
      </x:c>
      <x:c r="N1671" t="n">
        <x:v>44641.624999988424</x:v>
      </x:c>
      <x:c r="O1671" s="54" t="n">
        <x:v>44561</x:v>
      </x:c>
      <x:c r="P1671" t="str">
        <x:v>False</x:v>
      </x:c>
      <x:c r="Q1671" t="str">
        <x:v>1fb2381ef38295f6ab34b31f3ed31f3c71974814bd50d66980821de705c5c184</x:v>
      </x:c>
      <x:c r="R1671" t="str">
        <x:v>9a11bc02e8b82648c2bc87021ec17c2483a25563efed84a508393d719053c6b6</x:v>
      </x:c>
      <x:c r="S1671" t="n">
        <x:v>7</x:v>
      </x:c>
      <x:c r="T1671" t="str">
        <x:v>2021-12-31</x:v>
      </x:c>
      <x:c r="U1671" s="57" t="n">
        <x:v>-1111.210967938377</x:v>
      </x:c>
      <x:c r="V1671" s="57" t="n">
        <x:v>-1.149155834622601</x:v>
      </x:c>
      <x:c r="W1671"/>
      <x:c r="X1671"/>
      <x:c r="Y1671" s="38" t="n">
        <x:v>0.6409090909090909</x:v>
      </x:c>
      <x:c r="Z1671" s="38" t="n">
        <x:v>0.6264850986190418</x:v>
      </x:c>
      <x:c r="AA1671" t="str">
        <x:v>NON_POSITIVE_ENTERPRISE_VALUE|NON_POSITIVE_EQUITY_VALUE|NON_POSITIVE_TERMINAL_FCF</x:v>
      </x:c>
    </x:row>
    <x:row r="1672">
      <x:c r="A1672" s="54" t="n">
        <x:v>44926</x:v>
      </x:c>
      <x:c r="B1672" t="n">
        <x:v>44926.624999988424</x:v>
      </x:c>
      <x:c r="C1672" t="str">
        <x:v>332290</x:v>
      </x:c>
      <x:c r="D1672" t="str">
        <x:v>누보</x:v>
      </x:c>
      <x:c r="E1672" t="str">
        <x:v>KOSDAQ</x:v>
      </x:c>
      <x:c r="F1672" t="str">
        <x:v>SMALL</x:v>
      </x:c>
      <x:c r="G1672" t="str">
        <x:v>NO_PIT_FINANCIALS</x:v>
      </x:c>
      <x:c r="H1672"/>
      <x:c r="I1672" s="54" t="n">
        <x:v>44924</x:v>
      </x:c>
      <x:c r="J1672" s="55" t="n">
        <x:v>1500</x:v>
      </x:c>
      <x:c r="K1672" s="55" t="n">
        <x:v>49621984500</x:v>
      </x:c>
      <x:c r="L1672" s="55" t="n">
        <x:v>33081323</x:v>
      </x:c>
      <x:c r="M1672"/>
      <x:c r="N1672"/>
      <x:c r="O1672" s="54"/>
      <x:c r="P1672"/>
      <x:c r="Q1672"/>
      <x:c r="R1672"/>
      <x:c r="S1672"/>
      <x:c r="T1672"/>
      <x:c r="U1672" s="57"/>
      <x:c r="V1672" s="57"/>
      <x:c r="W1672"/>
      <x:c r="X1672"/>
      <x:c r="Y1672" s="38"/>
      <x:c r="Z1672" s="38"/>
      <x:c r="AA1672"/>
    </x:row>
    <x:row r="1673">
      <x:c r="A1673" s="54" t="n">
        <x:v>44926</x:v>
      </x:c>
      <x:c r="B1673" t="n">
        <x:v>44926.624999988424</x:v>
      </x:c>
      <x:c r="C1673" t="str">
        <x:v>059100</x:v>
      </x:c>
      <x:c r="D1673" t="str">
        <x:v>아이컴포넌트</x:v>
      </x:c>
      <x:c r="E1673" t="str">
        <x:v>KOSDAQ</x:v>
      </x:c>
      <x:c r="F1673" t="str">
        <x:v>SMALL</x:v>
      </x:c>
      <x:c r="G1673" t="str">
        <x:v>ELIGIBLE</x:v>
      </x:c>
      <x:c r="H1673"/>
      <x:c r="I1673" s="54" t="n">
        <x:v>44924</x:v>
      </x:c>
      <x:c r="J1673" s="55" t="n">
        <x:v>6700</x:v>
      </x:c>
      <x:c r="K1673" s="55" t="n">
        <x:v>47374762000</x:v>
      </x:c>
      <x:c r="L1673" s="55" t="n">
        <x:v>7070860</x:v>
      </x:c>
      <x:c r="M1673" t="str">
        <x:v>20220316000462</x:v>
      </x:c>
      <x:c r="N1673" t="n">
        <x:v>44636.624999988424</x:v>
      </x:c>
      <x:c r="O1673" s="54" t="n">
        <x:v>44561</x:v>
      </x:c>
      <x:c r="P1673" t="str">
        <x:v>False</x:v>
      </x:c>
      <x:c r="Q1673" t="str">
        <x:v>4d0291105bbc3a55906253b35bc66670f9096269357a961ca2dd66009b79d58e</x:v>
      </x:c>
      <x:c r="R1673" t="str">
        <x:v>f0273cce86345aff4a6350833e3d21c6376f41a431a3756460c69999c690aaff</x:v>
      </x:c>
      <x:c r="S1673" t="n">
        <x:v>7</x:v>
      </x:c>
      <x:c r="T1673" t="str">
        <x:v>2018-12-31|2019-12-31|2020-12-31|2021-12-31</x:v>
      </x:c>
      <x:c r="U1673" s="57" t="n">
        <x:v>1027.619480089783</x:v>
      </x:c>
      <x:c r="V1673" s="57" t="n">
        <x:v>-0.8466239581955548</x:v>
      </x:c>
      <x:c r="W1673" t="n">
        <x:v>64</x:v>
      </x:c>
      <x:c r="X1673" t="n">
        <x:v>5</x:v>
      </x:c>
      <x:c r="Y1673" s="38" t="n">
        <x:v>0.6409090909090909</x:v>
      </x:c>
      <x:c r="Z1673" s="38" t="n">
        <x:v>0.5799306062865924</x:v>
      </x:c>
      <x:c r="AA1673"/>
    </x:row>
    <x:row r="1674">
      <x:c r="A1674" s="54" t="n">
        <x:v>44926</x:v>
      </x:c>
      <x:c r="B1674" t="n">
        <x:v>44926.624999988424</x:v>
      </x:c>
      <x:c r="C1674" t="str">
        <x:v>060900</x:v>
      </x:c>
      <x:c r="D1674" t="str">
        <x:v>DGP</x:v>
      </x:c>
      <x:c r="E1674" t="str">
        <x:v>KOSDAQ</x:v>
      </x:c>
      <x:c r="F1674" t="str">
        <x:v>SMALL</x:v>
      </x:c>
      <x:c r="G1674" t="str">
        <x:v>DCF_SCREENING_EXCLUSION</x:v>
      </x:c>
      <x:c r="H1674" t="str">
        <x:v>NON_POSITIVE_ENTERPRISE_VALUE|NON_POSITIVE_EQUITY_VALUE|NON_POSITIVE_TERMINAL_FCF|UNRELIABLE_TERMINAL_VALUE_SHARE</x:v>
      </x:c>
      <x:c r="I1674" s="54" t="n">
        <x:v>44924</x:v>
      </x:c>
      <x:c r="J1674" s="55" t="n">
        <x:v>640</x:v>
      </x:c>
      <x:c r="K1674" s="55" t="n">
        <x:v>116656706560</x:v>
      </x:c>
      <x:c r="L1674" s="55" t="n">
        <x:v>182276104</x:v>
      </x:c>
      <x:c r="M1674" t="str">
        <x:v>20220321000578</x:v>
      </x:c>
      <x:c r="N1674" t="n">
        <x:v>44641.624999988424</x:v>
      </x:c>
      <x:c r="O1674" s="54" t="n">
        <x:v>44561</x:v>
      </x:c>
      <x:c r="P1674" t="str">
        <x:v>False</x:v>
      </x:c>
      <x:c r="Q1674" t="str">
        <x:v>a92665cbc375e381798994e6fb242db5536f90161fb11f4dfa1afeecd75781b8</x:v>
      </x:c>
      <x:c r="R1674" t="str">
        <x:v>8bfbd54d271afaeb9f19f19ed7e42e70f589576253436fa6c6bb117917e601ce</x:v>
      </x:c>
      <x:c r="S1674" t="n">
        <x:v>5</x:v>
      </x:c>
      <x:c r="T1674" t="str">
        <x:v>2018-12-31|2019-12-31|2021-12-31</x:v>
      </x:c>
      <x:c r="U1674" s="57" t="n">
        <x:v>-222.4031348823473</x:v>
      </x:c>
      <x:c r="V1674" s="57" t="n">
        <x:v>-1.3475048982536677</x:v>
      </x:c>
      <x:c r="W1674"/>
      <x:c r="X1674"/>
      <x:c r="Y1674" s="38" t="n">
        <x:v>0.6409090909090909</x:v>
      </x:c>
      <x:c r="Z1674" s="38" t="n">
        <x:v>0.8755789469224888</x:v>
      </x:c>
      <x:c r="AA1674" t="str">
        <x:v>NON_POSITIVE_ENTERPRISE_VALUE|NON_POSITIVE_EQUITY_VALUE|NON_POSITIVE_TERMINAL_FCF|UNRELIABLE_TERMINAL_VALUE_SHARE</x:v>
      </x:c>
    </x:row>
    <x:row r="1675">
      <x:c r="A1675" s="54" t="n">
        <x:v>44926</x:v>
      </x:c>
      <x:c r="B1675" t="n">
        <x:v>44926.624999988424</x:v>
      </x:c>
      <x:c r="C1675" t="str">
        <x:v>232830</x:v>
      </x:c>
      <x:c r="D1675" t="str">
        <x:v>아이티센피엔에스</x:v>
      </x:c>
      <x:c r="E1675" t="str">
        <x:v>KOSDAQ</x:v>
      </x:c>
      <x:c r="F1675" t="str">
        <x:v>SMALL</x:v>
      </x:c>
      <x:c r="G1675" t="str">
        <x:v>NO_PIT_FINANCIALS</x:v>
      </x:c>
      <x:c r="H1675"/>
      <x:c r="I1675" s="54" t="n">
        <x:v>44924</x:v>
      </x:c>
      <x:c r="J1675" s="55" t="n">
        <x:v>4085</x:v>
      </x:c>
      <x:c r="K1675" s="55" t="n">
        <x:v>38844395720</x:v>
      </x:c>
      <x:c r="L1675" s="55" t="n">
        <x:v>9509032</x:v>
      </x:c>
      <x:c r="M1675"/>
      <x:c r="N1675"/>
      <x:c r="O1675" s="54"/>
      <x:c r="P1675"/>
      <x:c r="Q1675"/>
      <x:c r="R1675"/>
      <x:c r="S1675"/>
      <x:c r="T1675"/>
      <x:c r="U1675" s="57"/>
      <x:c r="V1675" s="57"/>
      <x:c r="W1675"/>
      <x:c r="X1675"/>
      <x:c r="Y1675" s="38"/>
      <x:c r="Z1675" s="38"/>
      <x:c r="AA1675"/>
    </x:row>
    <x:row r="1676">
      <x:c r="A1676" s="54" t="n">
        <x:v>44926</x:v>
      </x:c>
      <x:c r="B1676" t="n">
        <x:v>44926.624999988424</x:v>
      </x:c>
      <x:c r="C1676" t="str">
        <x:v>070590</x:v>
      </x:c>
      <x:c r="D1676" t="str">
        <x:v>한솔인티큐브</x:v>
      </x:c>
      <x:c r="E1676" t="str">
        <x:v>KOSDAQ</x:v>
      </x:c>
      <x:c r="F1676" t="str">
        <x:v>SMALL</x:v>
      </x:c>
      <x:c r="G1676" t="str">
        <x:v>DCF_SCREENING_EXCLUSION</x:v>
      </x:c>
      <x:c r="H1676" t="str">
        <x:v>NON_POSITIVE_ENTERPRISE_VALUE|NON_POSITIVE_EQUITY_VALUE|NON_POSITIVE_TERMINAL_FCF</x:v>
      </x:c>
      <x:c r="I1676" s="54" t="n">
        <x:v>44924</x:v>
      </x:c>
      <x:c r="J1676" s="55" t="n">
        <x:v>1650</x:v>
      </x:c>
      <x:c r="K1676" s="55" t="n">
        <x:v>22901209650</x:v>
      </x:c>
      <x:c r="L1676" s="55" t="n">
        <x:v>13879521</x:v>
      </x:c>
      <x:c r="M1676" t="str">
        <x:v>20220929000474</x:v>
      </x:c>
      <x:c r="N1676" t="n">
        <x:v>44833.624999988424</x:v>
      </x:c>
      <x:c r="O1676" s="54" t="n">
        <x:v>44561</x:v>
      </x:c>
      <x:c r="P1676" t="str">
        <x:v>True</x:v>
      </x:c>
      <x:c r="Q1676" t="str">
        <x:v>bb73a4d08b7e64793ffa39899263c1f793738262aa3026eeaacf81a0005fb5ef</x:v>
      </x:c>
      <x:c r="R1676" t="str">
        <x:v>3e27662a4846275a2d5966bcb03cfb4bf05577046e9ea5499a61a539d570edbe</x:v>
      </x:c>
      <x:c r="S1676" t="n">
        <x:v>6</x:v>
      </x:c>
      <x:c r="T1676" t="str">
        <x:v>2018-12-31|2019-12-31|2020-12-31|2021-12-31</x:v>
      </x:c>
      <x:c r="U1676" s="57" t="n">
        <x:v>-119.30159571053062</x:v>
      </x:c>
      <x:c r="V1676" s="57" t="n">
        <x:v>-1.0723039974003217</x:v>
      </x:c>
      <x:c r="W1676"/>
      <x:c r="X1676"/>
      <x:c r="Y1676" s="38" t="n">
        <x:v>0.6409090909090909</x:v>
      </x:c>
      <x:c r="Z1676" s="38" t="n">
        <x:v>0.7222895576961198</x:v>
      </x:c>
      <x:c r="AA1676" t="str">
        <x:v>NON_POSITIVE_ENTERPRISE_VALUE|NON_POSITIVE_EQUITY_VALUE|NON_POSITIVE_TERMINAL_FCF</x:v>
      </x:c>
    </x:row>
    <x:row r="1677">
      <x:c r="A1677" s="54" t="n">
        <x:v>44926</x:v>
      </x:c>
      <x:c r="B1677" t="n">
        <x:v>44926.624999988424</x:v>
      </x:c>
      <x:c r="C1677" t="str">
        <x:v>163560</x:v>
      </x:c>
      <x:c r="D1677" t="str">
        <x:v>동일고무벨트</x:v>
      </x:c>
      <x:c r="E1677" t="str">
        <x:v>KOSPI</x:v>
      </x:c>
      <x:c r="F1677" t="str">
        <x:v>SMALL</x:v>
      </x:c>
      <x:c r="G1677" t="str">
        <x:v>ELIGIBLE</x:v>
      </x:c>
      <x:c r="H1677"/>
      <x:c r="I1677" s="54" t="n">
        <x:v>44924</x:v>
      </x:c>
      <x:c r="J1677" s="55" t="n">
        <x:v>6200</x:v>
      </x:c>
      <x:c r="K1677" s="55" t="n">
        <x:v>86180000000</x:v>
      </x:c>
      <x:c r="L1677" s="55" t="n">
        <x:v>13900000</x:v>
      </x:c>
      <x:c r="M1677" t="str">
        <x:v>20220315000862</x:v>
      </x:c>
      <x:c r="N1677" t="n">
        <x:v>44635.624999988424</x:v>
      </x:c>
      <x:c r="O1677" s="54" t="n">
        <x:v>44561</x:v>
      </x:c>
      <x:c r="P1677" t="str">
        <x:v>False</x:v>
      </x:c>
      <x:c r="Q1677" t="str">
        <x:v>a63ac20424bfa217e1c92290fcd14741bae792184f03195408029baab4c7741c</x:v>
      </x:c>
      <x:c r="R1677" t="str">
        <x:v>08269a80f2c9c042f51dc0592ab87e030407d354a4a176b22b8ef3a9f54f60c5</x:v>
      </x:c>
      <x:c r="S1677" t="n">
        <x:v>5</x:v>
      </x:c>
      <x:c r="T1677" t="str">
        <x:v>2018-12-31|2019-12-31|2020-12-31|2021-12-31</x:v>
      </x:c>
      <x:c r="U1677" s="57" t="n">
        <x:v>3225.2626379316716</x:v>
      </x:c>
      <x:c r="V1677" s="57" t="n">
        <x:v>-0.4797963487206981</x:v>
      </x:c>
      <x:c r="W1677" t="n">
        <x:v>44</x:v>
      </x:c>
      <x:c r="X1677" t="n">
        <x:v>4</x:v>
      </x:c>
      <x:c r="Y1677" s="38" t="n">
        <x:v>0.6409090909090909</x:v>
      </x:c>
      <x:c r="Z1677" s="38" t="n">
        <x:v>0.8360197484570959</x:v>
      </x:c>
      <x:c r="AA1677"/>
    </x:row>
    <x:row r="1678">
      <x:c r="A1678" s="54" t="n">
        <x:v>44926</x:v>
      </x:c>
      <x:c r="B1678" t="n">
        <x:v>44926.624999988424</x:v>
      </x:c>
      <x:c r="C1678" t="str">
        <x:v>004830</x:v>
      </x:c>
      <x:c r="D1678" t="str">
        <x:v>덕성</x:v>
      </x:c>
      <x:c r="E1678" t="str">
        <x:v>KOSPI</x:v>
      </x:c>
      <x:c r="F1678" t="str">
        <x:v>SMALL</x:v>
      </x:c>
      <x:c r="G1678" t="str">
        <x:v>ELIGIBLE</x:v>
      </x:c>
      <x:c r="H1678"/>
      <x:c r="I1678" s="54" t="n">
        <x:v>44924</x:v>
      </x:c>
      <x:c r="J1678" s="55" t="n">
        <x:v>5000</x:v>
      </x:c>
      <x:c r="K1678" s="55" t="n">
        <x:v>78400000000</x:v>
      </x:c>
      <x:c r="L1678" s="55" t="n">
        <x:v>15680000</x:v>
      </x:c>
      <x:c r="M1678" t="str">
        <x:v>20220318000680</x:v>
      </x:c>
      <x:c r="N1678" t="n">
        <x:v>44638.624999988424</x:v>
      </x:c>
      <x:c r="O1678" s="54" t="n">
        <x:v>44561</x:v>
      </x:c>
      <x:c r="P1678" t="str">
        <x:v>False</x:v>
      </x:c>
      <x:c r="Q1678" t="str">
        <x:v>d97580f7bf9ab35ec4c40d046ce948a9cc7791963fc5d4d70b88cc889cb946c4</x:v>
      </x:c>
      <x:c r="R1678" t="str">
        <x:v>70feffd024d7985472729225cf7d9b55b6d979dca06eec6cf12fd412aa8d2d31</x:v>
      </x:c>
      <x:c r="S1678" t="n">
        <x:v>7</x:v>
      </x:c>
      <x:c r="T1678" t="str">
        <x:v>2018-12-31|2019-12-31|2020-12-31|2021-12-31</x:v>
      </x:c>
      <x:c r="U1678" s="57" t="n">
        <x:v>692.3589943086391</x:v>
      </x:c>
      <x:c r="V1678" s="57" t="n">
        <x:v>-0.8615282011382722</x:v>
      </x:c>
      <x:c r="W1678" t="n">
        <x:v>65</x:v>
      </x:c>
      <x:c r="X1678" t="n">
        <x:v>5</x:v>
      </x:c>
      <x:c r="Y1678" s="38" t="n">
        <x:v>0.6409090909090909</x:v>
      </x:c>
      <x:c r="Z1678" s="38" t="n">
        <x:v>0.5893658841252093</x:v>
      </x:c>
      <x:c r="AA1678"/>
    </x:row>
    <x:row r="1679">
      <x:c r="A1679" s="54" t="n">
        <x:v>44926</x:v>
      </x:c>
      <x:c r="B1679" t="n">
        <x:v>44926.624999988424</x:v>
      </x:c>
      <x:c r="C1679" t="str">
        <x:v>014440</x:v>
      </x:c>
      <x:c r="D1679" t="str">
        <x:v>영보화학</x:v>
      </x:c>
      <x:c r="E1679" t="str">
        <x:v>KOSPI</x:v>
      </x:c>
      <x:c r="F1679" t="str">
        <x:v>SMALL</x:v>
      </x:c>
      <x:c r="G1679" t="str">
        <x:v>ELIGIBLE</x:v>
      </x:c>
      <x:c r="H1679"/>
      <x:c r="I1679" s="54" t="n">
        <x:v>44924</x:v>
      </x:c>
      <x:c r="J1679" s="55" t="n">
        <x:v>3420</x:v>
      </x:c>
      <x:c r="K1679" s="55" t="n">
        <x:v>68400000000</x:v>
      </x:c>
      <x:c r="L1679" s="55" t="n">
        <x:v>20000000</x:v>
      </x:c>
      <x:c r="M1679" t="str">
        <x:v>20220315000699</x:v>
      </x:c>
      <x:c r="N1679" t="n">
        <x:v>44635.624999988424</x:v>
      </x:c>
      <x:c r="O1679" s="54" t="n">
        <x:v>44561</x:v>
      </x:c>
      <x:c r="P1679" t="str">
        <x:v>False</x:v>
      </x:c>
      <x:c r="Q1679" t="str">
        <x:v>ce0ef300c9982a5ae96b8f38e938a76d55aacc2f5d6537116bf577a81156eb75</x:v>
      </x:c>
      <x:c r="R1679" t="str">
        <x:v>442ae15d0e3fed6330f21e670f5fc4175ec0ca53312f19dad42d5ebbb8cba72f</x:v>
      </x:c>
      <x:c r="S1679" t="n">
        <x:v>6</x:v>
      </x:c>
      <x:c r="T1679" t="str">
        <x:v>2018-12-31|2019-12-31|2020-12-31|2021-12-31</x:v>
      </x:c>
      <x:c r="U1679" s="57" t="n">
        <x:v>2132.3902686183465</x:v>
      </x:c>
      <x:c r="V1679" s="57" t="n">
        <x:v>-0.3764940735034075</x:v>
      </x:c>
      <x:c r="W1679" t="n">
        <x:v>37</x:v>
      </x:c>
      <x:c r="X1679" t="n">
        <x:v>3</x:v>
      </x:c>
      <x:c r="Y1679" s="38" t="n">
        <x:v>0.6409090909090909</x:v>
      </x:c>
      <x:c r="Z1679" s="38" t="n">
        <x:v>0.41435690759784355</x:v>
      </x:c>
      <x:c r="AA1679"/>
    </x:row>
    <x:row r="1680">
      <x:c r="A1680" s="54" t="n">
        <x:v>44926</x:v>
      </x:c>
      <x:c r="B1680" t="n">
        <x:v>44926.624999988424</x:v>
      </x:c>
      <x:c r="C1680" t="str">
        <x:v>009180</x:v>
      </x:c>
      <x:c r="D1680" t="str">
        <x:v>한솔로지스틱스</x:v>
      </x:c>
      <x:c r="E1680" t="str">
        <x:v>KOSPI</x:v>
      </x:c>
      <x:c r="F1680" t="str">
        <x:v>SMALL</x:v>
      </x:c>
      <x:c r="G1680" t="str">
        <x:v>ELIGIBLE</x:v>
      </x:c>
      <x:c r="H1680"/>
      <x:c r="I1680" s="54" t="n">
        <x:v>44924</x:v>
      </x:c>
      <x:c r="J1680" s="55" t="n">
        <x:v>2820</x:v>
      </x:c>
      <x:c r="K1680" s="55" t="n">
        <x:v>77486338500</x:v>
      </x:c>
      <x:c r="L1680" s="55" t="n">
        <x:v>27477425</x:v>
      </x:c>
      <x:c r="M1680" t="str">
        <x:v>20220222001884</x:v>
      </x:c>
      <x:c r="N1680" t="n">
        <x:v>44614.624999988424</x:v>
      </x:c>
      <x:c r="O1680" s="54" t="n">
        <x:v>44561</x:v>
      </x:c>
      <x:c r="P1680" t="str">
        <x:v>False</x:v>
      </x:c>
      <x:c r="Q1680" t="str">
        <x:v>26694f062af9291a1934db78e0057c6d1c59607b3fcd65037bf8e5402c498487</x:v>
      </x:c>
      <x:c r="R1680" t="str">
        <x:v>74296849c4685c4c473bf179f0651f096c64f6f6cfbf0f4ae22d104fb6d865fc</x:v>
      </x:c>
      <x:c r="S1680" t="n">
        <x:v>6</x:v>
      </x:c>
      <x:c r="T1680" t="str">
        <x:v>2018-12-31|2019-12-31|2020-12-31|2021-12-31</x:v>
      </x:c>
      <x:c r="U1680" s="57" t="n">
        <x:v>4019.894751293228</x:v>
      </x:c>
      <x:c r="V1680" s="57" t="n">
        <x:v>0.42549459265717304</x:v>
      </x:c>
      <x:c r="W1680" t="n">
        <x:v>13</x:v>
      </x:c>
      <x:c r="X1680" t="n">
        <x:v>1</x:v>
      </x:c>
      <x:c r="Y1680" s="38" t="n">
        <x:v>0.6409090909090909</x:v>
      </x:c>
      <x:c r="Z1680" s="38" t="n">
        <x:v>0.5552380150585722</x:v>
      </x:c>
      <x:c r="AA1680"/>
    </x:row>
    <x:row r="1681">
      <x:c r="A1681" s="54" t="n">
        <x:v>44926</x:v>
      </x:c>
      <x:c r="B1681" t="n">
        <x:v>44926.624999988424</x:v>
      </x:c>
      <x:c r="C1681" t="str">
        <x:v>004910</x:v>
      </x:c>
      <x:c r="D1681" t="str">
        <x:v>조광페인트</x:v>
      </x:c>
      <x:c r="E1681" t="str">
        <x:v>KOSPI</x:v>
      </x:c>
      <x:c r="F1681" t="str">
        <x:v>SMALL</x:v>
      </x:c>
      <x:c r="G1681" t="str">
        <x:v>DCF_SCREENING_EXCLUSION</x:v>
      </x:c>
      <x:c r="H1681" t="str">
        <x:v>NON_POSITIVE_ENTERPRISE_VALUE|NON_POSITIVE_EQUITY_VALUE|NON_POSITIVE_TERMINAL_FCF</x:v>
      </x:c>
      <x:c r="I1681" s="54" t="n">
        <x:v>44924</x:v>
      </x:c>
      <x:c r="J1681" s="55" t="n">
        <x:v>7520</x:v>
      </x:c>
      <x:c r="K1681" s="55" t="n">
        <x:v>96256000000</x:v>
      </x:c>
      <x:c r="L1681" s="55" t="n">
        <x:v>12800000</x:v>
      </x:c>
      <x:c r="M1681" t="str">
        <x:v>20220321001064</x:v>
      </x:c>
      <x:c r="N1681" t="n">
        <x:v>44641.624999988424</x:v>
      </x:c>
      <x:c r="O1681" s="54" t="n">
        <x:v>44561</x:v>
      </x:c>
      <x:c r="P1681" t="str">
        <x:v>False</x:v>
      </x:c>
      <x:c r="Q1681" t="str">
        <x:v>84e6a51a3221357d934f15413421961a602098414a50f2c8ab0a98016b56c007</x:v>
      </x:c>
      <x:c r="R1681" t="str">
        <x:v>5f7e12cbd335feb1261ccb21c89a1dbc5de96f5c90963cc3daeebbf2359610aa</x:v>
      </x:c>
      <x:c r="S1681" t="n">
        <x:v>6</x:v>
      </x:c>
      <x:c r="T1681" t="str">
        <x:v>2018-12-31|2019-12-31|2020-12-31|2021-12-31</x:v>
      </x:c>
      <x:c r="U1681" s="57" t="n">
        <x:v>-10182.360648113614</x:v>
      </x:c>
      <x:c r="V1681" s="57" t="n">
        <x:v>-2.354037320227874</x:v>
      </x:c>
      <x:c r="W1681"/>
      <x:c r="X1681"/>
      <x:c r="Y1681" s="38" t="n">
        <x:v>0.6409090909090909</x:v>
      </x:c>
      <x:c r="Z1681" s="38" t="n">
        <x:v>0.5690463739969503</x:v>
      </x:c>
      <x:c r="AA1681" t="str">
        <x:v>NON_POSITIVE_ENTERPRISE_VALUE|NON_POSITIVE_EQUITY_VALUE|NON_POSITIVE_TERMINAL_FCF</x:v>
      </x:c>
    </x:row>
    <x:row r="1682">
      <x:c r="A1682" s="54" t="n">
        <x:v>44926</x:v>
      </x:c>
      <x:c r="B1682" t="n">
        <x:v>44926.624999988424</x:v>
      </x:c>
      <x:c r="C1682" t="str">
        <x:v>004870</x:v>
      </x:c>
      <x:c r="D1682" t="str">
        <x:v>티웨이홀딩스</x:v>
      </x:c>
      <x:c r="E1682" t="str">
        <x:v>KOSPI</x:v>
      </x:c>
      <x:c r="F1682" t="str">
        <x:v>SMALL</x:v>
      </x:c>
      <x:c r="G1682" t="str">
        <x:v>EXCLUDED_ARCHETYPE</x:v>
      </x:c>
      <x:c r="H1682" t="str">
        <x:v>FCFF_NOT_COMPARABLE_FOR_FINANCE_OR_HOLDING_HINT</x:v>
      </x:c>
      <x:c r="I1682" s="54"/>
      <x:c r="J1682" s="55"/>
      <x:c r="K1682" s="55"/>
      <x:c r="L1682" s="55"/>
      <x:c r="M1682"/>
      <x:c r="N1682"/>
      <x:c r="O1682" s="54"/>
      <x:c r="P1682"/>
      <x:c r="Q1682"/>
      <x:c r="R1682"/>
      <x:c r="S1682"/>
      <x:c r="T1682"/>
      <x:c r="U1682" s="57"/>
      <x:c r="V1682" s="57"/>
      <x:c r="W1682"/>
      <x:c r="X1682"/>
      <x:c r="Y1682" s="38"/>
      <x:c r="Z1682" s="38"/>
      <x:c r="AA1682"/>
    </x:row>
    <x:row r="1683">
      <x:c r="A1683" s="54" t="n">
        <x:v>44926</x:v>
      </x:c>
      <x:c r="B1683" t="n">
        <x:v>44926.624999988424</x:v>
      </x:c>
      <x:c r="C1683" t="str">
        <x:v>010770</x:v>
      </x:c>
      <x:c r="D1683" t="str">
        <x:v>평화홀딩스</x:v>
      </x:c>
      <x:c r="E1683" t="str">
        <x:v>KOSPI</x:v>
      </x:c>
      <x:c r="F1683" t="str">
        <x:v>SMALL</x:v>
      </x:c>
      <x:c r="G1683" t="str">
        <x:v>EXCLUDED_ARCHETYPE</x:v>
      </x:c>
      <x:c r="H1683" t="str">
        <x:v>FCFF_NOT_COMPARABLE_FOR_FINANCE_OR_HOLDING_HINT</x:v>
      </x:c>
      <x:c r="I1683" s="54"/>
      <x:c r="J1683" s="55"/>
      <x:c r="K1683" s="55"/>
      <x:c r="L1683" s="55"/>
      <x:c r="M1683"/>
      <x:c r="N1683"/>
      <x:c r="O1683" s="54"/>
      <x:c r="P1683"/>
      <x:c r="Q1683"/>
      <x:c r="R1683"/>
      <x:c r="S1683"/>
      <x:c r="T1683"/>
      <x:c r="U1683" s="57"/>
      <x:c r="V1683" s="57"/>
      <x:c r="W1683"/>
      <x:c r="X1683"/>
      <x:c r="Y1683" s="38"/>
      <x:c r="Z1683" s="38"/>
      <x:c r="AA1683"/>
    </x:row>
    <x:row r="1684">
      <x:c r="A1684" s="54" t="n">
        <x:v>44926</x:v>
      </x:c>
      <x:c r="B1684" t="n">
        <x:v>44926.624999988424</x:v>
      </x:c>
      <x:c r="C1684" t="str">
        <x:v>001290</x:v>
      </x:c>
      <x:c r="D1684" t="str">
        <x:v>상상인증권</x:v>
      </x:c>
      <x:c r="E1684" t="str">
        <x:v>KOSPI</x:v>
      </x:c>
      <x:c r="F1684" t="str">
        <x:v>SMALL</x:v>
      </x:c>
      <x:c r="G1684" t="str">
        <x:v>EXCLUDED_ARCHETYPE</x:v>
      </x:c>
      <x:c r="H1684" t="str">
        <x:v>FCFF_NOT_COMPARABLE_FOR_FINANCE_OR_HOLDING_HINT</x:v>
      </x:c>
      <x:c r="I1684" s="54"/>
      <x:c r="J1684" s="55"/>
      <x:c r="K1684" s="55"/>
      <x:c r="L1684" s="55"/>
      <x:c r="M1684"/>
      <x:c r="N1684"/>
      <x:c r="O1684" s="54"/>
      <x:c r="P1684"/>
      <x:c r="Q1684"/>
      <x:c r="R1684"/>
      <x:c r="S1684"/>
      <x:c r="T1684"/>
      <x:c r="U1684" s="57"/>
      <x:c r="V1684" s="57"/>
      <x:c r="W1684"/>
      <x:c r="X1684"/>
      <x:c r="Y1684" s="38"/>
      <x:c r="Z1684" s="38"/>
      <x:c r="AA1684"/>
    </x:row>
    <x:row r="1685">
      <x:c r="A1685" s="54" t="n">
        <x:v>44926</x:v>
      </x:c>
      <x:c r="B1685" t="n">
        <x:v>44926.624999988424</x:v>
      </x:c>
      <x:c r="C1685" t="str">
        <x:v>047400</x:v>
      </x:c>
      <x:c r="D1685" t="str">
        <x:v>유니온머티리얼</x:v>
      </x:c>
      <x:c r="E1685" t="str">
        <x:v>KOSPI</x:v>
      </x:c>
      <x:c r="F1685" t="str">
        <x:v>SMALL</x:v>
      </x:c>
      <x:c r="G1685" t="str">
        <x:v>DCF_SCREENING_EXCLUSION</x:v>
      </x:c>
      <x:c r="H1685" t="str">
        <x:v>NON_POSITIVE_ENTERPRISE_VALUE|NON_POSITIVE_EQUITY_VALUE|NON_POSITIVE_TERMINAL_FCF</x:v>
      </x:c>
      <x:c r="I1685" s="54" t="n">
        <x:v>44924</x:v>
      </x:c>
      <x:c r="J1685" s="55" t="n">
        <x:v>2460</x:v>
      </x:c>
      <x:c r="K1685" s="55" t="n">
        <x:v>103320000000</x:v>
      </x:c>
      <x:c r="L1685" s="55" t="n">
        <x:v>42000000</x:v>
      </x:c>
      <x:c r="M1685" t="str">
        <x:v>20220316001172</x:v>
      </x:c>
      <x:c r="N1685" t="n">
        <x:v>44636.624999988424</x:v>
      </x:c>
      <x:c r="O1685" s="54" t="n">
        <x:v>44561</x:v>
      </x:c>
      <x:c r="P1685" t="str">
        <x:v>False</x:v>
      </x:c>
      <x:c r="Q1685" t="str">
        <x:v>406ec7e9b4bfa064875ab47e84c695216a28d7343d3b7abfb30068d795b3070d</x:v>
      </x:c>
      <x:c r="R1685" t="str">
        <x:v>27bff9065a36277f472f0c455b64979643b6e8149ffcc63fea003d2d08170496</x:v>
      </x:c>
      <x:c r="S1685" t="n">
        <x:v>7</x:v>
      </x:c>
      <x:c r="T1685" t="str">
        <x:v>2018-12-31|2019-12-31|2020-12-31|2021-12-31</x:v>
      </x:c>
      <x:c r="U1685" s="57" t="n">
        <x:v>-2259.92542452363</x:v>
      </x:c>
      <x:c r="V1685" s="57" t="n">
        <x:v>-1.9186688717575733</x:v>
      </x:c>
      <x:c r="W1685"/>
      <x:c r="X1685"/>
      <x:c r="Y1685" s="38" t="n">
        <x:v>0.6409090909090909</x:v>
      </x:c>
      <x:c r="Z1685" s="38" t="n">
        <x:v>0.6434612713817982</x:v>
      </x:c>
      <x:c r="AA1685" t="str">
        <x:v>NON_POSITIVE_ENTERPRISE_VALUE|NON_POSITIVE_EQUITY_VALUE|NON_POSITIVE_TERMINAL_FCF</x:v>
      </x:c>
    </x:row>
    <x:row r="1686">
      <x:c r="A1686" s="54" t="n">
        <x:v>44926</x:v>
      </x:c>
      <x:c r="B1686" t="n">
        <x:v>44926.624999988424</x:v>
      </x:c>
      <x:c r="C1686" t="str">
        <x:v>011300</x:v>
      </x:c>
      <x:c r="D1686" t="str">
        <x:v>성안머티리얼스</x:v>
      </x:c>
      <x:c r="E1686" t="str">
        <x:v>KOSPI</x:v>
      </x:c>
      <x:c r="F1686" t="str">
        <x:v>SMALL</x:v>
      </x:c>
      <x:c r="G1686" t="str">
        <x:v>DCF_SCREENING_EXCLUSION</x:v>
      </x:c>
      <x:c r="H1686" t="str">
        <x:v>NON_POSITIVE_ENTERPRISE_VALUE|NON_POSITIVE_EQUITY_VALUE|NON_POSITIVE_TERMINAL_FCF</x:v>
      </x:c>
      <x:c r="I1686" s="54" t="n">
        <x:v>44924</x:v>
      </x:c>
      <x:c r="J1686" s="55" t="n">
        <x:v>890</x:v>
      </x:c>
      <x:c r="K1686" s="55" t="n">
        <x:v>50603495400</x:v>
      </x:c>
      <x:c r="L1686" s="55" t="n">
        <x:v>56857860</x:v>
      </x:c>
      <x:c r="M1686" t="str">
        <x:v>20220322000888</x:v>
      </x:c>
      <x:c r="N1686" t="n">
        <x:v>44642.624999988424</x:v>
      </x:c>
      <x:c r="O1686" s="54" t="n">
        <x:v>44561</x:v>
      </x:c>
      <x:c r="P1686" t="str">
        <x:v>False</x:v>
      </x:c>
      <x:c r="Q1686" t="str">
        <x:v>95133812ec7fb5796856517489219b7454f4cc1890aae8ba7c189bc36bf302a4</x:v>
      </x:c>
      <x:c r="R1686" t="str">
        <x:v>f33da9cc559525b90db03385cdae8d78888e82d656b5b9d9dfe10ed15dddbcbe</x:v>
      </x:c>
      <x:c r="S1686" t="n">
        <x:v>7</x:v>
      </x:c>
      <x:c r="T1686" t="str">
        <x:v>2018-12-31|2019-12-31|2020-12-31|2021-12-31</x:v>
      </x:c>
      <x:c r="U1686" s="57" t="n">
        <x:v>-601.6964799427835</x:v>
      </x:c>
      <x:c r="V1686" s="57" t="n">
        <x:v>-1.676063460609869</x:v>
      </x:c>
      <x:c r="W1686"/>
      <x:c r="X1686"/>
      <x:c r="Y1686" s="38" t="n">
        <x:v>0.6409090909090909</x:v>
      </x:c>
      <x:c r="Z1686" s="38" t="n">
        <x:v>0.7294850497912088</x:v>
      </x:c>
      <x:c r="AA1686" t="str">
        <x:v>NON_POSITIVE_ENTERPRISE_VALUE|NON_POSITIVE_EQUITY_VALUE|NON_POSITIVE_TERMINAL_FCF</x:v>
      </x:c>
    </x:row>
    <x:row r="1687">
      <x:c r="A1687" s="54" t="n">
        <x:v>44926</x:v>
      </x:c>
      <x:c r="B1687" t="n">
        <x:v>44926.624999988424</x:v>
      </x:c>
      <x:c r="C1687" t="str">
        <x:v>018500</x:v>
      </x:c>
      <x:c r="D1687" t="str">
        <x:v>동원금속</x:v>
      </x:c>
      <x:c r="E1687" t="str">
        <x:v>KOSPI</x:v>
      </x:c>
      <x:c r="F1687" t="str">
        <x:v>SMALL</x:v>
      </x:c>
      <x:c r="G1687" t="str">
        <x:v>DCF_SCREENING_EXCLUSION</x:v>
      </x:c>
      <x:c r="H1687" t="str">
        <x:v>NON_POSITIVE_ENTERPRISE_VALUE|NON_POSITIVE_EQUITY_VALUE|NON_POSITIVE_TERMINAL_FCF</x:v>
      </x:c>
      <x:c r="I1687" s="54" t="n">
        <x:v>44924</x:v>
      </x:c>
      <x:c r="J1687" s="55" t="n">
        <x:v>1000</x:v>
      </x:c>
      <x:c r="K1687" s="55" t="n">
        <x:v>46754933000</x:v>
      </x:c>
      <x:c r="L1687" s="55" t="n">
        <x:v>46754933</x:v>
      </x:c>
      <x:c r="M1687" t="str">
        <x:v>20220620000208</x:v>
      </x:c>
      <x:c r="N1687" t="n">
        <x:v>44732.624999988424</x:v>
      </x:c>
      <x:c r="O1687" s="54" t="n">
        <x:v>44651</x:v>
      </x:c>
      <x:c r="P1687" t="str">
        <x:v>False</x:v>
      </x:c>
      <x:c r="Q1687" t="str">
        <x:v>6032b6d0ff0fa5c8589ce2e9495f3392e2d87eac4ac6326e2958e1f26443339d</x:v>
      </x:c>
      <x:c r="R1687" t="str">
        <x:v>93395776f505cb3e68e13de0fe0a6c37642acc03a8e4e2a364181c6e986a8788</x:v>
      </x:c>
      <x:c r="S1687" t="n">
        <x:v>6</x:v>
      </x:c>
      <x:c r="T1687" t="str">
        <x:v>2019-03-31|2020-03-31|2021-03-31|2022-03-31</x:v>
      </x:c>
      <x:c r="U1687" s="57" t="n">
        <x:v>-5223.077801948049</x:v>
      </x:c>
      <x:c r="V1687" s="57" t="n">
        <x:v>-6.223077801948048</x:v>
      </x:c>
      <x:c r="W1687"/>
      <x:c r="X1687"/>
      <x:c r="Y1687" s="38" t="n">
        <x:v>0.6409090909090909</x:v>
      </x:c>
      <x:c r="Z1687" s="38" t="n">
        <x:v>0.7019558398857392</x:v>
      </x:c>
      <x:c r="AA1687" t="str">
        <x:v>NON_POSITIVE_ENTERPRISE_VALUE|NON_POSITIVE_EQUITY_VALUE|NON_POSITIVE_TERMINAL_FCF</x:v>
      </x:c>
    </x:row>
    <x:row r="1688">
      <x:c r="A1688" s="54" t="n">
        <x:v>44926</x:v>
      </x:c>
      <x:c r="B1688" t="n">
        <x:v>44926.624999988424</x:v>
      </x:c>
      <x:c r="C1688" t="str">
        <x:v>004770</x:v>
      </x:c>
      <x:c r="D1688" t="str">
        <x:v>써니전자</x:v>
      </x:c>
      <x:c r="E1688" t="str">
        <x:v>KOSPI</x:v>
      </x:c>
      <x:c r="F1688" t="str">
        <x:v>SMALL</x:v>
      </x:c>
      <x:c r="G1688" t="str">
        <x:v>ELIGIBLE</x:v>
      </x:c>
      <x:c r="H1688"/>
      <x:c r="I1688" s="54" t="n">
        <x:v>44924</x:v>
      </x:c>
      <x:c r="J1688" s="55" t="n">
        <x:v>2595</x:v>
      </x:c>
      <x:c r="K1688" s="55" t="n">
        <x:v>90422803545</x:v>
      </x:c>
      <x:c r="L1688" s="55" t="n">
        <x:v>34845011</x:v>
      </x:c>
      <x:c r="M1688" t="str">
        <x:v>20220317001263</x:v>
      </x:c>
      <x:c r="N1688" t="n">
        <x:v>44637.624999988424</x:v>
      </x:c>
      <x:c r="O1688" s="54" t="n">
        <x:v>44561</x:v>
      </x:c>
      <x:c r="P1688" t="str">
        <x:v>False</x:v>
      </x:c>
      <x:c r="Q1688" t="str">
        <x:v>96afd5ff88e93a440895a2ef3c3555963864d98f79a3f40b55a3030c9ac83275</x:v>
      </x:c>
      <x:c r="R1688" t="str">
        <x:v>315d574a8e7ff6895d0fe91250c34ca69416ac523b54c4bd4c1637bd7502cfe0</x:v>
      </x:c>
      <x:c r="S1688" t="n">
        <x:v>7</x:v>
      </x:c>
      <x:c r="T1688" t="str">
        <x:v>2018-12-31|2019-12-31|2020-12-31|2021-12-31</x:v>
      </x:c>
      <x:c r="U1688" s="57" t="n">
        <x:v>438.3487472789498</x:v>
      </x:c>
      <x:c r="V1688" s="57" t="n">
        <x:v>-0.8310794808173604</x:v>
      </x:c>
      <x:c r="W1688" t="n">
        <x:v>62</x:v>
      </x:c>
      <x:c r="X1688" t="n">
        <x:v>5</x:v>
      </x:c>
      <x:c r="Y1688" s="38" t="n">
        <x:v>0.6409090909090909</x:v>
      </x:c>
      <x:c r="Z1688" s="38" t="n">
        <x:v>0.5912288589103638</x:v>
      </x:c>
      <x:c r="AA1688"/>
    </x:row>
    <x:row r="1689">
      <x:c r="A1689" s="54" t="n">
        <x:v>44926</x:v>
      </x:c>
      <x:c r="B1689" t="n">
        <x:v>44926.624999988424</x:v>
      </x:c>
      <x:c r="C1689" t="str">
        <x:v>000890</x:v>
      </x:c>
      <x:c r="D1689" t="str">
        <x:v>보해양조</x:v>
      </x:c>
      <x:c r="E1689" t="str">
        <x:v>KOSPI</x:v>
      </x:c>
      <x:c r="F1689" t="str">
        <x:v>SMALL</x:v>
      </x:c>
      <x:c r="G1689" t="str">
        <x:v>DCF_SCREENING_EXCLUSION</x:v>
      </x:c>
      <x:c r="H1689" t="str">
        <x:v>NON_POSITIVE_ENTERPRISE_VALUE|NON_POSITIVE_EQUITY_VALUE|NON_POSITIVE_TERMINAL_FCF</x:v>
      </x:c>
      <x:c r="I1689" s="54" t="n">
        <x:v>44924</x:v>
      </x:c>
      <x:c r="J1689" s="55" t="n">
        <x:v>617</x:v>
      </x:c>
      <x:c r="K1689" s="55" t="n">
        <x:v>85837119593</x:v>
      </x:c>
      <x:c r="L1689" s="55" t="n">
        <x:v>139120129</x:v>
      </x:c>
      <x:c r="M1689" t="str">
        <x:v>20220315001204</x:v>
      </x:c>
      <x:c r="N1689" t="n">
        <x:v>44635.624999988424</x:v>
      </x:c>
      <x:c r="O1689" s="54" t="n">
        <x:v>44561</x:v>
      </x:c>
      <x:c r="P1689" t="str">
        <x:v>False</x:v>
      </x:c>
      <x:c r="Q1689" t="str">
        <x:v>4f3ed550dbfc0dd5e61bfd9eb0276a90fe74344e195b742fb38ee19fbad0ab35</x:v>
      </x:c>
      <x:c r="R1689" t="str">
        <x:v>1347a18563b5f21cfb5ce6f3d0c9d3d99ff6559586f97774c7bfaba7fc01c9d5</x:v>
      </x:c>
      <x:c r="S1689" t="n">
        <x:v>6</x:v>
      </x:c>
      <x:c r="T1689" t="str">
        <x:v>2018-12-31|2019-12-31|2020-12-31|2021-12-31</x:v>
      </x:c>
      <x:c r="U1689" s="57" t="n">
        <x:v>-292.69197653315086</x:v>
      </x:c>
      <x:c r="V1689" s="57" t="n">
        <x:v>-1.474379216423259</x:v>
      </x:c>
      <x:c r="W1689"/>
      <x:c r="X1689"/>
      <x:c r="Y1689" s="38" t="n">
        <x:v>0.6409090909090909</x:v>
      </x:c>
      <x:c r="Z1689" s="38" t="n">
        <x:v>0.7670157626789917</x:v>
      </x:c>
      <x:c r="AA1689" t="str">
        <x:v>NON_POSITIVE_ENTERPRISE_VALUE|NON_POSITIVE_EQUITY_VALUE|NON_POSITIVE_TERMINAL_FCF</x:v>
      </x:c>
    </x:row>
    <x:row r="1690">
      <x:c r="A1690" s="54" t="n">
        <x:v>44926</x:v>
      </x:c>
      <x:c r="B1690" t="n">
        <x:v>44926.624999988424</x:v>
      </x:c>
      <x:c r="C1690" t="str">
        <x:v>021050</x:v>
      </x:c>
      <x:c r="D1690" t="str">
        <x:v>서원</x:v>
      </x:c>
      <x:c r="E1690" t="str">
        <x:v>KOSPI</x:v>
      </x:c>
      <x:c r="F1690" t="str">
        <x:v>SMALL</x:v>
      </x:c>
      <x:c r="G1690" t="str">
        <x:v>DCF_SCREENING_EXCLUSION</x:v>
      </x:c>
      <x:c r="H1690" t="str">
        <x:v>NON_POSITIVE_EQUITY_VALUE</x:v>
      </x:c>
      <x:c r="I1690" s="54" t="n">
        <x:v>44924</x:v>
      </x:c>
      <x:c r="J1690" s="55" t="n">
        <x:v>1175</x:v>
      </x:c>
      <x:c r="K1690" s="55" t="n">
        <x:v>55782643250</x:v>
      </x:c>
      <x:c r="L1690" s="55" t="n">
        <x:v>47474590</x:v>
      </x:c>
      <x:c r="M1690" t="str">
        <x:v>20220323001011</x:v>
      </x:c>
      <x:c r="N1690" t="n">
        <x:v>44643.624999988424</x:v>
      </x:c>
      <x:c r="O1690" s="54" t="n">
        <x:v>44561</x:v>
      </x:c>
      <x:c r="P1690" t="str">
        <x:v>False</x:v>
      </x:c>
      <x:c r="Q1690" t="str">
        <x:v>728db08f6242cb663662a22c7cc9b8856ff1f56ee217b4c6eab69943d55cdcce</x:v>
      </x:c>
      <x:c r="R1690" t="str">
        <x:v>76ca0092bd955e887eb44f7cdabc306396f0cfdc39cfb96a7c6e40765f37fe85</x:v>
      </x:c>
      <x:c r="S1690" t="n">
        <x:v>6</x:v>
      </x:c>
      <x:c r="T1690" t="str">
        <x:v>2018-12-31|2019-12-31|2020-12-31|2021-12-31</x:v>
      </x:c>
      <x:c r="U1690" s="57" t="n">
        <x:v>-239.7253914947342</x:v>
      </x:c>
      <x:c r="V1690" s="57" t="n">
        <x:v>-1.2040216097827525</x:v>
      </x:c>
      <x:c r="W1690"/>
      <x:c r="X1690"/>
      <x:c r="Y1690" s="38" t="n">
        <x:v>0.6409090909090909</x:v>
      </x:c>
      <x:c r="Z1690" s="38" t="n">
        <x:v>0.47383600945035365</x:v>
      </x:c>
      <x:c r="AA1690" t="str">
        <x:v>NON_POSITIVE_EQUITY_VALUE</x:v>
      </x:c>
    </x:row>
    <x:row r="1691">
      <x:c r="A1691" s="54" t="n">
        <x:v>44926</x:v>
      </x:c>
      <x:c r="B1691" t="n">
        <x:v>44926.624999988424</x:v>
      </x:c>
      <x:c r="C1691" t="str">
        <x:v>134790</x:v>
      </x:c>
      <x:c r="D1691" t="str">
        <x:v>시디즈</x:v>
      </x:c>
      <x:c r="E1691" t="str">
        <x:v>KOSPI</x:v>
      </x:c>
      <x:c r="F1691" t="str">
        <x:v>SMALL</x:v>
      </x:c>
      <x:c r="G1691" t="str">
        <x:v>ELIGIBLE</x:v>
      </x:c>
      <x:c r="H1691"/>
      <x:c r="I1691" s="54" t="n">
        <x:v>44924</x:v>
      </x:c>
      <x:c r="J1691" s="55" t="n">
        <x:v>39250</x:v>
      </x:c>
      <x:c r="K1691" s="55" t="n">
        <x:v>78500000000</x:v>
      </x:c>
      <x:c r="L1691" s="55" t="n">
        <x:v>2000000</x:v>
      </x:c>
      <x:c r="M1691" t="str">
        <x:v>20220317000781</x:v>
      </x:c>
      <x:c r="N1691" t="n">
        <x:v>44637.624999988424</x:v>
      </x:c>
      <x:c r="O1691" s="54" t="n">
        <x:v>44561</x:v>
      </x:c>
      <x:c r="P1691" t="str">
        <x:v>False</x:v>
      </x:c>
      <x:c r="Q1691" t="str">
        <x:v>4308c99f85d1a0ac826a28e107e6174e67b2fb4796810f42928bc80c83f97ebd</x:v>
      </x:c>
      <x:c r="R1691" t="str">
        <x:v>6ab50170c91f93cd835bb0b19e6fb945a84f345f4b3fa2024ae07cb3bed7abc5</x:v>
      </x:c>
      <x:c r="S1691" t="n">
        <x:v>5</x:v>
      </x:c>
      <x:c r="T1691" t="str">
        <x:v>2018-12-31|2019-12-31|2020-12-31|2021-12-31</x:v>
      </x:c>
      <x:c r="U1691" s="57" t="n">
        <x:v>55596.38736945861</x:v>
      </x:c>
      <x:c r="V1691" s="57" t="n">
        <x:v>0.41646846801168436</x:v>
      </x:c>
      <x:c r="W1691" t="n">
        <x:v>15</x:v>
      </x:c>
      <x:c r="X1691" t="n">
        <x:v>2</x:v>
      </x:c>
      <x:c r="Y1691" s="38" t="n">
        <x:v>0.6409090909090909</x:v>
      </x:c>
      <x:c r="Z1691" s="38" t="n">
        <x:v>0.6659522181200753</x:v>
      </x:c>
      <x:c r="AA1691"/>
    </x:row>
    <x:row r="1692">
      <x:c r="A1692" s="54" t="n">
        <x:v>44926</x:v>
      </x:c>
      <x:c r="B1692" t="n">
        <x:v>44926.624999988424</x:v>
      </x:c>
      <x:c r="C1692" t="str">
        <x:v>004920</x:v>
      </x:c>
      <x:c r="D1692" t="str">
        <x:v>씨아이테크</x:v>
      </x:c>
      <x:c r="E1692" t="str">
        <x:v>KOSPI</x:v>
      </x:c>
      <x:c r="F1692" t="str">
        <x:v>SMALL</x:v>
      </x:c>
      <x:c r="G1692" t="str">
        <x:v>DCF_SCREENING_EXCLUSION</x:v>
      </x:c>
      <x:c r="H1692" t="str">
        <x:v>NON_POSITIVE_ENTERPRISE_VALUE|NON_POSITIVE_EQUITY_VALUE|NON_POSITIVE_TERMINAL_FCF</x:v>
      </x:c>
      <x:c r="I1692" s="54" t="n">
        <x:v>44924</x:v>
      </x:c>
      <x:c r="J1692" s="55" t="n">
        <x:v>876</x:v>
      </x:c>
      <x:c r="K1692" s="55" t="n">
        <x:v>38202415188</x:v>
      </x:c>
      <x:c r="L1692" s="55" t="n">
        <x:v>43610063</x:v>
      </x:c>
      <x:c r="M1692" t="str">
        <x:v>20220323000416</x:v>
      </x:c>
      <x:c r="N1692" t="n">
        <x:v>44643.624999988424</x:v>
      </x:c>
      <x:c r="O1692" s="54" t="n">
        <x:v>44561</x:v>
      </x:c>
      <x:c r="P1692" t="str">
        <x:v>False</x:v>
      </x:c>
      <x:c r="Q1692" t="str">
        <x:v>bc631a13505aed08ce97000cf7b9071df32539a077808cccfe6ae4e6f78467f5</x:v>
      </x:c>
      <x:c r="R1692" t="str">
        <x:v>c9c172bbc3807fa6892038fce7dbfcfc380dc2c55fa88fb63070f0e5428c567c</x:v>
      </x:c>
      <x:c r="S1692" t="n">
        <x:v>6</x:v>
      </x:c>
      <x:c r="T1692" t="str">
        <x:v>2018-12-31|2019-12-31|2020-12-31|2021-12-31</x:v>
      </x:c>
      <x:c r="U1692" s="57" t="n">
        <x:v>-713.1935248451213</x:v>
      </x:c>
      <x:c r="V1692" s="57" t="n">
        <x:v>-1.8141478594122389</x:v>
      </x:c>
      <x:c r="W1692"/>
      <x:c r="X1692"/>
      <x:c r="Y1692" s="38" t="n">
        <x:v>0.6409090909090909</x:v>
      </x:c>
      <x:c r="Z1692" s="38" t="n">
        <x:v>0.7574042557637609</x:v>
      </x:c>
      <x:c r="AA1692" t="str">
        <x:v>NON_POSITIVE_ENTERPRISE_VALUE|NON_POSITIVE_EQUITY_VALUE|NON_POSITIVE_TERMINAL_FCF</x:v>
      </x:c>
    </x:row>
    <x:row r="1693">
      <x:c r="A1693" s="54" t="n">
        <x:v>44926</x:v>
      </x:c>
      <x:c r="B1693" t="n">
        <x:v>44926.624999988424</x:v>
      </x:c>
      <x:c r="C1693" t="str">
        <x:v>058730</x:v>
      </x:c>
      <x:c r="D1693" t="str">
        <x:v>다스코</x:v>
      </x:c>
      <x:c r="E1693" t="str">
        <x:v>KOSPI</x:v>
      </x:c>
      <x:c r="F1693" t="str">
        <x:v>SMALL</x:v>
      </x:c>
      <x:c r="G1693" t="str">
        <x:v>DCF_SCREENING_EXCLUSION</x:v>
      </x:c>
      <x:c r="H1693" t="str">
        <x:v>NON_POSITIVE_ENTERPRISE_VALUE|NON_POSITIVE_EQUITY_VALUE|NON_POSITIVE_TERMINAL_FCF</x:v>
      </x:c>
      <x:c r="I1693" s="54" t="n">
        <x:v>44924</x:v>
      </x:c>
      <x:c r="J1693" s="55" t="n">
        <x:v>4550</x:v>
      </x:c>
      <x:c r="K1693" s="55" t="n">
        <x:v>88256081550</x:v>
      </x:c>
      <x:c r="L1693" s="55" t="n">
        <x:v>19396941</x:v>
      </x:c>
      <x:c r="M1693" t="str">
        <x:v>20220405002851</x:v>
      </x:c>
      <x:c r="N1693" t="n">
        <x:v>44656.624999988424</x:v>
      </x:c>
      <x:c r="O1693" s="54" t="n">
        <x:v>44561</x:v>
      </x:c>
      <x:c r="P1693" t="str">
        <x:v>True</x:v>
      </x:c>
      <x:c r="Q1693" t="str">
        <x:v>fc36322dc9262a6c38c4b2f66c1937f809f8184219d9f3becba7107aa77cfdab</x:v>
      </x:c>
      <x:c r="R1693" t="str">
        <x:v>ed21e637a01a932b12458189b30d3c77ddad828f1421498be913e5dd29c8582b</x:v>
      </x:c>
      <x:c r="S1693" t="n">
        <x:v>7</x:v>
      </x:c>
      <x:c r="T1693" t="str">
        <x:v>2019-12-31|2020-12-31|2021-12-31</x:v>
      </x:c>
      <x:c r="U1693" s="57" t="n">
        <x:v>-12390.39525806712</x:v>
      </x:c>
      <x:c r="V1693" s="57" t="n">
        <x:v>-3.7231637929817847</x:v>
      </x:c>
      <x:c r="W1693"/>
      <x:c r="X1693"/>
      <x:c r="Y1693" s="38" t="n">
        <x:v>0.6409090909090909</x:v>
      </x:c>
      <x:c r="Z1693" s="38" t="n">
        <x:v>0.5339702325685373</x:v>
      </x:c>
      <x:c r="AA1693" t="str">
        <x:v>NON_POSITIVE_ENTERPRISE_VALUE|NON_POSITIVE_EQUITY_VALUE|NON_POSITIVE_TERMINAL_FCF</x:v>
      </x:c>
    </x:row>
    <x:row r="1694">
      <x:c r="A1694" s="54" t="n">
        <x:v>44926</x:v>
      </x:c>
      <x:c r="B1694" t="n">
        <x:v>44926.624999988424</x:v>
      </x:c>
      <x:c r="C1694" t="str">
        <x:v>465770</x:v>
      </x:c>
      <x:c r="D1694" t="str">
        <x:v>STX그린로지스</x:v>
      </x:c>
      <x:c r="E1694" t="str">
        <x:v>KOSPI</x:v>
      </x:c>
      <x:c r="F1694" t="str">
        <x:v>SMALL</x:v>
      </x:c>
      <x:c r="G1694" t="str">
        <x:v>NOT_LISTED_OR_NO_PRICE</x:v>
      </x:c>
      <x:c r="H1694"/>
      <x:c r="I1694" s="54"/>
      <x:c r="J1694" s="55"/>
      <x:c r="K1694" s="55"/>
      <x:c r="L1694" s="55"/>
      <x:c r="M1694"/>
      <x:c r="N1694"/>
      <x:c r="O1694" s="54"/>
      <x:c r="P1694"/>
      <x:c r="Q1694"/>
      <x:c r="R1694"/>
      <x:c r="S1694"/>
      <x:c r="T1694"/>
      <x:c r="U1694" s="57"/>
      <x:c r="V1694" s="57"/>
      <x:c r="W1694"/>
      <x:c r="X1694"/>
      <x:c r="Y1694" s="38"/>
      <x:c r="Z1694" s="38"/>
      <x:c r="AA1694"/>
    </x:row>
    <x:row r="1695">
      <x:c r="A1695" s="54" t="n">
        <x:v>44926</x:v>
      </x:c>
      <x:c r="B1695" t="n">
        <x:v>44926.624999988424</x:v>
      </x:c>
      <x:c r="C1695" t="str">
        <x:v>000950</x:v>
      </x:c>
      <x:c r="D1695" t="str">
        <x:v>전방</x:v>
      </x:c>
      <x:c r="E1695" t="str">
        <x:v>KOSPI</x:v>
      </x:c>
      <x:c r="F1695" t="str">
        <x:v>SMALL</x:v>
      </x:c>
      <x:c r="G1695" t="str">
        <x:v>DCF_SCREENING_EXCLUSION</x:v>
      </x:c>
      <x:c r="H1695" t="str">
        <x:v>NON_POSITIVE_ENTERPRISE_VALUE|NON_POSITIVE_EQUITY_VALUE|NON_POSITIVE_TERMINAL_FCF|UNRELIABLE_TERMINAL_VALUE_SHARE</x:v>
      </x:c>
      <x:c r="I1695" s="54" t="n">
        <x:v>44924</x:v>
      </x:c>
      <x:c r="J1695" s="55" t="n">
        <x:v>44450</x:v>
      </x:c>
      <x:c r="K1695" s="55" t="n">
        <x:v>74676000000</x:v>
      </x:c>
      <x:c r="L1695" s="55" t="n">
        <x:v>1680000</x:v>
      </x:c>
      <x:c r="M1695" t="str">
        <x:v>20220317000094</x:v>
      </x:c>
      <x:c r="N1695" t="n">
        <x:v>44637.624999988424</x:v>
      </x:c>
      <x:c r="O1695" s="54" t="n">
        <x:v>44561</x:v>
      </x:c>
      <x:c r="P1695" t="str">
        <x:v>False</x:v>
      </x:c>
      <x:c r="Q1695" t="str">
        <x:v>0b7abe65190e1dd93439f729b035d4ca30f9dc8a5b289f10f1f04ee7ff1f114a</x:v>
      </x:c>
      <x:c r="R1695" t="str">
        <x:v>3f80d3cdb5c8533a3aa6523e95f45c4e35f75216281336deb0666429f4806a1a</x:v>
      </x:c>
      <x:c r="S1695" t="n">
        <x:v>6</x:v>
      </x:c>
      <x:c r="T1695" t="str">
        <x:v>2018-12-31|2019-12-31|2020-12-31|2021-12-31</x:v>
      </x:c>
      <x:c r="U1695" s="57" t="n">
        <x:v>-137666.84924181644</x:v>
      </x:c>
      <x:c r="V1695" s="57" t="n">
        <x:v>-4.09711696831983</x:v>
      </x:c>
      <x:c r="W1695"/>
      <x:c r="X1695"/>
      <x:c r="Y1695" s="38" t="n">
        <x:v>0.6409090909090909</x:v>
      </x:c>
      <x:c r="Z1695" s="38" t="n">
        <x:v>0.9658515454814297</x:v>
      </x:c>
      <x:c r="AA1695" t="str">
        <x:v>NON_POSITIVE_ENTERPRISE_VALUE|NON_POSITIVE_EQUITY_VALUE|NON_POSITIVE_TERMINAL_FCF|UNRELIABLE_TERMINAL_VALUE_SHARE</x:v>
      </x:c>
    </x:row>
    <x:row r="1696">
      <x:c r="A1696" s="54" t="n">
        <x:v>44926</x:v>
      </x:c>
      <x:c r="B1696" t="n">
        <x:v>44926.624999988424</x:v>
      </x:c>
      <x:c r="C1696" t="str">
        <x:v>019180</x:v>
      </x:c>
      <x:c r="D1696" t="str">
        <x:v>티에이치엔</x:v>
      </x:c>
      <x:c r="E1696" t="str">
        <x:v>KOSPI</x:v>
      </x:c>
      <x:c r="F1696" t="str">
        <x:v>SMALL</x:v>
      </x:c>
      <x:c r="G1696" t="str">
        <x:v>ELIGIBLE</x:v>
      </x:c>
      <x:c r="H1696"/>
      <x:c r="I1696" s="54" t="n">
        <x:v>44924</x:v>
      </x:c>
      <x:c r="J1696" s="55" t="n">
        <x:v>3495</x:v>
      </x:c>
      <x:c r="K1696" s="55" t="n">
        <x:v>62910000000</x:v>
      </x:c>
      <x:c r="L1696" s="55" t="n">
        <x:v>18000000</x:v>
      </x:c>
      <x:c r="M1696" t="str">
        <x:v>20220322000923</x:v>
      </x:c>
      <x:c r="N1696" t="n">
        <x:v>44642.624999988424</x:v>
      </x:c>
      <x:c r="O1696" s="54" t="n">
        <x:v>44561</x:v>
      </x:c>
      <x:c r="P1696" t="str">
        <x:v>False</x:v>
      </x:c>
      <x:c r="Q1696" t="str">
        <x:v>caaf496c38b71bf44a4d73b6d0c3032184070476eff4fd0e57ed140f23ab149b</x:v>
      </x:c>
      <x:c r="R1696" t="str">
        <x:v>91fbf763d4c2d389a11be96931fd690e2fea85838fd2e128a150d466e546820d</x:v>
      </x:c>
      <x:c r="S1696" t="n">
        <x:v>6</x:v>
      </x:c>
      <x:c r="T1696" t="str">
        <x:v>2018-12-31|2019-12-31|2020-12-31|2021-12-31</x:v>
      </x:c>
      <x:c r="U1696" s="57" t="n">
        <x:v>1268.1497161747438</x:v>
      </x:c>
      <x:c r="V1696" s="57" t="n">
        <x:v>-0.6371531570315468</x:v>
      </x:c>
      <x:c r="W1696" t="n">
        <x:v>53</x:v>
      </x:c>
      <x:c r="X1696" t="n">
        <x:v>4</x:v>
      </x:c>
      <x:c r="Y1696" s="38" t="n">
        <x:v>0.6409090909090909</x:v>
      </x:c>
      <x:c r="Z1696" s="38" t="n">
        <x:v>0.5976743403843328</x:v>
      </x:c>
      <x:c r="AA1696"/>
    </x:row>
    <x:row r="1697">
      <x:c r="A1697" s="54" t="n">
        <x:v>44926</x:v>
      </x:c>
      <x:c r="B1697" t="n">
        <x:v>44926.624999988424</x:v>
      </x:c>
      <x:c r="C1697" t="str">
        <x:v>020760</x:v>
      </x:c>
      <x:c r="D1697" t="str">
        <x:v>일진디스플</x:v>
      </x:c>
      <x:c r="E1697" t="str">
        <x:v>KOSPI</x:v>
      </x:c>
      <x:c r="F1697" t="str">
        <x:v>SMALL</x:v>
      </x:c>
      <x:c r="G1697" t="str">
        <x:v>DCF_SCREENING_EXCLUSION</x:v>
      </x:c>
      <x:c r="H1697" t="str">
        <x:v>NON_POSITIVE_ENTERPRISE_VALUE|NON_POSITIVE_EQUITY_VALUE|NON_POSITIVE_TERMINAL_FCF</x:v>
      </x:c>
      <x:c r="I1697" s="54" t="n">
        <x:v>44924</x:v>
      </x:c>
      <x:c r="J1697" s="55" t="n">
        <x:v>1205</x:v>
      </x:c>
      <x:c r="K1697" s="55" t="n">
        <x:v>62074057905</x:v>
      </x:c>
      <x:c r="L1697" s="55" t="n">
        <x:v>51513741</x:v>
      </x:c>
      <x:c r="M1697" t="str">
        <x:v>20220322001113</x:v>
      </x:c>
      <x:c r="N1697" t="n">
        <x:v>44642.624999988424</x:v>
      </x:c>
      <x:c r="O1697" s="54" t="n">
        <x:v>44561</x:v>
      </x:c>
      <x:c r="P1697" t="str">
        <x:v>False</x:v>
      </x:c>
      <x:c r="Q1697" t="str">
        <x:v>d5edcc806182a30c55f45f37c0aba3446c47cacb9db6901ad26ad6382598aa6a</x:v>
      </x:c>
      <x:c r="R1697" t="str">
        <x:v>57c5540cde337e2bde5d3310fe9b2de496ff3fb6b831a53b9d652eb4342556c4</x:v>
      </x:c>
      <x:c r="S1697" t="n">
        <x:v>6</x:v>
      </x:c>
      <x:c r="T1697" t="str">
        <x:v>2018-12-31|2019-12-31|2020-12-31|2021-12-31</x:v>
      </x:c>
      <x:c r="U1697" s="57" t="n">
        <x:v>-4015.0665610392907</x:v>
      </x:c>
      <x:c r="V1697" s="57" t="n">
        <x:v>-4.332005444845884</x:v>
      </x:c>
      <x:c r="W1697"/>
      <x:c r="X1697"/>
      <x:c r="Y1697" s="38" t="n">
        <x:v>0.6409090909090909</x:v>
      </x:c>
      <x:c r="Z1697" s="38" t="n">
        <x:v>0.6095054406520231</x:v>
      </x:c>
      <x:c r="AA1697" t="str">
        <x:v>NON_POSITIVE_ENTERPRISE_VALUE|NON_POSITIVE_EQUITY_VALUE|NON_POSITIVE_TERMINAL_FCF</x:v>
      </x:c>
    </x:row>
    <x:row r="1698">
      <x:c r="A1698" s="54" t="n">
        <x:v>44926</x:v>
      </x:c>
      <x:c r="B1698" t="n">
        <x:v>44926.624999988424</x:v>
      </x:c>
      <x:c r="C1698" t="str">
        <x:v>069640</x:v>
      </x:c>
      <x:c r="D1698" t="str">
        <x:v>한세엠케이</x:v>
      </x:c>
      <x:c r="E1698" t="str">
        <x:v>KOSPI</x:v>
      </x:c>
      <x:c r="F1698" t="str">
        <x:v>SMALL</x:v>
      </x:c>
      <x:c r="G1698" t="str">
        <x:v>DCF_SCREENING_EXCLUSION</x:v>
      </x:c>
      <x:c r="H1698" t="str">
        <x:v>NON_POSITIVE_ENTERPRISE_VALUE|NON_POSITIVE_EQUITY_VALUE|NON_POSITIVE_TERMINAL_FCF</x:v>
      </x:c>
      <x:c r="I1698" s="54" t="n">
        <x:v>44924</x:v>
      </x:c>
      <x:c r="J1698" s="55" t="n">
        <x:v>2965</x:v>
      </x:c>
      <x:c r="K1698" s="55" t="n">
        <x:v>89265778430</x:v>
      </x:c>
      <x:c r="L1698" s="55" t="n">
        <x:v>30106502</x:v>
      </x:c>
      <x:c r="M1698" t="str">
        <x:v>20220321001199</x:v>
      </x:c>
      <x:c r="N1698" t="n">
        <x:v>44641.624999988424</x:v>
      </x:c>
      <x:c r="O1698" s="54" t="n">
        <x:v>44561</x:v>
      </x:c>
      <x:c r="P1698" t="str">
        <x:v>False</x:v>
      </x:c>
      <x:c r="Q1698" t="str">
        <x:v>3f80c2d04af8293ae6c99a854b89c2c902e52dcedc2f1f5c9879d54e57c6f979</x:v>
      </x:c>
      <x:c r="R1698" t="str">
        <x:v>264f926dfcbc54b8c4909755ecaba1143b7cd75939a7d72c263c8f1480b3a89e</x:v>
      </x:c>
      <x:c r="S1698" t="n">
        <x:v>6</x:v>
      </x:c>
      <x:c r="T1698" t="str">
        <x:v>2018-12-31|2019-12-31|2020-12-31|2021-12-31</x:v>
      </x:c>
      <x:c r="U1698" s="57" t="n">
        <x:v>-4709.762907620896</x:v>
      </x:c>
      <x:c r="V1698" s="57" t="n">
        <x:v>-2.588452919939594</x:v>
      </x:c>
      <x:c r="W1698"/>
      <x:c r="X1698"/>
      <x:c r="Y1698" s="38" t="n">
        <x:v>0.6409090909090909</x:v>
      </x:c>
      <x:c r="Z1698" s="38" t="n">
        <x:v>0.6847834688748102</x:v>
      </x:c>
      <x:c r="AA1698" t="str">
        <x:v>NON_POSITIVE_ENTERPRISE_VALUE|NON_POSITIVE_EQUITY_VALUE|NON_POSITIVE_TERMINAL_FCF</x:v>
      </x:c>
    </x:row>
    <x:row r="1699">
      <x:c r="A1699" s="54" t="n">
        <x:v>44926</x:v>
      </x:c>
      <x:c r="B1699" t="n">
        <x:v>44926.624999988424</x:v>
      </x:c>
      <x:c r="C1699" t="str">
        <x:v>000040</x:v>
      </x:c>
      <x:c r="D1699" t="str">
        <x:v>KR모터스</x:v>
      </x:c>
      <x:c r="E1699" t="str">
        <x:v>KOSPI</x:v>
      </x:c>
      <x:c r="F1699" t="str">
        <x:v>SMALL</x:v>
      </x:c>
      <x:c r="G1699" t="str">
        <x:v>DCF_SCREENING_EXCLUSION</x:v>
      </x:c>
      <x:c r="H1699" t="str">
        <x:v>NON_POSITIVE_ENTERPRISE_VALUE|NON_POSITIVE_EQUITY_VALUE|NON_POSITIVE_TERMINAL_FCF</x:v>
      </x:c>
      <x:c r="I1699" s="54" t="n">
        <x:v>44924</x:v>
      </x:c>
      <x:c r="J1699" s="55" t="n">
        <x:v>560</x:v>
      </x:c>
      <x:c r="K1699" s="55" t="n">
        <x:v>53837540400</x:v>
      </x:c>
      <x:c r="L1699" s="55" t="n">
        <x:v>96138465</x:v>
      </x:c>
      <x:c r="M1699" t="str">
        <x:v>20220518000138</x:v>
      </x:c>
      <x:c r="N1699" t="n">
        <x:v>44699.624999988424</x:v>
      </x:c>
      <x:c r="O1699" s="54" t="n">
        <x:v>44561</x:v>
      </x:c>
      <x:c r="P1699" t="str">
        <x:v>True</x:v>
      </x:c>
      <x:c r="Q1699" t="str">
        <x:v>7be1ff9139f478051db49d75476a715a97b65a3c8a38dc280dea0b445eef9d18</x:v>
      </x:c>
      <x:c r="R1699" t="str">
        <x:v>6f6d171846011347edf74407dd0b52b1130efa2688ae4042836e9cfb7c3ef4bd</x:v>
      </x:c>
      <x:c r="S1699" t="n">
        <x:v>5</x:v>
      </x:c>
      <x:c r="T1699" t="str">
        <x:v>2018-12-31|2019-12-31|2020-12-31|2021-12-31</x:v>
      </x:c>
      <x:c r="U1699" s="57" t="n">
        <x:v>-1417.389382874451</x:v>
      </x:c>
      <x:c r="V1699" s="57" t="n">
        <x:v>-3.531052469418663</x:v>
      </x:c>
      <x:c r="W1699"/>
      <x:c r="X1699"/>
      <x:c r="Y1699" s="38" t="n">
        <x:v>0.6409090909090909</x:v>
      </x:c>
      <x:c r="Z1699" s="38" t="n">
        <x:v>0.7415038976089445</x:v>
      </x:c>
      <x:c r="AA1699" t="str">
        <x:v>NON_POSITIVE_ENTERPRISE_VALUE|NON_POSITIVE_EQUITY_VALUE|NON_POSITIVE_TERMINAL_FCF</x:v>
      </x:c>
    </x:row>
    <x:row r="1700">
      <x:c r="A1700" s="54" t="n">
        <x:v>44926</x:v>
      </x:c>
      <x:c r="B1700" t="n">
        <x:v>44926.624999988424</x:v>
      </x:c>
      <x:c r="C1700" t="str">
        <x:v>003680</x:v>
      </x:c>
      <x:c r="D1700" t="str">
        <x:v>한성기업</x:v>
      </x:c>
      <x:c r="E1700" t="str">
        <x:v>KOSPI</x:v>
      </x:c>
      <x:c r="F1700" t="str">
        <x:v>SMALL</x:v>
      </x:c>
      <x:c r="G1700" t="str">
        <x:v>DCF_SCREENING_EXCLUSION</x:v>
      </x:c>
      <x:c r="H1700" t="str">
        <x:v>NON_POSITIVE_ENTERPRISE_VALUE|NON_POSITIVE_EQUITY_VALUE|NON_POSITIVE_TERMINAL_FCF</x:v>
      </x:c>
      <x:c r="I1700" s="54" t="n">
        <x:v>44924</x:v>
      </x:c>
      <x:c r="J1700" s="55" t="n">
        <x:v>5140</x:v>
      </x:c>
      <x:c r="K1700" s="55" t="n">
        <x:v>31916907100</x:v>
      </x:c>
      <x:c r="L1700" s="55" t="n">
        <x:v>6209515</x:v>
      </x:c>
      <x:c r="M1700" t="str">
        <x:v>20220321001488</x:v>
      </x:c>
      <x:c r="N1700" t="n">
        <x:v>44641.624999988424</x:v>
      </x:c>
      <x:c r="O1700" s="54" t="n">
        <x:v>44561</x:v>
      </x:c>
      <x:c r="P1700" t="str">
        <x:v>False</x:v>
      </x:c>
      <x:c r="Q1700" t="str">
        <x:v>43bde3681dcac138193c66ca8f3806fbe182a6a8ea7fce5f3d3cc3d321282198</x:v>
      </x:c>
      <x:c r="R1700" t="str">
        <x:v>3709be2ff5f6c286bb5dc5bba52f9fb66a16880af3f62e28828991ef5d6796d1</x:v>
      </x:c>
      <x:c r="S1700" t="n">
        <x:v>7</x:v>
      </x:c>
      <x:c r="T1700" t="str">
        <x:v>2018-12-31|2019-12-31|2020-12-31|2021-12-31</x:v>
      </x:c>
      <x:c r="U1700" s="57" t="n">
        <x:v>-14272.758559851622</x:v>
      </x:c>
      <x:c r="V1700" s="57" t="n">
        <x:v>-3.776801276235724</x:v>
      </x:c>
      <x:c r="W1700"/>
      <x:c r="X1700"/>
      <x:c r="Y1700" s="38" t="n">
        <x:v>0.6409090909090909</x:v>
      </x:c>
      <x:c r="Z1700" s="38" t="n">
        <x:v>0.5733329809061016</x:v>
      </x:c>
      <x:c r="AA1700" t="str">
        <x:v>NON_POSITIVE_ENTERPRISE_VALUE|NON_POSITIVE_EQUITY_VALUE|NON_POSITIVE_TERMINAL_FCF</x:v>
      </x:c>
    </x:row>
    <x:row r="1701">
      <x:c r="A1701" s="54" t="n">
        <x:v>44926</x:v>
      </x:c>
      <x:c r="B1701" t="n">
        <x:v>44926.624999988424</x:v>
      </x:c>
      <x:c r="C1701" t="str">
        <x:v>008600</x:v>
      </x:c>
      <x:c r="D1701" t="str">
        <x:v>윌비스</x:v>
      </x:c>
      <x:c r="E1701" t="str">
        <x:v>KOSPI</x:v>
      </x:c>
      <x:c r="F1701" t="str">
        <x:v>SMALL</x:v>
      </x:c>
      <x:c r="G1701" t="str">
        <x:v>DCF_SCREENING_EXCLUSION</x:v>
      </x:c>
      <x:c r="H1701" t="str">
        <x:v>NON_POSITIVE_ENTERPRISE_VALUE|NON_POSITIVE_EQUITY_VALUE|NON_POSITIVE_TERMINAL_FCF|UNRELIABLE_TERMINAL_VALUE_SHARE</x:v>
      </x:c>
      <x:c r="I1701" s="54" t="n">
        <x:v>44924</x:v>
      </x:c>
      <x:c r="J1701" s="55" t="n">
        <x:v>689</x:v>
      </x:c>
      <x:c r="K1701" s="55" t="n">
        <x:v>46325630871</x:v>
      </x:c>
      <x:c r="L1701" s="55" t="n">
        <x:v>67236039</x:v>
      </x:c>
      <x:c r="M1701" t="str">
        <x:v>20221226000298</x:v>
      </x:c>
      <x:c r="N1701" t="n">
        <x:v>44921.624999988424</x:v>
      </x:c>
      <x:c r="O1701" s="54" t="n">
        <x:v>44561</x:v>
      </x:c>
      <x:c r="P1701" t="str">
        <x:v>True</x:v>
      </x:c>
      <x:c r="Q1701" t="str">
        <x:v>58952c6adb9575a86a89d0b3ddd11b171b3f3891a66d173ddb7069d40a54136b</x:v>
      </x:c>
      <x:c r="R1701" t="str">
        <x:v>7ef1b0800cf1e590fb40cd4c6242f0b1508dfca5771d5196ab79cc50d14f0921</x:v>
      </x:c>
      <x:c r="S1701" t="n">
        <x:v>6</x:v>
      </x:c>
      <x:c r="T1701" t="str">
        <x:v>2018-12-31|2019-12-31|2020-12-31|2021-12-31</x:v>
      </x:c>
      <x:c r="U1701" s="57" t="n">
        <x:v>-1862.15439954397</x:v>
      </x:c>
      <x:c r="V1701" s="57" t="n">
        <x:v>-3.7026914362031493</x:v>
      </x:c>
      <x:c r="W1701"/>
      <x:c r="X1701"/>
      <x:c r="Y1701" s="38" t="n">
        <x:v>0.6409090909090909</x:v>
      </x:c>
      <x:c r="Z1701" s="38" t="n">
        <x:v>4.288484296060114</x:v>
      </x:c>
      <x:c r="AA1701" t="str">
        <x:v>NON_POSITIVE_ENTERPRISE_VALUE|NON_POSITIVE_EQUITY_VALUE|NON_POSITIVE_TERMINAL_FCF|UNRELIABLE_TERMINAL_VALUE_SHARE</x:v>
      </x:c>
    </x:row>
    <x:row r="1702">
      <x:c r="A1702" s="54" t="n">
        <x:v>44926</x:v>
      </x:c>
      <x:c r="B1702" t="n">
        <x:v>44926.624999988424</x:v>
      </x:c>
      <x:c r="C1702" t="str">
        <x:v>018310</x:v>
      </x:c>
      <x:c r="D1702" t="str">
        <x:v>삼목에스폼</x:v>
      </x:c>
      <x:c r="E1702" t="str">
        <x:v>KOSDAQ</x:v>
      </x:c>
      <x:c r="F1702" t="str">
        <x:v>MID</x:v>
      </x:c>
      <x:c r="G1702" t="str">
        <x:v>DCF_SCREENING_EXCLUSION</x:v>
      </x:c>
      <x:c r="H1702" t="str">
        <x:v>NON_POSITIVE_ENTERPRISE_VALUE|NON_POSITIVE_TERMINAL_FCF</x:v>
      </x:c>
      <x:c r="I1702" s="54" t="n">
        <x:v>44924</x:v>
      </x:c>
      <x:c r="J1702" s="55" t="n">
        <x:v>16700</x:v>
      </x:c>
      <x:c r="K1702" s="55" t="n">
        <x:v>245490000000</x:v>
      </x:c>
      <x:c r="L1702" s="55" t="n">
        <x:v>14700000</x:v>
      </x:c>
      <x:c r="M1702" t="str">
        <x:v>20220812000972</x:v>
      </x:c>
      <x:c r="N1702" t="n">
        <x:v>44785.624999988424</x:v>
      </x:c>
      <x:c r="O1702" s="54" t="n">
        <x:v>44561</x:v>
      </x:c>
      <x:c r="P1702" t="str">
        <x:v>True</x:v>
      </x:c>
      <x:c r="Q1702" t="str">
        <x:v>6592553333af3079f78ed014c21c13351c9a317b2ca0e35ee7dd9600eea9721e</x:v>
      </x:c>
      <x:c r="R1702" t="str">
        <x:v>45ebff37f14e05f857705949c66fc011e9839ee8041a503b41081ff97d02f4af</x:v>
      </x:c>
      <x:c r="S1702" t="n">
        <x:v>5</x:v>
      </x:c>
      <x:c r="T1702" t="str">
        <x:v>2018-12-31|2019-12-31|2020-12-31|2021-12-31</x:v>
      </x:c>
      <x:c r="U1702" s="57" t="n">
        <x:v>1113.724364776664</x:v>
      </x:c>
      <x:c r="V1702" s="57" t="n">
        <x:v>-0.9333099182768465</x:v>
      </x:c>
      <x:c r="W1702"/>
      <x:c r="X1702"/>
      <x:c r="Y1702" s="38" t="n">
        <x:v>0.6409090909090909</x:v>
      </x:c>
      <x:c r="Z1702" s="38" t="n">
        <x:v>0.5663530764565846</x:v>
      </x:c>
      <x:c r="AA1702" t="str">
        <x:v>NON_POSITIVE_ENTERPRISE_VALUE|NON_POSITIVE_TERMINAL_FCF</x:v>
      </x:c>
    </x:row>
    <x:row r="1703">
      <x:c r="A1703" s="54" t="n">
        <x:v>44926</x:v>
      </x:c>
      <x:c r="B1703" t="n">
        <x:v>44926.624999988424</x:v>
      </x:c>
      <x:c r="C1703" t="str">
        <x:v>090360</x:v>
      </x:c>
      <x:c r="D1703" t="str">
        <x:v>로보스타</x:v>
      </x:c>
      <x:c r="E1703" t="str">
        <x:v>KOSDAQ</x:v>
      </x:c>
      <x:c r="F1703" t="str">
        <x:v>MID</x:v>
      </x:c>
      <x:c r="G1703" t="str">
        <x:v>DCF_SCREENING_EXCLUSION</x:v>
      </x:c>
      <x:c r="H1703" t="str">
        <x:v>NON_POSITIVE_ENTERPRISE_VALUE|NON_POSITIVE_EQUITY_VALUE|NON_POSITIVE_TERMINAL_FCF</x:v>
      </x:c>
      <x:c r="I1703" s="54" t="n">
        <x:v>44924</x:v>
      </x:c>
      <x:c r="J1703" s="55" t="n">
        <x:v>18650</x:v>
      </x:c>
      <x:c r="K1703" s="55" t="n">
        <x:v>181837500000</x:v>
      </x:c>
      <x:c r="L1703" s="55" t="n">
        <x:v>9750000</x:v>
      </x:c>
      <x:c r="M1703" t="str">
        <x:v>20220317001258</x:v>
      </x:c>
      <x:c r="N1703" t="n">
        <x:v>44637.624999988424</x:v>
      </x:c>
      <x:c r="O1703" s="54" t="n">
        <x:v>44561</x:v>
      </x:c>
      <x:c r="P1703" t="str">
        <x:v>False</x:v>
      </x:c>
      <x:c r="Q1703" t="str">
        <x:v>812bd368813bd094b40d2783aa1307b6fc6259e07aa27686d1455fafdea88546</x:v>
      </x:c>
      <x:c r="R1703" t="str">
        <x:v>839ccc30141f7f3ff6b6c52030d341ea3b95aa66d0ba87ff0956f4b10439fb9d</x:v>
      </x:c>
      <x:c r="S1703" t="n">
        <x:v>5</x:v>
      </x:c>
      <x:c r="T1703" t="str">
        <x:v>2018-12-31|2019-12-31|2020-12-31|2021-12-31</x:v>
      </x:c>
      <x:c r="U1703" s="57" t="n">
        <x:v>-913.3084498688557</x:v>
      </x:c>
      <x:c r="V1703" s="57" t="n">
        <x:v>-1.048970962459456</x:v>
      </x:c>
      <x:c r="W1703"/>
      <x:c r="X1703"/>
      <x:c r="Y1703" s="38" t="n">
        <x:v>0.6409090909090909</x:v>
      </x:c>
      <x:c r="Z1703" s="38" t="n">
        <x:v>0.7528044013043851</x:v>
      </x:c>
      <x:c r="AA1703" t="str">
        <x:v>NON_POSITIVE_ENTERPRISE_VALUE|NON_POSITIVE_EQUITY_VALUE|NON_POSITIVE_TERMINAL_FCF</x:v>
      </x:c>
    </x:row>
    <x:row r="1704">
      <x:c r="A1704" s="54" t="n">
        <x:v>44926</x:v>
      </x:c>
      <x:c r="B1704" t="n">
        <x:v>44926.624999988424</x:v>
      </x:c>
      <x:c r="C1704" t="str">
        <x:v>144960</x:v>
      </x:c>
      <x:c r="D1704" t="str">
        <x:v>뉴파워프라즈마</x:v>
      </x:c>
      <x:c r="E1704" t="str">
        <x:v>KOSDAQ</x:v>
      </x:c>
      <x:c r="F1704" t="str">
        <x:v>MID</x:v>
      </x:c>
      <x:c r="G1704" t="str">
        <x:v>ELIGIBLE</x:v>
      </x:c>
      <x:c r="H1704"/>
      <x:c r="I1704" s="54" t="n">
        <x:v>44924</x:v>
      </x:c>
      <x:c r="J1704" s="55" t="n">
        <x:v>3540</x:v>
      </x:c>
      <x:c r="K1704" s="55" t="n">
        <x:v>154671888960</x:v>
      </x:c>
      <x:c r="L1704" s="55" t="n">
        <x:v>43692624</x:v>
      </x:c>
      <x:c r="M1704" t="str">
        <x:v>20220322001019</x:v>
      </x:c>
      <x:c r="N1704" t="n">
        <x:v>44642.624999988424</x:v>
      </x:c>
      <x:c r="O1704" s="54" t="n">
        <x:v>44561</x:v>
      </x:c>
      <x:c r="P1704" t="str">
        <x:v>False</x:v>
      </x:c>
      <x:c r="Q1704" t="str">
        <x:v>ecc05b805a707a36118d073b359c72b5338598397c87140a6e23238691976794</x:v>
      </x:c>
      <x:c r="R1704" t="str">
        <x:v>55508e8788303cc40eab9d84bd6962b6d46e4c3a6e70ba427bee16963b8829fc</x:v>
      </x:c>
      <x:c r="S1704" t="n">
        <x:v>6</x:v>
      </x:c>
      <x:c r="T1704" t="str">
        <x:v>2018-12-31|2019-12-31|2020-12-31|2021-12-31</x:v>
      </x:c>
      <x:c r="U1704" s="57" t="n">
        <x:v>2143.7735145070833</x:v>
      </x:c>
      <x:c r="V1704" s="57" t="n">
        <x:v>-0.39441426143867697</x:v>
      </x:c>
      <x:c r="W1704" t="n">
        <x:v>39</x:v>
      </x:c>
      <x:c r="X1704" t="n">
        <x:v>3</x:v>
      </x:c>
      <x:c r="Y1704" s="38" t="n">
        <x:v>0.6409090909090909</x:v>
      </x:c>
      <x:c r="Z1704" s="38" t="n">
        <x:v>0.8073711628005346</x:v>
      </x:c>
      <x:c r="AA1704"/>
    </x:row>
    <x:row r="1705">
      <x:c r="A1705" s="54" t="n">
        <x:v>44926</x:v>
      </x:c>
      <x:c r="B1705" t="n">
        <x:v>44926.624999988424</x:v>
      </x:c>
      <x:c r="C1705" t="str">
        <x:v>065660</x:v>
      </x:c>
      <x:c r="D1705" t="str">
        <x:v>안트로젠</x:v>
      </x:c>
      <x:c r="E1705" t="str">
        <x:v>KOSDAQ</x:v>
      </x:c>
      <x:c r="F1705" t="str">
        <x:v>MID</x:v>
      </x:c>
      <x:c r="G1705" t="str">
        <x:v>DCF_SCREENING_EXCLUSION</x:v>
      </x:c>
      <x:c r="H1705" t="str">
        <x:v>NON_POSITIVE_ENTERPRISE_VALUE|NON_POSITIVE_EQUITY_VALUE|NON_POSITIVE_TERMINAL_FCF</x:v>
      </x:c>
      <x:c r="I1705" s="54" t="n">
        <x:v>44924</x:v>
      </x:c>
      <x:c r="J1705" s="55" t="n">
        <x:v>14700</x:v>
      </x:c>
      <x:c r="K1705" s="55" t="n">
        <x:v>143051183100</x:v>
      </x:c>
      <x:c r="L1705" s="55" t="n">
        <x:v>9731373</x:v>
      </x:c>
      <x:c r="M1705" t="str">
        <x:v>20220308000561</x:v>
      </x:c>
      <x:c r="N1705" t="n">
        <x:v>44628.624999988424</x:v>
      </x:c>
      <x:c r="O1705" s="54" t="n">
        <x:v>44561</x:v>
      </x:c>
      <x:c r="P1705" t="str">
        <x:v>False</x:v>
      </x:c>
      <x:c r="Q1705" t="str">
        <x:v>ca8cc1135227c8e4226125c29bdedc099d8a54cc791afacfe1af303aff51c30e</x:v>
      </x:c>
      <x:c r="R1705" t="str">
        <x:v>13f8c889046bf7ebd27422fe30c0fb9dc9a262859e07f3464507af3c877cf08d</x:v>
      </x:c>
      <x:c r="S1705" t="n">
        <x:v>6</x:v>
      </x:c>
      <x:c r="T1705" t="str">
        <x:v>2018-12-31|2019-12-31|2020-12-31|2021-12-31</x:v>
      </x:c>
      <x:c r="U1705" s="57" t="n">
        <x:v>-3287.833989215215</x:v>
      </x:c>
      <x:c r="V1705" s="57" t="n">
        <x:v>-1.2236621761370894</x:v>
      </x:c>
      <x:c r="W1705"/>
      <x:c r="X1705"/>
      <x:c r="Y1705" s="38" t="n">
        <x:v>0.6409090909090909</x:v>
      </x:c>
      <x:c r="Z1705" s="38" t="n">
        <x:v>0.6635957394517747</x:v>
      </x:c>
      <x:c r="AA1705" t="str">
        <x:v>NON_POSITIVE_ENTERPRISE_VALUE|NON_POSITIVE_EQUITY_VALUE|NON_POSITIVE_TERMINAL_FCF</x:v>
      </x:c>
    </x:row>
    <x:row r="1706">
      <x:c r="A1706" s="54" t="n">
        <x:v>44926</x:v>
      </x:c>
      <x:c r="B1706" t="n">
        <x:v>44926.624999988424</x:v>
      </x:c>
      <x:c r="C1706" t="str">
        <x:v>255220</x:v>
      </x:c>
      <x:c r="D1706" t="str">
        <x:v>SG</x:v>
      </x:c>
      <x:c r="E1706" t="str">
        <x:v>KOSDAQ</x:v>
      </x:c>
      <x:c r="F1706" t="str">
        <x:v>MID</x:v>
      </x:c>
      <x:c r="G1706" t="str">
        <x:v>DCF_SCREENING_EXCLUSION</x:v>
      </x:c>
      <x:c r="H1706" t="str">
        <x:v>NON_POSITIVE_EQUITY_VALUE|UNRELIABLE_TERMINAL_VALUE_SHARE</x:v>
      </x:c>
      <x:c r="I1706" s="54" t="n">
        <x:v>44924</x:v>
      </x:c>
      <x:c r="J1706" s="55" t="n">
        <x:v>1175</x:v>
      </x:c>
      <x:c r="K1706" s="55" t="n">
        <x:v>52589109575</x:v>
      </x:c>
      <x:c r="L1706" s="55" t="n">
        <x:v>44756689</x:v>
      </x:c>
      <x:c r="M1706" t="str">
        <x:v>20220816000401</x:v>
      </x:c>
      <x:c r="N1706" t="n">
        <x:v>44789.624999988424</x:v>
      </x:c>
      <x:c r="O1706" s="54" t="n">
        <x:v>44561</x:v>
      </x:c>
      <x:c r="P1706" t="str">
        <x:v>True</x:v>
      </x:c>
      <x:c r="Q1706" t="str">
        <x:v>df14914aec7636060548ca830c82840a739d76af3e7eaaba8da328f0ba064b53</x:v>
      </x:c>
      <x:c r="R1706" t="str">
        <x:v>d48e25a8465f70136b83b751c9165986e4c19caa31705d97af14f6bd23885966</x:v>
      </x:c>
      <x:c r="S1706" t="n">
        <x:v>6</x:v>
      </x:c>
      <x:c r="T1706" t="str">
        <x:v>2018-12-31|2019-12-31|2020-12-31|2021-12-31</x:v>
      </x:c>
      <x:c r="U1706" s="57" t="n">
        <x:v>-1466.7676643926793</x:v>
      </x:c>
      <x:c r="V1706" s="57" t="n">
        <x:v>-2.24831290586611</x:v>
      </x:c>
      <x:c r="W1706"/>
      <x:c r="X1706"/>
      <x:c r="Y1706" s="38" t="n">
        <x:v>0.6409090909090909</x:v>
      </x:c>
      <x:c r="Z1706" s="38" t="n">
        <x:v>1.263959186437666</x:v>
      </x:c>
      <x:c r="AA1706" t="str">
        <x:v>NON_POSITIVE_EQUITY_VALUE|UNRELIABLE_TERMINAL_VALUE_SHARE</x:v>
      </x:c>
    </x:row>
    <x:row r="1707">
      <x:c r="A1707" s="54" t="n">
        <x:v>44926</x:v>
      </x:c>
      <x:c r="B1707" t="n">
        <x:v>44926.624999988424</x:v>
      </x:c>
      <x:c r="C1707" t="str">
        <x:v>356680</x:v>
      </x:c>
      <x:c r="D1707" t="str">
        <x:v>엑스게이트</x:v>
      </x:c>
      <x:c r="E1707" t="str">
        <x:v>KOSDAQ</x:v>
      </x:c>
      <x:c r="F1707" t="str">
        <x:v>MID</x:v>
      </x:c>
      <x:c r="G1707" t="str">
        <x:v>NOT_LISTED_OR_NO_PRICE</x:v>
      </x:c>
      <x:c r="H1707"/>
      <x:c r="I1707" s="54"/>
      <x:c r="J1707" s="55"/>
      <x:c r="K1707" s="55"/>
      <x:c r="L1707" s="55"/>
      <x:c r="M1707"/>
      <x:c r="N1707"/>
      <x:c r="O1707" s="54"/>
      <x:c r="P1707"/>
      <x:c r="Q1707"/>
      <x:c r="R1707"/>
      <x:c r="S1707"/>
      <x:c r="T1707"/>
      <x:c r="U1707" s="57"/>
      <x:c r="V1707" s="57"/>
      <x:c r="W1707"/>
      <x:c r="X1707"/>
      <x:c r="Y1707" s="38"/>
      <x:c r="Z1707" s="38"/>
      <x:c r="AA1707"/>
    </x:row>
    <x:row r="1708">
      <x:c r="A1708" s="54" t="n">
        <x:v>44926</x:v>
      </x:c>
      <x:c r="B1708" t="n">
        <x:v>44926.624999988424</x:v>
      </x:c>
      <x:c r="C1708" t="str">
        <x:v>038390</x:v>
      </x:c>
      <x:c r="D1708" t="str">
        <x:v>레드캡투어</x:v>
      </x:c>
      <x:c r="E1708" t="str">
        <x:v>KOSDAQ</x:v>
      </x:c>
      <x:c r="F1708" t="str">
        <x:v>MID</x:v>
      </x:c>
      <x:c r="G1708" t="str">
        <x:v>ELIGIBLE</x:v>
      </x:c>
      <x:c r="H1708"/>
      <x:c r="I1708" s="54" t="n">
        <x:v>44924</x:v>
      </x:c>
      <x:c r="J1708" s="55" t="n">
        <x:v>19050</x:v>
      </x:c>
      <x:c r="K1708" s="55" t="n">
        <x:v>163629594000</x:v>
      </x:c>
      <x:c r="L1708" s="55" t="n">
        <x:v>8589480</x:v>
      </x:c>
      <x:c r="M1708" t="str">
        <x:v>20220317000890</x:v>
      </x:c>
      <x:c r="N1708" t="n">
        <x:v>44637.624999988424</x:v>
      </x:c>
      <x:c r="O1708" s="54" t="n">
        <x:v>44561</x:v>
      </x:c>
      <x:c r="P1708" t="str">
        <x:v>False</x:v>
      </x:c>
      <x:c r="Q1708" t="str">
        <x:v>8f8828ebfc53547c7e9043d8aae0f7cb754e7fca9b893a3ba8383e35f786d57c</x:v>
      </x:c>
      <x:c r="R1708" t="str">
        <x:v>48ae00dafefcd96cc7e08b1ef88b27681e65cc8aeebda312cebb3712c271f891</x:v>
      </x:c>
      <x:c r="S1708" t="n">
        <x:v>6</x:v>
      </x:c>
      <x:c r="T1708" t="str">
        <x:v>2018-12-31|2019-12-31|2020-12-31|2021-12-31</x:v>
      </x:c>
      <x:c r="U1708" s="57" t="n">
        <x:v>7949.727668580381</x:v>
      </x:c>
      <x:c r="V1708" s="57" t="n">
        <x:v>-0.5826914609669092</x:v>
      </x:c>
      <x:c r="W1708" t="n">
        <x:v>48</x:v>
      </x:c>
      <x:c r="X1708" t="n">
        <x:v>4</x:v>
      </x:c>
      <x:c r="Y1708" s="38" t="n">
        <x:v>0.6409090909090909</x:v>
      </x:c>
      <x:c r="Z1708" s="38" t="n">
        <x:v>0.6747690002838279</x:v>
      </x:c>
      <x:c r="AA1708"/>
    </x:row>
    <x:row r="1709">
      <x:c r="A1709" s="54" t="n">
        <x:v>44926</x:v>
      </x:c>
      <x:c r="B1709" t="n">
        <x:v>44926.624999988424</x:v>
      </x:c>
      <x:c r="C1709" t="str">
        <x:v>083930</x:v>
      </x:c>
      <x:c r="D1709" t="str">
        <x:v>아바코</x:v>
      </x:c>
      <x:c r="E1709" t="str">
        <x:v>KOSDAQ</x:v>
      </x:c>
      <x:c r="F1709" t="str">
        <x:v>MID</x:v>
      </x:c>
      <x:c r="G1709" t="str">
        <x:v>ELIGIBLE</x:v>
      </x:c>
      <x:c r="H1709"/>
      <x:c r="I1709" s="54" t="n">
        <x:v>44924</x:v>
      </x:c>
      <x:c r="J1709" s="55" t="n">
        <x:v>12800</x:v>
      </x:c>
      <x:c r="K1709" s="55" t="n">
        <x:v>197283814400</x:v>
      </x:c>
      <x:c r="L1709" s="55" t="n">
        <x:v>15412798</x:v>
      </x:c>
      <x:c r="M1709" t="str">
        <x:v>20220715000545</x:v>
      </x:c>
      <x:c r="N1709" t="n">
        <x:v>44757.624999988424</x:v>
      </x:c>
      <x:c r="O1709" s="54" t="n">
        <x:v>44561</x:v>
      </x:c>
      <x:c r="P1709" t="str">
        <x:v>True</x:v>
      </x:c>
      <x:c r="Q1709" t="str">
        <x:v>4fb4d83c0909917f283d612650b0a75dc05129836fcb0da1ba67c7ed1286fc15</x:v>
      </x:c>
      <x:c r="R1709" t="str">
        <x:v>3ede7adb0d530b1b2071dee963f71122a5135e3695b92356e861ffe8c5d3b505</x:v>
      </x:c>
      <x:c r="S1709" t="n">
        <x:v>7</x:v>
      </x:c>
      <x:c r="T1709" t="str">
        <x:v>2018-12-31|2019-12-31|2020-12-31|2021-12-31</x:v>
      </x:c>
      <x:c r="U1709" s="57" t="n">
        <x:v>8873.73518255816</x:v>
      </x:c>
      <x:c r="V1709" s="57" t="n">
        <x:v>-0.30673943886264365</x:v>
      </x:c>
      <x:c r="W1709" t="n">
        <x:v>34</x:v>
      </x:c>
      <x:c r="X1709" t="n">
        <x:v>3</x:v>
      </x:c>
      <x:c r="Y1709" s="38" t="n">
        <x:v>0.6409090909090909</x:v>
      </x:c>
      <x:c r="Z1709" s="38" t="n">
        <x:v>0.6330261532715434</x:v>
      </x:c>
      <x:c r="AA1709"/>
    </x:row>
    <x:row r="1710">
      <x:c r="A1710" s="54" t="n">
        <x:v>44926</x:v>
      </x:c>
      <x:c r="B1710" t="n">
        <x:v>44926.624999988424</x:v>
      </x:c>
      <x:c r="C1710" t="str">
        <x:v>089600</x:v>
      </x:c>
      <x:c r="D1710" t="str">
        <x:v>KT나스미디어</x:v>
      </x:c>
      <x:c r="E1710" t="str">
        <x:v>KOSDAQ</x:v>
      </x:c>
      <x:c r="F1710" t="str">
        <x:v>MID</x:v>
      </x:c>
      <x:c r="G1710" t="str">
        <x:v>ELIGIBLE</x:v>
      </x:c>
      <x:c r="H1710"/>
      <x:c r="I1710" s="54" t="n">
        <x:v>44924</x:v>
      </x:c>
      <x:c r="J1710" s="55" t="n">
        <x:v>25000</x:v>
      </x:c>
      <x:c r="K1710" s="55" t="n">
        <x:v>263499050000</x:v>
      </x:c>
      <x:c r="L1710" s="55" t="n">
        <x:v>10539962</x:v>
      </x:c>
      <x:c r="M1710" t="str">
        <x:v>20220317000232</x:v>
      </x:c>
      <x:c r="N1710" t="n">
        <x:v>44637.624999988424</x:v>
      </x:c>
      <x:c r="O1710" s="54" t="n">
        <x:v>44561</x:v>
      </x:c>
      <x:c r="P1710" t="str">
        <x:v>False</x:v>
      </x:c>
      <x:c r="Q1710" t="str">
        <x:v>5302bde4f000b4a1536f675922fd423428599f72845c19dfc98fb7a4d88ef31d</x:v>
      </x:c>
      <x:c r="R1710" t="str">
        <x:v>a5b91bb22df7533e3783212ac90392a43db3f414ee8b6c1015c193b9e5609550</x:v>
      </x:c>
      <x:c r="S1710" t="n">
        <x:v>6</x:v>
      </x:c>
      <x:c r="T1710" t="str">
        <x:v>2019-12-31|2020-12-31|2021-12-31</x:v>
      </x:c>
      <x:c r="U1710" s="57" t="n">
        <x:v>33236.85225811665</x:v>
      </x:c>
      <x:c r="V1710" s="57" t="n">
        <x:v>0.32947409032466585</x:v>
      </x:c>
      <x:c r="W1710" t="n">
        <x:v>17</x:v>
      </x:c>
      <x:c r="X1710" t="n">
        <x:v>2</x:v>
      </x:c>
      <x:c r="Y1710" s="38" t="n">
        <x:v>0.6409090909090909</x:v>
      </x:c>
      <x:c r="Z1710" s="38" t="n">
        <x:v>0.6710290861971622</x:v>
      </x:c>
      <x:c r="AA1710"/>
    </x:row>
    <x:row r="1711">
      <x:c r="A1711" s="54" t="n">
        <x:v>44926</x:v>
      </x:c>
      <x:c r="B1711" t="n">
        <x:v>44926.624999988424</x:v>
      </x:c>
      <x:c r="C1711" t="str">
        <x:v>091120</x:v>
      </x:c>
      <x:c r="D1711" t="str">
        <x:v>이엠텍</x:v>
      </x:c>
      <x:c r="E1711" t="str">
        <x:v>KOSDAQ</x:v>
      </x:c>
      <x:c r="F1711" t="str">
        <x:v>MID</x:v>
      </x:c>
      <x:c r="G1711" t="str">
        <x:v>ELIGIBLE</x:v>
      </x:c>
      <x:c r="H1711"/>
      <x:c r="I1711" s="54" t="n">
        <x:v>44924</x:v>
      </x:c>
      <x:c r="J1711" s="55" t="n">
        <x:v>21550</x:v>
      </x:c>
      <x:c r="K1711" s="55" t="n">
        <x:v>369214770800</x:v>
      </x:c>
      <x:c r="L1711" s="55" t="n">
        <x:v>17132936</x:v>
      </x:c>
      <x:c r="M1711" t="str">
        <x:v>20221011000123</x:v>
      </x:c>
      <x:c r="N1711" t="n">
        <x:v>44845.624999988424</x:v>
      </x:c>
      <x:c r="O1711" s="54" t="n">
        <x:v>44561</x:v>
      </x:c>
      <x:c r="P1711" t="str">
        <x:v>True</x:v>
      </x:c>
      <x:c r="Q1711" t="str">
        <x:v>38ae82517dfd75dc95becdd6e27693481f87210ac3f800fa3a0265f23ff3c5e1</x:v>
      </x:c>
      <x:c r="R1711" t="str">
        <x:v>dba610b81ec404125f9915962cdd4b63093dc7ea3ddc44cd7eb692f62cea3d5b</x:v>
      </x:c>
      <x:c r="S1711" t="n">
        <x:v>6</x:v>
      </x:c>
      <x:c r="T1711" t="str">
        <x:v>2018-12-31|2019-12-31|2020-12-31|2021-12-31</x:v>
      </x:c>
      <x:c r="U1711" s="57" t="n">
        <x:v>4285.317197438541</x:v>
      </x:c>
      <x:c r="V1711" s="57" t="n">
        <x:v>-0.8011453736687452</x:v>
      </x:c>
      <x:c r="W1711" t="n">
        <x:v>59</x:v>
      </x:c>
      <x:c r="X1711" t="n">
        <x:v>5</x:v>
      </x:c>
      <x:c r="Y1711" s="38" t="n">
        <x:v>0.6409090909090909</x:v>
      </x:c>
      <x:c r="Z1711" s="38" t="n">
        <x:v>0.1788426422228145</x:v>
      </x:c>
      <x:c r="AA1711"/>
    </x:row>
    <x:row r="1712">
      <x:c r="A1712" s="54" t="n">
        <x:v>44926</x:v>
      </x:c>
      <x:c r="B1712" t="n">
        <x:v>44926.624999988424</x:v>
      </x:c>
      <x:c r="C1712" t="str">
        <x:v>353810</x:v>
      </x:c>
      <x:c r="D1712" t="str">
        <x:v>이지바이오</x:v>
      </x:c>
      <x:c r="E1712" t="str">
        <x:v>KOSDAQ</x:v>
      </x:c>
      <x:c r="F1712" t="str">
        <x:v>MID</x:v>
      </x:c>
      <x:c r="G1712" t="str">
        <x:v>ELIGIBLE</x:v>
      </x:c>
      <x:c r="H1712"/>
      <x:c r="I1712" s="54" t="n">
        <x:v>44924</x:v>
      </x:c>
      <x:c r="J1712" s="55" t="n">
        <x:v>4025</x:v>
      </x:c>
      <x:c r="K1712" s="55" t="n">
        <x:v>137621673000</x:v>
      </x:c>
      <x:c r="L1712" s="55" t="n">
        <x:v>34191720</x:v>
      </x:c>
      <x:c r="M1712" t="str">
        <x:v>20220323000853</x:v>
      </x:c>
      <x:c r="N1712" t="n">
        <x:v>44643.624999988424</x:v>
      </x:c>
      <x:c r="O1712" s="54" t="n">
        <x:v>44561</x:v>
      </x:c>
      <x:c r="P1712" t="str">
        <x:v>False</x:v>
      </x:c>
      <x:c r="Q1712" t="str">
        <x:v>1ed3cea215e652a4a56305baf44e340c129acaa328d0ba672d6f2e628eb49202</x:v>
      </x:c>
      <x:c r="R1712" t="str">
        <x:v>1d358b2cb9a135490303ab760a8517a6356f68cd85ecb109e9f45ac8b38a5dc4</x:v>
      </x:c>
      <x:c r="S1712" t="n">
        <x:v>6</x:v>
      </x:c>
      <x:c r="T1712" t="str">
        <x:v>2021-12-31</x:v>
      </x:c>
      <x:c r="U1712" s="57" t="n">
        <x:v>3357.0058336309285</x:v>
      </x:c>
      <x:c r="V1712" s="57" t="n">
        <x:v>-0.16596128356995563</x:v>
      </x:c>
      <x:c r="W1712" t="n">
        <x:v>26</x:v>
      </x:c>
      <x:c r="X1712" t="n">
        <x:v>2</x:v>
      </x:c>
      <x:c r="Y1712" s="38" t="n">
        <x:v>0.6409090909090909</x:v>
      </x:c>
      <x:c r="Z1712" s="38" t="n">
        <x:v>0.6701769222689359</x:v>
      </x:c>
      <x:c r="AA1712"/>
    </x:row>
    <x:row r="1713">
      <x:c r="A1713" s="54" t="n">
        <x:v>44926</x:v>
      </x:c>
      <x:c r="B1713" t="n">
        <x:v>44926.624999988424</x:v>
      </x:c>
      <x:c r="C1713" t="str">
        <x:v>203650</x:v>
      </x:c>
      <x:c r="D1713" t="str">
        <x:v>드림시큐리티</x:v>
      </x:c>
      <x:c r="E1713" t="str">
        <x:v>KOSDAQ</x:v>
      </x:c>
      <x:c r="F1713" t="str">
        <x:v>MID</x:v>
      </x:c>
      <x:c r="G1713" t="str">
        <x:v>ELIGIBLE</x:v>
      </x:c>
      <x:c r="H1713"/>
      <x:c r="I1713" s="54" t="n">
        <x:v>44924</x:v>
      </x:c>
      <x:c r="J1713" s="55" t="n">
        <x:v>2750</x:v>
      </x:c>
      <x:c r="K1713" s="55" t="n">
        <x:v>139165823500</x:v>
      </x:c>
      <x:c r="L1713" s="55" t="n">
        <x:v>50605754</x:v>
      </x:c>
      <x:c r="M1713" t="str">
        <x:v>20220812001277</x:v>
      </x:c>
      <x:c r="N1713" t="n">
        <x:v>44785.624999988424</x:v>
      </x:c>
      <x:c r="O1713" s="54" t="n">
        <x:v>44561</x:v>
      </x:c>
      <x:c r="P1713" t="str">
        <x:v>True</x:v>
      </x:c>
      <x:c r="Q1713" t="str">
        <x:v>85bdfb8b1a0dc397a47daf45a843f87b50d99528523400cb06493140f359ebf6</x:v>
      </x:c>
      <x:c r="R1713" t="str">
        <x:v>c954b599ab8a7dc32f3c055f69216eea2430e3faf79f53b8e848c382d7c52f03</x:v>
      </x:c>
      <x:c r="S1713" t="n">
        <x:v>6</x:v>
      </x:c>
      <x:c r="T1713" t="str">
        <x:v>2018-12-31|2019-12-31|2020-12-31|2021-12-31</x:v>
      </x:c>
      <x:c r="U1713" s="57" t="n">
        <x:v>1991.1706549336343</x:v>
      </x:c>
      <x:c r="V1713" s="57" t="n">
        <x:v>-0.2759379436604966</x:v>
      </x:c>
      <x:c r="W1713" t="n">
        <x:v>32</x:v>
      </x:c>
      <x:c r="X1713" t="n">
        <x:v>3</x:v>
      </x:c>
      <x:c r="Y1713" s="38" t="n">
        <x:v>0.6409090909090909</x:v>
      </x:c>
      <x:c r="Z1713" s="38" t="n">
        <x:v>0.6784362615984412</x:v>
      </x:c>
      <x:c r="AA1713"/>
    </x:row>
    <x:row r="1714">
      <x:c r="A1714" s="54" t="n">
        <x:v>44926</x:v>
      </x:c>
      <x:c r="B1714" t="n">
        <x:v>44926.624999988424</x:v>
      </x:c>
      <x:c r="C1714" t="str">
        <x:v>251120</x:v>
      </x:c>
      <x:c r="D1714" t="str">
        <x:v>바이오에프디엔씨</x:v>
      </x:c>
      <x:c r="E1714" t="str">
        <x:v>KOSDAQ</x:v>
      </x:c>
      <x:c r="F1714" t="str">
        <x:v>MID</x:v>
      </x:c>
      <x:c r="G1714" t="str">
        <x:v>ELIGIBLE</x:v>
      </x:c>
      <x:c r="H1714"/>
      <x:c r="I1714" s="54" t="n">
        <x:v>44924</x:v>
      </x:c>
      <x:c r="J1714" s="55" t="n">
        <x:v>17000</x:v>
      </x:c>
      <x:c r="K1714" s="55" t="n">
        <x:v>147826900000</x:v>
      </x:c>
      <x:c r="L1714" s="55" t="n">
        <x:v>8695700</x:v>
      </x:c>
      <x:c r="M1714" t="str">
        <x:v>20220323000478</x:v>
      </x:c>
      <x:c r="N1714" t="n">
        <x:v>44643.624999988424</x:v>
      </x:c>
      <x:c r="O1714" s="54" t="n">
        <x:v>44561</x:v>
      </x:c>
      <x:c r="P1714" t="str">
        <x:v>False</x:v>
      </x:c>
      <x:c r="Q1714" t="str">
        <x:v>3501561cf0db4cbb7a87ac9eed8b10979b3381409f3a54df0cc284cabda093ba</x:v>
      </x:c>
      <x:c r="R1714" t="str">
        <x:v>0170a7270715039ddac784fcb111aedcac85232fde24a53bfd3d3499602b0a31</x:v>
      </x:c>
      <x:c r="S1714" t="n">
        <x:v>5</x:v>
      </x:c>
      <x:c r="T1714" t="str">
        <x:v>2021-12-31</x:v>
      </x:c>
      <x:c r="U1714" s="57" t="n">
        <x:v>3267.088249886076</x:v>
      </x:c>
      <x:c r="V1714" s="57" t="n">
        <x:v>-0.8078183382419956</x:v>
      </x:c>
      <x:c r="W1714" t="n">
        <x:v>60</x:v>
      </x:c>
      <x:c r="X1714" t="n">
        <x:v>5</x:v>
      </x:c>
      <x:c r="Y1714" s="38" t="n">
        <x:v>0.6409090909090909</x:v>
      </x:c>
      <x:c r="Z1714" s="38" t="n">
        <x:v>0.6701769222689359</x:v>
      </x:c>
      <x:c r="AA1714"/>
    </x:row>
    <x:row r="1715">
      <x:c r="A1715" s="54" t="n">
        <x:v>44926</x:v>
      </x:c>
      <x:c r="B1715" t="n">
        <x:v>44926.624999988424</x:v>
      </x:c>
      <x:c r="C1715" t="str">
        <x:v>094820</x:v>
      </x:c>
      <x:c r="D1715" t="str">
        <x:v>일진파워</x:v>
      </x:c>
      <x:c r="E1715" t="str">
        <x:v>KOSDAQ</x:v>
      </x:c>
      <x:c r="F1715" t="str">
        <x:v>MID</x:v>
      </x:c>
      <x:c r="G1715" t="str">
        <x:v>ELIGIBLE</x:v>
      </x:c>
      <x:c r="H1715"/>
      <x:c r="I1715" s="54" t="n">
        <x:v>44924</x:v>
      </x:c>
      <x:c r="J1715" s="55" t="n">
        <x:v>12000</x:v>
      </x:c>
      <x:c r="K1715" s="55" t="n">
        <x:v>180944508000</x:v>
      </x:c>
      <x:c r="L1715" s="55" t="n">
        <x:v>15078709</x:v>
      </x:c>
      <x:c r="M1715" t="str">
        <x:v>20220317001181</x:v>
      </x:c>
      <x:c r="N1715" t="n">
        <x:v>44637.624999988424</x:v>
      </x:c>
      <x:c r="O1715" s="54" t="n">
        <x:v>44561</x:v>
      </x:c>
      <x:c r="P1715" t="str">
        <x:v>False</x:v>
      </x:c>
      <x:c r="Q1715" t="str">
        <x:v>4b9effa524ed32f7a4097b4c4160b5ffed6dada3a972d752e6f198e408150f8e</x:v>
      </x:c>
      <x:c r="R1715" t="str">
        <x:v>0879e43ab16a65a9bbb1edd3b1e2d24a67dbf41806582b7956c356e41d0f0195</x:v>
      </x:c>
      <x:c r="S1715" t="n">
        <x:v>6</x:v>
      </x:c>
      <x:c r="T1715" t="str">
        <x:v>2018-12-31|2019-12-31|2020-12-31|2021-12-31</x:v>
      </x:c>
      <x:c r="U1715" s="57" t="n">
        <x:v>14804.504335591811</x:v>
      </x:c>
      <x:c r="V1715" s="57" t="n">
        <x:v>0.23370869463265095</x:v>
      </x:c>
      <x:c r="W1715" t="n">
        <x:v>19</x:v>
      </x:c>
      <x:c r="X1715" t="n">
        <x:v>2</x:v>
      </x:c>
      <x:c r="Y1715" s="38" t="n">
        <x:v>0.6409090909090909</x:v>
      </x:c>
      <x:c r="Z1715" s="38" t="n">
        <x:v>0.6685223660850954</x:v>
      </x:c>
      <x:c r="AA1715"/>
    </x:row>
    <x:row r="1716">
      <x:c r="A1716" s="54" t="n">
        <x:v>44926</x:v>
      </x:c>
      <x:c r="B1716" t="n">
        <x:v>44926.624999988424</x:v>
      </x:c>
      <x:c r="C1716" t="str">
        <x:v>333430</x:v>
      </x:c>
      <x:c r="D1716" t="str">
        <x:v>일승</x:v>
      </x:c>
      <x:c r="E1716" t="str">
        <x:v>KOSDAQ</x:v>
      </x:c>
      <x:c r="F1716" t="str">
        <x:v>MID</x:v>
      </x:c>
      <x:c r="G1716" t="str">
        <x:v>ELIGIBLE</x:v>
      </x:c>
      <x:c r="H1716"/>
      <x:c r="I1716" s="54" t="n">
        <x:v>44924</x:v>
      </x:c>
      <x:c r="J1716" s="55" t="n">
        <x:v>3070</x:v>
      </x:c>
      <x:c r="K1716" s="55" t="n">
        <x:v>94331113290</x:v>
      </x:c>
      <x:c r="L1716" s="55" t="n">
        <x:v>30726747</x:v>
      </x:c>
      <x:c r="M1716" t="str">
        <x:v>20220816000391</x:v>
      </x:c>
      <x:c r="N1716" t="n">
        <x:v>44789.624999988424</x:v>
      </x:c>
      <x:c r="O1716" s="54" t="n">
        <x:v>44561</x:v>
      </x:c>
      <x:c r="P1716" t="str">
        <x:v>True</x:v>
      </x:c>
      <x:c r="Q1716" t="str">
        <x:v>73ea19fdf47670bf85ecd26df42d358c069059baf48b7882d12e58fe6e54aff8</x:v>
      </x:c>
      <x:c r="R1716" t="str">
        <x:v>962a51e19ee498e4dee4e08274833e6a927faa9a8a8713e3a30cf623a8502038</x:v>
      </x:c>
      <x:c r="S1716" t="n">
        <x:v>6</x:v>
      </x:c>
      <x:c r="T1716" t="str">
        <x:v>2021-12-31</x:v>
      </x:c>
      <x:c r="U1716" s="57" t="n">
        <x:v>706.0565520511188</x:v>
      </x:c>
      <x:c r="V1716" s="57" t="n">
        <x:v>-0.7700141524263456</x:v>
      </x:c>
      <x:c r="W1716" t="n">
        <x:v>56</x:v>
      </x:c>
      <x:c r="X1716" t="n">
        <x:v>5</x:v>
      </x:c>
      <x:c r="Y1716" s="38" t="n">
        <x:v>0.6409090909090909</x:v>
      </x:c>
      <x:c r="Z1716" s="38" t="n">
        <x:v>0.6701769222689359</x:v>
      </x:c>
      <x:c r="AA1716"/>
    </x:row>
    <x:row r="1717">
      <x:c r="A1717" s="54" t="n">
        <x:v>44926</x:v>
      </x:c>
      <x:c r="B1717" t="n">
        <x:v>44926.624999988424</x:v>
      </x:c>
      <x:c r="C1717" t="str">
        <x:v>041440</x:v>
      </x:c>
      <x:c r="D1717" t="str">
        <x:v>현대에버다임</x:v>
      </x:c>
      <x:c r="E1717" t="str">
        <x:v>KOSDAQ</x:v>
      </x:c>
      <x:c r="F1717" t="str">
        <x:v>MID</x:v>
      </x:c>
      <x:c r="G1717" t="str">
        <x:v>DCF_SCREENING_EXCLUSION</x:v>
      </x:c>
      <x:c r="H1717" t="str">
        <x:v>NON_POSITIVE_ENTERPRISE_VALUE|NON_POSITIVE_EQUITY_VALUE|UNRELIABLE_TERMINAL_VALUE_SHARE</x:v>
      </x:c>
      <x:c r="I1717" s="54" t="n">
        <x:v>44924</x:v>
      </x:c>
      <x:c r="J1717" s="55" t="n">
        <x:v>8220</x:v>
      </x:c>
      <x:c r="K1717" s="55" t="n">
        <x:v>147269059680</x:v>
      </x:c>
      <x:c r="L1717" s="55" t="n">
        <x:v>17915944</x:v>
      </x:c>
      <x:c r="M1717" t="str">
        <x:v>20220318000828</x:v>
      </x:c>
      <x:c r="N1717" t="n">
        <x:v>44638.624999988424</x:v>
      </x:c>
      <x:c r="O1717" s="54" t="n">
        <x:v>44561</x:v>
      </x:c>
      <x:c r="P1717" t="str">
        <x:v>False</x:v>
      </x:c>
      <x:c r="Q1717" t="str">
        <x:v>233d25aca3dd16875696f480814215acee6e161d6bff94e6bd0eb55697d20a52</x:v>
      </x:c>
      <x:c r="R1717" t="str">
        <x:v>c3c9ba2e625a007d3e3a68beb916b800548f63e35d576e817bc46ec00ea87714</x:v>
      </x:c>
      <x:c r="S1717" t="n">
        <x:v>7</x:v>
      </x:c>
      <x:c r="T1717" t="str">
        <x:v>2018-12-31|2019-12-31|2020-12-31|2021-12-31</x:v>
      </x:c>
      <x:c r="U1717" s="57" t="n">
        <x:v>-1086.4361798862215</x:v>
      </x:c>
      <x:c r="V1717" s="57" t="n">
        <x:v>-1.1321698515676668</x:v>
      </x:c>
      <x:c r="W1717"/>
      <x:c r="X1717"/>
      <x:c r="Y1717" s="38" t="n">
        <x:v>0.6409090909090909</x:v>
      </x:c>
      <x:c r="Z1717" s="38" t="n">
        <x:v>-0.7010819502366538</x:v>
      </x:c>
      <x:c r="AA1717" t="str">
        <x:v>NON_POSITIVE_ENTERPRISE_VALUE|NON_POSITIVE_EQUITY_VALUE|UNRELIABLE_TERMINAL_VALUE_SHARE</x:v>
      </x:c>
    </x:row>
    <x:row r="1718">
      <x:c r="A1718" s="54" t="n">
        <x:v>44926</x:v>
      </x:c>
      <x:c r="B1718" t="n">
        <x:v>44926.624999988424</x:v>
      </x:c>
      <x:c r="C1718" t="str">
        <x:v>067990</x:v>
      </x:c>
      <x:c r="D1718" t="str">
        <x:v>도이치모터스</x:v>
      </x:c>
      <x:c r="E1718" t="str">
        <x:v>KOSDAQ</x:v>
      </x:c>
      <x:c r="F1718" t="str">
        <x:v>MID</x:v>
      </x:c>
      <x:c r="G1718" t="str">
        <x:v>DCF_SCREENING_EXCLUSION</x:v>
      </x:c>
      <x:c r="H1718" t="str">
        <x:v>NON_POSITIVE_EQUITY_VALUE|UNRELIABLE_TERMINAL_VALUE_SHARE</x:v>
      </x:c>
      <x:c r="I1718" s="54" t="n">
        <x:v>44924</x:v>
      </x:c>
      <x:c r="J1718" s="55" t="n">
        <x:v>5680</x:v>
      </x:c>
      <x:c r="K1718" s="55" t="n">
        <x:v>181136034960</x:v>
      </x:c>
      <x:c r="L1718" s="55" t="n">
        <x:v>31890147</x:v>
      </x:c>
      <x:c r="M1718" t="str">
        <x:v>20220318001141</x:v>
      </x:c>
      <x:c r="N1718" t="n">
        <x:v>44638.624999988424</x:v>
      </x:c>
      <x:c r="O1718" s="54" t="n">
        <x:v>44561</x:v>
      </x:c>
      <x:c r="P1718" t="str">
        <x:v>False</x:v>
      </x:c>
      <x:c r="Q1718" t="str">
        <x:v>71ba1d6be49545c71bed8dc3caf1d8ffe2c800da4e94d6f804e856ea70e7146f</x:v>
      </x:c>
      <x:c r="R1718" t="str">
        <x:v>51a72ecd10c90084d78182e3eeed636558e9bac540f0e1f366aa3aadaba1a609</x:v>
      </x:c>
      <x:c r="S1718" t="n">
        <x:v>6</x:v>
      </x:c>
      <x:c r="T1718" t="str">
        <x:v>2016-12-31|2018-12-31|2019-12-31|2020-12-31|2021-12-31</x:v>
      </x:c>
      <x:c r="U1718" s="57" t="n">
        <x:v>-9148.321790439319</x:v>
      </x:c>
      <x:c r="V1718" s="57" t="n">
        <x:v>-2.610620033528049</x:v>
      </x:c>
      <x:c r="W1718"/>
      <x:c r="X1718"/>
      <x:c r="Y1718" s="38" t="n">
        <x:v>0.6409090909090909</x:v>
      </x:c>
      <x:c r="Z1718" s="38" t="n">
        <x:v>0.8856781578573619</x:v>
      </x:c>
      <x:c r="AA1718" t="str">
        <x:v>NON_POSITIVE_EQUITY_VALUE|UNRELIABLE_TERMINAL_VALUE_SHARE</x:v>
      </x:c>
    </x:row>
    <x:row r="1719">
      <x:c r="A1719" s="54" t="n">
        <x:v>44926</x:v>
      </x:c>
      <x:c r="B1719" t="n">
        <x:v>44926.624999988424</x:v>
      </x:c>
      <x:c r="C1719" t="str">
        <x:v>037070</x:v>
      </x:c>
      <x:c r="D1719" t="str">
        <x:v>파세코</x:v>
      </x:c>
      <x:c r="E1719" t="str">
        <x:v>KOSDAQ</x:v>
      </x:c>
      <x:c r="F1719" t="str">
        <x:v>MID</x:v>
      </x:c>
      <x:c r="G1719" t="str">
        <x:v>ELIGIBLE</x:v>
      </x:c>
      <x:c r="H1719"/>
      <x:c r="I1719" s="54" t="n">
        <x:v>44924</x:v>
      </x:c>
      <x:c r="J1719" s="55" t="n">
        <x:v>13000</x:v>
      </x:c>
      <x:c r="K1719" s="55" t="n">
        <x:v>260000000000</x:v>
      </x:c>
      <x:c r="L1719" s="55" t="n">
        <x:v>20000000</x:v>
      </x:c>
      <x:c r="M1719" t="str">
        <x:v>20220713000101</x:v>
      </x:c>
      <x:c r="N1719" t="n">
        <x:v>44755.624999988424</x:v>
      </x:c>
      <x:c r="O1719" s="54" t="n">
        <x:v>44561</x:v>
      </x:c>
      <x:c r="P1719" t="str">
        <x:v>True</x:v>
      </x:c>
      <x:c r="Q1719" t="str">
        <x:v>4480f1874987d8558a5b4859158b2543f91ed7cbe3a75ac5491ac514b1c03ce3</x:v>
      </x:c>
      <x:c r="R1719" t="str">
        <x:v>d6580a5d2f8f5b1c2e988c1b7f03b6529004111221d7cd439742b6d284ecc7e2</x:v>
      </x:c>
      <x:c r="S1719" t="n">
        <x:v>7</x:v>
      </x:c>
      <x:c r="T1719" t="str">
        <x:v>2018-12-31|2019-12-31|2020-12-31|2021-12-31</x:v>
      </x:c>
      <x:c r="U1719" s="57" t="n">
        <x:v>7862.71670004411</x:v>
      </x:c>
      <x:c r="V1719" s="57" t="n">
        <x:v>-0.3951756384581454</x:v>
      </x:c>
      <x:c r="W1719" t="n">
        <x:v>40</x:v>
      </x:c>
      <x:c r="X1719" t="n">
        <x:v>3</x:v>
      </x:c>
      <x:c r="Y1719" s="38" t="n">
        <x:v>0.6409090909090909</x:v>
      </x:c>
      <x:c r="Z1719" s="38" t="n">
        <x:v>0.6740869943779537</x:v>
      </x:c>
      <x:c r="AA1719"/>
    </x:row>
    <x:row r="1720">
      <x:c r="A1720" s="54" t="n">
        <x:v>44926</x:v>
      </x:c>
      <x:c r="B1720" t="n">
        <x:v>44926.624999988424</x:v>
      </x:c>
      <x:c r="C1720" t="str">
        <x:v>365330</x:v>
      </x:c>
      <x:c r="D1720" t="str">
        <x:v>에스와이스틸텍</x:v>
      </x:c>
      <x:c r="E1720" t="str">
        <x:v>KOSDAQ</x:v>
      </x:c>
      <x:c r="F1720" t="str">
        <x:v>MID</x:v>
      </x:c>
      <x:c r="G1720" t="str">
        <x:v>NOT_LISTED_OR_NO_PRICE</x:v>
      </x:c>
      <x:c r="H1720"/>
      <x:c r="I1720" s="54"/>
      <x:c r="J1720" s="55"/>
      <x:c r="K1720" s="55"/>
      <x:c r="L1720" s="55"/>
      <x:c r="M1720"/>
      <x:c r="N1720"/>
      <x:c r="O1720" s="54"/>
      <x:c r="P1720"/>
      <x:c r="Q1720"/>
      <x:c r="R1720"/>
      <x:c r="S1720"/>
      <x:c r="T1720"/>
      <x:c r="U1720" s="57"/>
      <x:c r="V1720" s="57"/>
      <x:c r="W1720"/>
      <x:c r="X1720"/>
      <x:c r="Y1720" s="38"/>
      <x:c r="Z1720" s="38"/>
      <x:c r="AA1720"/>
    </x:row>
    <x:row r="1721">
      <x:c r="A1721" s="54" t="n">
        <x:v>44926</x:v>
      </x:c>
      <x:c r="B1721" t="n">
        <x:v>44926.624999988424</x:v>
      </x:c>
      <x:c r="C1721" t="str">
        <x:v>086960</x:v>
      </x:c>
      <x:c r="D1721" t="str">
        <x:v>MDS테크</x:v>
      </x:c>
      <x:c r="E1721" t="str">
        <x:v>KOSDAQ</x:v>
      </x:c>
      <x:c r="F1721" t="str">
        <x:v>MID</x:v>
      </x:c>
      <x:c r="G1721" t="str">
        <x:v>ELIGIBLE</x:v>
      </x:c>
      <x:c r="H1721"/>
      <x:c r="I1721" s="54" t="n">
        <x:v>44924</x:v>
      </x:c>
      <x:c r="J1721" s="55" t="n">
        <x:v>7440</x:v>
      </x:c>
      <x:c r="K1721" s="55" t="n">
        <x:v>165402508800</x:v>
      </x:c>
      <x:c r="L1721" s="55" t="n">
        <x:v>22231520</x:v>
      </x:c>
      <x:c r="M1721" t="str">
        <x:v>20220316000839</x:v>
      </x:c>
      <x:c r="N1721" t="n">
        <x:v>44636.624999988424</x:v>
      </x:c>
      <x:c r="O1721" s="54" t="n">
        <x:v>44561</x:v>
      </x:c>
      <x:c r="P1721" t="str">
        <x:v>False</x:v>
      </x:c>
      <x:c r="Q1721" t="str">
        <x:v>5f0b235a703db54a6a970650321046b5bde0ef2b5d9f86c6a19a6a5468214a72</x:v>
      </x:c>
      <x:c r="R1721" t="str">
        <x:v>2ed332938082503a4d5306fb50a7c223ac55382ea096b2b7fe974aec1efdd1c9</x:v>
      </x:c>
      <x:c r="S1721" t="n">
        <x:v>6</x:v>
      </x:c>
      <x:c r="T1721" t="str">
        <x:v>2018-12-31|2019-12-31|2020-12-31|2021-12-31</x:v>
      </x:c>
      <x:c r="U1721" s="57" t="n">
        <x:v>1751.4113020790494</x:v>
      </x:c>
      <x:c r="V1721" s="57" t="n">
        <x:v>-0.764595255096902</x:v>
      </x:c>
      <x:c r="W1721" t="n">
        <x:v>55</x:v>
      </x:c>
      <x:c r="X1721" t="n">
        <x:v>5</x:v>
      </x:c>
      <x:c r="Y1721" s="38" t="n">
        <x:v>0.6409090909090909</x:v>
      </x:c>
      <x:c r="Z1721" s="38" t="n">
        <x:v>0.705283246086619</x:v>
      </x:c>
      <x:c r="AA1721"/>
    </x:row>
    <x:row r="1722">
      <x:c r="A1722" s="54" t="n">
        <x:v>44926</x:v>
      </x:c>
      <x:c r="B1722" t="n">
        <x:v>44926.624999988424</x:v>
      </x:c>
      <x:c r="C1722" t="str">
        <x:v>014970</x:v>
      </x:c>
      <x:c r="D1722" t="str">
        <x:v>삼륭물산</x:v>
      </x:c>
      <x:c r="E1722" t="str">
        <x:v>KOSDAQ</x:v>
      </x:c>
      <x:c r="F1722" t="str">
        <x:v>MID</x:v>
      </x:c>
      <x:c r="G1722" t="str">
        <x:v>DCF_SCREENING_EXCLUSION</x:v>
      </x:c>
      <x:c r="H1722" t="str">
        <x:v>NON_POSITIVE_ENTERPRISE_VALUE|NON_POSITIVE_EQUITY_VALUE|NON_POSITIVE_TERMINAL_FCF</x:v>
      </x:c>
      <x:c r="I1722" s="54" t="n">
        <x:v>44924</x:v>
      </x:c>
      <x:c r="J1722" s="55" t="n">
        <x:v>4775</x:v>
      </x:c>
      <x:c r="K1722" s="55" t="n">
        <x:v>72221875000</x:v>
      </x:c>
      <x:c r="L1722" s="55" t="n">
        <x:v>15125000</x:v>
      </x:c>
      <x:c r="M1722" t="str">
        <x:v>20220720000363</x:v>
      </x:c>
      <x:c r="N1722" t="n">
        <x:v>44762.624999988424</x:v>
      </x:c>
      <x:c r="O1722" s="54" t="n">
        <x:v>44561</x:v>
      </x:c>
      <x:c r="P1722" t="str">
        <x:v>True</x:v>
      </x:c>
      <x:c r="Q1722" t="str">
        <x:v>bc65c622e707ebc207cbf68e3ce4fd301ad88633a35f33a9627f98dce2fa288d</x:v>
      </x:c>
      <x:c r="R1722" t="str">
        <x:v>773f24341a90436391885d7bfc808f856dd79596f49c1e07ecf443cdc0b908de</x:v>
      </x:c>
      <x:c r="S1722" t="n">
        <x:v>6</x:v>
      </x:c>
      <x:c r="T1722" t="str">
        <x:v>2018-12-31|2019-12-31|2020-12-31|2021-12-31</x:v>
      </x:c>
      <x:c r="U1722" s="57" t="n">
        <x:v>-1380.103199626044</x:v>
      </x:c>
      <x:c r="V1722" s="57" t="n">
        <x:v>-1.289026848089224</x:v>
      </x:c>
      <x:c r="W1722"/>
      <x:c r="X1722"/>
      <x:c r="Y1722" s="38" t="n">
        <x:v>0.6409090909090909</x:v>
      </x:c>
      <x:c r="Z1722" s="38" t="n">
        <x:v>0.5764974774013089</x:v>
      </x:c>
      <x:c r="AA1722" t="str">
        <x:v>NON_POSITIVE_ENTERPRISE_VALUE|NON_POSITIVE_EQUITY_VALUE|NON_POSITIVE_TERMINAL_FCF</x:v>
      </x:c>
    </x:row>
    <x:row r="1723">
      <x:c r="A1723" s="54" t="n">
        <x:v>44926</x:v>
      </x:c>
      <x:c r="B1723" t="n">
        <x:v>44926.624999988424</x:v>
      </x:c>
      <x:c r="C1723" t="str">
        <x:v>088390</x:v>
      </x:c>
      <x:c r="D1723" t="str">
        <x:v>이녹스</x:v>
      </x:c>
      <x:c r="E1723" t="str">
        <x:v>KOSDAQ</x:v>
      </x:c>
      <x:c r="F1723" t="str">
        <x:v>MID</x:v>
      </x:c>
      <x:c r="G1723" t="str">
        <x:v>ELIGIBLE</x:v>
      </x:c>
      <x:c r="H1723"/>
      <x:c r="I1723" s="54" t="n">
        <x:v>44924</x:v>
      </x:c>
      <x:c r="J1723" s="55" t="n">
        <x:v>22000</x:v>
      </x:c>
      <x:c r="K1723" s="55" t="n">
        <x:v>206488568000</x:v>
      </x:c>
      <x:c r="L1723" s="55" t="n">
        <x:v>9385844</x:v>
      </x:c>
      <x:c r="M1723" t="str">
        <x:v>20220316000787</x:v>
      </x:c>
      <x:c r="N1723" t="n">
        <x:v>44636.624999988424</x:v>
      </x:c>
      <x:c r="O1723" s="54" t="n">
        <x:v>44561</x:v>
      </x:c>
      <x:c r="P1723" t="str">
        <x:v>False</x:v>
      </x:c>
      <x:c r="Q1723" t="str">
        <x:v>6cbbad5ef424db8018b61b68a740ab01891ec62dced7d230359387f7853c2893</x:v>
      </x:c>
      <x:c r="R1723" t="str">
        <x:v>b40afc16ecd0d554e6fd2034104c1287ec282dd77b38fa4363f66d4307817ce4</x:v>
      </x:c>
      <x:c r="S1723" t="n">
        <x:v>6</x:v>
      </x:c>
      <x:c r="T1723" t="str">
        <x:v>2018-12-31|2019-12-31|2020-12-31|2021-12-31</x:v>
      </x:c>
      <x:c r="U1723" s="57" t="n">
        <x:v>14642.20085175624</x:v>
      </x:c>
      <x:c r="V1723" s="57" t="n">
        <x:v>-0.3344454158292618</x:v>
      </x:c>
      <x:c r="W1723" t="n">
        <x:v>35</x:v>
      </x:c>
      <x:c r="X1723" t="n">
        <x:v>3</x:v>
      </x:c>
      <x:c r="Y1723" s="38" t="n">
        <x:v>0.6409090909090909</x:v>
      </x:c>
      <x:c r="Z1723" s="38" t="n">
        <x:v>0.558573452567217</x:v>
      </x:c>
      <x:c r="AA1723"/>
    </x:row>
    <x:row r="1724">
      <x:c r="A1724" s="54" t="n">
        <x:v>44926</x:v>
      </x:c>
      <x:c r="B1724" t="n">
        <x:v>44926.624999988424</x:v>
      </x:c>
      <x:c r="C1724" t="str">
        <x:v>170920</x:v>
      </x:c>
      <x:c r="D1724" t="str">
        <x:v>엘티씨</x:v>
      </x:c>
      <x:c r="E1724" t="str">
        <x:v>KOSDAQ</x:v>
      </x:c>
      <x:c r="F1724" t="str">
        <x:v>MID</x:v>
      </x:c>
      <x:c r="G1724" t="str">
        <x:v>DCF_SCREENING_EXCLUSION</x:v>
      </x:c>
      <x:c r="H1724" t="str">
        <x:v>NON_POSITIVE_ENTERPRISE_VALUE|NON_POSITIVE_EQUITY_VALUE|UNRELIABLE_TERMINAL_VALUE_SHARE</x:v>
      </x:c>
      <x:c r="I1724" s="54" t="n">
        <x:v>44924</x:v>
      </x:c>
      <x:c r="J1724" s="55" t="n">
        <x:v>10000</x:v>
      </x:c>
      <x:c r="K1724" s="55" t="n">
        <x:v>80647650000</x:v>
      </x:c>
      <x:c r="L1724" s="55" t="n">
        <x:v>8064765</x:v>
      </x:c>
      <x:c r="M1724" t="str">
        <x:v>20220321001027</x:v>
      </x:c>
      <x:c r="N1724" t="n">
        <x:v>44641.624999988424</x:v>
      </x:c>
      <x:c r="O1724" s="54" t="n">
        <x:v>44561</x:v>
      </x:c>
      <x:c r="P1724" t="str">
        <x:v>False</x:v>
      </x:c>
      <x:c r="Q1724" t="str">
        <x:v>c31ea1711439ee62df6eea540291a40d1aadb3cbd2fc5ad16cbfcd104e015fdd</x:v>
      </x:c>
      <x:c r="R1724" t="str">
        <x:v>e6a957fe77c598d18ce422ef44b848d85cbc07a029d302f4bfa18a765f5e9dbe</x:v>
      </x:c>
      <x:c r="S1724" t="n">
        <x:v>6</x:v>
      </x:c>
      <x:c r="T1724" t="str">
        <x:v>2018-12-31|2019-12-31|2020-12-31|2021-12-31</x:v>
      </x:c>
      <x:c r="U1724" s="57" t="n">
        <x:v>-3932.3846801395957</x:v>
      </x:c>
      <x:c r="V1724" s="57" t="n">
        <x:v>-1.3932384680139596</x:v>
      </x:c>
      <x:c r="W1724"/>
      <x:c r="X1724"/>
      <x:c r="Y1724" s="38" t="n">
        <x:v>0.6409090909090909</x:v>
      </x:c>
      <x:c r="Z1724" s="38" t="n">
        <x:v>-2.2353620034548816</x:v>
      </x:c>
      <x:c r="AA1724" t="str">
        <x:v>NON_POSITIVE_ENTERPRISE_VALUE|NON_POSITIVE_EQUITY_VALUE|UNRELIABLE_TERMINAL_VALUE_SHARE</x:v>
      </x:c>
    </x:row>
    <x:row r="1725">
      <x:c r="A1725" s="54" t="n">
        <x:v>44926</x:v>
      </x:c>
      <x:c r="B1725" t="n">
        <x:v>44926.624999988424</x:v>
      </x:c>
      <x:c r="C1725" t="str">
        <x:v>021080</x:v>
      </x:c>
      <x:c r="D1725" t="str">
        <x:v>에이티넘인베스트</x:v>
      </x:c>
      <x:c r="E1725" t="str">
        <x:v>KOSDAQ</x:v>
      </x:c>
      <x:c r="F1725" t="str">
        <x:v>MID</x:v>
      </x:c>
      <x:c r="G1725" t="str">
        <x:v>ELIGIBLE</x:v>
      </x:c>
      <x:c r="H1725"/>
      <x:c r="I1725" s="54" t="n">
        <x:v>44924</x:v>
      </x:c>
      <x:c r="J1725" s="55" t="n">
        <x:v>2620</x:v>
      </x:c>
      <x:c r="K1725" s="55" t="n">
        <x:v>125760000000</x:v>
      </x:c>
      <x:c r="L1725" s="55" t="n">
        <x:v>48000000</x:v>
      </x:c>
      <x:c r="M1725" t="str">
        <x:v>20220315001124</x:v>
      </x:c>
      <x:c r="N1725" t="n">
        <x:v>44635.624999988424</x:v>
      </x:c>
      <x:c r="O1725" s="54" t="n">
        <x:v>44561</x:v>
      </x:c>
      <x:c r="P1725" t="str">
        <x:v>False</x:v>
      </x:c>
      <x:c r="Q1725" t="str">
        <x:v>a795f008e81c0c9fb6ce25b7d59e30379d4f9ca332d7e7688348b696d0f67d34</x:v>
      </x:c>
      <x:c r="R1725" t="str">
        <x:v>6e1c969bcc08ffb861fee1971a7fd0e672780df9b4121316059a34d9a1614af9</x:v>
      </x:c>
      <x:c r="S1725" t="n">
        <x:v>5</x:v>
      </x:c>
      <x:c r="T1725" t="str">
        <x:v>2018-12-31|2019-12-31|2020-12-31|2021-12-31</x:v>
      </x:c>
      <x:c r="U1725" s="57" t="n">
        <x:v>11240.4103910266</x:v>
      </x:c>
      <x:c r="V1725" s="57" t="n">
        <x:v>3.290232973674275</x:v>
      </x:c>
      <x:c r="W1725" t="n">
        <x:v>4</x:v>
      </x:c>
      <x:c r="X1725" t="n">
        <x:v>1</x:v>
      </x:c>
      <x:c r="Y1725" s="38" t="n">
        <x:v>0.6409090909090909</x:v>
      </x:c>
      <x:c r="Z1725" s="38" t="n">
        <x:v>0.6847587029208964</x:v>
      </x:c>
      <x:c r="AA1725"/>
    </x:row>
    <x:row r="1726">
      <x:c r="A1726" s="54" t="n">
        <x:v>44926</x:v>
      </x:c>
      <x:c r="B1726" t="n">
        <x:v>44926.624999988424</x:v>
      </x:c>
      <x:c r="C1726" t="str">
        <x:v>302550</x:v>
      </x:c>
      <x:c r="D1726" t="str">
        <x:v>리메드</x:v>
      </x:c>
      <x:c r="E1726" t="str">
        <x:v>KOSDAQ</x:v>
      </x:c>
      <x:c r="F1726" t="str">
        <x:v>MID</x:v>
      </x:c>
      <x:c r="G1726" t="str">
        <x:v>ELIGIBLE</x:v>
      </x:c>
      <x:c r="H1726"/>
      <x:c r="I1726" s="54" t="n">
        <x:v>44924</x:v>
      </x:c>
      <x:c r="J1726" s="55" t="n">
        <x:v>12350</x:v>
      </x:c>
      <x:c r="K1726" s="55" t="n">
        <x:v>75676057600</x:v>
      </x:c>
      <x:c r="L1726" s="55" t="n">
        <x:v>6127616</x:v>
      </x:c>
      <x:c r="M1726" t="str">
        <x:v>20220318000588</x:v>
      </x:c>
      <x:c r="N1726" t="n">
        <x:v>44638.624999988424</x:v>
      </x:c>
      <x:c r="O1726" s="54" t="n">
        <x:v>44561</x:v>
      </x:c>
      <x:c r="P1726" t="str">
        <x:v>False</x:v>
      </x:c>
      <x:c r="Q1726" t="str">
        <x:v>e9e7a60f1aebf723bb1cd1bc376d275c0d0c3d009d2a6798b589c1f714f07bd4</x:v>
      </x:c>
      <x:c r="R1726" t="str">
        <x:v>10e9944e8e3b196b35f02515fd6ab5310d2c46ae10aa5e28dda2e1e3f7c0c2a1</x:v>
      </x:c>
      <x:c r="S1726" t="n">
        <x:v>5</x:v>
      </x:c>
      <x:c r="T1726" t="str">
        <x:v>2019-12-31|2020-12-31|2021-12-31</x:v>
      </x:c>
      <x:c r="U1726" s="57" t="n">
        <x:v>4100.758120032042</x:v>
      </x:c>
      <x:c r="V1726" s="57" t="n">
        <x:v>-0.6679548080945715</x:v>
      </x:c>
      <x:c r="W1726" t="n">
        <x:v>54</x:v>
      </x:c>
      <x:c r="X1726" t="n">
        <x:v>5</x:v>
      </x:c>
      <x:c r="Y1726" s="38" t="n">
        <x:v>0.6409090909090909</x:v>
      </x:c>
      <x:c r="Z1726" s="38" t="n">
        <x:v>0.7707391455939948</x:v>
      </x:c>
      <x:c r="AA1726"/>
    </x:row>
    <x:row r="1727">
      <x:c r="A1727" s="54" t="n">
        <x:v>44926</x:v>
      </x:c>
      <x:c r="B1727" t="n">
        <x:v>44926.624999988424</x:v>
      </x:c>
      <x:c r="C1727" t="str">
        <x:v>011760</x:v>
      </x:c>
      <x:c r="D1727" t="str">
        <x:v>현대코퍼레이션</x:v>
      </x:c>
      <x:c r="E1727" t="str">
        <x:v>KOSPI</x:v>
      </x:c>
      <x:c r="F1727" t="str">
        <x:v>MID</x:v>
      </x:c>
      <x:c r="G1727" t="str">
        <x:v>DCF_SCREENING_EXCLUSION</x:v>
      </x:c>
      <x:c r="H1727" t="str">
        <x:v>NON_POSITIVE_EQUITY_VALUE</x:v>
      </x:c>
      <x:c r="I1727" s="54" t="n">
        <x:v>44924</x:v>
      </x:c>
      <x:c r="J1727" s="55" t="n">
        <x:v>16200</x:v>
      </x:c>
      <x:c r="K1727" s="55" t="n">
        <x:v>214309249200</x:v>
      </x:c>
      <x:c r="L1727" s="55" t="n">
        <x:v>13228966</x:v>
      </x:c>
      <x:c r="M1727" t="str">
        <x:v>20220322000850</x:v>
      </x:c>
      <x:c r="N1727" t="n">
        <x:v>44642.624999988424</x:v>
      </x:c>
      <x:c r="O1727" s="54" t="n">
        <x:v>44561</x:v>
      </x:c>
      <x:c r="P1727" t="str">
        <x:v>False</x:v>
      </x:c>
      <x:c r="Q1727" t="str">
        <x:v>099bfc1ab82fd79f99a7e0b8f4bec45d890efdd6405d41b5afb4080f2939023f</x:v>
      </x:c>
      <x:c r="R1727" t="str">
        <x:v>d21f6ebac0ac8694a30b566950084bdad44862d5622fb7e5ed9c4d3baf150081</x:v>
      </x:c>
      <x:c r="S1727" t="n">
        <x:v>6</x:v>
      </x:c>
      <x:c r="T1727" t="str">
        <x:v>2018-12-31|2019-12-31|2020-12-31|2021-12-31</x:v>
      </x:c>
      <x:c r="U1727" s="57" t="n">
        <x:v>-11068.169193106498</x:v>
      </x:c>
      <x:c r="V1727" s="57" t="n">
        <x:v>-1.6832203205621294</x:v>
      </x:c>
      <x:c r="W1727"/>
      <x:c r="X1727"/>
      <x:c r="Y1727" s="38" t="n">
        <x:v>0.6409090909090909</x:v>
      </x:c>
      <x:c r="Z1727" s="38" t="n">
        <x:v>0.6790710168575033</x:v>
      </x:c>
      <x:c r="AA1727" t="str">
        <x:v>NON_POSITIVE_EQUITY_VALUE</x:v>
      </x:c>
    </x:row>
    <x:row r="1728">
      <x:c r="A1728" s="54" t="n">
        <x:v>44926</x:v>
      </x:c>
      <x:c r="B1728" t="n">
        <x:v>44926.624999988424</x:v>
      </x:c>
      <x:c r="C1728" t="str">
        <x:v>010690</x:v>
      </x:c>
      <x:c r="D1728" t="str">
        <x:v>화신</x:v>
      </x:c>
      <x:c r="E1728" t="str">
        <x:v>KOSPI</x:v>
      </x:c>
      <x:c r="F1728" t="str">
        <x:v>MID</x:v>
      </x:c>
      <x:c r="G1728" t="str">
        <x:v>DCF_SCREENING_EXCLUSION</x:v>
      </x:c>
      <x:c r="H1728" t="str">
        <x:v>NON_POSITIVE_ENTERPRISE_VALUE|NON_POSITIVE_EQUITY_VALUE|NON_POSITIVE_TERMINAL_FCF</x:v>
      </x:c>
      <x:c r="I1728" s="54" t="n">
        <x:v>44924</x:v>
      </x:c>
      <x:c r="J1728" s="55" t="n">
        <x:v>7220</x:v>
      </x:c>
      <x:c r="K1728" s="55" t="n">
        <x:v>252125360200</x:v>
      </x:c>
      <x:c r="L1728" s="55" t="n">
        <x:v>34920410</x:v>
      </x:c>
      <x:c r="M1728" t="str">
        <x:v>20220321001215</x:v>
      </x:c>
      <x:c r="N1728" t="n">
        <x:v>44641.624999988424</x:v>
      </x:c>
      <x:c r="O1728" s="54" t="n">
        <x:v>44561</x:v>
      </x:c>
      <x:c r="P1728" t="str">
        <x:v>False</x:v>
      </x:c>
      <x:c r="Q1728" t="str">
        <x:v>0cf96cfa209d746266e6c4849aca1a0964cb395d303c35dcb71c75d49ad3383e</x:v>
      </x:c>
      <x:c r="R1728" t="str">
        <x:v>2fa378b86e1d87fdc61a53db9d7a0085fe40cf513bfad4fec6796e17a4c6533a</x:v>
      </x:c>
      <x:c r="S1728" t="n">
        <x:v>6</x:v>
      </x:c>
      <x:c r="T1728" t="str">
        <x:v>2018-12-31|2019-12-31|2020-12-31|2021-12-31</x:v>
      </x:c>
      <x:c r="U1728" s="57" t="n">
        <x:v>-17727.972190762088</x:v>
      </x:c>
      <x:c r="V1728" s="57" t="n">
        <x:v>-3.4553978103548597</x:v>
      </x:c>
      <x:c r="W1728"/>
      <x:c r="X1728"/>
      <x:c r="Y1728" s="38" t="n">
        <x:v>0.6409090909090909</x:v>
      </x:c>
      <x:c r="Z1728" s="38" t="n">
        <x:v>0.7207690520545919</x:v>
      </x:c>
      <x:c r="AA1728" t="str">
        <x:v>NON_POSITIVE_ENTERPRISE_VALUE|NON_POSITIVE_EQUITY_VALUE|NON_POSITIVE_TERMINAL_FCF</x:v>
      </x:c>
    </x:row>
    <x:row r="1729">
      <x:c r="A1729" s="54" t="n">
        <x:v>44926</x:v>
      </x:c>
      <x:c r="B1729" t="n">
        <x:v>44926.624999988424</x:v>
      </x:c>
      <x:c r="C1729" t="str">
        <x:v>029460</x:v>
      </x:c>
      <x:c r="D1729" t="str">
        <x:v>케이씨</x:v>
      </x:c>
      <x:c r="E1729" t="str">
        <x:v>KOSPI</x:v>
      </x:c>
      <x:c r="F1729" t="str">
        <x:v>MID</x:v>
      </x:c>
      <x:c r="G1729" t="str">
        <x:v>ELIGIBLE</x:v>
      </x:c>
      <x:c r="H1729"/>
      <x:c r="I1729" s="54" t="n">
        <x:v>44924</x:v>
      </x:c>
      <x:c r="J1729" s="55" t="n">
        <x:v>17050</x:v>
      </x:c>
      <x:c r="K1729" s="55" t="n">
        <x:v>231096450200</x:v>
      </x:c>
      <x:c r="L1729" s="55" t="n">
        <x:v>13554044</x:v>
      </x:c>
      <x:c r="M1729" t="str">
        <x:v>20220321000938</x:v>
      </x:c>
      <x:c r="N1729" t="n">
        <x:v>44641.624999988424</x:v>
      </x:c>
      <x:c r="O1729" s="54" t="n">
        <x:v>44561</x:v>
      </x:c>
      <x:c r="P1729" t="str">
        <x:v>False</x:v>
      </x:c>
      <x:c r="Q1729" t="str">
        <x:v>7990398da750779e98cdabb4c9eb463b85f1ae129963b0a8a83ccf72f66d7ec9</x:v>
      </x:c>
      <x:c r="R1729" t="str">
        <x:v>b1740a5e137b094c6c4f36ced93b37b4bb1b5ee1193537044d37bf5ed2a57d5c</x:v>
      </x:c>
      <x:c r="S1729" t="n">
        <x:v>7</x:v>
      </x:c>
      <x:c r="T1729" t="str">
        <x:v>2018-12-31|2019-12-31|2020-12-31|2021-12-31</x:v>
      </x:c>
      <x:c r="U1729" s="57" t="n">
        <x:v>38835.80598528565</x:v>
      </x:c>
      <x:c r="V1729" s="57" t="n">
        <x:v>1.2777598818349356</x:v>
      </x:c>
      <x:c r="W1729" t="n">
        <x:v>7</x:v>
      </x:c>
      <x:c r="X1729" t="n">
        <x:v>1</x:v>
      </x:c>
      <x:c r="Y1729" s="38" t="n">
        <x:v>0.6409090909090909</x:v>
      </x:c>
      <x:c r="Z1729" s="38" t="n">
        <x:v>0.6797227260709177</x:v>
      </x:c>
      <x:c r="AA1729"/>
    </x:row>
    <x:row r="1730">
      <x:c r="A1730" s="54" t="n">
        <x:v>44926</x:v>
      </x:c>
      <x:c r="B1730" t="n">
        <x:v>44926.624999988424</x:v>
      </x:c>
      <x:c r="C1730" t="str">
        <x:v>122900</x:v>
      </x:c>
      <x:c r="D1730" t="str">
        <x:v>아이마켓코리아</x:v>
      </x:c>
      <x:c r="E1730" t="str">
        <x:v>KOSPI</x:v>
      </x:c>
      <x:c r="F1730" t="str">
        <x:v>MID</x:v>
      </x:c>
      <x:c r="G1730" t="str">
        <x:v>ELIGIBLE</x:v>
      </x:c>
      <x:c r="H1730"/>
      <x:c r="I1730" s="54" t="n">
        <x:v>44924</x:v>
      </x:c>
      <x:c r="J1730" s="55" t="n">
        <x:v>10100</x:v>
      </x:c>
      <x:c r="K1730" s="55" t="n">
        <x:v>337631284000</x:v>
      </x:c>
      <x:c r="L1730" s="55" t="n">
        <x:v>33428840</x:v>
      </x:c>
      <x:c r="M1730" t="str">
        <x:v>20220322000751</x:v>
      </x:c>
      <x:c r="N1730" t="n">
        <x:v>44642.624999988424</x:v>
      </x:c>
      <x:c r="O1730" s="54" t="n">
        <x:v>44561</x:v>
      </x:c>
      <x:c r="P1730" t="str">
        <x:v>False</x:v>
      </x:c>
      <x:c r="Q1730" t="str">
        <x:v>b259e827b070061f4ae50eecae5c99d0628008976e645d93bfa331cd61be8f30</x:v>
      </x:c>
      <x:c r="R1730" t="str">
        <x:v>23ab80e21333384a7c38b881259a6c4d6a7539fa6909c5eccf1aaca52c0581df</x:v>
      </x:c>
      <x:c r="S1730" t="n">
        <x:v>7</x:v>
      </x:c>
      <x:c r="T1730" t="str">
        <x:v>2018-12-31|2019-12-31|2020-12-31|2021-12-31</x:v>
      </x:c>
      <x:c r="U1730" s="57" t="n">
        <x:v>7621.586787115335</x:v>
      </x:c>
      <x:c r="V1730" s="57" t="n">
        <x:v>-0.2453874468202639</x:v>
      </x:c>
      <x:c r="W1730" t="n">
        <x:v>29</x:v>
      </x:c>
      <x:c r="X1730" t="n">
        <x:v>3</x:v>
      </x:c>
      <x:c r="Y1730" s="38" t="n">
        <x:v>0.6409090909090909</x:v>
      </x:c>
      <x:c r="Z1730" s="38" t="n">
        <x:v>0.6654434098575983</x:v>
      </x:c>
      <x:c r="AA1730"/>
    </x:row>
    <x:row r="1731">
      <x:c r="A1731" s="54" t="n">
        <x:v>44926</x:v>
      </x:c>
      <x:c r="B1731" t="n">
        <x:v>44926.624999988424</x:v>
      </x:c>
      <x:c r="C1731" t="str">
        <x:v>001820</x:v>
      </x:c>
      <x:c r="D1731" t="str">
        <x:v>삼화콘덴서</x:v>
      </x:c>
      <x:c r="E1731" t="str">
        <x:v>KOSPI</x:v>
      </x:c>
      <x:c r="F1731" t="str">
        <x:v>MID</x:v>
      </x:c>
      <x:c r="G1731" t="str">
        <x:v>ELIGIBLE</x:v>
      </x:c>
      <x:c r="H1731"/>
      <x:c r="I1731" s="54" t="n">
        <x:v>44924</x:v>
      </x:c>
      <x:c r="J1731" s="55" t="n">
        <x:v>30000</x:v>
      </x:c>
      <x:c r="K1731" s="55" t="n">
        <x:v>311850000000</x:v>
      </x:c>
      <x:c r="L1731" s="55" t="n">
        <x:v>10395000</x:v>
      </x:c>
      <x:c r="M1731" t="str">
        <x:v>20220317000863</x:v>
      </x:c>
      <x:c r="N1731" t="n">
        <x:v>44637.624999988424</x:v>
      </x:c>
      <x:c r="O1731" s="54" t="n">
        <x:v>44561</x:v>
      </x:c>
      <x:c r="P1731" t="str">
        <x:v>False</x:v>
      </x:c>
      <x:c r="Q1731" t="str">
        <x:v>41d4c3f670049ce822e3e8797ac27f2bb7d6cc9f1154c4d75ff3d0f432b9f08e</x:v>
      </x:c>
      <x:c r="R1731" t="str">
        <x:v>f586c4b9742e8353ab8dd3b80dc35df23281949a6aaa5e4d28a26d535935c7b7</x:v>
      </x:c>
      <x:c r="S1731" t="n">
        <x:v>6</x:v>
      </x:c>
      <x:c r="T1731" t="str">
        <x:v>2018-12-31|2019-12-31|2020-12-31|2021-12-31</x:v>
      </x:c>
      <x:c r="U1731" s="57" t="n">
        <x:v>22632.273036284816</x:v>
      </x:c>
      <x:c r="V1731" s="57" t="n">
        <x:v>-0.24559089879050608</x:v>
      </x:c>
      <x:c r="W1731" t="n">
        <x:v>30</x:v>
      </x:c>
      <x:c r="X1731" t="n">
        <x:v>3</x:v>
      </x:c>
      <x:c r="Y1731" s="38" t="n">
        <x:v>0.6409090909090909</x:v>
      </x:c>
      <x:c r="Z1731" s="38" t="n">
        <x:v>0.6670606110582535</x:v>
      </x:c>
      <x:c r="AA1731"/>
    </x:row>
    <x:row r="1732">
      <x:c r="A1732" s="54" t="n">
        <x:v>44926</x:v>
      </x:c>
      <x:c r="B1732" t="n">
        <x:v>44926.624999988424</x:v>
      </x:c>
      <x:c r="C1732" t="str">
        <x:v>001790</x:v>
      </x:c>
      <x:c r="D1732" t="str">
        <x:v>대한제당</x:v>
      </x:c>
      <x:c r="E1732" t="str">
        <x:v>KOSPI</x:v>
      </x:c>
      <x:c r="F1732" t="str">
        <x:v>MID</x:v>
      </x:c>
      <x:c r="G1732" t="str">
        <x:v>ELIGIBLE</x:v>
      </x:c>
      <x:c r="H1732"/>
      <x:c r="I1732" s="54" t="n">
        <x:v>44924</x:v>
      </x:c>
      <x:c r="J1732" s="55" t="n">
        <x:v>2545</x:v>
      </x:c>
      <x:c r="K1732" s="55" t="n">
        <x:v>228277796100</x:v>
      </x:c>
      <x:c r="L1732" s="55" t="n">
        <x:v>89696580</x:v>
      </x:c>
      <x:c r="M1732" t="str">
        <x:v>20220317000728</x:v>
      </x:c>
      <x:c r="N1732" t="n">
        <x:v>44637.624999988424</x:v>
      </x:c>
      <x:c r="O1732" s="54" t="n">
        <x:v>44561</x:v>
      </x:c>
      <x:c r="P1732" t="str">
        <x:v>False</x:v>
      </x:c>
      <x:c r="Q1732" t="str">
        <x:v>fcdc3a13ee9dd76aa9798177cec4b35a242d11208fba1d39d433983586abd3cf</x:v>
      </x:c>
      <x:c r="R1732" t="str">
        <x:v>384750aef1f962d54928ed7d80660330c0c7c0a0df14c2fb3ecaa31c8ffaff09</x:v>
      </x:c>
      <x:c r="S1732" t="n">
        <x:v>6</x:v>
      </x:c>
      <x:c r="T1732" t="str">
        <x:v>2018-12-31|2019-12-31|2020-12-31|2021-12-31</x:v>
      </x:c>
      <x:c r="U1732" s="57" t="n">
        <x:v>1193.117638754748</x:v>
      </x:c>
      <x:c r="V1732" s="57" t="n">
        <x:v>-0.5311914975423387</x:v>
      </x:c>
      <x:c r="W1732" t="n">
        <x:v>47</x:v>
      </x:c>
      <x:c r="X1732" t="n">
        <x:v>4</x:v>
      </x:c>
      <x:c r="Y1732" s="38" t="n">
        <x:v>0.6409090909090909</x:v>
      </x:c>
      <x:c r="Z1732" s="38" t="n">
        <x:v>0.6304165082883136</x:v>
      </x:c>
      <x:c r="AA1732"/>
    </x:row>
    <x:row r="1733">
      <x:c r="A1733" s="54" t="n">
        <x:v>44926</x:v>
      </x:c>
      <x:c r="B1733" t="n">
        <x:v>44926.624999988424</x:v>
      </x:c>
      <x:c r="C1733" t="str">
        <x:v>001340</x:v>
      </x:c>
      <x:c r="D1733" t="str">
        <x:v>PKC</x:v>
      </x:c>
      <x:c r="E1733" t="str">
        <x:v>KOSPI</x:v>
      </x:c>
      <x:c r="F1733" t="str">
        <x:v>MID</x:v>
      </x:c>
      <x:c r="G1733" t="str">
        <x:v>DCF_SCREENING_EXCLUSION</x:v>
      </x:c>
      <x:c r="H1733" t="str">
        <x:v>NON_POSITIVE_EQUITY_VALUE</x:v>
      </x:c>
      <x:c r="I1733" s="54" t="n">
        <x:v>44924</x:v>
      </x:c>
      <x:c r="J1733" s="55" t="n">
        <x:v>4310</x:v>
      </x:c>
      <x:c r="K1733" s="55" t="n">
        <x:v>193598334170</x:v>
      </x:c>
      <x:c r="L1733" s="55" t="n">
        <x:v>44918407</x:v>
      </x:c>
      <x:c r="M1733" t="str">
        <x:v>20220316000411</x:v>
      </x:c>
      <x:c r="N1733" t="n">
        <x:v>44636.624999988424</x:v>
      </x:c>
      <x:c r="O1733" s="54" t="n">
        <x:v>44561</x:v>
      </x:c>
      <x:c r="P1733" t="str">
        <x:v>False</x:v>
      </x:c>
      <x:c r="Q1733" t="str">
        <x:v>c50eabab0b5ec29ee023ad61d21d4413c1e9c5ab7bd8de1e1630c201325cd207</x:v>
      </x:c>
      <x:c r="R1733" t="str">
        <x:v>82e32e558df84cf48ba41bcba8c2452f77ee1041cd1bf1e4acf99011782c8082</x:v>
      </x:c>
      <x:c r="S1733" t="n">
        <x:v>6</x:v>
      </x:c>
      <x:c r="T1733" t="str">
        <x:v>2016-12-31|2017-12-31|2018-12-31|2019-12-31|2020-12-31|2021-12-31</x:v>
      </x:c>
      <x:c r="U1733" s="57" t="n">
        <x:v>-539.5628118252989</x:v>
      </x:c>
      <x:c r="V1733" s="57" t="n">
        <x:v>-1.125188587430464</x:v>
      </x:c>
      <x:c r="W1733"/>
      <x:c r="X1733"/>
      <x:c r="Y1733" s="38" t="n">
        <x:v>0.6409090909090909</x:v>
      </x:c>
      <x:c r="Z1733" s="38" t="n">
        <x:v>0.6348909598465705</x:v>
      </x:c>
      <x:c r="AA1733" t="str">
        <x:v>NON_POSITIVE_EQUITY_VALUE</x:v>
      </x:c>
    </x:row>
    <x:row r="1734">
      <x:c r="A1734" s="54" t="n">
        <x:v>44926</x:v>
      </x:c>
      <x:c r="B1734" t="n">
        <x:v>44926.624999988424</x:v>
      </x:c>
      <x:c r="C1734" t="str">
        <x:v>096760</x:v>
      </x:c>
      <x:c r="D1734" t="str">
        <x:v>JW홀딩스</x:v>
      </x:c>
      <x:c r="E1734" t="str">
        <x:v>KOSPI</x:v>
      </x:c>
      <x:c r="F1734" t="str">
        <x:v>MID</x:v>
      </x:c>
      <x:c r="G1734" t="str">
        <x:v>EXCLUDED_ARCHETYPE</x:v>
      </x:c>
      <x:c r="H1734" t="str">
        <x:v>FCFF_NOT_COMPARABLE_FOR_FINANCE_OR_HOLDING_HINT</x:v>
      </x:c>
      <x:c r="I1734" s="54"/>
      <x:c r="J1734" s="55"/>
      <x:c r="K1734" s="55"/>
      <x:c r="L1734" s="55"/>
      <x:c r="M1734"/>
      <x:c r="N1734"/>
      <x:c r="O1734" s="54"/>
      <x:c r="P1734"/>
      <x:c r="Q1734"/>
      <x:c r="R1734"/>
      <x:c r="S1734"/>
      <x:c r="T1734"/>
      <x:c r="U1734" s="57"/>
      <x:c r="V1734" s="57"/>
      <x:c r="W1734"/>
      <x:c r="X1734"/>
      <x:c r="Y1734" s="38"/>
      <x:c r="Z1734" s="38"/>
      <x:c r="AA1734"/>
    </x:row>
    <x:row r="1735">
      <x:c r="A1735" s="54" t="n">
        <x:v>44926</x:v>
      </x:c>
      <x:c r="B1735" t="n">
        <x:v>44926.624999988424</x:v>
      </x:c>
      <x:c r="C1735" t="str">
        <x:v>005010</x:v>
      </x:c>
      <x:c r="D1735" t="str">
        <x:v>휴스틸</x:v>
      </x:c>
      <x:c r="E1735" t="str">
        <x:v>KOSPI</x:v>
      </x:c>
      <x:c r="F1735" t="str">
        <x:v>MID</x:v>
      </x:c>
      <x:c r="G1735" t="str">
        <x:v>ELIGIBLE</x:v>
      </x:c>
      <x:c r="H1735"/>
      <x:c r="I1735" s="54" t="n">
        <x:v>44924</x:v>
      </x:c>
      <x:c r="J1735" s="55" t="n">
        <x:v>5070</x:v>
      </x:c>
      <x:c r="K1735" s="55" t="n">
        <x:v>284873540250</x:v>
      </x:c>
      <x:c r="L1735" s="55" t="n">
        <x:v>56188075</x:v>
      </x:c>
      <x:c r="M1735" t="str">
        <x:v>20220323001079</x:v>
      </x:c>
      <x:c r="N1735" t="n">
        <x:v>44643.624999988424</x:v>
      </x:c>
      <x:c r="O1735" s="54" t="n">
        <x:v>44561</x:v>
      </x:c>
      <x:c r="P1735" t="str">
        <x:v>False</x:v>
      </x:c>
      <x:c r="Q1735" t="str">
        <x:v>945051d840ca3edc9dac918a4058a8d2dbd8221edb5a3c5af970da22dbd89b76</x:v>
      </x:c>
      <x:c r="R1735" t="str">
        <x:v>e86ec943c7105178fb1f56724e90afbd76738b2e2ad9f0cb278b8f61015b7138</x:v>
      </x:c>
      <x:c r="S1735" t="n">
        <x:v>7</x:v>
      </x:c>
      <x:c r="T1735" t="str">
        <x:v>2018-12-31|2019-12-31|2020-12-31|2021-12-31</x:v>
      </x:c>
      <x:c r="U1735" s="57" t="n">
        <x:v>2526.844040772107</x:v>
      </x:c>
      <x:c r="V1735" s="57" t="n">
        <x:v>-0.5016086704591505</x:v>
      </x:c>
      <x:c r="W1735" t="n">
        <x:v>46</x:v>
      </x:c>
      <x:c r="X1735" t="n">
        <x:v>4</x:v>
      </x:c>
      <x:c r="Y1735" s="38" t="n">
        <x:v>0.6409090909090909</x:v>
      </x:c>
      <x:c r="Z1735" s="38" t="n">
        <x:v>0.33371724080942344</x:v>
      </x:c>
      <x:c r="AA1735"/>
    </x:row>
    <x:row r="1736">
      <x:c r="A1736" s="54" t="n">
        <x:v>44926</x:v>
      </x:c>
      <x:c r="B1736" t="n">
        <x:v>44926.624999988424</x:v>
      </x:c>
      <x:c r="C1736" t="str">
        <x:v>001630</x:v>
      </x:c>
      <x:c r="D1736" t="str">
        <x:v>종근당홀딩스</x:v>
      </x:c>
      <x:c r="E1736" t="str">
        <x:v>KOSPI</x:v>
      </x:c>
      <x:c r="F1736" t="str">
        <x:v>MID</x:v>
      </x:c>
      <x:c r="G1736" t="str">
        <x:v>EXCLUDED_ARCHETYPE</x:v>
      </x:c>
      <x:c r="H1736" t="str">
        <x:v>FCFF_NOT_COMPARABLE_FOR_FINANCE_OR_HOLDING_HINT</x:v>
      </x:c>
      <x:c r="I1736" s="54"/>
      <x:c r="J1736" s="55"/>
      <x:c r="K1736" s="55"/>
      <x:c r="L1736" s="55"/>
      <x:c r="M1736"/>
      <x:c r="N1736"/>
      <x:c r="O1736" s="54"/>
      <x:c r="P1736"/>
      <x:c r="Q1736"/>
      <x:c r="R1736"/>
      <x:c r="S1736"/>
      <x:c r="T1736"/>
      <x:c r="U1736" s="57"/>
      <x:c r="V1736" s="57"/>
      <x:c r="W1736"/>
      <x:c r="X1736"/>
      <x:c r="Y1736" s="38"/>
      <x:c r="Z1736" s="38"/>
      <x:c r="AA1736"/>
    </x:row>
    <x:row r="1737">
      <x:c r="A1737" s="54" t="n">
        <x:v>44926</x:v>
      </x:c>
      <x:c r="B1737" t="n">
        <x:v>44926.624999988424</x:v>
      </x:c>
      <x:c r="C1737" t="str">
        <x:v>005680</x:v>
      </x:c>
      <x:c r="D1737" t="str">
        <x:v>삼영전자</x:v>
      </x:c>
      <x:c r="E1737" t="str">
        <x:v>KOSPI</x:v>
      </x:c>
      <x:c r="F1737" t="str">
        <x:v>MID</x:v>
      </x:c>
      <x:c r="G1737" t="str">
        <x:v>ELIGIBLE</x:v>
      </x:c>
      <x:c r="H1737"/>
      <x:c r="I1737" s="54" t="n">
        <x:v>44924</x:v>
      </x:c>
      <x:c r="J1737" s="55" t="n">
        <x:v>9300</x:v>
      </x:c>
      <x:c r="K1737" s="55" t="n">
        <x:v>186000000000</x:v>
      </x:c>
      <x:c r="L1737" s="55" t="n">
        <x:v>20000000</x:v>
      </x:c>
      <x:c r="M1737" t="str">
        <x:v>20220310001191</x:v>
      </x:c>
      <x:c r="N1737" t="n">
        <x:v>44630.624999988424</x:v>
      </x:c>
      <x:c r="O1737" s="54" t="n">
        <x:v>44561</x:v>
      </x:c>
      <x:c r="P1737" t="str">
        <x:v>False</x:v>
      </x:c>
      <x:c r="Q1737" t="str">
        <x:v>7bde21400f9091b9d1afc58a9981e9ed312b08fc1962b509c3c6978778d15175</x:v>
      </x:c>
      <x:c r="R1737" t="str">
        <x:v>cd5bd6578495a21e28c14ed9349ea3c6c56d60ceaaf40a3a073db8a22f485c4a</x:v>
      </x:c>
      <x:c r="S1737" t="n">
        <x:v>6</x:v>
      </x:c>
      <x:c r="T1737" t="str">
        <x:v>2018-12-31|2019-12-31|2020-12-31|2021-12-31</x:v>
      </x:c>
      <x:c r="U1737" s="57" t="n">
        <x:v>5134.734268963097</x:v>
      </x:c>
      <x:c r="V1737" s="57" t="n">
        <x:v>-0.4478780355953659</x:v>
      </x:c>
      <x:c r="W1737" t="n">
        <x:v>43</x:v>
      </x:c>
      <x:c r="X1737" t="n">
        <x:v>4</x:v>
      </x:c>
      <x:c r="Y1737" s="38" t="n">
        <x:v>0.6409090909090909</x:v>
      </x:c>
      <x:c r="Z1737" s="38" t="n">
        <x:v>0.5881027523780626</x:v>
      </x:c>
      <x:c r="AA1737"/>
    </x:row>
    <x:row r="1738">
      <x:c r="A1738" s="54" t="n">
        <x:v>44926</x:v>
      </x:c>
      <x:c r="B1738" t="n">
        <x:v>44926.624999988424</x:v>
      </x:c>
      <x:c r="C1738" t="str">
        <x:v>028100</x:v>
      </x:c>
      <x:c r="D1738" t="str">
        <x:v>동아지질</x:v>
      </x:c>
      <x:c r="E1738" t="str">
        <x:v>KOSPI</x:v>
      </x:c>
      <x:c r="F1738" t="str">
        <x:v>MID</x:v>
      </x:c>
      <x:c r="G1738" t="str">
        <x:v>ELIGIBLE</x:v>
      </x:c>
      <x:c r="H1738"/>
      <x:c r="I1738" s="54" t="n">
        <x:v>44924</x:v>
      </x:c>
      <x:c r="J1738" s="55" t="n">
        <x:v>12150</x:v>
      </x:c>
      <x:c r="K1738" s="55" t="n">
        <x:v>170739648900</x:v>
      </x:c>
      <x:c r="L1738" s="55" t="n">
        <x:v>14052646</x:v>
      </x:c>
      <x:c r="M1738" t="str">
        <x:v>20220315001251</x:v>
      </x:c>
      <x:c r="N1738" t="n">
        <x:v>44635.624999988424</x:v>
      </x:c>
      <x:c r="O1738" s="54" t="n">
        <x:v>44561</x:v>
      </x:c>
      <x:c r="P1738" t="str">
        <x:v>False</x:v>
      </x:c>
      <x:c r="Q1738" t="str">
        <x:v>0ef7bdc2b69cc7308dfffeeae10d7ff81e874f024016366d07d7bf5e6a5733a9</x:v>
      </x:c>
      <x:c r="R1738" t="str">
        <x:v>f3fed0f2b8f0b5e45a61eebe2665ed1a3e1e29b033817c4db2f8095fa5398038</x:v>
      </x:c>
      <x:c r="S1738" t="n">
        <x:v>7</x:v>
      </x:c>
      <x:c r="T1738" t="str">
        <x:v>2018-12-31|2019-12-31|2020-12-31|2021-12-31</x:v>
      </x:c>
      <x:c r="U1738" s="57" t="n">
        <x:v>7574.5375060645765</x:v>
      </x:c>
      <x:c r="V1738" s="57" t="n">
        <x:v>-0.37658127522102247</x:v>
      </x:c>
      <x:c r="W1738" t="n">
        <x:v>38</x:v>
      </x:c>
      <x:c r="X1738" t="n">
        <x:v>3</x:v>
      </x:c>
      <x:c r="Y1738" s="38" t="n">
        <x:v>0.6409090909090909</x:v>
      </x:c>
      <x:c r="Z1738" s="38" t="n">
        <x:v>0.7841782203292177</x:v>
      </x:c>
      <x:c r="AA1738"/>
    </x:row>
    <x:row r="1739">
      <x:c r="A1739" s="54" t="n">
        <x:v>44926</x:v>
      </x:c>
      <x:c r="B1739" t="n">
        <x:v>44926.624999988424</x:v>
      </x:c>
      <x:c r="C1739" t="str">
        <x:v>001750</x:v>
      </x:c>
      <x:c r="D1739" t="str">
        <x:v>한양증권</x:v>
      </x:c>
      <x:c r="E1739" t="str">
        <x:v>KOSPI</x:v>
      </x:c>
      <x:c r="F1739" t="str">
        <x:v>MID</x:v>
      </x:c>
      <x:c r="G1739" t="str">
        <x:v>EXCLUDED_ARCHETYPE</x:v>
      </x:c>
      <x:c r="H1739" t="str">
        <x:v>FCFF_NOT_COMPARABLE_FOR_FINANCE_OR_HOLDING_HINT</x:v>
      </x:c>
      <x:c r="I1739" s="54"/>
      <x:c r="J1739" s="55"/>
      <x:c r="K1739" s="55"/>
      <x:c r="L1739" s="55"/>
      <x:c r="M1739"/>
      <x:c r="N1739"/>
      <x:c r="O1739" s="54"/>
      <x:c r="P1739"/>
      <x:c r="Q1739"/>
      <x:c r="R1739"/>
      <x:c r="S1739"/>
      <x:c r="T1739"/>
      <x:c r="U1739" s="57"/>
      <x:c r="V1739" s="57"/>
      <x:c r="W1739"/>
      <x:c r="X1739"/>
      <x:c r="Y1739" s="38"/>
      <x:c r="Z1739" s="38"/>
      <x:c r="AA1739"/>
    </x:row>
    <x:row r="1740">
      <x:c r="A1740" s="54" t="n">
        <x:v>44926</x:v>
      </x:c>
      <x:c r="B1740" t="n">
        <x:v>44926.624999988424</x:v>
      </x:c>
      <x:c r="C1740" t="str">
        <x:v>102460</x:v>
      </x:c>
      <x:c r="D1740" t="str">
        <x:v>이연제약</x:v>
      </x:c>
      <x:c r="E1740" t="str">
        <x:v>KOSPI</x:v>
      </x:c>
      <x:c r="F1740" t="str">
        <x:v>MID</x:v>
      </x:c>
      <x:c r="G1740" t="str">
        <x:v>ELIGIBLE</x:v>
      </x:c>
      <x:c r="H1740"/>
      <x:c r="I1740" s="54" t="n">
        <x:v>44924</x:v>
      </x:c>
      <x:c r="J1740" s="55" t="n">
        <x:v>21650</x:v>
      </x:c>
      <x:c r="K1740" s="55" t="n">
        <x:v>389669192050</x:v>
      </x:c>
      <x:c r="L1740" s="55" t="n">
        <x:v>17998577</x:v>
      </x:c>
      <x:c r="M1740" t="str">
        <x:v>20220322000922</x:v>
      </x:c>
      <x:c r="N1740" t="n">
        <x:v>44642.624999988424</x:v>
      </x:c>
      <x:c r="O1740" s="54" t="n">
        <x:v>44561</x:v>
      </x:c>
      <x:c r="P1740" t="str">
        <x:v>False</x:v>
      </x:c>
      <x:c r="Q1740" t="str">
        <x:v>b45ea7a82754f8f5b4af4a81987f009a90ea14f20b45b9194a834b785983ef7c</x:v>
      </x:c>
      <x:c r="R1740" t="str">
        <x:v>6700a022cf30d3ef006448b0f2c3129224598050b6ec6f44f22905556baddd71</x:v>
      </x:c>
      <x:c r="S1740" t="n">
        <x:v>4</x:v>
      </x:c>
      <x:c r="T1740" t="str">
        <x:v>2018-12-31|2019-12-31|2020-12-31|2021-12-31</x:v>
      </x:c>
      <x:c r="U1740" s="57" t="n">
        <x:v>4614.415679788735</x:v>
      </x:c>
      <x:c r="V1740" s="57" t="n">
        <x:v>-0.7868630170998274</x:v>
      </x:c>
      <x:c r="W1740" t="n">
        <x:v>57</x:v>
      </x:c>
      <x:c r="X1740" t="n">
        <x:v>5</x:v>
      </x:c>
      <x:c r="Y1740" s="38" t="n">
        <x:v>0.6409090909090909</x:v>
      </x:c>
      <x:c r="Z1740" s="38" t="n">
        <x:v>0.8011386169947403</x:v>
      </x:c>
      <x:c r="AA1740"/>
    </x:row>
    <x:row r="1741">
      <x:c r="A1741" s="54" t="n">
        <x:v>44926</x:v>
      </x:c>
      <x:c r="B1741" t="n">
        <x:v>44926.624999988424</x:v>
      </x:c>
      <x:c r="C1741" t="str">
        <x:v>053690</x:v>
      </x:c>
      <x:c r="D1741" t="str">
        <x:v>한미글로벌</x:v>
      </x:c>
      <x:c r="E1741" t="str">
        <x:v>KOSPI</x:v>
      </x:c>
      <x:c r="F1741" t="str">
        <x:v>MID</x:v>
      </x:c>
      <x:c r="G1741" t="str">
        <x:v>ELIGIBLE</x:v>
      </x:c>
      <x:c r="H1741"/>
      <x:c r="I1741" s="54" t="n">
        <x:v>44924</x:v>
      </x:c>
      <x:c r="J1741" s="55" t="n">
        <x:v>26900</x:v>
      </x:c>
      <x:c r="K1741" s="55" t="n">
        <x:v>294758095000</x:v>
      </x:c>
      <x:c r="L1741" s="55" t="n">
        <x:v>10957550</x:v>
      </x:c>
      <x:c r="M1741" t="str">
        <x:v>20220816000695</x:v>
      </x:c>
      <x:c r="N1741" t="n">
        <x:v>44789.624999988424</x:v>
      </x:c>
      <x:c r="O1741" s="54" t="n">
        <x:v>44561</x:v>
      </x:c>
      <x:c r="P1741" t="str">
        <x:v>True</x:v>
      </x:c>
      <x:c r="Q1741" t="str">
        <x:v>8a7b91aca7b5423a2966fe0f91b80455a4157435318ebc30793c12c3dc837ae2</x:v>
      </x:c>
      <x:c r="R1741" t="str">
        <x:v>da375cc1dbb1d1dd146786ed92913f186a41b10b9bb7aceddc540a2e3b12b0f4</x:v>
      </x:c>
      <x:c r="S1741" t="n">
        <x:v>6</x:v>
      </x:c>
      <x:c r="T1741" t="str">
        <x:v>2018-12-31|2019-12-31|2020-12-31|2021-12-31</x:v>
      </x:c>
      <x:c r="U1741" s="57" t="n">
        <x:v>19774.17782610372</x:v>
      </x:c>
      <x:c r="V1741" s="57" t="n">
        <x:v>-0.26490045256119993</x:v>
      </x:c>
      <x:c r="W1741" t="n">
        <x:v>31</x:v>
      </x:c>
      <x:c r="X1741" t="n">
        <x:v>3</x:v>
      </x:c>
      <x:c r="Y1741" s="38" t="n">
        <x:v>0.6409090909090909</x:v>
      </x:c>
      <x:c r="Z1741" s="38" t="n">
        <x:v>0.6833165297703682</x:v>
      </x:c>
      <x:c r="AA1741"/>
    </x:row>
    <x:row r="1742">
      <x:c r="A1742" s="54" t="n">
        <x:v>44926</x:v>
      </x:c>
      <x:c r="B1742" t="n">
        <x:v>44926.624999988424</x:v>
      </x:c>
      <x:c r="C1742" t="str">
        <x:v>213500</x:v>
      </x:c>
      <x:c r="D1742" t="str">
        <x:v>한솔제지</x:v>
      </x:c>
      <x:c r="E1742" t="str">
        <x:v>KOSPI</x:v>
      </x:c>
      <x:c r="F1742" t="str">
        <x:v>MID</x:v>
      </x:c>
      <x:c r="G1742" t="str">
        <x:v>ELIGIBLE</x:v>
      </x:c>
      <x:c r="H1742"/>
      <x:c r="I1742" s="54" t="n">
        <x:v>44924</x:v>
      </x:c>
      <x:c r="J1742" s="55" t="n">
        <x:v>13250</x:v>
      </x:c>
      <x:c r="K1742" s="55" t="n">
        <x:v>315357632000</x:v>
      </x:c>
      <x:c r="L1742" s="55" t="n">
        <x:v>23800576</x:v>
      </x:c>
      <x:c r="M1742" t="str">
        <x:v>20220315001234</x:v>
      </x:c>
      <x:c r="N1742" t="n">
        <x:v>44635.624999988424</x:v>
      </x:c>
      <x:c r="O1742" s="54" t="n">
        <x:v>44561</x:v>
      </x:c>
      <x:c r="P1742" t="str">
        <x:v>False</x:v>
      </x:c>
      <x:c r="Q1742" t="str">
        <x:v>afe287d5f0f93c98221a065a8ee480258d597b2bf6acca15421809ee674ef84a</x:v>
      </x:c>
      <x:c r="R1742" t="str">
        <x:v>26e87a2c105e49e33d901563ab4a31b95d090c9f5281b76e2311feb43f9e138a</x:v>
      </x:c>
      <x:c r="S1742" t="n">
        <x:v>6</x:v>
      </x:c>
      <x:c r="T1742" t="str">
        <x:v>2018-12-31|2019-12-31|2020-12-31|2021-12-31</x:v>
      </x:c>
      <x:c r="U1742" s="57" t="n">
        <x:v>13574.502606796379</x:v>
      </x:c>
      <x:c r="V1742" s="57" t="n">
        <x:v>0.024490762777085156</x:v>
      </x:c>
      <x:c r="W1742" t="n">
        <x:v>25</x:v>
      </x:c>
      <x:c r="X1742" t="n">
        <x:v>2</x:v>
      </x:c>
      <x:c r="Y1742" s="38" t="n">
        <x:v>0.6409090909090909</x:v>
      </x:c>
      <x:c r="Z1742" s="38" t="n">
        <x:v>0.7791505392550995</x:v>
      </x:c>
      <x:c r="AA1742"/>
    </x:row>
    <x:row r="1743">
      <x:c r="A1743" s="54" t="n">
        <x:v>44926</x:v>
      </x:c>
      <x:c r="B1743" t="n">
        <x:v>44926.624999988424</x:v>
      </x:c>
      <x:c r="C1743" t="str">
        <x:v>005430</x:v>
      </x:c>
      <x:c r="D1743" t="str">
        <x:v>한국공항</x:v>
      </x:c>
      <x:c r="E1743" t="str">
        <x:v>KOSPI</x:v>
      </x:c>
      <x:c r="F1743" t="str">
        <x:v>MID</x:v>
      </x:c>
      <x:c r="G1743" t="str">
        <x:v>ELIGIBLE</x:v>
      </x:c>
      <x:c r="H1743"/>
      <x:c r="I1743" s="54" t="n">
        <x:v>44924</x:v>
      </x:c>
      <x:c r="J1743" s="55" t="n">
        <x:v>40250</x:v>
      </x:c>
      <x:c r="K1743" s="55" t="n">
        <x:v>127445788750</x:v>
      </x:c>
      <x:c r="L1743" s="55" t="n">
        <x:v>3166355</x:v>
      </x:c>
      <x:c r="M1743" t="str">
        <x:v>20220315001111</x:v>
      </x:c>
      <x:c r="N1743" t="n">
        <x:v>44635.624999988424</x:v>
      </x:c>
      <x:c r="O1743" s="54" t="n">
        <x:v>44561</x:v>
      </x:c>
      <x:c r="P1743" t="str">
        <x:v>False</x:v>
      </x:c>
      <x:c r="Q1743" t="str">
        <x:v>eddd391d8ced6decbf06d7a0a762609a13efea282c2a696d1b028890b1c580f1</x:v>
      </x:c>
      <x:c r="R1743" t="str">
        <x:v>52627e6dde84c85b4630d13366475d7c946cc072f50d725aea58844899cd5c84</x:v>
      </x:c>
      <x:c r="S1743" t="n">
        <x:v>7</x:v>
      </x:c>
      <x:c r="T1743" t="str">
        <x:v>2018-12-31|2019-12-31|2020-12-31|2021-12-31</x:v>
      </x:c>
      <x:c r="U1743" s="57" t="n">
        <x:v>58170.54373799912</x:v>
      </x:c>
      <x:c r="V1743" s="57" t="n">
        <x:v>0.44523090032295953</x:v>
      </x:c>
      <x:c r="W1743" t="n">
        <x:v>12</x:v>
      </x:c>
      <x:c r="X1743" t="n">
        <x:v>1</x:v>
      </x:c>
      <x:c r="Y1743" s="38" t="n">
        <x:v>0.6409090909090909</x:v>
      </x:c>
      <x:c r="Z1743" s="38" t="n">
        <x:v>0.7506799838267476</x:v>
      </x:c>
      <x:c r="AA1743"/>
    </x:row>
    <x:row r="1744">
      <x:c r="A1744" s="54" t="n">
        <x:v>44926</x:v>
      </x:c>
      <x:c r="B1744" t="n">
        <x:v>44926.624999988424</x:v>
      </x:c>
      <x:c r="C1744" t="str">
        <x:v>003460</x:v>
      </x:c>
      <x:c r="D1744" t="str">
        <x:v>유화증권</x:v>
      </x:c>
      <x:c r="E1744" t="str">
        <x:v>KOSPI</x:v>
      </x:c>
      <x:c r="F1744" t="str">
        <x:v>MID</x:v>
      </x:c>
      <x:c r="G1744" t="str">
        <x:v>EXCLUDED_ARCHETYPE</x:v>
      </x:c>
      <x:c r="H1744" t="str">
        <x:v>FCFF_NOT_COMPARABLE_FOR_FINANCE_OR_HOLDING_HINT</x:v>
      </x:c>
      <x:c r="I1744" s="54"/>
      <x:c r="J1744" s="55"/>
      <x:c r="K1744" s="55"/>
      <x:c r="L1744" s="55"/>
      <x:c r="M1744"/>
      <x:c r="N1744"/>
      <x:c r="O1744" s="54"/>
      <x:c r="P1744"/>
      <x:c r="Q1744"/>
      <x:c r="R1744"/>
      <x:c r="S1744"/>
      <x:c r="T1744"/>
      <x:c r="U1744" s="57"/>
      <x:c r="V1744" s="57"/>
      <x:c r="W1744"/>
      <x:c r="X1744"/>
      <x:c r="Y1744" s="38"/>
      <x:c r="Z1744" s="38"/>
      <x:c r="AA1744"/>
    </x:row>
    <x:row r="1745">
      <x:c r="A1745" s="54" t="n">
        <x:v>44926</x:v>
      </x:c>
      <x:c r="B1745" t="n">
        <x:v>44926.624999988424</x:v>
      </x:c>
      <x:c r="C1745" t="str">
        <x:v>004140</x:v>
      </x:c>
      <x:c r="D1745" t="str">
        <x:v>동방</x:v>
      </x:c>
      <x:c r="E1745" t="str">
        <x:v>KOSPI</x:v>
      </x:c>
      <x:c r="F1745" t="str">
        <x:v>MID</x:v>
      </x:c>
      <x:c r="G1745" t="str">
        <x:v>DCF_SCREENING_EXCLUSION</x:v>
      </x:c>
      <x:c r="H1745" t="str">
        <x:v>NON_POSITIVE_EQUITY_VALUE</x:v>
      </x:c>
      <x:c r="I1745" s="54" t="n">
        <x:v>44924</x:v>
      </x:c>
      <x:c r="J1745" s="55" t="n">
        <x:v>2645</x:v>
      </x:c>
      <x:c r="K1745" s="55" t="n">
        <x:v>126885321070</x:v>
      </x:c>
      <x:c r="L1745" s="55" t="n">
        <x:v>47971766</x:v>
      </x:c>
      <x:c r="M1745" t="str">
        <x:v>20220317001208</x:v>
      </x:c>
      <x:c r="N1745" t="n">
        <x:v>44637.624999988424</x:v>
      </x:c>
      <x:c r="O1745" s="54" t="n">
        <x:v>44561</x:v>
      </x:c>
      <x:c r="P1745" t="str">
        <x:v>False</x:v>
      </x:c>
      <x:c r="Q1745" t="str">
        <x:v>2ec7a4ce6f35bcabe04e9598c56e6c3f76c37f5ae200fe83edf6c256370a53fd</x:v>
      </x:c>
      <x:c r="R1745" t="str">
        <x:v>6a2d823b0bb72c5e2c0fba1c34fc411907f242e79c4a3b7d04e72ad6aaa4e39f</x:v>
      </x:c>
      <x:c r="S1745" t="n">
        <x:v>7</x:v>
      </x:c>
      <x:c r="T1745" t="str">
        <x:v>2013-12-31|2014-12-31|2015-12-31|2016-12-31|2018-12-31|2019-12-31|2020-12-31|2021-12-31</x:v>
      </x:c>
      <x:c r="U1745" s="57" t="n">
        <x:v>-1069.8647959827435</x:v>
      </x:c>
      <x:c r="V1745" s="57" t="n">
        <x:v>-1.40448574517306</x:v>
      </x:c>
      <x:c r="W1745"/>
      <x:c r="X1745"/>
      <x:c r="Y1745" s="38" t="n">
        <x:v>0.6409090909090909</x:v>
      </x:c>
      <x:c r="Z1745" s="38" t="n">
        <x:v>0.27600380609333103</x:v>
      </x:c>
      <x:c r="AA1745" t="str">
        <x:v>NON_POSITIVE_EQUITY_VALUE</x:v>
      </x:c>
    </x:row>
    <x:row r="1746">
      <x:c r="A1746" s="54" t="n">
        <x:v>44926</x:v>
      </x:c>
      <x:c r="B1746" t="n">
        <x:v>44926.624999988424</x:v>
      </x:c>
      <x:c r="C1746" t="str">
        <x:v>317400</x:v>
      </x:c>
      <x:c r="D1746" t="str">
        <x:v>자이에스앤디</x:v>
      </x:c>
      <x:c r="E1746" t="str">
        <x:v>KOSPI</x:v>
      </x:c>
      <x:c r="F1746" t="str">
        <x:v>MID</x:v>
      </x:c>
      <x:c r="G1746" t="str">
        <x:v>ELIGIBLE</x:v>
      </x:c>
      <x:c r="H1746"/>
      <x:c r="I1746" s="54" t="n">
        <x:v>44924</x:v>
      </x:c>
      <x:c r="J1746" s="55" t="n">
        <x:v>6030</x:v>
      </x:c>
      <x:c r="K1746" s="55" t="n">
        <x:v>233858595600</x:v>
      </x:c>
      <x:c r="L1746" s="55" t="n">
        <x:v>38782520</x:v>
      </x:c>
      <x:c r="M1746" t="str">
        <x:v>20220809000116</x:v>
      </x:c>
      <x:c r="N1746" t="n">
        <x:v>44782.624999988424</x:v>
      </x:c>
      <x:c r="O1746" s="54" t="n">
        <x:v>44561</x:v>
      </x:c>
      <x:c r="P1746" t="str">
        <x:v>True</x:v>
      </x:c>
      <x:c r="Q1746" t="str">
        <x:v>6201ca64114ea16a5bf622367bf959c627df6e0a6f7baebe17b677134dd3a75f</x:v>
      </x:c>
      <x:c r="R1746" t="str">
        <x:v>6aa11805438fd1f5c06376780f8acf94349f1d4d1cc3934a09f3df46158d4c31</x:v>
      </x:c>
      <x:c r="S1746" t="n">
        <x:v>6</x:v>
      </x:c>
      <x:c r="T1746" t="str">
        <x:v>2019-12-31|2020-12-31|2021-12-31</x:v>
      </x:c>
      <x:c r="U1746" s="57" t="n">
        <x:v>12746.103573389322</x:v>
      </x:c>
      <x:c r="V1746" s="57" t="n">
        <x:v>1.1137816871292407</x:v>
      </x:c>
      <x:c r="W1746" t="n">
        <x:v>8</x:v>
      </x:c>
      <x:c r="X1746" t="n">
        <x:v>1</x:v>
      </x:c>
      <x:c r="Y1746" s="38" t="n">
        <x:v>0.6409090909090909</x:v>
      </x:c>
      <x:c r="Z1746" s="38" t="n">
        <x:v>0.6401924820596153</x:v>
      </x:c>
      <x:c r="AA1746"/>
    </x:row>
    <x:row r="1747">
      <x:c r="A1747" s="54" t="n">
        <x:v>44926</x:v>
      </x:c>
      <x:c r="B1747" t="n">
        <x:v>44926.624999988424</x:v>
      </x:c>
      <x:c r="C1747" t="str">
        <x:v>077500</x:v>
      </x:c>
      <x:c r="D1747" t="str">
        <x:v>유니퀘스트</x:v>
      </x:c>
      <x:c r="E1747" t="str">
        <x:v>KOSPI</x:v>
      </x:c>
      <x:c r="F1747" t="str">
        <x:v>MID</x:v>
      </x:c>
      <x:c r="G1747" t="str">
        <x:v>ELIGIBLE</x:v>
      </x:c>
      <x:c r="H1747"/>
      <x:c r="I1747" s="54" t="n">
        <x:v>44924</x:v>
      </x:c>
      <x:c r="J1747" s="55" t="n">
        <x:v>8250</x:v>
      </x:c>
      <x:c r="K1747" s="55" t="n">
        <x:v>225686793750</x:v>
      </x:c>
      <x:c r="L1747" s="55" t="n">
        <x:v>27355975</x:v>
      </x:c>
      <x:c r="M1747" t="str">
        <x:v>20220317000373</x:v>
      </x:c>
      <x:c r="N1747" t="n">
        <x:v>44637.624999988424</x:v>
      </x:c>
      <x:c r="O1747" s="54" t="n">
        <x:v>44561</x:v>
      </x:c>
      <x:c r="P1747" t="str">
        <x:v>False</x:v>
      </x:c>
      <x:c r="Q1747" t="str">
        <x:v>210a8f5e5d5697c53bf6c4a8a660c872a2ae67e91d5750be078b7007a90af8b2</x:v>
      </x:c>
      <x:c r="R1747" t="str">
        <x:v>5e1a5480a4c2e1658cee90ab36c955f78b5cb3446e3a3df99144669848292c6c</x:v>
      </x:c>
      <x:c r="S1747" t="n">
        <x:v>6</x:v>
      </x:c>
      <x:c r="T1747" t="str">
        <x:v>2011-12-31|2012-12-31|2013-12-31|2014-12-31|2015-12-31|2016-12-31|2017-12-31|2018-12-31|2019-12-31|2020-12-31|2021-12-31</x:v>
      </x:c>
      <x:c r="U1747" s="57" t="n">
        <x:v>5735.249720702407</x:v>
      </x:c>
      <x:c r="V1747" s="57" t="n">
        <x:v>-0.3048182156724355</x:v>
      </x:c>
      <x:c r="W1747" t="n">
        <x:v>33</x:v>
      </x:c>
      <x:c r="X1747" t="n">
        <x:v>3</x:v>
      </x:c>
      <x:c r="Y1747" s="38" t="n">
        <x:v>0.6409090909090909</x:v>
      </x:c>
      <x:c r="Z1747" s="38" t="n">
        <x:v>0.6400227791268169</x:v>
      </x:c>
      <x:c r="AA1747"/>
    </x:row>
    <x:row r="1748">
      <x:c r="A1748" s="54" t="n">
        <x:v>44926</x:v>
      </x:c>
      <x:c r="B1748" t="n">
        <x:v>44926.624999988424</x:v>
      </x:c>
      <x:c r="C1748" t="str">
        <x:v>012800</x:v>
      </x:c>
      <x:c r="D1748" t="str">
        <x:v>대창</x:v>
      </x:c>
      <x:c r="E1748" t="str">
        <x:v>KOSPI</x:v>
      </x:c>
      <x:c r="F1748" t="str">
        <x:v>MID</x:v>
      </x:c>
      <x:c r="G1748" t="str">
        <x:v>DCF_SCREENING_EXCLUSION</x:v>
      </x:c>
      <x:c r="H1748" t="str">
        <x:v>NON_POSITIVE_EQUITY_VALUE</x:v>
      </x:c>
      <x:c r="I1748" s="54" t="n">
        <x:v>44924</x:v>
      </x:c>
      <x:c r="J1748" s="55" t="n">
        <x:v>1205</x:v>
      </x:c>
      <x:c r="K1748" s="55" t="n">
        <x:v>109824301295</x:v>
      </x:c>
      <x:c r="L1748" s="55" t="n">
        <x:v>91140499</x:v>
      </x:c>
      <x:c r="M1748" t="str">
        <x:v>20220322000499</x:v>
      </x:c>
      <x:c r="N1748" t="n">
        <x:v>44642.624999988424</x:v>
      </x:c>
      <x:c r="O1748" s="54" t="n">
        <x:v>44561</x:v>
      </x:c>
      <x:c r="P1748" t="str">
        <x:v>False</x:v>
      </x:c>
      <x:c r="Q1748" t="str">
        <x:v>4b5d8bf4f702613c1e649a2a157096e03b3185abe22447fd66c1415e31c2a6d8</x:v>
      </x:c>
      <x:c r="R1748" t="str">
        <x:v>741796de1fea00e082c57e998dafac41ec18c097ca0506df49a34431f1aff24f</x:v>
      </x:c>
      <x:c r="S1748" t="n">
        <x:v>6</x:v>
      </x:c>
      <x:c r="T1748" t="str">
        <x:v>2018-12-31|2019-12-31|2020-12-31|2021-12-31</x:v>
      </x:c>
      <x:c r="U1748" s="57" t="n">
        <x:v>-259.90853479790894</x:v>
      </x:c>
      <x:c r="V1748" s="57" t="n">
        <x:v>-1.2156917301227461</x:v>
      </x:c>
      <x:c r="W1748"/>
      <x:c r="X1748"/>
      <x:c r="Y1748" s="38" t="n">
        <x:v>0.6409090909090909</x:v>
      </x:c>
      <x:c r="Z1748" s="38" t="n">
        <x:v>0.5511862681987276</x:v>
      </x:c>
      <x:c r="AA1748" t="str">
        <x:v>NON_POSITIVE_EQUITY_VALUE</x:v>
      </x:c>
    </x:row>
    <x:row r="1749">
      <x:c r="A1749" s="54" t="n">
        <x:v>44926</x:v>
      </x:c>
      <x:c r="B1749" t="n">
        <x:v>44926.624999988424</x:v>
      </x:c>
      <x:c r="C1749" t="str">
        <x:v>063160</x:v>
      </x:c>
      <x:c r="D1749" t="str">
        <x:v>종근당바이오</x:v>
      </x:c>
      <x:c r="E1749" t="str">
        <x:v>KOSPI</x:v>
      </x:c>
      <x:c r="F1749" t="str">
        <x:v>MID</x:v>
      </x:c>
      <x:c r="G1749" t="str">
        <x:v>DCF_SCREENING_EXCLUSION</x:v>
      </x:c>
      <x:c r="H1749" t="str">
        <x:v>NON_POSITIVE_ENTERPRISE_VALUE|NON_POSITIVE_EQUITY_VALUE|NON_POSITIVE_TERMINAL_FCF</x:v>
      </x:c>
      <x:c r="I1749" s="54" t="n">
        <x:v>44924</x:v>
      </x:c>
      <x:c r="J1749" s="55" t="n">
        <x:v>23800</x:v>
      </x:c>
      <x:c r="K1749" s="55" t="n">
        <x:v>130565895600</x:v>
      </x:c>
      <x:c r="L1749" s="55" t="n">
        <x:v>5485962</x:v>
      </x:c>
      <x:c r="M1749" t="str">
        <x:v>20220317000204</x:v>
      </x:c>
      <x:c r="N1749" t="n">
        <x:v>44637.624999988424</x:v>
      </x:c>
      <x:c r="O1749" s="54" t="n">
        <x:v>44561</x:v>
      </x:c>
      <x:c r="P1749" t="str">
        <x:v>False</x:v>
      </x:c>
      <x:c r="Q1749" t="str">
        <x:v>7dbafeb68bb26a75a078a298a4527a6155a3315721f924f523f7000faa18d6cc</x:v>
      </x:c>
      <x:c r="R1749" t="str">
        <x:v>bb8086828333cb453e40bfc3e0dc0a959bee118a213721442a2a260fe54a337f</x:v>
      </x:c>
      <x:c r="S1749" t="n">
        <x:v>6</x:v>
      </x:c>
      <x:c r="T1749" t="str">
        <x:v>2018-12-31|2019-12-31|2020-12-31|2021-12-31</x:v>
      </x:c>
      <x:c r="U1749" s="57" t="n">
        <x:v>-13995.88727853284</x:v>
      </x:c>
      <x:c r="V1749" s="57" t="n">
        <x:v>-1.5880624906946572</x:v>
      </x:c>
      <x:c r="W1749"/>
      <x:c r="X1749"/>
      <x:c r="Y1749" s="38" t="n">
        <x:v>0.6409090909090909</x:v>
      </x:c>
      <x:c r="Z1749" s="38" t="n">
        <x:v>0.1680586412084802</x:v>
      </x:c>
      <x:c r="AA1749" t="str">
        <x:v>NON_POSITIVE_ENTERPRISE_VALUE|NON_POSITIVE_EQUITY_VALUE|NON_POSITIVE_TERMINAL_FCF</x:v>
      </x:c>
    </x:row>
    <x:row r="1750">
      <x:c r="A1750" s="54" t="n">
        <x:v>44926</x:v>
      </x:c>
      <x:c r="B1750" t="n">
        <x:v>44926.624999988424</x:v>
      </x:c>
      <x:c r="C1750" t="str">
        <x:v>013570</x:v>
      </x:c>
      <x:c r="D1750" t="str">
        <x:v>디와이</x:v>
      </x:c>
      <x:c r="E1750" t="str">
        <x:v>KOSPI</x:v>
      </x:c>
      <x:c r="F1750" t="str">
        <x:v>MID</x:v>
      </x:c>
      <x:c r="G1750" t="str">
        <x:v>ELIGIBLE</x:v>
      </x:c>
      <x:c r="H1750"/>
      <x:c r="I1750" s="54" t="n">
        <x:v>44924</x:v>
      </x:c>
      <x:c r="J1750" s="55" t="n">
        <x:v>5300</x:v>
      </x:c>
      <x:c r="K1750" s="55" t="n">
        <x:v>139494054900</x:v>
      </x:c>
      <x:c r="L1750" s="55" t="n">
        <x:v>26319633</x:v>
      </x:c>
      <x:c r="M1750" t="str">
        <x:v>20220316000565</x:v>
      </x:c>
      <x:c r="N1750" t="n">
        <x:v>44636.624999988424</x:v>
      </x:c>
      <x:c r="O1750" s="54" t="n">
        <x:v>44561</x:v>
      </x:c>
      <x:c r="P1750" t="str">
        <x:v>False</x:v>
      </x:c>
      <x:c r="Q1750" t="str">
        <x:v>bc0483c8afae055bed93059d24ec68d80da6c133c8bdd50000c20e0e83e7f8bf</x:v>
      </x:c>
      <x:c r="R1750" t="str">
        <x:v>74a2c3deb7f5611d74289606a3fe2a600f496dc6706f1e7a0439d844fb334ae2</x:v>
      </x:c>
      <x:c r="S1750" t="n">
        <x:v>6</x:v>
      </x:c>
      <x:c r="T1750" t="str">
        <x:v>2018-12-31|2019-12-31|2020-12-31|2021-12-31</x:v>
      </x:c>
      <x:c r="U1750" s="57" t="n">
        <x:v>8272.677688519547</x:v>
      </x:c>
      <x:c r="V1750" s="57" t="n">
        <x:v>0.5608825827395373</x:v>
      </x:c>
      <x:c r="W1750" t="n">
        <x:v>10</x:v>
      </x:c>
      <x:c r="X1750" t="n">
        <x:v>1</x:v>
      </x:c>
      <x:c r="Y1750" s="38" t="n">
        <x:v>0.6409090909090909</x:v>
      </x:c>
      <x:c r="Z1750" s="38" t="n">
        <x:v>0.6060132143974482</x:v>
      </x:c>
      <x:c r="AA1750"/>
    </x:row>
    <x:row r="1751">
      <x:c r="A1751" s="54" t="n">
        <x:v>44926</x:v>
      </x:c>
      <x:c r="B1751" t="n">
        <x:v>44926.624999988424</x:v>
      </x:c>
      <x:c r="C1751" t="str">
        <x:v>227840</x:v>
      </x:c>
      <x:c r="D1751" t="str">
        <x:v>현대코퍼레이션홀딩스</x:v>
      </x:c>
      <x:c r="E1751" t="str">
        <x:v>KOSPI</x:v>
      </x:c>
      <x:c r="F1751" t="str">
        <x:v>MID</x:v>
      </x:c>
      <x:c r="G1751" t="str">
        <x:v>EXCLUDED_ARCHETYPE</x:v>
      </x:c>
      <x:c r="H1751" t="str">
        <x:v>FCFF_NOT_COMPARABLE_FOR_FINANCE_OR_HOLDING_HINT</x:v>
      </x:c>
      <x:c r="I1751" s="54"/>
      <x:c r="J1751" s="55"/>
      <x:c r="K1751" s="55"/>
      <x:c r="L1751" s="55"/>
      <x:c r="M1751"/>
      <x:c r="N1751"/>
      <x:c r="O1751" s="54"/>
      <x:c r="P1751"/>
      <x:c r="Q1751"/>
      <x:c r="R1751"/>
      <x:c r="S1751"/>
      <x:c r="T1751"/>
      <x:c r="U1751" s="57"/>
      <x:c r="V1751" s="57"/>
      <x:c r="W1751"/>
      <x:c r="X1751"/>
      <x:c r="Y1751" s="38"/>
      <x:c r="Z1751" s="38"/>
      <x:c r="AA1751"/>
    </x:row>
    <x:row r="1752">
      <x:c r="A1752" s="54" t="n">
        <x:v>44926</x:v>
      </x:c>
      <x:c r="B1752" t="n">
        <x:v>44926.624999988424</x:v>
      </x:c>
      <x:c r="C1752" t="str">
        <x:v>247540</x:v>
      </x:c>
      <x:c r="D1752" t="str">
        <x:v>에코프로비엠</x:v>
      </x:c>
      <x:c r="E1752" t="str">
        <x:v>KOSDAQ</x:v>
      </x:c>
      <x:c r="F1752" t="str">
        <x:v>LARGE</x:v>
      </x:c>
      <x:c r="G1752" t="str">
        <x:v>DCF_SCREENING_EXCLUSION</x:v>
      </x:c>
      <x:c r="H1752" t="str">
        <x:v>NON_POSITIVE_EQUITY_VALUE|UNRELIABLE_TERMINAL_VALUE_SHARE</x:v>
      </x:c>
      <x:c r="I1752" s="54" t="n">
        <x:v>44924</x:v>
      </x:c>
      <x:c r="J1752" s="55" t="n">
        <x:v>92100</x:v>
      </x:c>
      <x:c r="K1752" s="55" t="n">
        <x:v>9007503782400</x:v>
      </x:c>
      <x:c r="L1752" s="55" t="n">
        <x:v>97801344</x:v>
      </x:c>
      <x:c r="M1752" t="str">
        <x:v>20220321001523</x:v>
      </x:c>
      <x:c r="N1752" t="n">
        <x:v>44641.624999988424</x:v>
      </x:c>
      <x:c r="O1752" s="54" t="n">
        <x:v>44561</x:v>
      </x:c>
      <x:c r="P1752" t="str">
        <x:v>False</x:v>
      </x:c>
      <x:c r="Q1752" t="str">
        <x:v>cbc91e0ba83b283028e5f5e5e3e7a50ae5602f35d2cca94cdd6ec5c547e0804e</x:v>
      </x:c>
      <x:c r="R1752" t="str">
        <x:v>350f169b8fc77369ffdf00edf5ba19785da465fb26fc9f8f7eab14f69a37cb9e</x:v>
      </x:c>
      <x:c r="S1752" t="n">
        <x:v>5</x:v>
      </x:c>
      <x:c r="T1752" t="str">
        <x:v>2018-12-31|2019-12-31|2020-12-31|2021-12-31</x:v>
      </x:c>
      <x:c r="U1752" s="57" t="n">
        <x:v>-1316.243401663571</x:v>
      </x:c>
      <x:c r="V1752" s="57" t="n">
        <x:v>-1.0142914593014503</x:v>
      </x:c>
      <x:c r="W1752"/>
      <x:c r="X1752"/>
      <x:c r="Y1752" s="38" t="n">
        <x:v>0.6409090909090909</x:v>
      </x:c>
      <x:c r="Z1752" s="38" t="n">
        <x:v>0.9384923696568169</x:v>
      </x:c>
      <x:c r="AA1752" t="str">
        <x:v>NON_POSITIVE_EQUITY_VALUE|UNRELIABLE_TERMINAL_VALUE_SHARE</x:v>
      </x:c>
    </x:row>
    <x:row r="1753">
      <x:c r="A1753" s="54" t="n">
        <x:v>44926</x:v>
      </x:c>
      <x:c r="B1753" t="n">
        <x:v>44926.624999988424</x:v>
      </x:c>
      <x:c r="C1753" t="str">
        <x:v>086520</x:v>
      </x:c>
      <x:c r="D1753" t="str">
        <x:v>에코프로</x:v>
      </x:c>
      <x:c r="E1753" t="str">
        <x:v>KOSDAQ</x:v>
      </x:c>
      <x:c r="F1753" t="str">
        <x:v>LARGE</x:v>
      </x:c>
      <x:c r="G1753" t="str">
        <x:v>DCF_SCREENING_EXCLUSION</x:v>
      </x:c>
      <x:c r="H1753" t="str">
        <x:v>UNRELIABLE_TERMINAL_VALUE_SHARE</x:v>
      </x:c>
      <x:c r="I1753" s="54" t="n">
        <x:v>44924</x:v>
      </x:c>
      <x:c r="J1753" s="55" t="n">
        <x:v>103000</x:v>
      </x:c>
      <x:c r="K1753" s="55" t="n">
        <x:v>2596628146000</x:v>
      </x:c>
      <x:c r="L1753" s="55" t="n">
        <x:v>25209982</x:v>
      </x:c>
      <x:c r="M1753" t="str">
        <x:v>20220323000932</x:v>
      </x:c>
      <x:c r="N1753" t="n">
        <x:v>44643.624999988424</x:v>
      </x:c>
      <x:c r="O1753" s="54" t="n">
        <x:v>44561</x:v>
      </x:c>
      <x:c r="P1753" t="str">
        <x:v>True</x:v>
      </x:c>
      <x:c r="Q1753" t="str">
        <x:v>8adc28c165c1572b07cf2b5c793cbfaa4c6d44199ae5527404703617eb878f41</x:v>
      </x:c>
      <x:c r="R1753" t="str">
        <x:v>985940aa2f06e6644941bb3525395cfb3167d3968304358edf4823452a801e4d</x:v>
      </x:c>
      <x:c r="S1753" t="n">
        <x:v>5</x:v>
      </x:c>
      <x:c r="T1753" t="str">
        <x:v>2018-12-31|2019-12-31|2020-12-31|2021-12-31</x:v>
      </x:c>
      <x:c r="U1753" s="57" t="n">
        <x:v>14961.646511046125</x:v>
      </x:c>
      <x:c r="V1753" s="57" t="n">
        <x:v>-0.854741296009261</x:v>
      </x:c>
      <x:c r="W1753"/>
      <x:c r="X1753"/>
      <x:c r="Y1753" s="38" t="n">
        <x:v>0.6409090909090909</x:v>
      </x:c>
      <x:c r="Z1753" s="38" t="n">
        <x:v>2.075070518961312</x:v>
      </x:c>
      <x:c r="AA1753" t="str">
        <x:v>UNRELIABLE_TERMINAL_VALUE_SHARE</x:v>
      </x:c>
    </x:row>
    <x:row r="1754">
      <x:c r="A1754" s="54" t="n">
        <x:v>44926</x:v>
      </x:c>
      <x:c r="B1754" t="n">
        <x:v>44926.624999988424</x:v>
      </x:c>
      <x:c r="C1754" t="str">
        <x:v>214450</x:v>
      </x:c>
      <x:c r="D1754" t="str">
        <x:v>파마리서치</x:v>
      </x:c>
      <x:c r="E1754" t="str">
        <x:v>KOSDAQ</x:v>
      </x:c>
      <x:c r="F1754" t="str">
        <x:v>LARGE</x:v>
      </x:c>
      <x:c r="G1754" t="str">
        <x:v>ELIGIBLE</x:v>
      </x:c>
      <x:c r="H1754"/>
      <x:c r="I1754" s="54" t="n">
        <x:v>44924</x:v>
      </x:c>
      <x:c r="J1754" s="55" t="n">
        <x:v>69900</x:v>
      </x:c>
      <x:c r="K1754" s="55" t="n">
        <x:v>706823907000</x:v>
      </x:c>
      <x:c r="L1754" s="55" t="n">
        <x:v>10111930</x:v>
      </x:c>
      <x:c r="M1754" t="str">
        <x:v>20220728000031</x:v>
      </x:c>
      <x:c r="N1754" t="n">
        <x:v>44770.624999988424</x:v>
      </x:c>
      <x:c r="O1754" s="54" t="n">
        <x:v>44561</x:v>
      </x:c>
      <x:c r="P1754" t="str">
        <x:v>True</x:v>
      </x:c>
      <x:c r="Q1754" t="str">
        <x:v>5c637202561b5bd3d36c7c90bded3fabbc7f34b4e2351bca44a12157c665ee9e</x:v>
      </x:c>
      <x:c r="R1754" t="str">
        <x:v>32da42e6b379d1fa4e8fd44fbb4dadd174170be1303302fcb212347b50e69b4d</x:v>
      </x:c>
      <x:c r="S1754" t="n">
        <x:v>6</x:v>
      </x:c>
      <x:c r="T1754" t="str">
        <x:v>2018-12-31|2019-12-31|2020-12-31|2021-12-31</x:v>
      </x:c>
      <x:c r="U1754" s="57" t="n">
        <x:v>45713.68277668952</x:v>
      </x:c>
      <x:c r="V1754" s="57" t="n">
        <x:v>-0.34601312193577227</x:v>
      </x:c>
      <x:c r="W1754" t="n">
        <x:v>36</x:v>
      </x:c>
      <x:c r="X1754" t="n">
        <x:v>3</x:v>
      </x:c>
      <x:c r="Y1754" s="38" t="n">
        <x:v>0.6409090909090909</x:v>
      </x:c>
      <x:c r="Z1754" s="38" t="n">
        <x:v>0.682474677265348</x:v>
      </x:c>
      <x:c r="AA1754"/>
    </x:row>
    <x:row r="1755">
      <x:c r="A1755" s="54" t="n">
        <x:v>44926</x:v>
      </x:c>
      <x:c r="B1755" t="n">
        <x:v>44926.624999988424</x:v>
      </x:c>
      <x:c r="C1755" t="str">
        <x:v>277810</x:v>
      </x:c>
      <x:c r="D1755" t="str">
        <x:v>레인보우로보틱스</x:v>
      </x:c>
      <x:c r="E1755" t="str">
        <x:v>KOSDAQ</x:v>
      </x:c>
      <x:c r="F1755" t="str">
        <x:v>LARGE</x:v>
      </x:c>
      <x:c r="G1755" t="str">
        <x:v>DCF_SCREENING_EXCLUSION</x:v>
      </x:c>
      <x:c r="H1755" t="str">
        <x:v>NON_POSITIVE_ENTERPRISE_VALUE|NON_POSITIVE_TERMINAL_FCF</x:v>
      </x:c>
      <x:c r="I1755" s="54" t="n">
        <x:v>44924</x:v>
      </x:c>
      <x:c r="J1755" s="55" t="n">
        <x:v>34450</x:v>
      </x:c>
      <x:c r="K1755" s="55" t="n">
        <x:v>578216826850</x:v>
      </x:c>
      <x:c r="L1755" s="55" t="n">
        <x:v>16784233</x:v>
      </x:c>
      <x:c r="M1755" t="str">
        <x:v>20220323000415</x:v>
      </x:c>
      <x:c r="N1755" t="n">
        <x:v>44643.624999988424</x:v>
      </x:c>
      <x:c r="O1755" s="54" t="n">
        <x:v>44561</x:v>
      </x:c>
      <x:c r="P1755" t="str">
        <x:v>False</x:v>
      </x:c>
      <x:c r="Q1755" t="str">
        <x:v>2256f4cbe30f0bf27f0505b5e4329833072712c67563a64c2bd2cbb0af612f14</x:v>
      </x:c>
      <x:c r="R1755" t="str">
        <x:v>e1a682af07c87f355dbbe79a6f3caf1188e3e4d7445cfb8d37dd813706b514ac</x:v>
      </x:c>
      <x:c r="S1755" t="n">
        <x:v>6</x:v>
      </x:c>
      <x:c r="T1755" t="str">
        <x:v>2020-12-31|2021-12-31</x:v>
      </x:c>
      <x:c r="U1755" s="57" t="n">
        <x:v>530.2682820233522</x:v>
      </x:c>
      <x:c r="V1755" s="57" t="n">
        <x:v>-0.9846075970385094</x:v>
      </x:c>
      <x:c r="W1755"/>
      <x:c r="X1755"/>
      <x:c r="Y1755" s="38" t="n">
        <x:v>0.6409090909090909</x:v>
      </x:c>
      <x:c r="Z1755" s="38" t="n">
        <x:v>0.7216980722373881</x:v>
      </x:c>
      <x:c r="AA1755" t="str">
        <x:v>NON_POSITIVE_ENTERPRISE_VALUE|NON_POSITIVE_TERMINAL_FCF</x:v>
      </x:c>
    </x:row>
    <x:row r="1756">
      <x:c r="A1756" s="54" t="n">
        <x:v>44926</x:v>
      </x:c>
      <x:c r="B1756" t="n">
        <x:v>44926.624999988424</x:v>
      </x:c>
      <x:c r="C1756" t="str">
        <x:v>310210</x:v>
      </x:c>
      <x:c r="D1756" t="str">
        <x:v>보로노이</x:v>
      </x:c>
      <x:c r="E1756" t="str">
        <x:v>KOSDAQ</x:v>
      </x:c>
      <x:c r="F1756" t="str">
        <x:v>LARGE</x:v>
      </x:c>
      <x:c r="G1756" t="str">
        <x:v>NO_PIT_FINANCIALS</x:v>
      </x:c>
      <x:c r="H1756"/>
      <x:c r="I1756" s="54" t="n">
        <x:v>44924</x:v>
      </x:c>
      <x:c r="J1756" s="55" t="n">
        <x:v>34150</x:v>
      </x:c>
      <x:c r="K1756" s="55" t="n">
        <x:v>431924726350</x:v>
      </x:c>
      <x:c r="L1756" s="55" t="n">
        <x:v>12647869</x:v>
      </x:c>
      <x:c r="M1756"/>
      <x:c r="N1756"/>
      <x:c r="O1756" s="54"/>
      <x:c r="P1756"/>
      <x:c r="Q1756"/>
      <x:c r="R1756"/>
      <x:c r="S1756"/>
      <x:c r="T1756"/>
      <x:c r="U1756" s="57"/>
      <x:c r="V1756" s="57"/>
      <x:c r="W1756"/>
      <x:c r="X1756"/>
      <x:c r="Y1756" s="38"/>
      <x:c r="Z1756" s="38"/>
      <x:c r="AA1756"/>
    </x:row>
    <x:row r="1757">
      <x:c r="A1757" s="54" t="n">
        <x:v>44926</x:v>
      </x:c>
      <x:c r="B1757" t="n">
        <x:v>44926.624999988424</x:v>
      </x:c>
      <x:c r="C1757" t="str">
        <x:v>195940</x:v>
      </x:c>
      <x:c r="D1757" t="str">
        <x:v>HK이노엔</x:v>
      </x:c>
      <x:c r="E1757" t="str">
        <x:v>KOSDAQ</x:v>
      </x:c>
      <x:c r="F1757" t="str">
        <x:v>LARGE</x:v>
      </x:c>
      <x:c r="G1757" t="str">
        <x:v>ELIGIBLE</x:v>
      </x:c>
      <x:c r="H1757"/>
      <x:c r="I1757" s="54" t="n">
        <x:v>44924</x:v>
      </x:c>
      <x:c r="J1757" s="55" t="n">
        <x:v>37050</x:v>
      </x:c>
      <x:c r="K1757" s="55" t="n">
        <x:v>1070911687950</x:v>
      </x:c>
      <x:c r="L1757" s="55" t="n">
        <x:v>28904499</x:v>
      </x:c>
      <x:c r="M1757" t="str">
        <x:v>20220317000877</x:v>
      </x:c>
      <x:c r="N1757" t="n">
        <x:v>44637.624999988424</x:v>
      </x:c>
      <x:c r="O1757" s="54" t="n">
        <x:v>44561</x:v>
      </x:c>
      <x:c r="P1757" t="str">
        <x:v>False</x:v>
      </x:c>
      <x:c r="Q1757" t="str">
        <x:v>b6d1bbf87d4fa02415fe4deb61455b58001d9c504e850a2bec8d1c783ae6d1aa</x:v>
      </x:c>
      <x:c r="R1757" t="str">
        <x:v>74da26fae4176c1daa7df7aff6286f12100338600444927a1c8078663d316480</x:v>
      </x:c>
      <x:c r="S1757" t="n">
        <x:v>6</x:v>
      </x:c>
      <x:c r="T1757" t="str">
        <x:v>2021-12-31</x:v>
      </x:c>
      <x:c r="U1757" s="57" t="n">
        <x:v>7082.6390942903845</x:v>
      </x:c>
      <x:c r="V1757" s="57" t="n">
        <x:v>-0.8088356519759681</x:v>
      </x:c>
      <x:c r="W1757" t="n">
        <x:v>61</x:v>
      </x:c>
      <x:c r="X1757" t="n">
        <x:v>5</x:v>
      </x:c>
      <x:c r="Y1757" s="38" t="n">
        <x:v>0.6409090909090909</x:v>
      </x:c>
      <x:c r="Z1757" s="38" t="n">
        <x:v>0.7013426708992583</x:v>
      </x:c>
      <x:c r="AA1757"/>
    </x:row>
    <x:row r="1758">
      <x:c r="A1758" s="54" t="n">
        <x:v>44926</x:v>
      </x:c>
      <x:c r="B1758" t="n">
        <x:v>44926.624999988424</x:v>
      </x:c>
      <x:c r="C1758" t="str">
        <x:v>039200</x:v>
      </x:c>
      <x:c r="D1758" t="str">
        <x:v>오스코텍</x:v>
      </x:c>
      <x:c r="E1758" t="str">
        <x:v>KOSDAQ</x:v>
      </x:c>
      <x:c r="F1758" t="str">
        <x:v>LARGE</x:v>
      </x:c>
      <x:c r="G1758" t="str">
        <x:v>FINANCIAL_DISCONTINUITY</x:v>
      </x:c>
      <x:c r="H1758" t="str">
        <x:v>LATEST_REVENUE_RATIO_OUTSIDE_0.1_TO_10:0.08977831891691337528407323719</x:v>
      </x:c>
      <x:c r="I1758" s="54" t="n">
        <x:v>44924</x:v>
      </x:c>
      <x:c r="J1758" s="55" t="n">
        <x:v>17300</x:v>
      </x:c>
      <x:c r="K1758" s="55" t="n">
        <x:v>633292882500</x:v>
      </x:c>
      <x:c r="L1758" s="55" t="n">
        <x:v>36606525</x:v>
      </x:c>
      <x:c r="M1758" t="str">
        <x:v>20220314001077</x:v>
      </x:c>
      <x:c r="N1758" t="n">
        <x:v>44634.624999988424</x:v>
      </x:c>
      <x:c r="O1758" s="54" t="n">
        <x:v>44561</x:v>
      </x:c>
      <x:c r="P1758" t="str">
        <x:v>False</x:v>
      </x:c>
      <x:c r="Q1758" t="str">
        <x:v>eac12db12722c707f5c12bbd7321ecfc067e71a955c358625551ebc702c8ab53</x:v>
      </x:c>
      <x:c r="R1758" t="str">
        <x:v>4925d1e99e161c68b6b8473ea2462bd2f278cc4a944b997bd93488d0893678fb</x:v>
      </x:c>
      <x:c r="S1758" t="n">
        <x:v>6</x:v>
      </x:c>
      <x:c r="T1758" t="str">
        <x:v>2018-12-31|2019-12-31|2020-12-31|2021-12-31</x:v>
      </x:c>
      <x:c r="U1758" s="57"/>
      <x:c r="V1758" s="57"/>
      <x:c r="W1758"/>
      <x:c r="X1758"/>
      <x:c r="Y1758" s="38"/>
      <x:c r="Z1758" s="38"/>
      <x:c r="AA1758"/>
    </x:row>
    <x:row r="1759">
      <x:c r="A1759" s="54" t="n">
        <x:v>44926</x:v>
      </x:c>
      <x:c r="B1759" t="n">
        <x:v>44926.624999988424</x:v>
      </x:c>
      <x:c r="C1759" t="str">
        <x:v>084370</x:v>
      </x:c>
      <x:c r="D1759" t="str">
        <x:v>유진테크</x:v>
      </x:c>
      <x:c r="E1759" t="str">
        <x:v>KOSDAQ</x:v>
      </x:c>
      <x:c r="F1759" t="str">
        <x:v>LARGE</x:v>
      </x:c>
      <x:c r="G1759" t="str">
        <x:v>ELIGIBLE</x:v>
      </x:c>
      <x:c r="H1759"/>
      <x:c r="I1759" s="54" t="n">
        <x:v>44924</x:v>
      </x:c>
      <x:c r="J1759" s="55" t="n">
        <x:v>22150</x:v>
      </x:c>
      <x:c r="K1759" s="55" t="n">
        <x:v>507590330300</x:v>
      </x:c>
      <x:c r="L1759" s="55" t="n">
        <x:v>22916042</x:v>
      </x:c>
      <x:c r="M1759" t="str">
        <x:v>20220315001157</x:v>
      </x:c>
      <x:c r="N1759" t="n">
        <x:v>44635.624999988424</x:v>
      </x:c>
      <x:c r="O1759" s="54" t="n">
        <x:v>44561</x:v>
      </x:c>
      <x:c r="P1759" t="str">
        <x:v>False</x:v>
      </x:c>
      <x:c r="Q1759" t="str">
        <x:v>ba66255b29a640ce08b39f96987638ea7e9439520d8e3e11d923a92aadaba95e</x:v>
      </x:c>
      <x:c r="R1759" t="str">
        <x:v>21d7e5b6106b5291425e4efc78d2215f7384d23adcfbd979041b7b38d44bdb9a</x:v>
      </x:c>
      <x:c r="S1759" t="n">
        <x:v>5</x:v>
      </x:c>
      <x:c r="T1759" t="str">
        <x:v>2018-12-31|2019-12-31|2020-12-31|2021-12-31</x:v>
      </x:c>
      <x:c r="U1759" s="57" t="n">
        <x:v>17562.323572803878</x:v>
      </x:c>
      <x:c r="V1759" s="57" t="n">
        <x:v>-0.2071185745912471</x:v>
      </x:c>
      <x:c r="W1759" t="n">
        <x:v>28</x:v>
      </x:c>
      <x:c r="X1759" t="n">
        <x:v>3</x:v>
      </x:c>
      <x:c r="Y1759" s="38" t="n">
        <x:v>0.6409090909090909</x:v>
      </x:c>
      <x:c r="Z1759" s="38" t="n">
        <x:v>0.6142442229678472</x:v>
      </x:c>
      <x:c r="AA1759"/>
    </x:row>
    <x:row r="1760">
      <x:c r="A1760" s="54" t="n">
        <x:v>44926</x:v>
      </x:c>
      <x:c r="B1760" t="n">
        <x:v>44926.624999988424</x:v>
      </x:c>
      <x:c r="C1760" t="str">
        <x:v>160190</x:v>
      </x:c>
      <x:c r="D1760" t="str">
        <x:v>하이젠알앤엠</x:v>
      </x:c>
      <x:c r="E1760" t="str">
        <x:v>KOSDAQ</x:v>
      </x:c>
      <x:c r="F1760" t="str">
        <x:v>LARGE</x:v>
      </x:c>
      <x:c r="G1760" t="str">
        <x:v>NOT_LISTED_OR_NO_PRICE</x:v>
      </x:c>
      <x:c r="H1760"/>
      <x:c r="I1760" s="54"/>
      <x:c r="J1760" s="55"/>
      <x:c r="K1760" s="55"/>
      <x:c r="L1760" s="55"/>
      <x:c r="M1760"/>
      <x:c r="N1760"/>
      <x:c r="O1760" s="54"/>
      <x:c r="P1760"/>
      <x:c r="Q1760"/>
      <x:c r="R1760"/>
      <x:c r="S1760"/>
      <x:c r="T1760"/>
      <x:c r="U1760" s="57"/>
      <x:c r="V1760" s="57"/>
      <x:c r="W1760"/>
      <x:c r="X1760"/>
      <x:c r="Y1760" s="38"/>
      <x:c r="Z1760" s="38"/>
      <x:c r="AA1760"/>
    </x:row>
    <x:row r="1761">
      <x:c r="A1761" s="54" t="n">
        <x:v>44926</x:v>
      </x:c>
      <x:c r="B1761" t="n">
        <x:v>44926.624999988424</x:v>
      </x:c>
      <x:c r="C1761" t="str">
        <x:v>281740</x:v>
      </x:c>
      <x:c r="D1761" t="str">
        <x:v>레이크머티리얼즈</x:v>
      </x:c>
      <x:c r="E1761" t="str">
        <x:v>KOSDAQ</x:v>
      </x:c>
      <x:c r="F1761" t="str">
        <x:v>LARGE</x:v>
      </x:c>
      <x:c r="G1761" t="str">
        <x:v>ELIGIBLE</x:v>
      </x:c>
      <x:c r="H1761"/>
      <x:c r="I1761" s="54" t="n">
        <x:v>44924</x:v>
      </x:c>
      <x:c r="J1761" s="55" t="n">
        <x:v>4370</x:v>
      </x:c>
      <x:c r="K1761" s="55" t="n">
        <x:v>287242494760</x:v>
      </x:c>
      <x:c r="L1761" s="55" t="n">
        <x:v>65730548</x:v>
      </x:c>
      <x:c r="M1761" t="str">
        <x:v>20220328000299</x:v>
      </x:c>
      <x:c r="N1761" t="n">
        <x:v>44648.624999988424</x:v>
      </x:c>
      <x:c r="O1761" s="54" t="n">
        <x:v>44561</x:v>
      </x:c>
      <x:c r="P1761" t="str">
        <x:v>True</x:v>
      </x:c>
      <x:c r="Q1761" t="str">
        <x:v>6cf027b604a41b80d074658e23b64178171cc96f7f73135ed52966f74c1c7c2a</x:v>
      </x:c>
      <x:c r="R1761" t="str">
        <x:v>bb80be86695d7b0a381afeb5fca37f8a53662525e7f1f2df5166e6a9df582ef9</x:v>
      </x:c>
      <x:c r="S1761" t="n">
        <x:v>6</x:v>
      </x:c>
      <x:c r="T1761" t="str">
        <x:v>2020-12-31|2021-12-31</x:v>
      </x:c>
      <x:c r="U1761" s="57" t="n">
        <x:v>1701.6250919791116</x:v>
      </x:c>
      <x:c r="V1761" s="57" t="n">
        <x:v>-0.6106121070986015</x:v>
      </x:c>
      <x:c r="W1761" t="n">
        <x:v>51</x:v>
      </x:c>
      <x:c r="X1761" t="n">
        <x:v>4</x:v>
      </x:c>
      <x:c r="Y1761" s="38" t="n">
        <x:v>0.6409090909090909</x:v>
      </x:c>
      <x:c r="Z1761" s="38" t="n">
        <x:v>0.6793926263967092</x:v>
      </x:c>
      <x:c r="AA1761"/>
    </x:row>
    <x:row r="1762">
      <x:c r="A1762" s="54" t="n">
        <x:v>44926</x:v>
      </x:c>
      <x:c r="B1762" t="n">
        <x:v>44926.624999988424</x:v>
      </x:c>
      <x:c r="C1762" t="str">
        <x:v>078130</x:v>
      </x:c>
      <x:c r="D1762" t="str">
        <x:v>국일제지</x:v>
      </x:c>
      <x:c r="E1762" t="str">
        <x:v>KOSDAQ</x:v>
      </x:c>
      <x:c r="F1762" t="str">
        <x:v>LARGE</x:v>
      </x:c>
      <x:c r="G1762" t="str">
        <x:v>DCF_SCREENING_EXCLUSION</x:v>
      </x:c>
      <x:c r="H1762" t="str">
        <x:v>NON_POSITIVE_ENTERPRISE_VALUE|NON_POSITIVE_EQUITY_VALUE|UNRELIABLE_TERMINAL_VALUE_SHARE</x:v>
      </x:c>
      <x:c r="I1762" s="54" t="n">
        <x:v>44924</x:v>
      </x:c>
      <x:c r="J1762" s="55" t="n">
        <x:v>2220</x:v>
      </x:c>
      <x:c r="K1762" s="55" t="n">
        <x:v>283310790060</x:v>
      </x:c>
      <x:c r="L1762" s="55" t="n">
        <x:v>127617473</x:v>
      </x:c>
      <x:c r="M1762" t="str">
        <x:v>20220321001299</x:v>
      </x:c>
      <x:c r="N1762" t="n">
        <x:v>44641.624999988424</x:v>
      </x:c>
      <x:c r="O1762" s="54" t="n">
        <x:v>44561</x:v>
      </x:c>
      <x:c r="P1762" t="str">
        <x:v>False</x:v>
      </x:c>
      <x:c r="Q1762" t="str">
        <x:v>eba50d65089a3c2cb1033c9b240144d8cc7c44765d3689bd26b67f91551b7f96</x:v>
      </x:c>
      <x:c r="R1762" t="str">
        <x:v>90b22a7ab23a3c05c33a45bf126a9351b411446cc29cb893c1c47cd23432e601</x:v>
      </x:c>
      <x:c r="S1762" t="n">
        <x:v>7</x:v>
      </x:c>
      <x:c r="T1762" t="str">
        <x:v>2018-12-31|2019-12-31|2020-12-31|2021-12-31</x:v>
      </x:c>
      <x:c r="U1762" s="57" t="n">
        <x:v>-293.18932146531364</x:v>
      </x:c>
      <x:c r="V1762" s="57" t="n">
        <x:v>-1.1320672619213124</x:v>
      </x:c>
      <x:c r="W1762"/>
      <x:c r="X1762"/>
      <x:c r="Y1762" s="38" t="n">
        <x:v>0.6409090909090909</x:v>
      </x:c>
      <x:c r="Z1762" s="38" t="n">
        <x:v>-22.090761592354845</x:v>
      </x:c>
      <x:c r="AA1762" t="str">
        <x:v>NON_POSITIVE_ENTERPRISE_VALUE|NON_POSITIVE_EQUITY_VALUE|UNRELIABLE_TERMINAL_VALUE_SHARE</x:v>
      </x:c>
    </x:row>
    <x:row r="1763">
      <x:c r="A1763" s="54" t="n">
        <x:v>44926</x:v>
      </x:c>
      <x:c r="B1763" t="n">
        <x:v>44926.624999988424</x:v>
      </x:c>
      <x:c r="C1763" t="str">
        <x:v>131970</x:v>
      </x:c>
      <x:c r="D1763" t="str">
        <x:v>두산테스나</x:v>
      </x:c>
      <x:c r="E1763" t="str">
        <x:v>KOSDAQ</x:v>
      </x:c>
      <x:c r="F1763" t="str">
        <x:v>LARGE</x:v>
      </x:c>
      <x:c r="G1763" t="str">
        <x:v>ELIGIBLE</x:v>
      </x:c>
      <x:c r="H1763"/>
      <x:c r="I1763" s="54" t="n">
        <x:v>44924</x:v>
      </x:c>
      <x:c r="J1763" s="55" t="n">
        <x:v>27500</x:v>
      </x:c>
      <x:c r="K1763" s="55" t="n">
        <x:v>405888367500</x:v>
      </x:c>
      <x:c r="L1763" s="55" t="n">
        <x:v>14759577</x:v>
      </x:c>
      <x:c r="M1763" t="str">
        <x:v>20220321001055</x:v>
      </x:c>
      <x:c r="N1763" t="n">
        <x:v>44641.624999988424</x:v>
      </x:c>
      <x:c r="O1763" s="54" t="n">
        <x:v>44561</x:v>
      </x:c>
      <x:c r="P1763" t="str">
        <x:v>False</x:v>
      </x:c>
      <x:c r="Q1763" t="str">
        <x:v>97dab3f189e66aef81c095e114dcd880ce69b87540e1cd7975c5252d852b3239</x:v>
      </x:c>
      <x:c r="R1763" t="str">
        <x:v>3204cdfa88c0c4b81fa1a8f8361ff1720e693e2eae8b99cc60b74fd5cb4cb37c</x:v>
      </x:c>
      <x:c r="S1763" t="n">
        <x:v>5</x:v>
      </x:c>
      <x:c r="T1763" t="str">
        <x:v>2018-12-31|2019-12-31|2020-12-31|2021-12-31</x:v>
      </x:c>
      <x:c r="U1763" s="57" t="n">
        <x:v>34782.1914507577</x:v>
      </x:c>
      <x:c r="V1763" s="57" t="n">
        <x:v>0.26480696184573455</x:v>
      </x:c>
      <x:c r="W1763" t="n">
        <x:v>18</x:v>
      </x:c>
      <x:c r="X1763" t="n">
        <x:v>2</x:v>
      </x:c>
      <x:c r="Y1763" s="38" t="n">
        <x:v>0.6409090909090909</x:v>
      </x:c>
      <x:c r="Z1763" s="38" t="n">
        <x:v>0.7121290266414918</x:v>
      </x:c>
      <x:c r="AA1763"/>
    </x:row>
    <x:row r="1764">
      <x:c r="A1764" s="54" t="n">
        <x:v>44926</x:v>
      </x:c>
      <x:c r="B1764" t="n">
        <x:v>44926.624999988424</x:v>
      </x:c>
      <x:c r="C1764" t="str">
        <x:v>025320</x:v>
      </x:c>
      <x:c r="D1764" t="str">
        <x:v>시노펙스</x:v>
      </x:c>
      <x:c r="E1764" t="str">
        <x:v>KOSDAQ</x:v>
      </x:c>
      <x:c r="F1764" t="str">
        <x:v>LARGE</x:v>
      </x:c>
      <x:c r="G1764" t="str">
        <x:v>DCF_SCREENING_EXCLUSION</x:v>
      </x:c>
      <x:c r="H1764" t="str">
        <x:v>NON_POSITIVE_ENTERPRISE_VALUE|NON_POSITIVE_EQUITY_VALUE|NON_POSITIVE_TERMINAL_FCF</x:v>
      </x:c>
      <x:c r="I1764" s="54" t="n">
        <x:v>44924</x:v>
      </x:c>
      <x:c r="J1764" s="55" t="n">
        <x:v>2495</x:v>
      </x:c>
      <x:c r="K1764" s="55" t="n">
        <x:v>188142722975</x:v>
      </x:c>
      <x:c r="L1764" s="55" t="n">
        <x:v>75407905</x:v>
      </x:c>
      <x:c r="M1764" t="str">
        <x:v>20220318000396</x:v>
      </x:c>
      <x:c r="N1764" t="n">
        <x:v>44638.624999988424</x:v>
      </x:c>
      <x:c r="O1764" s="54" t="n">
        <x:v>44561</x:v>
      </x:c>
      <x:c r="P1764" t="str">
        <x:v>False</x:v>
      </x:c>
      <x:c r="Q1764" t="str">
        <x:v>964f25029a64df18763da066afb2fe972836cab3bbc80567f2535cf6d4bf6a48</x:v>
      </x:c>
      <x:c r="R1764" t="str">
        <x:v>bd2a792cfe84e3fe25c53f7de5d27e0763a735d587d0f47b19d92bdcd029a344</x:v>
      </x:c>
      <x:c r="S1764" t="n">
        <x:v>6</x:v>
      </x:c>
      <x:c r="T1764" t="str">
        <x:v>2018-12-31|2019-12-31|2020-12-31|2021-12-31</x:v>
      </x:c>
      <x:c r="U1764" s="57" t="n">
        <x:v>-1487.7681980940129</x:v>
      </x:c>
      <x:c r="V1764" s="57" t="n">
        <x:v>-1.5962998789955962</x:v>
      </x:c>
      <x:c r="W1764"/>
      <x:c r="X1764"/>
      <x:c r="Y1764" s="38" t="n">
        <x:v>0.6409090909090909</x:v>
      </x:c>
      <x:c r="Z1764" s="38" t="n">
        <x:v>0.7059904894392338</x:v>
      </x:c>
      <x:c r="AA1764" t="str">
        <x:v>NON_POSITIVE_ENTERPRISE_VALUE|NON_POSITIVE_EQUITY_VALUE|NON_POSITIVE_TERMINAL_FCF</x:v>
      </x:c>
    </x:row>
    <x:row r="1765">
      <x:c r="A1765" s="54" t="n">
        <x:v>44926</x:v>
      </x:c>
      <x:c r="B1765" t="n">
        <x:v>44926.624999988424</x:v>
      </x:c>
      <x:c r="C1765" t="str">
        <x:v>347700</x:v>
      </x:c>
      <x:c r="D1765" t="str">
        <x:v>스피어</x:v>
      </x:c>
      <x:c r="E1765" t="str">
        <x:v>KOSDAQ</x:v>
      </x:c>
      <x:c r="F1765" t="str">
        <x:v>LARGE</x:v>
      </x:c>
      <x:c r="G1765" t="str">
        <x:v>DCF_SCREENING_EXCLUSION</x:v>
      </x:c>
      <x:c r="H1765" t="str">
        <x:v>NON_POSITIVE_ENTERPRISE_VALUE|NON_POSITIVE_TERMINAL_FCF</x:v>
      </x:c>
      <x:c r="I1765" s="54" t="n">
        <x:v>44924</x:v>
      </x:c>
      <x:c r="J1765" s="55" t="n">
        <x:v>4130</x:v>
      </x:c>
      <x:c r="K1765" s="55" t="n">
        <x:v>42241433500</x:v>
      </x:c>
      <x:c r="L1765" s="55" t="n">
        <x:v>10227950</x:v>
      </x:c>
      <x:c r="M1765" t="str">
        <x:v>20220323000809</x:v>
      </x:c>
      <x:c r="N1765" t="n">
        <x:v>44643.624999988424</x:v>
      </x:c>
      <x:c r="O1765" s="54" t="n">
        <x:v>44561</x:v>
      </x:c>
      <x:c r="P1765" t="str">
        <x:v>False</x:v>
      </x:c>
      <x:c r="Q1765" t="str">
        <x:v>f7f3af7a28d62cd0586f5ef87d8ce77a1131375c4801e17cc5605778fa4bef58</x:v>
      </x:c>
      <x:c r="R1765" t="str">
        <x:v>8dac81ca8df4f2c77dc27b30369e4da6bdb6a1c1ff8d5d11d7b6d89f7609ffaa</x:v>
      </x:c>
      <x:c r="S1765" t="n">
        <x:v>6</x:v>
      </x:c>
      <x:c r="T1765" t="str">
        <x:v>2020-12-31|2021-12-31</x:v>
      </x:c>
      <x:c r="U1765" s="57" t="n">
        <x:v>250.5216023445337</x:v>
      </x:c>
      <x:c r="V1765" s="57" t="n">
        <x:v>-0.9393410163814688</x:v>
      </x:c>
      <x:c r="W1765"/>
      <x:c r="X1765"/>
      <x:c r="Y1765" s="38" t="n">
        <x:v>0.6409090909090909</x:v>
      </x:c>
      <x:c r="Z1765" s="38" t="n">
        <x:v>0.7149594422554854</x:v>
      </x:c>
      <x:c r="AA1765" t="str">
        <x:v>NON_POSITIVE_ENTERPRISE_VALUE|NON_POSITIVE_TERMINAL_FCF</x:v>
      </x:c>
    </x:row>
    <x:row r="1766">
      <x:c r="A1766" s="54" t="n">
        <x:v>44926</x:v>
      </x:c>
      <x:c r="B1766" t="n">
        <x:v>44926.624999988424</x:v>
      </x:c>
      <x:c r="C1766" t="str">
        <x:v>119850</x:v>
      </x:c>
      <x:c r="D1766" t="str">
        <x:v>지엔씨에너지</x:v>
      </x:c>
      <x:c r="E1766" t="str">
        <x:v>KOSDAQ</x:v>
      </x:c>
      <x:c r="F1766" t="str">
        <x:v>LARGE</x:v>
      </x:c>
      <x:c r="G1766" t="str">
        <x:v>ELIGIBLE</x:v>
      </x:c>
      <x:c r="H1766"/>
      <x:c r="I1766" s="54" t="n">
        <x:v>44924</x:v>
      </x:c>
      <x:c r="J1766" s="55" t="n">
        <x:v>3575</x:v>
      </x:c>
      <x:c r="K1766" s="55" t="n">
        <x:v>58804849675</x:v>
      </x:c>
      <x:c r="L1766" s="55" t="n">
        <x:v>16448909</x:v>
      </x:c>
      <x:c r="M1766" t="str">
        <x:v>20220318001122</x:v>
      </x:c>
      <x:c r="N1766" t="n">
        <x:v>44638.624999988424</x:v>
      </x:c>
      <x:c r="O1766" s="54" t="n">
        <x:v>44561</x:v>
      </x:c>
      <x:c r="P1766" t="str">
        <x:v>False</x:v>
      </x:c>
      <x:c r="Q1766" t="str">
        <x:v>ae73d3d4b2895b6be9878c551cbd20c4f4233ec1da8abc62cfd96d371b094769</x:v>
      </x:c>
      <x:c r="R1766" t="str">
        <x:v>8c951c3d87768f8fd968f2cc3671b45872eaa12e9d2ef96931743473e6738e02</x:v>
      </x:c>
      <x:c r="S1766" t="n">
        <x:v>6</x:v>
      </x:c>
      <x:c r="T1766" t="str">
        <x:v>2018-12-31|2019-12-31|2020-12-31|2021-12-31</x:v>
      </x:c>
      <x:c r="U1766" s="57" t="n">
        <x:v>4357.199500773308</x:v>
      </x:c>
      <x:c r="V1766" s="57" t="n">
        <x:v>0.21879706315337263</x:v>
      </x:c>
      <x:c r="W1766" t="n">
        <x:v>20</x:v>
      </x:c>
      <x:c r="X1766" t="n">
        <x:v>2</x:v>
      </x:c>
      <x:c r="Y1766" s="38" t="n">
        <x:v>0.6409090909090909</x:v>
      </x:c>
      <x:c r="Z1766" s="38" t="n">
        <x:v>0.7218340444865093</x:v>
      </x:c>
      <x:c r="AA1766"/>
    </x:row>
    <x:row r="1767">
      <x:c r="A1767" s="54" t="n">
        <x:v>44926</x:v>
      </x:c>
      <x:c r="B1767" t="n">
        <x:v>44926.624999988424</x:v>
      </x:c>
      <x:c r="C1767" t="str">
        <x:v>084110</x:v>
      </x:c>
      <x:c r="D1767" t="str">
        <x:v>휴온스글로벌</x:v>
      </x:c>
      <x:c r="E1767" t="str">
        <x:v>KOSDAQ</x:v>
      </x:c>
      <x:c r="F1767" t="str">
        <x:v>LARGE</x:v>
      </x:c>
      <x:c r="G1767" t="str">
        <x:v>ELIGIBLE</x:v>
      </x:c>
      <x:c r="H1767"/>
      <x:c r="I1767" s="54" t="n">
        <x:v>44924</x:v>
      </x:c>
      <x:c r="J1767" s="55" t="n">
        <x:v>18750</x:v>
      </x:c>
      <x:c r="K1767" s="55" t="n">
        <x:v>236652975000</x:v>
      </x:c>
      <x:c r="L1767" s="55" t="n">
        <x:v>12621492</x:v>
      </x:c>
      <x:c r="M1767" t="str">
        <x:v>20220323001316</x:v>
      </x:c>
      <x:c r="N1767" t="n">
        <x:v>44643.624999988424</x:v>
      </x:c>
      <x:c r="O1767" s="54" t="n">
        <x:v>44561</x:v>
      </x:c>
      <x:c r="P1767" t="str">
        <x:v>False</x:v>
      </x:c>
      <x:c r="Q1767" t="str">
        <x:v>61a4106ca1436439b115b45b309307d670f88550d1c4e65f1054441ff8bd1773</x:v>
      </x:c>
      <x:c r="R1767" t="str">
        <x:v>6c138f9c4fafd5af82b56441fab7e4bb491dd9e4aa5589ba5dbc716b961c2ab1</x:v>
      </x:c>
      <x:c r="S1767" t="n">
        <x:v>6</x:v>
      </x:c>
      <x:c r="T1767" t="str">
        <x:v>2018-12-31|2019-12-31|2020-12-31|2021-12-31</x:v>
      </x:c>
      <x:c r="U1767" s="57" t="n">
        <x:v>62350.99484672869</x:v>
      </x:c>
      <x:c r="V1767" s="57" t="n">
        <x:v>2.32538639182553</x:v>
      </x:c>
      <x:c r="W1767" t="n">
        <x:v>6</x:v>
      </x:c>
      <x:c r="X1767" t="n">
        <x:v>1</x:v>
      </x:c>
      <x:c r="Y1767" s="38" t="n">
        <x:v>0.6409090909090909</x:v>
      </x:c>
      <x:c r="Z1767" s="38" t="n">
        <x:v>0.7784114693524872</x:v>
      </x:c>
      <x:c r="AA1767"/>
    </x:row>
    <x:row r="1768">
      <x:c r="A1768" s="54" t="n">
        <x:v>44926</x:v>
      </x:c>
      <x:c r="B1768" t="n">
        <x:v>44926.624999988424</x:v>
      </x:c>
      <x:c r="C1768" t="str">
        <x:v>206650</x:v>
      </x:c>
      <x:c r="D1768" t="str">
        <x:v>유바이오로직스</x:v>
      </x:c>
      <x:c r="E1768" t="str">
        <x:v>KOSDAQ</x:v>
      </x:c>
      <x:c r="F1768" t="str">
        <x:v>LARGE</x:v>
      </x:c>
      <x:c r="G1768" t="str">
        <x:v>DCF_SCREENING_EXCLUSION</x:v>
      </x:c>
      <x:c r="H1768" t="str">
        <x:v>NON_POSITIVE_ENTERPRISE_VALUE|NON_POSITIVE_EQUITY_VALUE|NON_POSITIVE_TERMINAL_FCF</x:v>
      </x:c>
      <x:c r="I1768" s="54" t="n">
        <x:v>44924</x:v>
      </x:c>
      <x:c r="J1768" s="55" t="n">
        <x:v>8900</x:v>
      </x:c>
      <x:c r="K1768" s="55" t="n">
        <x:v>324358782300</x:v>
      </x:c>
      <x:c r="L1768" s="55" t="n">
        <x:v>36444807</x:v>
      </x:c>
      <x:c r="M1768" t="str">
        <x:v>20220321001422</x:v>
      </x:c>
      <x:c r="N1768" t="n">
        <x:v>44641.624999988424</x:v>
      </x:c>
      <x:c r="O1768" s="54" t="n">
        <x:v>44561</x:v>
      </x:c>
      <x:c r="P1768" t="str">
        <x:v>False</x:v>
      </x:c>
      <x:c r="Q1768" t="str">
        <x:v>8d3c86f36f05bae65484262e1b74a0fa313abb7a6c116331476fa851286ef5c7</x:v>
      </x:c>
      <x:c r="R1768" t="str">
        <x:v>564bf2b7d7951fd138746a041006be1e2d10426a4995177d1a5cf063ce57effe</x:v>
      </x:c>
      <x:c r="S1768" t="n">
        <x:v>5</x:v>
      </x:c>
      <x:c r="T1768" t="str">
        <x:v>2018-12-31|2019-12-31|2020-12-31|2021-12-31</x:v>
      </x:c>
      <x:c r="U1768" s="57" t="n">
        <x:v>-686.7207231115198</x:v>
      </x:c>
      <x:c r="V1768" s="57" t="n">
        <x:v>-1.0771596318102832</x:v>
      </x:c>
      <x:c r="W1768"/>
      <x:c r="X1768"/>
      <x:c r="Y1768" s="38" t="n">
        <x:v>0.6409090909090909</x:v>
      </x:c>
      <x:c r="Z1768" s="38" t="n">
        <x:v>0.09988018003939338</x:v>
      </x:c>
      <x:c r="AA1768" t="str">
        <x:v>NON_POSITIVE_ENTERPRISE_VALUE|NON_POSITIVE_EQUITY_VALUE|NON_POSITIVE_TERMINAL_FCF</x:v>
      </x:c>
    </x:row>
    <x:row r="1769">
      <x:c r="A1769" s="54" t="n">
        <x:v>44926</x:v>
      </x:c>
      <x:c r="B1769" t="n">
        <x:v>44926.624999988424</x:v>
      </x:c>
      <x:c r="C1769" t="str">
        <x:v>365340</x:v>
      </x:c>
      <x:c r="D1769" t="str">
        <x:v>성일하이텍</x:v>
      </x:c>
      <x:c r="E1769" t="str">
        <x:v>KOSDAQ</x:v>
      </x:c>
      <x:c r="F1769" t="str">
        <x:v>LARGE</x:v>
      </x:c>
      <x:c r="G1769" t="str">
        <x:v>NO_PIT_FINANCIALS</x:v>
      </x:c>
      <x:c r="H1769"/>
      <x:c r="I1769" s="54" t="n">
        <x:v>44924</x:v>
      </x:c>
      <x:c r="J1769" s="55" t="n">
        <x:v>101700</x:v>
      </x:c>
      <x:c r="K1769" s="55" t="n">
        <x:v>1213266660300</x:v>
      </x:c>
      <x:c r="L1769" s="55" t="n">
        <x:v>11929859</x:v>
      </x:c>
      <x:c r="M1769"/>
      <x:c r="N1769"/>
      <x:c r="O1769" s="54"/>
      <x:c r="P1769"/>
      <x:c r="Q1769"/>
      <x:c r="R1769"/>
      <x:c r="S1769"/>
      <x:c r="T1769"/>
      <x:c r="U1769" s="57"/>
      <x:c r="V1769" s="57"/>
      <x:c r="W1769"/>
      <x:c r="X1769"/>
      <x:c r="Y1769" s="38"/>
      <x:c r="Z1769" s="38"/>
      <x:c r="AA1769"/>
    </x:row>
    <x:row r="1770">
      <x:c r="A1770" s="54" t="n">
        <x:v>44926</x:v>
      </x:c>
      <x:c r="B1770" t="n">
        <x:v>44926.624999988424</x:v>
      </x:c>
      <x:c r="C1770" t="str">
        <x:v>030530</x:v>
      </x:c>
      <x:c r="D1770" t="str">
        <x:v>원익홀딩스</x:v>
      </x:c>
      <x:c r="E1770" t="str">
        <x:v>KOSDAQ</x:v>
      </x:c>
      <x:c r="F1770" t="str">
        <x:v>LARGE</x:v>
      </x:c>
      <x:c r="G1770" t="str">
        <x:v>EXCLUDED_ARCHETYPE</x:v>
      </x:c>
      <x:c r="H1770" t="str">
        <x:v>FCFF_NOT_COMPARABLE_FOR_FINANCE_OR_HOLDING_HINT</x:v>
      </x:c>
      <x:c r="I1770" s="54"/>
      <x:c r="J1770" s="55"/>
      <x:c r="K1770" s="55"/>
      <x:c r="L1770" s="55"/>
      <x:c r="M1770"/>
      <x:c r="N1770"/>
      <x:c r="O1770" s="54"/>
      <x:c r="P1770"/>
      <x:c r="Q1770"/>
      <x:c r="R1770"/>
      <x:c r="S1770"/>
      <x:c r="T1770"/>
      <x:c r="U1770" s="57"/>
      <x:c r="V1770" s="57"/>
      <x:c r="W1770"/>
      <x:c r="X1770"/>
      <x:c r="Y1770" s="38"/>
      <x:c r="Z1770" s="38"/>
      <x:c r="AA1770"/>
    </x:row>
    <x:row r="1771">
      <x:c r="A1771" s="54" t="n">
        <x:v>44926</x:v>
      </x:c>
      <x:c r="B1771" t="n">
        <x:v>44926.624999988424</x:v>
      </x:c>
      <x:c r="C1771" t="str">
        <x:v>220100</x:v>
      </x:c>
      <x:c r="D1771" t="str">
        <x:v>퓨쳐켐</x:v>
      </x:c>
      <x:c r="E1771" t="str">
        <x:v>KOSDAQ</x:v>
      </x:c>
      <x:c r="F1771" t="str">
        <x:v>LARGE</x:v>
      </x:c>
      <x:c r="G1771" t="str">
        <x:v>DCF_SCREENING_EXCLUSION</x:v>
      </x:c>
      <x:c r="H1771" t="str">
        <x:v>NON_POSITIVE_ENTERPRISE_VALUE|NON_POSITIVE_EQUITY_VALUE|NON_POSITIVE_TERMINAL_FCF</x:v>
      </x:c>
      <x:c r="I1771" s="54" t="n">
        <x:v>44924</x:v>
      </x:c>
      <x:c r="J1771" s="55" t="n">
        <x:v>9610</x:v>
      </x:c>
      <x:c r="K1771" s="55" t="n">
        <x:v>212401709550</x:v>
      </x:c>
      <x:c r="L1771" s="55" t="n">
        <x:v>22102155</x:v>
      </x:c>
      <x:c r="M1771" t="str">
        <x:v>20220318000211</x:v>
      </x:c>
      <x:c r="N1771" t="n">
        <x:v>44638.624999988424</x:v>
      </x:c>
      <x:c r="O1771" s="54" t="n">
        <x:v>44561</x:v>
      </x:c>
      <x:c r="P1771" t="str">
        <x:v>False</x:v>
      </x:c>
      <x:c r="Q1771" t="str">
        <x:v>e8465716d8b100d2e997996432799dfdee4265e4572a8ee6033f260045ff58bc</x:v>
      </x:c>
      <x:c r="R1771" t="str">
        <x:v>52e7ad1c2657d6c9f0668d0401e9f6d92724dbb8e5787c654c50a7a789b1fdce</x:v>
      </x:c>
      <x:c r="S1771" t="n">
        <x:v>5</x:v>
      </x:c>
      <x:c r="T1771" t="str">
        <x:v>2018-12-31|2019-12-31|2020-12-31|2021-12-31</x:v>
      </x:c>
      <x:c r="U1771" s="57" t="n">
        <x:v>-1780.5039126598854</x:v>
      </x:c>
      <x:c r="V1771" s="57" t="n">
        <x:v>-1.1852761615671057</x:v>
      </x:c>
      <x:c r="W1771"/>
      <x:c r="X1771"/>
      <x:c r="Y1771" s="38" t="n">
        <x:v>0.6409090909090909</x:v>
      </x:c>
      <x:c r="Z1771" s="38" t="n">
        <x:v>0.7090268120204184</x:v>
      </x:c>
      <x:c r="AA1771" t="str">
        <x:v>NON_POSITIVE_ENTERPRISE_VALUE|NON_POSITIVE_EQUITY_VALUE|NON_POSITIVE_TERMINAL_FCF</x:v>
      </x:c>
    </x:row>
    <x:row r="1772">
      <x:c r="A1772" s="54" t="n">
        <x:v>44926</x:v>
      </x:c>
      <x:c r="B1772" t="n">
        <x:v>44926.624999988424</x:v>
      </x:c>
      <x:c r="C1772" t="str">
        <x:v>416180</x:v>
      </x:c>
      <x:c r="D1772" t="str">
        <x:v>신성에스티</x:v>
      </x:c>
      <x:c r="E1772" t="str">
        <x:v>KOSDAQ</x:v>
      </x:c>
      <x:c r="F1772" t="str">
        <x:v>LARGE</x:v>
      </x:c>
      <x:c r="G1772" t="str">
        <x:v>NOT_LISTED_OR_NO_PRICE</x:v>
      </x:c>
      <x:c r="H1772"/>
      <x:c r="I1772" s="54"/>
      <x:c r="J1772" s="55"/>
      <x:c r="K1772" s="55"/>
      <x:c r="L1772" s="55"/>
      <x:c r="M1772"/>
      <x:c r="N1772"/>
      <x:c r="O1772" s="54"/>
      <x:c r="P1772"/>
      <x:c r="Q1772"/>
      <x:c r="R1772"/>
      <x:c r="S1772"/>
      <x:c r="T1772"/>
      <x:c r="U1772" s="57"/>
      <x:c r="V1772" s="57"/>
      <x:c r="W1772"/>
      <x:c r="X1772"/>
      <x:c r="Y1772" s="38"/>
      <x:c r="Z1772" s="38"/>
      <x:c r="AA1772"/>
    </x:row>
    <x:row r="1773">
      <x:c r="A1773" s="54" t="n">
        <x:v>44926</x:v>
      </x:c>
      <x:c r="B1773" t="n">
        <x:v>44926.624999988424</x:v>
      </x:c>
      <x:c r="C1773" t="str">
        <x:v>082800</x:v>
      </x:c>
      <x:c r="D1773" t="str">
        <x:v>비보존제약</x:v>
      </x:c>
      <x:c r="E1773" t="str">
        <x:v>KOSDAQ</x:v>
      </x:c>
      <x:c r="F1773" t="str">
        <x:v>LARGE</x:v>
      </x:c>
      <x:c r="G1773" t="str">
        <x:v>DCF_SCREENING_EXCLUSION</x:v>
      </x:c>
      <x:c r="H1773" t="str">
        <x:v>NON_POSITIVE_ENTERPRISE_VALUE|NON_POSITIVE_EQUITY_VALUE|NON_POSITIVE_TERMINAL_FCF</x:v>
      </x:c>
      <x:c r="I1773" s="54" t="n">
        <x:v>44924</x:v>
      </x:c>
      <x:c r="J1773" s="55" t="n">
        <x:v>637</x:v>
      </x:c>
      <x:c r="K1773" s="55" t="n">
        <x:v>149085442597</x:v>
      </x:c>
      <x:c r="L1773" s="55" t="n">
        <x:v>234043081</x:v>
      </x:c>
      <x:c r="M1773" t="str">
        <x:v>20220816000816</x:v>
      </x:c>
      <x:c r="N1773" t="n">
        <x:v>44789.624999988424</x:v>
      </x:c>
      <x:c r="O1773" s="54" t="n">
        <x:v>44561</x:v>
      </x:c>
      <x:c r="P1773" t="str">
        <x:v>True</x:v>
      </x:c>
      <x:c r="Q1773" t="str">
        <x:v>d1b42f6f974c4c7a5619cb9724bf3f04646973ec1cddb24e071a509234db6c5e</x:v>
      </x:c>
      <x:c r="R1773" t="str">
        <x:v>951a36c9d216cff62dafc69618445b62bf3dc64216379cefa85d2e8793727e22</x:v>
      </x:c>
      <x:c r="S1773" t="n">
        <x:v>7</x:v>
      </x:c>
      <x:c r="T1773" t="str">
        <x:v>2018-12-31|2019-12-31|2020-12-31|2021-12-31</x:v>
      </x:c>
      <x:c r="U1773" s="57" t="n">
        <x:v>-1051.2706150543931</x:v>
      </x:c>
      <x:c r="V1773" s="57" t="n">
        <x:v>-2.6503463344652953</x:v>
      </x:c>
      <x:c r="W1773"/>
      <x:c r="X1773"/>
      <x:c r="Y1773" s="38" t="n">
        <x:v>0.6409090909090909</x:v>
      </x:c>
      <x:c r="Z1773" s="38" t="n">
        <x:v>0.701328758981148</x:v>
      </x:c>
      <x:c r="AA1773" t="str">
        <x:v>NON_POSITIVE_ENTERPRISE_VALUE|NON_POSITIVE_EQUITY_VALUE|NON_POSITIVE_TERMINAL_FCF</x:v>
      </x:c>
    </x:row>
    <x:row r="1774">
      <x:c r="A1774" s="54" t="n">
        <x:v>44926</x:v>
      </x:c>
      <x:c r="B1774" t="n">
        <x:v>44926.624999988424</x:v>
      </x:c>
      <x:c r="C1774" t="str">
        <x:v>204620</x:v>
      </x:c>
      <x:c r="D1774" t="str">
        <x:v>글로벌텍스프리</x:v>
      </x:c>
      <x:c r="E1774" t="str">
        <x:v>KOSDAQ</x:v>
      </x:c>
      <x:c r="F1774" t="str">
        <x:v>LARGE</x:v>
      </x:c>
      <x:c r="G1774" t="str">
        <x:v>DCF_SCREENING_EXCLUSION</x:v>
      </x:c>
      <x:c r="H1774" t="str">
        <x:v>NON_POSITIVE_ENTERPRISE_VALUE|NON_POSITIVE_EQUITY_VALUE|NON_POSITIVE_TERMINAL_FCF</x:v>
      </x:c>
      <x:c r="I1774" s="54" t="n">
        <x:v>44924</x:v>
      </x:c>
      <x:c r="J1774" s="55" t="n">
        <x:v>3060</x:v>
      </x:c>
      <x:c r="K1774" s="55" t="n">
        <x:v>162974363760</x:v>
      </x:c>
      <x:c r="L1774" s="55" t="n">
        <x:v>53259596</x:v>
      </x:c>
      <x:c r="M1774" t="str">
        <x:v>20220816001123</x:v>
      </x:c>
      <x:c r="N1774" t="n">
        <x:v>44789.624999988424</x:v>
      </x:c>
      <x:c r="O1774" s="54" t="n">
        <x:v>44561</x:v>
      </x:c>
      <x:c r="P1774" t="str">
        <x:v>True</x:v>
      </x:c>
      <x:c r="Q1774" t="str">
        <x:v>95da21f4a75f162848ef19f8b801b253a863b689871a6e2c21556719545b6978</x:v>
      </x:c>
      <x:c r="R1774" t="str">
        <x:v>b22b874d08cf1775978e139d5b861967414f0b3649e8d5809dc369f57e8b9e5a</x:v>
      </x:c>
      <x:c r="S1774" t="n">
        <x:v>7</x:v>
      </x:c>
      <x:c r="T1774" t="str">
        <x:v>2018-12-31|2019-12-31|2020-12-31|2021-12-31</x:v>
      </x:c>
      <x:c r="U1774" s="57" t="n">
        <x:v>-639.6899480649242</x:v>
      </x:c>
      <x:c r="V1774" s="57" t="n">
        <x:v>-1.2090490026355962</x:v>
      </x:c>
      <x:c r="W1774"/>
      <x:c r="X1774"/>
      <x:c r="Y1774" s="38" t="n">
        <x:v>0.6409090909090909</x:v>
      </x:c>
      <x:c r="Z1774" s="38" t="n">
        <x:v>0.6847952001444609</x:v>
      </x:c>
      <x:c r="AA1774" t="str">
        <x:v>NON_POSITIVE_ENTERPRISE_VALUE|NON_POSITIVE_EQUITY_VALUE|NON_POSITIVE_TERMINAL_FCF</x:v>
      </x:c>
    </x:row>
    <x:row r="1775">
      <x:c r="A1775" s="54" t="n">
        <x:v>44926</x:v>
      </x:c>
      <x:c r="B1775" t="n">
        <x:v>44926.624999988424</x:v>
      </x:c>
      <x:c r="C1775" t="str">
        <x:v>445090</x:v>
      </x:c>
      <x:c r="D1775" t="str">
        <x:v>에이직랜드</x:v>
      </x:c>
      <x:c r="E1775" t="str">
        <x:v>KOSDAQ</x:v>
      </x:c>
      <x:c r="F1775" t="str">
        <x:v>LARGE</x:v>
      </x:c>
      <x:c r="G1775" t="str">
        <x:v>NOT_LISTED_OR_NO_PRICE</x:v>
      </x:c>
      <x:c r="H1775"/>
      <x:c r="I1775" s="54"/>
      <x:c r="J1775" s="55"/>
      <x:c r="K1775" s="55"/>
      <x:c r="L1775" s="55"/>
      <x:c r="M1775"/>
      <x:c r="N1775"/>
      <x:c r="O1775" s="54"/>
      <x:c r="P1775"/>
      <x:c r="Q1775"/>
      <x:c r="R1775"/>
      <x:c r="S1775"/>
      <x:c r="T1775"/>
      <x:c r="U1775" s="57"/>
      <x:c r="V1775" s="57"/>
      <x:c r="W1775"/>
      <x:c r="X1775"/>
      <x:c r="Y1775" s="38"/>
      <x:c r="Z1775" s="38"/>
      <x:c r="AA1775"/>
    </x:row>
    <x:row r="1776">
      <x:c r="A1776" s="54" t="n">
        <x:v>44926</x:v>
      </x:c>
      <x:c r="B1776" t="n">
        <x:v>44926.624999988424</x:v>
      </x:c>
      <x:c r="C1776" t="str">
        <x:v>115450</x:v>
      </x:c>
      <x:c r="D1776" t="str">
        <x:v>HLB테라퓨틱스</x:v>
      </x:c>
      <x:c r="E1776" t="str">
        <x:v>KOSDAQ</x:v>
      </x:c>
      <x:c r="F1776" t="str">
        <x:v>LARGE</x:v>
      </x:c>
      <x:c r="G1776" t="str">
        <x:v>DCF_SCREENING_EXCLUSION</x:v>
      </x:c>
      <x:c r="H1776" t="str">
        <x:v>NON_POSITIVE_ENTERPRISE_VALUE|NON_POSITIVE_EQUITY_VALUE|NON_POSITIVE_TERMINAL_FCF</x:v>
      </x:c>
      <x:c r="I1776" s="54" t="n">
        <x:v>44924</x:v>
      </x:c>
      <x:c r="J1776" s="55" t="n">
        <x:v>11200</x:v>
      </x:c>
      <x:c r="K1776" s="55" t="n">
        <x:v>356256364800</x:v>
      </x:c>
      <x:c r="L1776" s="55" t="n">
        <x:v>31808604</x:v>
      </x:c>
      <x:c r="M1776" t="str">
        <x:v>20220318000493</x:v>
      </x:c>
      <x:c r="N1776" t="n">
        <x:v>44638.624999988424</x:v>
      </x:c>
      <x:c r="O1776" s="54" t="n">
        <x:v>44561</x:v>
      </x:c>
      <x:c r="P1776" t="str">
        <x:v>False</x:v>
      </x:c>
      <x:c r="Q1776" t="str">
        <x:v>19b116bac11eca83c7aadf1511c40a12d291bf58cb4fdf0f9751796946cf89f7</x:v>
      </x:c>
      <x:c r="R1776" t="str">
        <x:v>6796f979a22130ce741de8d61f21d0c70b7305365e669634e21b3a9acc14c7e4</x:v>
      </x:c>
      <x:c r="S1776" t="n">
        <x:v>6</x:v>
      </x:c>
      <x:c r="T1776" t="str">
        <x:v>2018-12-31|2019-12-31|2020-12-31|2021-12-31</x:v>
      </x:c>
      <x:c r="U1776" s="57" t="n">
        <x:v>-2000.9208617667723</x:v>
      </x:c>
      <x:c r="V1776" s="57" t="n">
        <x:v>-1.1786536483720331</x:v>
      </x:c>
      <x:c r="W1776"/>
      <x:c r="X1776"/>
      <x:c r="Y1776" s="38" t="n">
        <x:v>0.6409090909090909</x:v>
      </x:c>
      <x:c r="Z1776" s="38" t="n">
        <x:v>0.7008058105901518</x:v>
      </x:c>
      <x:c r="AA1776" t="str">
        <x:v>NON_POSITIVE_ENTERPRISE_VALUE|NON_POSITIVE_EQUITY_VALUE|NON_POSITIVE_TERMINAL_FCF</x:v>
      </x:c>
    </x:row>
    <x:row r="1777">
      <x:c r="A1777" s="54" t="n">
        <x:v>44926</x:v>
      </x:c>
      <x:c r="B1777" t="n">
        <x:v>44926.624999988424</x:v>
      </x:c>
      <x:c r="C1777" t="str">
        <x:v>035420</x:v>
      </x:c>
      <x:c r="D1777" t="str">
        <x:v>NAVER</x:v>
      </x:c>
      <x:c r="E1777" t="str">
        <x:v>KOSPI</x:v>
      </x:c>
      <x:c r="F1777" t="str">
        <x:v>LARGE</x:v>
      </x:c>
      <x:c r="G1777" t="str">
        <x:v>ELIGIBLE</x:v>
      </x:c>
      <x:c r="H1777"/>
      <x:c r="I1777" s="54" t="n">
        <x:v>44924</x:v>
      </x:c>
      <x:c r="J1777" s="55" t="n">
        <x:v>177500</x:v>
      </x:c>
      <x:c r="K1777" s="55" t="n">
        <x:v>29118712587500</x:v>
      </x:c>
      <x:c r="L1777" s="55" t="n">
        <x:v>164049085</x:v>
      </x:c>
      <x:c r="M1777" t="str">
        <x:v>20220304000687</x:v>
      </x:c>
      <x:c r="N1777" t="n">
        <x:v>44624.624999988424</x:v>
      </x:c>
      <x:c r="O1777" s="54" t="n">
        <x:v>44561</x:v>
      </x:c>
      <x:c r="P1777" t="str">
        <x:v>False</x:v>
      </x:c>
      <x:c r="Q1777" t="str">
        <x:v>8062dc2efd520120838c1783c4c22ec37df88a95ada7b3f569c86f66bca19e98</x:v>
      </x:c>
      <x:c r="R1777" t="str">
        <x:v>b699f0151426f842e3bf3a89f7ccc2473161a634c6656b22467bbaf7ada9edd3</x:v>
      </x:c>
      <x:c r="S1777" t="n">
        <x:v>6</x:v>
      </x:c>
      <x:c r="T1777" t="str">
        <x:v>2018-12-31|2019-12-31|2020-12-31|2021-12-31</x:v>
      </x:c>
      <x:c r="U1777" s="57" t="n">
        <x:v>90110.51803973874</x:v>
      </x:c>
      <x:c r="V1777" s="57" t="n">
        <x:v>-0.49233510963527466</x:v>
      </x:c>
      <x:c r="W1777" t="n">
        <x:v>45</x:v>
      </x:c>
      <x:c r="X1777" t="n">
        <x:v>4</x:v>
      </x:c>
      <x:c r="Y1777" s="38" t="n">
        <x:v>0.6409090909090909</x:v>
      </x:c>
      <x:c r="Z1777" s="38" t="n">
        <x:v>0.7130098333809185</x:v>
      </x:c>
      <x:c r="AA1777"/>
    </x:row>
    <x:row r="1778">
      <x:c r="A1778" s="54" t="n">
        <x:v>44926</x:v>
      </x:c>
      <x:c r="B1778" t="n">
        <x:v>44926.624999988424</x:v>
      </x:c>
      <x:c r="C1778" t="str">
        <x:v>030200</x:v>
      </x:c>
      <x:c r="D1778" t="str">
        <x:v>KT</x:v>
      </x:c>
      <x:c r="E1778" t="str">
        <x:v>KOSPI</x:v>
      </x:c>
      <x:c r="F1778" t="str">
        <x:v>LARGE</x:v>
      </x:c>
      <x:c r="G1778" t="str">
        <x:v>ELIGIBLE</x:v>
      </x:c>
      <x:c r="H1778"/>
      <x:c r="I1778" s="54" t="n">
        <x:v>44924</x:v>
      </x:c>
      <x:c r="J1778" s="55" t="n">
        <x:v>33800</x:v>
      </x:c>
      <x:c r="K1778" s="55" t="n">
        <x:v>8825579110400</x:v>
      </x:c>
      <x:c r="L1778" s="55" t="n">
        <x:v>261111808</x:v>
      </x:c>
      <x:c r="M1778" t="str">
        <x:v>20221006000582</x:v>
      </x:c>
      <x:c r="N1778" t="n">
        <x:v>44840.624999988424</x:v>
      </x:c>
      <x:c r="O1778" s="54" t="n">
        <x:v>44561</x:v>
      </x:c>
      <x:c r="P1778" t="str">
        <x:v>True</x:v>
      </x:c>
      <x:c r="Q1778" t="str">
        <x:v>3356dc820bf202fa77dd81a3242cc7d113b242e70b703a9647bcc0047dce39cb</x:v>
      </x:c>
      <x:c r="R1778" t="str">
        <x:v>7f6ce3b8ddbebfceef096d58d144b174e62f42ef269b29968336af16138f8d4c</x:v>
      </x:c>
      <x:c r="S1778" t="n">
        <x:v>6</x:v>
      </x:c>
      <x:c r="T1778" t="str">
        <x:v>2018-12-31|2019-12-31|2020-12-31|2021-12-31</x:v>
      </x:c>
      <x:c r="U1778" s="57" t="n">
        <x:v>49888.059619663385</x:v>
      </x:c>
      <x:c r="V1778" s="57" t="n">
        <x:v>0.4759780952563131</x:v>
      </x:c>
      <x:c r="W1778" t="n">
        <x:v>11</x:v>
      </x:c>
      <x:c r="X1778" t="n">
        <x:v>1</x:v>
      </x:c>
      <x:c r="Y1778" s="38" t="n">
        <x:v>0.6409090909090909</x:v>
      </x:c>
      <x:c r="Z1778" s="38" t="n">
        <x:v>0.664036442335115</x:v>
      </x:c>
      <x:c r="AA1778"/>
    </x:row>
    <x:row r="1779">
      <x:c r="A1779" s="54" t="n">
        <x:v>44926</x:v>
      </x:c>
      <x:c r="B1779" t="n">
        <x:v>44926.624999988424</x:v>
      </x:c>
      <x:c r="C1779" t="str">
        <x:v>018260</x:v>
      </x:c>
      <x:c r="D1779" t="str">
        <x:v>삼성에스디에스</x:v>
      </x:c>
      <x:c r="E1779" t="str">
        <x:v>KOSPI</x:v>
      </x:c>
      <x:c r="F1779" t="str">
        <x:v>LARGE</x:v>
      </x:c>
      <x:c r="G1779" t="str">
        <x:v>ELIGIBLE</x:v>
      </x:c>
      <x:c r="H1779"/>
      <x:c r="I1779" s="54" t="n">
        <x:v>44924</x:v>
      </x:c>
      <x:c r="J1779" s="55" t="n">
        <x:v>123000</x:v>
      </x:c>
      <x:c r="K1779" s="55" t="n">
        <x:v>9517469400000</x:v>
      </x:c>
      <x:c r="L1779" s="55" t="n">
        <x:v>77377800</x:v>
      </x:c>
      <x:c r="M1779" t="str">
        <x:v>20220308000737</x:v>
      </x:c>
      <x:c r="N1779" t="n">
        <x:v>44628.624999988424</x:v>
      </x:c>
      <x:c r="O1779" s="54" t="n">
        <x:v>44561</x:v>
      </x:c>
      <x:c r="P1779" t="str">
        <x:v>False</x:v>
      </x:c>
      <x:c r="Q1779" t="str">
        <x:v>38aa268ec71e5b47b845550cd28018f2fe3009e7cc818f7b44ace1b7a237b51e</x:v>
      </x:c>
      <x:c r="R1779" t="str">
        <x:v>cf1d658682de167bf9e49e741d4c7221903595ba111cb88043d08f3bbe7a9e90</x:v>
      </x:c>
      <x:c r="S1779" t="n">
        <x:v>6</x:v>
      </x:c>
      <x:c r="T1779" t="str">
        <x:v>2018-12-31|2019-12-31|2020-12-31|2021-12-31</x:v>
      </x:c>
      <x:c r="U1779" s="57" t="n">
        <x:v>148624.48194424633</x:v>
      </x:c>
      <x:c r="V1779" s="57" t="n">
        <x:v>0.2083291214979377</x:v>
      </x:c>
      <x:c r="W1779" t="n">
        <x:v>21</x:v>
      </x:c>
      <x:c r="X1779" t="n">
        <x:v>2</x:v>
      </x:c>
      <x:c r="Y1779" s="38" t="n">
        <x:v>0.6409090909090909</x:v>
      </x:c>
      <x:c r="Z1779" s="38" t="n">
        <x:v>0.7444527110580923</x:v>
      </x:c>
      <x:c r="AA1779"/>
    </x:row>
    <x:row r="1780">
      <x:c r="A1780" s="54" t="n">
        <x:v>44926</x:v>
      </x:c>
      <x:c r="B1780" t="n">
        <x:v>44926.624999988424</x:v>
      </x:c>
      <x:c r="C1780" t="str">
        <x:v>090430</x:v>
      </x:c>
      <x:c r="D1780" t="str">
        <x:v>아모레퍼시픽</x:v>
      </x:c>
      <x:c r="E1780" t="str">
        <x:v>KOSPI</x:v>
      </x:c>
      <x:c r="F1780" t="str">
        <x:v>LARGE</x:v>
      </x:c>
      <x:c r="G1780" t="str">
        <x:v>ELIGIBLE</x:v>
      </x:c>
      <x:c r="H1780"/>
      <x:c r="I1780" s="54" t="n">
        <x:v>44924</x:v>
      </x:c>
      <x:c r="J1780" s="55" t="n">
        <x:v>137500</x:v>
      </x:c>
      <x:c r="K1780" s="55" t="n">
        <x:v>8042754362500</x:v>
      </x:c>
      <x:c r="L1780" s="55" t="n">
        <x:v>58492759</x:v>
      </x:c>
      <x:c r="M1780" t="str">
        <x:v>20220316000772</x:v>
      </x:c>
      <x:c r="N1780" t="n">
        <x:v>44636.624999988424</x:v>
      </x:c>
      <x:c r="O1780" s="54" t="n">
        <x:v>44561</x:v>
      </x:c>
      <x:c r="P1780" t="str">
        <x:v>False</x:v>
      </x:c>
      <x:c r="Q1780" t="str">
        <x:v>1f2a22cf38a5f17871d37e4f5dc35c86496866290651a5413ea91f13146c364c</x:v>
      </x:c>
      <x:c r="R1780" t="str">
        <x:v>be8f83dd3d5391a7945fa7f9ac094116afd24bcf4680ddf025b3cbf1c916208e</x:v>
      </x:c>
      <x:c r="S1780" t="n">
        <x:v>6</x:v>
      </x:c>
      <x:c r="T1780" t="str">
        <x:v>2018-12-31|2019-12-31|2020-12-31|2021-12-31</x:v>
      </x:c>
      <x:c r="U1780" s="57" t="n">
        <x:v>51339.05035733971</x:v>
      </x:c>
      <x:c r="V1780" s="57" t="n">
        <x:v>-0.6266250883102567</x:v>
      </x:c>
      <x:c r="W1780" t="n">
        <x:v>52</x:v>
      </x:c>
      <x:c r="X1780" t="n">
        <x:v>4</x:v>
      </x:c>
      <x:c r="Y1780" s="38" t="n">
        <x:v>0.6409090909090909</x:v>
      </x:c>
      <x:c r="Z1780" s="38" t="n">
        <x:v>0.7160228310475385</x:v>
      </x:c>
      <x:c r="AA1780"/>
    </x:row>
    <x:row r="1781">
      <x:c r="A1781" s="54" t="n">
        <x:v>44926</x:v>
      </x:c>
      <x:c r="B1781" t="n">
        <x:v>44926.624999988424</x:v>
      </x:c>
      <x:c r="C1781" t="str">
        <x:v>278470</x:v>
      </x:c>
      <x:c r="D1781" t="str">
        <x:v>에이피알</x:v>
      </x:c>
      <x:c r="E1781" t="str">
        <x:v>KOSPI</x:v>
      </x:c>
      <x:c r="F1781" t="str">
        <x:v>LARGE</x:v>
      </x:c>
      <x:c r="G1781" t="str">
        <x:v>NOT_LISTED_OR_NO_PRICE</x:v>
      </x:c>
      <x:c r="H1781"/>
      <x:c r="I1781" s="54"/>
      <x:c r="J1781" s="55"/>
      <x:c r="K1781" s="55"/>
      <x:c r="L1781" s="55"/>
      <x:c r="M1781"/>
      <x:c r="N1781"/>
      <x:c r="O1781" s="54"/>
      <x:c r="P1781"/>
      <x:c r="Q1781"/>
      <x:c r="R1781"/>
      <x:c r="S1781"/>
      <x:c r="T1781"/>
      <x:c r="U1781" s="57"/>
      <x:c r="V1781" s="57"/>
      <x:c r="W1781"/>
      <x:c r="X1781"/>
      <x:c r="Y1781" s="38"/>
      <x:c r="Z1781" s="38"/>
      <x:c r="AA1781"/>
    </x:row>
    <x:row r="1782">
      <x:c r="A1782" s="54" t="n">
        <x:v>44926</x:v>
      </x:c>
      <x:c r="B1782" t="n">
        <x:v>44926.624999988424</x:v>
      </x:c>
      <x:c r="C1782" t="str">
        <x:v>006260</x:v>
      </x:c>
      <x:c r="D1782" t="str">
        <x:v>LS</x:v>
      </x:c>
      <x:c r="E1782" t="str">
        <x:v>KOSPI</x:v>
      </x:c>
      <x:c r="F1782" t="str">
        <x:v>LARGE</x:v>
      </x:c>
      <x:c r="G1782" t="str">
        <x:v>ELIGIBLE</x:v>
      </x:c>
      <x:c r="H1782"/>
      <x:c r="I1782" s="54" t="n">
        <x:v>44924</x:v>
      </x:c>
      <x:c r="J1782" s="55" t="n">
        <x:v>69700</x:v>
      </x:c>
      <x:c r="K1782" s="55" t="n">
        <x:v>2244340000000</x:v>
      </x:c>
      <x:c r="L1782" s="55" t="n">
        <x:v>32200000</x:v>
      </x:c>
      <x:c r="M1782" t="str">
        <x:v>20220321001306</x:v>
      </x:c>
      <x:c r="N1782" t="n">
        <x:v>44641.624999988424</x:v>
      </x:c>
      <x:c r="O1782" s="54" t="n">
        <x:v>44561</x:v>
      </x:c>
      <x:c r="P1782" t="str">
        <x:v>False</x:v>
      </x:c>
      <x:c r="Q1782" t="str">
        <x:v>fc618c60adc023ca76aeeab8e90a7b9805e086e0e9a3002a54c537bc55178ab9</x:v>
      </x:c>
      <x:c r="R1782" t="str">
        <x:v>ee4dce741094d997c599cb5bd8d6799ab50260dd452eea046c6ccbcbf3e86bb1</x:v>
      </x:c>
      <x:c r="S1782" t="n">
        <x:v>6</x:v>
      </x:c>
      <x:c r="T1782" t="str">
        <x:v>2017-12-31|2018-12-31|2019-12-31|2020-12-31|2021-12-31</x:v>
      </x:c>
      <x:c r="U1782" s="57" t="n">
        <x:v>97062.99213156228</x:v>
      </x:c>
      <x:c r="V1782" s="57" t="n">
        <x:v>0.39258238352313163</x:v>
      </x:c>
      <x:c r="W1782" t="n">
        <x:v>16</x:v>
      </x:c>
      <x:c r="X1782" t="n">
        <x:v>2</x:v>
      </x:c>
      <x:c r="Y1782" s="38" t="n">
        <x:v>0.6409090909090909</x:v>
      </x:c>
      <x:c r="Z1782" s="38" t="n">
        <x:v>0.7104670417334864</x:v>
      </x:c>
      <x:c r="AA1782"/>
    </x:row>
    <x:row r="1783">
      <x:c r="A1783" s="54" t="n">
        <x:v>44926</x:v>
      </x:c>
      <x:c r="B1783" t="n">
        <x:v>44926.624999988424</x:v>
      </x:c>
      <x:c r="C1783" t="str">
        <x:v>454910</x:v>
      </x:c>
      <x:c r="D1783" t="str">
        <x:v>두산로보틱스</x:v>
      </x:c>
      <x:c r="E1783" t="str">
        <x:v>KOSPI</x:v>
      </x:c>
      <x:c r="F1783" t="str">
        <x:v>LARGE</x:v>
      </x:c>
      <x:c r="G1783" t="str">
        <x:v>NOT_LISTED_OR_NO_PRICE</x:v>
      </x:c>
      <x:c r="H1783"/>
      <x:c r="I1783" s="54"/>
      <x:c r="J1783" s="55"/>
      <x:c r="K1783" s="55"/>
      <x:c r="L1783" s="55"/>
      <x:c r="M1783"/>
      <x:c r="N1783"/>
      <x:c r="O1783" s="54"/>
      <x:c r="P1783"/>
      <x:c r="Q1783"/>
      <x:c r="R1783"/>
      <x:c r="S1783"/>
      <x:c r="T1783"/>
      <x:c r="U1783" s="57"/>
      <x:c r="V1783" s="57"/>
      <x:c r="W1783"/>
      <x:c r="X1783"/>
      <x:c r="Y1783" s="38"/>
      <x:c r="Z1783" s="38"/>
      <x:c r="AA1783"/>
    </x:row>
    <x:row r="1784">
      <x:c r="A1784" s="54" t="n">
        <x:v>44926</x:v>
      </x:c>
      <x:c r="B1784" t="n">
        <x:v>44926.624999988424</x:v>
      </x:c>
      <x:c r="C1784" t="str">
        <x:v>012750</x:v>
      </x:c>
      <x:c r="D1784" t="str">
        <x:v>에스원</x:v>
      </x:c>
      <x:c r="E1784" t="str">
        <x:v>KOSPI</x:v>
      </x:c>
      <x:c r="F1784" t="str">
        <x:v>LARGE</x:v>
      </x:c>
      <x:c r="G1784" t="str">
        <x:v>ELIGIBLE</x:v>
      </x:c>
      <x:c r="H1784"/>
      <x:c r="I1784" s="54" t="n">
        <x:v>44924</x:v>
      </x:c>
      <x:c r="J1784" s="55" t="n">
        <x:v>59300</x:v>
      </x:c>
      <x:c r="K1784" s="55" t="n">
        <x:v>2253351255400</x:v>
      </x:c>
      <x:c r="L1784" s="55" t="n">
        <x:v>37999178</x:v>
      </x:c>
      <x:c r="M1784" t="str">
        <x:v>20220308000980</x:v>
      </x:c>
      <x:c r="N1784" t="n">
        <x:v>44628.624999988424</x:v>
      </x:c>
      <x:c r="O1784" s="54" t="n">
        <x:v>44561</x:v>
      </x:c>
      <x:c r="P1784" t="str">
        <x:v>False</x:v>
      </x:c>
      <x:c r="Q1784" t="str">
        <x:v>cec7e2443b6d929ff3ce1f705e82edd95d1335ba81c3abd09d81ee04ce512714</x:v>
      </x:c>
      <x:c r="R1784" t="str">
        <x:v>d0def0bed3ea87eb005eb2ae3f4fbfca3ad3a18c84025c562c37472834ad011a</x:v>
      </x:c>
      <x:c r="S1784" t="n">
        <x:v>6</x:v>
      </x:c>
      <x:c r="T1784" t="str">
        <x:v>2018-12-31|2019-12-31|2020-12-31|2021-12-31</x:v>
      </x:c>
      <x:c r="U1784" s="57" t="n">
        <x:v>47044.103793118324</x:v>
      </x:c>
      <x:c r="V1784" s="57" t="n">
        <x:v>-0.2066761586320687</x:v>
      </x:c>
      <x:c r="W1784" t="n">
        <x:v>27</x:v>
      </x:c>
      <x:c r="X1784" t="n">
        <x:v>2</x:v>
      </x:c>
      <x:c r="Y1784" s="38" t="n">
        <x:v>0.6409090909090909</x:v>
      </x:c>
      <x:c r="Z1784" s="38" t="n">
        <x:v>0.7281119900370651</x:v>
      </x:c>
      <x:c r="AA1784"/>
    </x:row>
    <x:row r="1785">
      <x:c r="A1785" s="54" t="n">
        <x:v>44926</x:v>
      </x:c>
      <x:c r="B1785" t="n">
        <x:v>44926.624999988424</x:v>
      </x:c>
      <x:c r="C1785" t="str">
        <x:v>081660</x:v>
      </x:c>
      <x:c r="D1785" t="str">
        <x:v>미스토홀딩스</x:v>
      </x:c>
      <x:c r="E1785" t="str">
        <x:v>KOSPI</x:v>
      </x:c>
      <x:c r="F1785" t="str">
        <x:v>LARGE</x:v>
      </x:c>
      <x:c r="G1785" t="str">
        <x:v>EXCLUDED_ARCHETYPE</x:v>
      </x:c>
      <x:c r="H1785" t="str">
        <x:v>FCFF_NOT_COMPARABLE_FOR_FINANCE_OR_HOLDING_HINT</x:v>
      </x:c>
      <x:c r="I1785" s="54"/>
      <x:c r="J1785" s="55"/>
      <x:c r="K1785" s="55"/>
      <x:c r="L1785" s="55"/>
      <x:c r="M1785"/>
      <x:c r="N1785"/>
      <x:c r="O1785" s="54"/>
      <x:c r="P1785"/>
      <x:c r="Q1785"/>
      <x:c r="R1785"/>
      <x:c r="S1785"/>
      <x:c r="T1785"/>
      <x:c r="U1785" s="57"/>
      <x:c r="V1785" s="57"/>
      <x:c r="W1785"/>
      <x:c r="X1785"/>
      <x:c r="Y1785" s="38"/>
      <x:c r="Z1785" s="38"/>
      <x:c r="AA1785"/>
    </x:row>
    <x:row r="1786">
      <x:c r="A1786" s="54" t="n">
        <x:v>44926</x:v>
      </x:c>
      <x:c r="B1786" t="n">
        <x:v>44926.624999988424</x:v>
      </x:c>
      <x:c r="C1786" t="str">
        <x:v>282330</x:v>
      </x:c>
      <x:c r="D1786" t="str">
        <x:v>BGF리테일</x:v>
      </x:c>
      <x:c r="E1786" t="str">
        <x:v>KOSPI</x:v>
      </x:c>
      <x:c r="F1786" t="str">
        <x:v>LARGE</x:v>
      </x:c>
      <x:c r="G1786" t="str">
        <x:v>ELIGIBLE</x:v>
      </x:c>
      <x:c r="H1786"/>
      <x:c r="I1786" s="54" t="n">
        <x:v>44924</x:v>
      </x:c>
      <x:c r="J1786" s="55" t="n">
        <x:v>210500</x:v>
      </x:c>
      <x:c r="K1786" s="55" t="n">
        <x:v>3638262213000</x:v>
      </x:c>
      <x:c r="L1786" s="55" t="n">
        <x:v>17283906</x:v>
      </x:c>
      <x:c r="M1786" t="str">
        <x:v>20220321001041</x:v>
      </x:c>
      <x:c r="N1786" t="n">
        <x:v>44641.624999988424</x:v>
      </x:c>
      <x:c r="O1786" s="54" t="n">
        <x:v>44561</x:v>
      </x:c>
      <x:c r="P1786" t="str">
        <x:v>False</x:v>
      </x:c>
      <x:c r="Q1786" t="str">
        <x:v>651736971ff0b9b9188968659f9c2f1ffeb75f8c2930c8ac2af586a189e0cfba</x:v>
      </x:c>
      <x:c r="R1786" t="str">
        <x:v>e0b4f923f8575e89ee093b500db780d210168598911d0b837e7d4ca63024d313</x:v>
      </x:c>
      <x:c r="S1786" t="n">
        <x:v>6</x:v>
      </x:c>
      <x:c r="T1786" t="str">
        <x:v>2018-12-31|2019-12-31|2020-12-31|2021-12-31</x:v>
      </x:c>
      <x:c r="U1786" s="57" t="n">
        <x:v>84617.55770400933</x:v>
      </x:c>
      <x:c r="V1786" s="57" t="n">
        <x:v>-0.5980163529500744</x:v>
      </x:c>
      <x:c r="W1786" t="n">
        <x:v>50</x:v>
      </x:c>
      <x:c r="X1786" t="n">
        <x:v>4</x:v>
      </x:c>
      <x:c r="Y1786" s="38" t="n">
        <x:v>0.6409090909090909</x:v>
      </x:c>
      <x:c r="Z1786" s="38" t="n">
        <x:v>0.7132111125746716</x:v>
      </x:c>
      <x:c r="AA1786"/>
    </x:row>
    <x:row r="1787">
      <x:c r="A1787" s="54" t="n">
        <x:v>44926</x:v>
      </x:c>
      <x:c r="B1787" t="n">
        <x:v>44926.624999988424</x:v>
      </x:c>
      <x:c r="C1787" t="str">
        <x:v>023590</x:v>
      </x:c>
      <x:c r="D1787" t="str">
        <x:v>다우기술</x:v>
      </x:c>
      <x:c r="E1787" t="str">
        <x:v>KOSPI</x:v>
      </x:c>
      <x:c r="F1787" t="str">
        <x:v>LARGE</x:v>
      </x:c>
      <x:c r="G1787" t="str">
        <x:v>ELIGIBLE</x:v>
      </x:c>
      <x:c r="H1787"/>
      <x:c r="I1787" s="54" t="n">
        <x:v>44924</x:v>
      </x:c>
      <x:c r="J1787" s="55" t="n">
        <x:v>19200</x:v>
      </x:c>
      <x:c r="K1787" s="55" t="n">
        <x:v>861439046400</x:v>
      </x:c>
      <x:c r="L1787" s="55" t="n">
        <x:v>44866617</x:v>
      </x:c>
      <x:c r="M1787" t="str">
        <x:v>20220324000698</x:v>
      </x:c>
      <x:c r="N1787" t="n">
        <x:v>44644.624999988424</x:v>
      </x:c>
      <x:c r="O1787" s="54" t="n">
        <x:v>44561</x:v>
      </x:c>
      <x:c r="P1787" t="str">
        <x:v>True</x:v>
      </x:c>
      <x:c r="Q1787" t="str">
        <x:v>d0a46c46e27c8ae567a1dfc53454f300052035b327ed42abee11ed73f4655af4</x:v>
      </x:c>
      <x:c r="R1787" t="str">
        <x:v>8cf29e2e38938abfb231b4a20cb9ee8fe75d696d12fdb390fc02fa850ff809a7</x:v>
      </x:c>
      <x:c r="S1787" t="n">
        <x:v>7</x:v>
      </x:c>
      <x:c r="T1787" t="str">
        <x:v>2015-12-31|2016-12-31|2017-12-31|2018-12-31|2019-12-31|2020-12-31|2021-12-31</x:v>
      </x:c>
      <x:c r="U1787" s="57" t="n">
        <x:v>93413.85451487372</x:v>
      </x:c>
      <x:c r="V1787" s="57" t="n">
        <x:v>3.8653049226496727</x:v>
      </x:c>
      <x:c r="W1787" t="n">
        <x:v>3</x:v>
      </x:c>
      <x:c r="X1787" t="n">
        <x:v>1</x:v>
      </x:c>
      <x:c r="Y1787" s="38" t="n">
        <x:v>0.6409090909090909</x:v>
      </x:c>
      <x:c r="Z1787" s="38" t="n">
        <x:v>0.7191763171494087</x:v>
      </x:c>
      <x:c r="AA1787"/>
    </x:row>
    <x:row r="1788">
      <x:c r="A1788" s="54" t="n">
        <x:v>44926</x:v>
      </x:c>
      <x:c r="B1788" t="n">
        <x:v>44926.624999988424</x:v>
      </x:c>
      <x:c r="C1788" t="str">
        <x:v>300720</x:v>
      </x:c>
      <x:c r="D1788" t="str">
        <x:v>한일시멘트</x:v>
      </x:c>
      <x:c r="E1788" t="str">
        <x:v>KOSPI</x:v>
      </x:c>
      <x:c r="F1788" t="str">
        <x:v>LARGE</x:v>
      </x:c>
      <x:c r="G1788" t="str">
        <x:v>ELIGIBLE</x:v>
      </x:c>
      <x:c r="H1788"/>
      <x:c r="I1788" s="54" t="n">
        <x:v>44924</x:v>
      </x:c>
      <x:c r="J1788" s="55" t="n">
        <x:v>11650</x:v>
      </x:c>
      <x:c r="K1788" s="55" t="n">
        <x:v>806896941000</x:v>
      </x:c>
      <x:c r="L1788" s="55" t="n">
        <x:v>69261540</x:v>
      </x:c>
      <x:c r="M1788" t="str">
        <x:v>20220318000879</x:v>
      </x:c>
      <x:c r="N1788" t="n">
        <x:v>44638.624999988424</x:v>
      </x:c>
      <x:c r="O1788" s="54" t="n">
        <x:v>44561</x:v>
      </x:c>
      <x:c r="P1788" t="str">
        <x:v>False</x:v>
      </x:c>
      <x:c r="Q1788" t="str">
        <x:v>b196a80dcf59e61dbe3d67ba0a09efff25d1f6208c8248f423e92d47fe25d712</x:v>
      </x:c>
      <x:c r="R1788" t="str">
        <x:v>ad87301155d8a4e6539ee50da42c0e93e9271ccfed51cff4c306a5b90517ff77</x:v>
      </x:c>
      <x:c r="S1788" t="n">
        <x:v>6</x:v>
      </x:c>
      <x:c r="T1788" t="str">
        <x:v>2019-12-31|2020-12-31|2021-12-31</x:v>
      </x:c>
      <x:c r="U1788" s="57" t="n">
        <x:v>16562.403284589214</x:v>
      </x:c>
      <x:c r="V1788" s="57" t="n">
        <x:v>0.4216655179904906</x:v>
      </x:c>
      <x:c r="W1788" t="n">
        <x:v>14</x:v>
      </x:c>
      <x:c r="X1788" t="n">
        <x:v>1</x:v>
      </x:c>
      <x:c r="Y1788" s="38" t="n">
        <x:v>0.6409090909090909</x:v>
      </x:c>
      <x:c r="Z1788" s="38" t="n">
        <x:v>0.7149594422554854</x:v>
      </x:c>
      <x:c r="AA1788"/>
    </x:row>
    <x:row r="1789">
      <x:c r="A1789" s="54" t="n">
        <x:v>44926</x:v>
      </x:c>
      <x:c r="B1789" t="n">
        <x:v>44926.624999988424</x:v>
      </x:c>
      <x:c r="C1789" t="str">
        <x:v>007070</x:v>
      </x:c>
      <x:c r="D1789" t="str">
        <x:v>GS리테일</x:v>
      </x:c>
      <x:c r="E1789" t="str">
        <x:v>KOSPI</x:v>
      </x:c>
      <x:c r="F1789" t="str">
        <x:v>LARGE</x:v>
      </x:c>
      <x:c r="G1789" t="str">
        <x:v>DCF_SCREENING_EXCLUSION</x:v>
      </x:c>
      <x:c r="H1789" t="str">
        <x:v>NON_POSITIVE_EQUITY_VALUE</x:v>
      </x:c>
      <x:c r="I1789" s="54" t="n">
        <x:v>44924</x:v>
      </x:c>
      <x:c r="J1789" s="55" t="n">
        <x:v>28150</x:v>
      </x:c>
      <x:c r="K1789" s="55" t="n">
        <x:v>2947809504300</x:v>
      </x:c>
      <x:c r="L1789" s="55" t="n">
        <x:v>104717922</x:v>
      </x:c>
      <x:c r="M1789" t="str">
        <x:v>20220317001215</x:v>
      </x:c>
      <x:c r="N1789" t="n">
        <x:v>44637.624999988424</x:v>
      </x:c>
      <x:c r="O1789" s="54" t="n">
        <x:v>44561</x:v>
      </x:c>
      <x:c r="P1789" t="str">
        <x:v>False</x:v>
      </x:c>
      <x:c r="Q1789" t="str">
        <x:v>f64b3c79e40a2ceb1645ef31fe31ccca916ab600cdc6d604592b2c3031c2f744</x:v>
      </x:c>
      <x:c r="R1789" t="str">
        <x:v>e9b2f019099ecb24a9c28a1127d88758685b3d86aa672865957d93c7ccc37d57</x:v>
      </x:c>
      <x:c r="S1789" t="n">
        <x:v>6</x:v>
      </x:c>
      <x:c r="T1789" t="str">
        <x:v>2018-12-31|2019-12-31|2020-12-31|2021-12-31</x:v>
      </x:c>
      <x:c r="U1789" s="57" t="n">
        <x:v>-3644.2924059700817</x:v>
      </x:c>
      <x:c r="V1789" s="57" t="n">
        <x:v>-1.1294597657538217</x:v>
      </x:c>
      <x:c r="W1789"/>
      <x:c r="X1789"/>
      <x:c r="Y1789" s="38" t="n">
        <x:v>0.6409090909090909</x:v>
      </x:c>
      <x:c r="Z1789" s="38" t="n">
        <x:v>0.7332893647436171</x:v>
      </x:c>
      <x:c r="AA1789" t="str">
        <x:v>NON_POSITIVE_EQUITY_VALUE</x:v>
      </x:c>
    </x:row>
    <x:row r="1790">
      <x:c r="A1790" s="54" t="n">
        <x:v>44926</x:v>
      </x:c>
      <x:c r="B1790" t="n">
        <x:v>44926.624999988424</x:v>
      </x:c>
      <x:c r="C1790" t="str">
        <x:v>280360</x:v>
      </x:c>
      <x:c r="D1790" t="str">
        <x:v>롯데웰푸드</x:v>
      </x:c>
      <x:c r="E1790" t="str">
        <x:v>KOSPI</x:v>
      </x:c>
      <x:c r="F1790" t="str">
        <x:v>LARGE</x:v>
      </x:c>
      <x:c r="G1790" t="str">
        <x:v>ELIGIBLE</x:v>
      </x:c>
      <x:c r="H1790"/>
      <x:c r="I1790" s="54" t="n">
        <x:v>44924</x:v>
      </x:c>
      <x:c r="J1790" s="55" t="n">
        <x:v>122500</x:v>
      </x:c>
      <x:c r="K1790" s="55" t="n">
        <x:v>1155735315000</x:v>
      </x:c>
      <x:c r="L1790" s="55" t="n">
        <x:v>9434574</x:v>
      </x:c>
      <x:c r="M1790" t="str">
        <x:v>20220315001046</x:v>
      </x:c>
      <x:c r="N1790" t="n">
        <x:v>44635.624999988424</x:v>
      </x:c>
      <x:c r="O1790" s="54" t="n">
        <x:v>44561</x:v>
      </x:c>
      <x:c r="P1790" t="str">
        <x:v>False</x:v>
      </x:c>
      <x:c r="Q1790" t="str">
        <x:v>f16cc84e5e84a78e01941a6d8724081baed110f487f36c5f2e64119753cf828a</x:v>
      </x:c>
      <x:c r="R1790" t="str">
        <x:v>bbe3dc1762297940426e40878e7befb3db43e1bb0b5e630c135b1803aa2730fd</x:v>
      </x:c>
      <x:c r="S1790" t="n">
        <x:v>5</x:v>
      </x:c>
      <x:c r="T1790" t="str">
        <x:v>2018-12-31|2019-12-31|2020-12-31|2021-12-31</x:v>
      </x:c>
      <x:c r="U1790" s="57" t="n">
        <x:v>203001.44722875682</x:v>
      </x:c>
      <x:c r="V1790" s="57" t="n">
        <x:v>0.6571546712551577</x:v>
      </x:c>
      <x:c r="W1790" t="n">
        <x:v>9</x:v>
      </x:c>
      <x:c r="X1790" t="n">
        <x:v>1</x:v>
      </x:c>
      <x:c r="Y1790" s="38" t="n">
        <x:v>0.6409090909090909</x:v>
      </x:c>
      <x:c r="Z1790" s="38" t="n">
        <x:v>0.7026857389622789</x:v>
      </x:c>
      <x:c r="AA1790"/>
    </x:row>
    <x:row r="1791">
      <x:c r="A1791" s="54" t="n">
        <x:v>44926</x:v>
      </x:c>
      <x:c r="B1791" t="n">
        <x:v>44926.624999988424</x:v>
      </x:c>
      <x:c r="C1791" t="str">
        <x:v>039130</x:v>
      </x:c>
      <x:c r="D1791" t="str">
        <x:v>하나투어</x:v>
      </x:c>
      <x:c r="E1791" t="str">
        <x:v>KOSPI</x:v>
      </x:c>
      <x:c r="F1791" t="str">
        <x:v>LARGE</x:v>
      </x:c>
      <x:c r="G1791" t="str">
        <x:v>DCF_SCREENING_EXCLUSION</x:v>
      </x:c>
      <x:c r="H1791" t="str">
        <x:v>NON_POSITIVE_ENTERPRISE_VALUE|NON_POSITIVE_EQUITY_VALUE|NON_POSITIVE_TERMINAL_FCF</x:v>
      </x:c>
      <x:c r="I1791" s="54" t="n">
        <x:v>44924</x:v>
      </x:c>
      <x:c r="J1791" s="55" t="n">
        <x:v>60500</x:v>
      </x:c>
      <x:c r="K1791" s="55" t="n">
        <x:v>970370692500</x:v>
      </x:c>
      <x:c r="L1791" s="55" t="n">
        <x:v>16039185</x:v>
      </x:c>
      <x:c r="M1791" t="str">
        <x:v>20220317001007</x:v>
      </x:c>
      <x:c r="N1791" t="n">
        <x:v>44637.624999988424</x:v>
      </x:c>
      <x:c r="O1791" s="54" t="n">
        <x:v>44561</x:v>
      </x:c>
      <x:c r="P1791" t="str">
        <x:v>False</x:v>
      </x:c>
      <x:c r="Q1791" t="str">
        <x:v>5bcb1f2d50c33aafa6183c4f95a41750ae45bdd4edec6bb6a16bbf23458b852a</x:v>
      </x:c>
      <x:c r="R1791" t="str">
        <x:v>05ecb0980a80addf75d2f505184039d4bcbadff414cd00cf37a1f651754c284f</x:v>
      </x:c>
      <x:c r="S1791" t="n">
        <x:v>5</x:v>
      </x:c>
      <x:c r="T1791" t="str">
        <x:v>2018-12-31|2019-12-31|2020-12-31|2021-12-31</x:v>
      </x:c>
      <x:c r="U1791" s="57" t="n">
        <x:v>-12152.441923821247</x:v>
      </x:c>
      <x:c r="V1791" s="57" t="n">
        <x:v>-1.2008668086582024</x:v>
      </x:c>
      <x:c r="W1791"/>
      <x:c r="X1791"/>
      <x:c r="Y1791" s="38" t="n">
        <x:v>0.6409090909090909</x:v>
      </x:c>
      <x:c r="Z1791" s="38" t="n">
        <x:v>0.6865240790654953</x:v>
      </x:c>
      <x:c r="AA1791" t="str">
        <x:v>NON_POSITIVE_ENTERPRISE_VALUE|NON_POSITIVE_EQUITY_VALUE|NON_POSITIVE_TERMINAL_FCF</x:v>
      </x:c>
    </x:row>
    <x:row r="1792">
      <x:c r="A1792" s="54" t="n">
        <x:v>44926</x:v>
      </x:c>
      <x:c r="B1792" t="n">
        <x:v>44926.624999988424</x:v>
      </x:c>
      <x:c r="C1792" t="str">
        <x:v>005690</x:v>
      </x:c>
      <x:c r="D1792" t="str">
        <x:v>파미셀</x:v>
      </x:c>
      <x:c r="E1792" t="str">
        <x:v>KOSPI</x:v>
      </x:c>
      <x:c r="F1792" t="str">
        <x:v>LARGE</x:v>
      </x:c>
      <x:c r="G1792" t="str">
        <x:v>ELIGIBLE</x:v>
      </x:c>
      <x:c r="H1792"/>
      <x:c r="I1792" s="54" t="n">
        <x:v>44924</x:v>
      </x:c>
      <x:c r="J1792" s="55" t="n">
        <x:v>11300</x:v>
      </x:c>
      <x:c r="K1792" s="55" t="n">
        <x:v>678191693200</x:v>
      </x:c>
      <x:c r="L1792" s="55" t="n">
        <x:v>60016964</x:v>
      </x:c>
      <x:c r="M1792" t="str">
        <x:v>20220315000612</x:v>
      </x:c>
      <x:c r="N1792" t="n">
        <x:v>44635.624999988424</x:v>
      </x:c>
      <x:c r="O1792" s="54" t="n">
        <x:v>44561</x:v>
      </x:c>
      <x:c r="P1792" t="str">
        <x:v>False</x:v>
      </x:c>
      <x:c r="Q1792" t="str">
        <x:v>c771552e6714a123b5de4fae842ee329f4a2e13c3bf0d7fb1e618ef6fa88916f</x:v>
      </x:c>
      <x:c r="R1792" t="str">
        <x:v>286775aaf5d0ab80a4885d275e6e2006e3ac08a907600682c39f41a095f54439</x:v>
      </x:c>
      <x:c r="S1792" t="n">
        <x:v>6</x:v>
      </x:c>
      <x:c r="T1792" t="str">
        <x:v>2018-12-31|2019-12-31|2020-12-31|2021-12-31</x:v>
      </x:c>
      <x:c r="U1792" s="57" t="n">
        <x:v>941.3336839311955</x:v>
      </x:c>
      <x:c r="V1792" s="57" t="n">
        <x:v>-0.9166961341653809</x:v>
      </x:c>
      <x:c r="W1792" t="n">
        <x:v>66</x:v>
      </x:c>
      <x:c r="X1792" t="n">
        <x:v>5</x:v>
      </x:c>
      <x:c r="Y1792" s="38" t="n">
        <x:v>0.6409090909090909</x:v>
      </x:c>
      <x:c r="Z1792" s="38" t="n">
        <x:v>0.7272764453764741</x:v>
      </x:c>
      <x:c r="AA1792"/>
    </x:row>
    <x:row r="1793">
      <x:c r="A1793" s="54" t="n">
        <x:v>44926</x:v>
      </x:c>
      <x:c r="B1793" t="n">
        <x:v>44926.624999988424</x:v>
      </x:c>
      <x:c r="C1793" t="str">
        <x:v>002030</x:v>
      </x:c>
      <x:c r="D1793" t="str">
        <x:v>아세아</x:v>
      </x:c>
      <x:c r="E1793" t="str">
        <x:v>KOSPI</x:v>
      </x:c>
      <x:c r="F1793" t="str">
        <x:v>LARGE</x:v>
      </x:c>
      <x:c r="G1793" t="str">
        <x:v>ELIGIBLE</x:v>
      </x:c>
      <x:c r="H1793"/>
      <x:c r="I1793" s="54" t="n">
        <x:v>44924</x:v>
      </x:c>
      <x:c r="J1793" s="55" t="n">
        <x:v>131500</x:v>
      </x:c>
      <x:c r="K1793" s="55" t="n">
        <x:v>288119656000</x:v>
      </x:c>
      <x:c r="L1793" s="55" t="n">
        <x:v>2191024</x:v>
      </x:c>
      <x:c r="M1793" t="str">
        <x:v>20220310001179</x:v>
      </x:c>
      <x:c r="N1793" t="n">
        <x:v>44630.624999988424</x:v>
      </x:c>
      <x:c r="O1793" s="54" t="n">
        <x:v>44561</x:v>
      </x:c>
      <x:c r="P1793" t="str">
        <x:v>False</x:v>
      </x:c>
      <x:c r="Q1793" t="str">
        <x:v>e8aa48af423f31c6f0ec59de3ffc4b0afef8af58c02763e735a75a1958951553</x:v>
      </x:c>
      <x:c r="R1793" t="str">
        <x:v>a686171d78d58caea12ee58aef85969ccf53c09680455e066e53afd9bc4b440e</x:v>
      </x:c>
      <x:c r="S1793" t="n">
        <x:v>6</x:v>
      </x:c>
      <x:c r="T1793" t="str">
        <x:v>2018-12-31|2019-12-31|2020-12-31|2021-12-31</x:v>
      </x:c>
      <x:c r="U1793" s="57" t="n">
        <x:v>656764.7552904254</x:v>
      </x:c>
      <x:c r="V1793" s="57" t="n">
        <x:v>3.9944087854785204</x:v>
      </x:c>
      <x:c r="W1793" t="n">
        <x:v>2</x:v>
      </x:c>
      <x:c r="X1793" t="n">
        <x:v>1</x:v>
      </x:c>
      <x:c r="Y1793" s="38" t="n">
        <x:v>0.6409090909090909</x:v>
      </x:c>
      <x:c r="Z1793" s="38" t="n">
        <x:v>0.6683222274422937</x:v>
      </x:c>
      <x:c r="AA1793"/>
    </x:row>
    <x:row r="1794">
      <x:c r="A1794" s="54" t="n">
        <x:v>44926</x:v>
      </x:c>
      <x:c r="B1794" t="n">
        <x:v>44926.624999988424</x:v>
      </x:c>
      <x:c r="C1794" t="str">
        <x:v>009410</x:v>
      </x:c>
      <x:c r="D1794" t="str">
        <x:v>태영건설</x:v>
      </x:c>
      <x:c r="E1794" t="str">
        <x:v>KOSPI</x:v>
      </x:c>
      <x:c r="F1794" t="str">
        <x:v>LARGE</x:v>
      </x:c>
      <x:c r="G1794" t="str">
        <x:v>ELIGIBLE</x:v>
      </x:c>
      <x:c r="H1794"/>
      <x:c r="I1794" s="54" t="n">
        <x:v>44924</x:v>
      </x:c>
      <x:c r="J1794" s="55" t="n">
        <x:v>4030</x:v>
      </x:c>
      <x:c r="K1794" s="55" t="n">
        <x:v>156763364940</x:v>
      </x:c>
      <x:c r="L1794" s="55" t="n">
        <x:v>38899098</x:v>
      </x:c>
      <x:c r="M1794" t="str">
        <x:v>20220310001209</x:v>
      </x:c>
      <x:c r="N1794" t="n">
        <x:v>44630.624999988424</x:v>
      </x:c>
      <x:c r="O1794" s="54" t="n">
        <x:v>44561</x:v>
      </x:c>
      <x:c r="P1794" t="str">
        <x:v>False</x:v>
      </x:c>
      <x:c r="Q1794" t="str">
        <x:v>c3c8e2fb094477028fc3b807a9becd53f2d3fcf08a783fff5e8c5b89be705e0c</x:v>
      </x:c>
      <x:c r="R1794" t="str">
        <x:v>7a89d73d15b371faead427ed33d6e7853e8b10667ea5c57638e3913f076fd16b</x:v>
      </x:c>
      <x:c r="S1794" t="n">
        <x:v>6</x:v>
      </x:c>
      <x:c r="T1794" t="str">
        <x:v>2018-12-31|2019-12-31|2020-12-31|2021-12-31</x:v>
      </x:c>
      <x:c r="U1794" s="57" t="n">
        <x:v>54474.001680438516</x:v>
      </x:c>
      <x:c r="V1794" s="57" t="n">
        <x:v>12.517122005071592</x:v>
      </x:c>
      <x:c r="W1794" t="n">
        <x:v>1</x:v>
      </x:c>
      <x:c r="X1794" t="n">
        <x:v>1</x:v>
      </x:c>
      <x:c r="Y1794" s="38" t="n">
        <x:v>0.6409090909090909</x:v>
      </x:c>
      <x:c r="Z1794" s="38" t="n">
        <x:v>0.7547903731869546</x:v>
      </x:c>
      <x:c r="AA1794"/>
    </x:row>
    <x:row r="1795">
      <x:c r="A1795" s="54" t="n">
        <x:v>44926</x:v>
      </x:c>
      <x:c r="B1795" t="n">
        <x:v>44926.624999988424</x:v>
      </x:c>
      <x:c r="C1795" t="str">
        <x:v>010780</x:v>
      </x:c>
      <x:c r="D1795" t="str">
        <x:v>아이에스동서</x:v>
      </x:c>
      <x:c r="E1795" t="str">
        <x:v>KOSPI</x:v>
      </x:c>
      <x:c r="F1795" t="str">
        <x:v>LARGE</x:v>
      </x:c>
      <x:c r="G1795" t="str">
        <x:v>ELIGIBLE</x:v>
      </x:c>
      <x:c r="H1795"/>
      <x:c r="I1795" s="54" t="n">
        <x:v>44924</x:v>
      </x:c>
      <x:c r="J1795" s="55" t="n">
        <x:v>28200</x:v>
      </x:c>
      <x:c r="K1795" s="55" t="n">
        <x:v>871171489200</x:v>
      </x:c>
      <x:c r="L1795" s="55" t="n">
        <x:v>30892606</x:v>
      </x:c>
      <x:c r="M1795" t="str">
        <x:v>20220317001305</x:v>
      </x:c>
      <x:c r="N1795" t="n">
        <x:v>44637.624999988424</x:v>
      </x:c>
      <x:c r="O1795" s="54" t="n">
        <x:v>44561</x:v>
      </x:c>
      <x:c r="P1795" t="str">
        <x:v>False</x:v>
      </x:c>
      <x:c r="Q1795" t="str">
        <x:v>c05e73b24baa90ac74b979ae28f0970a58df3cdddce5db19d9c196bad8831469</x:v>
      </x:c>
      <x:c r="R1795" t="str">
        <x:v>ef4e0e300d3d0d4e3d20d1f5488c803f7fc4c458e06071e652beec181eedc073</x:v>
      </x:c>
      <x:c r="S1795" t="n">
        <x:v>6</x:v>
      </x:c>
      <x:c r="T1795" t="str">
        <x:v>2018-12-31|2019-12-31|2020-12-31|2021-12-31</x:v>
      </x:c>
      <x:c r="U1795" s="57" t="n">
        <x:v>95452.99373152091</x:v>
      </x:c>
      <x:c r="V1795" s="57" t="n">
        <x:v>2.3848579337418765</x:v>
      </x:c>
      <x:c r="W1795" t="n">
        <x:v>5</x:v>
      </x:c>
      <x:c r="X1795" t="n">
        <x:v>1</x:v>
      </x:c>
      <x:c r="Y1795" s="38" t="n">
        <x:v>0.6409090909090909</x:v>
      </x:c>
      <x:c r="Z1795" s="38" t="n">
        <x:v>0.7432360050182876</x:v>
      </x:c>
      <x:c r="AA1795"/>
    </x:row>
    <x:row r="1796">
      <x:c r="A1796" s="54" t="n">
        <x:v>44926</x:v>
      </x:c>
      <x:c r="B1796" t="n">
        <x:v>44926.624999988424</x:v>
      </x:c>
      <x:c r="C1796" t="str">
        <x:v>453340</x:v>
      </x:c>
      <x:c r="D1796" t="str">
        <x:v>현대그린푸드</x:v>
      </x:c>
      <x:c r="E1796" t="str">
        <x:v>KOSPI</x:v>
      </x:c>
      <x:c r="F1796" t="str">
        <x:v>LARGE</x:v>
      </x:c>
      <x:c r="G1796" t="str">
        <x:v>NOT_LISTED_OR_NO_PRICE</x:v>
      </x:c>
      <x:c r="H1796"/>
      <x:c r="I1796" s="54"/>
      <x:c r="J1796" s="55"/>
      <x:c r="K1796" s="55"/>
      <x:c r="L1796" s="55"/>
      <x:c r="M1796"/>
      <x:c r="N1796"/>
      <x:c r="O1796" s="54"/>
      <x:c r="P1796"/>
      <x:c r="Q1796"/>
      <x:c r="R1796"/>
      <x:c r="S1796"/>
      <x:c r="T1796"/>
      <x:c r="U1796" s="57"/>
      <x:c r="V1796" s="57"/>
      <x:c r="W1796"/>
      <x:c r="X1796"/>
      <x:c r="Y1796" s="38"/>
      <x:c r="Z1796" s="38"/>
      <x:c r="AA1796"/>
    </x:row>
    <x:row r="1797">
      <x:c r="A1797" s="54" t="n">
        <x:v>44926</x:v>
      </x:c>
      <x:c r="B1797" t="n">
        <x:v>44926.624999988424</x:v>
      </x:c>
      <x:c r="C1797" t="str">
        <x:v>006220</x:v>
      </x:c>
      <x:c r="D1797" t="str">
        <x:v>제주은행</x:v>
      </x:c>
      <x:c r="E1797" t="str">
        <x:v>KOSPI</x:v>
      </x:c>
      <x:c r="F1797" t="str">
        <x:v>LARGE</x:v>
      </x:c>
      <x:c r="G1797" t="str">
        <x:v>EXCLUDED_ARCHETYPE</x:v>
      </x:c>
      <x:c r="H1797" t="str">
        <x:v>FCFF_NOT_COMPARABLE_FOR_FINANCE_OR_HOLDING_HINT</x:v>
      </x:c>
      <x:c r="I1797" s="54"/>
      <x:c r="J1797" s="55"/>
      <x:c r="K1797" s="55"/>
      <x:c r="L1797" s="55"/>
      <x:c r="M1797"/>
      <x:c r="N1797"/>
      <x:c r="O1797" s="54"/>
      <x:c r="P1797"/>
      <x:c r="Q1797"/>
      <x:c r="R1797"/>
      <x:c r="S1797"/>
      <x:c r="T1797"/>
      <x:c r="U1797" s="57"/>
      <x:c r="V1797" s="57"/>
      <x:c r="W1797"/>
      <x:c r="X1797"/>
      <x:c r="Y1797" s="38"/>
      <x:c r="Z1797" s="38"/>
      <x:c r="AA1797"/>
    </x:row>
    <x:row r="1798">
      <x:c r="A1798" s="54" t="n">
        <x:v>44926</x:v>
      </x:c>
      <x:c r="B1798" t="n">
        <x:v>44926.624999988424</x:v>
      </x:c>
      <x:c r="C1798" t="str">
        <x:v>094800</x:v>
      </x:c>
      <x:c r="D1798" t="str">
        <x:v>맵스리얼티1</x:v>
      </x:c>
      <x:c r="E1798" t="str">
        <x:v>KOSPI</x:v>
      </x:c>
      <x:c r="F1798" t="str">
        <x:v>LARGE</x:v>
      </x:c>
      <x:c r="G1798" t="str">
        <x:v>NO_PIT_FINANCIALS</x:v>
      </x:c>
      <x:c r="H1798"/>
      <x:c r="I1798" s="54" t="n">
        <x:v>44924</x:v>
      </x:c>
      <x:c r="J1798" s="55" t="n">
        <x:v>4005</x:v>
      </x:c>
      <x:c r="K1798" s="55" t="n">
        <x:v>371801495655</x:v>
      </x:c>
      <x:c r="L1798" s="55" t="n">
        <x:v>92834331</x:v>
      </x:c>
      <x:c r="M1798"/>
      <x:c r="N1798"/>
      <x:c r="O1798" s="54"/>
      <x:c r="P1798"/>
      <x:c r="Q1798"/>
      <x:c r="R1798"/>
      <x:c r="S1798"/>
      <x:c r="T1798"/>
      <x:c r="U1798" s="57"/>
      <x:c r="V1798" s="57"/>
      <x:c r="W1798"/>
      <x:c r="X1798"/>
      <x:c r="Y1798" s="38"/>
      <x:c r="Z1798" s="38"/>
      <x:c r="AA1798"/>
    </x:row>
    <x:row r="1799">
      <x:c r="A1799" s="54" t="n">
        <x:v>44926</x:v>
      </x:c>
      <x:c r="B1799" t="n">
        <x:v>44926.624999988424</x:v>
      </x:c>
      <x:c r="C1799" t="str">
        <x:v>003160</x:v>
      </x:c>
      <x:c r="D1799" t="str">
        <x:v>디아이</x:v>
      </x:c>
      <x:c r="E1799" t="str">
        <x:v>KOSPI</x:v>
      </x:c>
      <x:c r="F1799" t="str">
        <x:v>LARGE</x:v>
      </x:c>
      <x:c r="G1799" t="str">
        <x:v>DCF_SCREENING_EXCLUSION</x:v>
      </x:c>
      <x:c r="H1799" t="str">
        <x:v>UNRELIABLE_TERMINAL_VALUE_SHARE</x:v>
      </x:c>
      <x:c r="I1799" s="54" t="n">
        <x:v>44924</x:v>
      </x:c>
      <x:c r="J1799" s="55" t="n">
        <x:v>4745</x:v>
      </x:c>
      <x:c r="K1799" s="55" t="n">
        <x:v>134283500000</x:v>
      </x:c>
      <x:c r="L1799" s="55" t="n">
        <x:v>28300000</x:v>
      </x:c>
      <x:c r="M1799" t="str">
        <x:v>20220317001034</x:v>
      </x:c>
      <x:c r="N1799" t="n">
        <x:v>44637.624999988424</x:v>
      </x:c>
      <x:c r="O1799" s="54" t="n">
        <x:v>44561</x:v>
      </x:c>
      <x:c r="P1799" t="str">
        <x:v>False</x:v>
      </x:c>
      <x:c r="Q1799" t="str">
        <x:v>f840bf80ccdf08030d39622021b7af1faf02c6755d42c5215f867726f3e69083</x:v>
      </x:c>
      <x:c r="R1799" t="str">
        <x:v>2b8b9a9b4b19408dccf729fe8d4593a595aa8d7e61e45153fcf6140e123bbc4d</x:v>
      </x:c>
      <x:c r="S1799" t="n">
        <x:v>6</x:v>
      </x:c>
      <x:c r="T1799" t="str">
        <x:v>2018-12-31|2019-12-31|2020-12-31|2021-12-31</x:v>
      </x:c>
      <x:c r="U1799" s="57" t="n">
        <x:v>968.0788291524347</x:v>
      </x:c>
      <x:c r="V1799" s="57" t="n">
        <x:v>-0.79597917193837</x:v>
      </x:c>
      <x:c r="W1799"/>
      <x:c r="X1799"/>
      <x:c r="Y1799" s="38" t="n">
        <x:v>0.6409090909090909</x:v>
      </x:c>
      <x:c r="Z1799" s="38" t="n">
        <x:v>0.8713470186696386</x:v>
      </x:c>
      <x:c r="AA1799" t="str">
        <x:v>UNRELIABLE_TERMINAL_VALUE_SHARE</x:v>
      </x:c>
    </x:row>
    <x:row r="1800">
      <x:c r="A1800" s="54" t="n">
        <x:v>44926</x:v>
      </x:c>
      <x:c r="B1800" t="n">
        <x:v>44926.624999988424</x:v>
      </x:c>
      <x:c r="C1800" t="str">
        <x:v>001940</x:v>
      </x:c>
      <x:c r="D1800" t="str">
        <x:v>KISCO홀딩스</x:v>
      </x:c>
      <x:c r="E1800" t="str">
        <x:v>KOSPI</x:v>
      </x:c>
      <x:c r="F1800" t="str">
        <x:v>LARGE</x:v>
      </x:c>
      <x:c r="G1800" t="str">
        <x:v>EXCLUDED_ARCHETYPE</x:v>
      </x:c>
      <x:c r="H1800" t="str">
        <x:v>FCFF_NOT_COMPARABLE_FOR_FINANCE_OR_HOLDING_HINT</x:v>
      </x:c>
      <x:c r="I1800" s="54"/>
      <x:c r="J1800" s="55"/>
      <x:c r="K1800" s="55"/>
      <x:c r="L1800" s="55"/>
      <x:c r="M1800"/>
      <x:c r="N1800"/>
      <x:c r="O1800" s="54"/>
      <x:c r="P1800"/>
      <x:c r="Q1800"/>
      <x:c r="R1800"/>
      <x:c r="S1800"/>
      <x:c r="T1800"/>
      <x:c r="U1800" s="57"/>
      <x:c r="V1800" s="57"/>
      <x:c r="W1800"/>
      <x:c r="X1800"/>
      <x:c r="Y1800" s="38"/>
      <x:c r="Z1800" s="38"/>
      <x:c r="AA1800"/>
    </x:row>
    <x:row r="1801">
      <x:c r="A1801" s="54" t="n">
        <x:v>44926</x:v>
      </x:c>
      <x:c r="B1801" t="n">
        <x:v>44926.624999988424</x:v>
      </x:c>
      <x:c r="C1801" t="str">
        <x:v>009290</x:v>
      </x:c>
      <x:c r="D1801" t="str">
        <x:v>광동제약</x:v>
      </x:c>
      <x:c r="E1801" t="str">
        <x:v>KOSPI</x:v>
      </x:c>
      <x:c r="F1801" t="str">
        <x:v>LARGE</x:v>
      </x:c>
      <x:c r="G1801" t="str">
        <x:v>ELIGIBLE</x:v>
      </x:c>
      <x:c r="H1801"/>
      <x:c r="I1801" s="54" t="n">
        <x:v>44924</x:v>
      </x:c>
      <x:c r="J1801" s="55" t="n">
        <x:v>5960</x:v>
      </x:c>
      <x:c r="K1801" s="55" t="n">
        <x:v>312428271960</x:v>
      </x:c>
      <x:c r="L1801" s="55" t="n">
        <x:v>52420851</x:v>
      </x:c>
      <x:c r="M1801" t="str">
        <x:v>20220317000780</x:v>
      </x:c>
      <x:c r="N1801" t="n">
        <x:v>44637.624999988424</x:v>
      </x:c>
      <x:c r="O1801" s="54" t="n">
        <x:v>44561</x:v>
      </x:c>
      <x:c r="P1801" t="str">
        <x:v>False</x:v>
      </x:c>
      <x:c r="Q1801" t="str">
        <x:v>e44bc3d7ba370690742feb51621cea3aac8cb2c91d5b74a2a0d2498f719e465d</x:v>
      </x:c>
      <x:c r="R1801" t="str">
        <x:v>f31dc408005b1a30eaa364173e3ac5570532c4c28772770059a911b075764aae</x:v>
      </x:c>
      <x:c r="S1801" t="n">
        <x:v>6</x:v>
      </x:c>
      <x:c r="T1801" t="str">
        <x:v>2018-12-31|2019-12-31|2020-12-31|2021-12-31</x:v>
      </x:c>
      <x:c r="U1801" s="57" t="n">
        <x:v>6174.840700813396</x:v>
      </x:c>
      <x:c r="V1801" s="57" t="n">
        <x:v>0.03604709745191221</x:v>
      </x:c>
      <x:c r="W1801" t="n">
        <x:v>23</x:v>
      </x:c>
      <x:c r="X1801" t="n">
        <x:v>2</x:v>
      </x:c>
      <x:c r="Y1801" s="38" t="n">
        <x:v>0.6409090909090909</x:v>
      </x:c>
      <x:c r="Z1801" s="38" t="n">
        <x:v>0.7309033788545352</x:v>
      </x:c>
      <x:c r="AA1801"/>
    </x:row>
    <x:row r="1802">
      <x:c r="A1802" s="54" t="n">
        <x:v>45016</x:v>
      </x:c>
      <x:c r="B1802" t="n">
        <x:v>45016.624999988424</x:v>
      </x:c>
      <x:c r="C1802" t="str">
        <x:v>168330</x:v>
      </x:c>
      <x:c r="D1802" t="str">
        <x:v>내츄럴엔도텍</x:v>
      </x:c>
      <x:c r="E1802" t="str">
        <x:v>KOSDAQ</x:v>
      </x:c>
      <x:c r="F1802" t="str">
        <x:v>SMALL</x:v>
      </x:c>
      <x:c r="G1802" t="str">
        <x:v>DCF_SCREENING_EXCLUSION</x:v>
      </x:c>
      <x:c r="H1802" t="str">
        <x:v>NON_POSITIVE_ENTERPRISE_VALUE|NON_POSITIVE_EQUITY_VALUE|NON_POSITIVE_TERMINAL_FCF</x:v>
      </x:c>
      <x:c r="I1802" s="54" t="n">
        <x:v>45016</x:v>
      </x:c>
      <x:c r="J1802" s="55" t="n">
        <x:v>2860</x:v>
      </x:c>
      <x:c r="K1802" s="55" t="n">
        <x:v>90819014000</x:v>
      </x:c>
      <x:c r="L1802" s="55" t="n">
        <x:v>31754900</x:v>
      </x:c>
      <x:c r="M1802" t="str">
        <x:v>20230321001074</x:v>
      </x:c>
      <x:c r="N1802" t="n">
        <x:v>45006.624999988424</x:v>
      </x:c>
      <x:c r="O1802" s="54" t="n">
        <x:v>44926</x:v>
      </x:c>
      <x:c r="P1802" t="str">
        <x:v>True</x:v>
      </x:c>
      <x:c r="Q1802" t="str">
        <x:v>8b7b63b2e9d87ee2b8cb2a101f790a8fe4a1ba8733d715f2813a48ef21a9d0d7</x:v>
      </x:c>
      <x:c r="R1802" t="str">
        <x:v>7362824419076d995f4260deca5f7ac7990f333cf0cb4a5e3565afeb34b0ce55</x:v>
      </x:c>
      <x:c r="S1802" t="n">
        <x:v>6</x:v>
      </x:c>
      <x:c r="T1802" t="str">
        <x:v>2018-12-31|2019-12-31|2020-12-31|2021-12-31|2022-12-31</x:v>
      </x:c>
      <x:c r="U1802" s="57" t="n">
        <x:v>-809.6155189523597</x:v>
      </x:c>
      <x:c r="V1802" s="57" t="n">
        <x:v>-1.283082349284042</x:v>
      </x:c>
      <x:c r="W1802"/>
      <x:c r="X1802"/>
      <x:c r="Y1802" s="38" t="n">
        <x:v>0.6409090909090909</x:v>
      </x:c>
      <x:c r="Z1802" s="38" t="n">
        <x:v>0.6263033331985346</x:v>
      </x:c>
      <x:c r="AA1802" t="str">
        <x:v>NON_POSITIVE_ENTERPRISE_VALUE|NON_POSITIVE_EQUITY_VALUE|NON_POSITIVE_TERMINAL_FCF</x:v>
      </x:c>
    </x:row>
    <x:row r="1803">
      <x:c r="A1803" s="54" t="n">
        <x:v>45016</x:v>
      </x:c>
      <x:c r="B1803" t="n">
        <x:v>45016.624999988424</x:v>
      </x:c>
      <x:c r="C1803" t="str">
        <x:v>120240</x:v>
      </x:c>
      <x:c r="D1803" t="str">
        <x:v>대정화금</x:v>
      </x:c>
      <x:c r="E1803" t="str">
        <x:v>KOSDAQ</x:v>
      </x:c>
      <x:c r="F1803" t="str">
        <x:v>SMALL</x:v>
      </x:c>
      <x:c r="G1803" t="str">
        <x:v>ELIGIBLE</x:v>
      </x:c>
      <x:c r="H1803"/>
      <x:c r="I1803" s="54" t="n">
        <x:v>45016</x:v>
      </x:c>
      <x:c r="J1803" s="55" t="n">
        <x:v>16180</x:v>
      </x:c>
      <x:c r="K1803" s="55" t="n">
        <x:v>116340526380</x:v>
      </x:c>
      <x:c r="L1803" s="55" t="n">
        <x:v>7190391</x:v>
      </x:c>
      <x:c r="M1803" t="str">
        <x:v>20230315000243</x:v>
      </x:c>
      <x:c r="N1803" t="n">
        <x:v>45000.624999988424</x:v>
      </x:c>
      <x:c r="O1803" s="54" t="n">
        <x:v>44926</x:v>
      </x:c>
      <x:c r="P1803" t="str">
        <x:v>False</x:v>
      </x:c>
      <x:c r="Q1803" t="str">
        <x:v>68db51702cbb66e1932f1b7fabf608e23517a3348d4093addeb79e2dc6330ca0</x:v>
      </x:c>
      <x:c r="R1803" t="str">
        <x:v>7398d2eee8f80021d748a5c944d2b143c5a1316ab9edb5c3a9329eeba433e245</x:v>
      </x:c>
      <x:c r="S1803" t="n">
        <x:v>7</x:v>
      </x:c>
      <x:c r="T1803" t="str">
        <x:v>2018-12-31|2019-12-31|2020-12-31|2021-12-31|2022-12-31</x:v>
      </x:c>
      <x:c r="U1803" s="57" t="n">
        <x:v>5621.2189273541435</x:v>
      </x:c>
      <x:c r="V1803" s="57" t="n">
        <x:v>-0.6525822665417711</x:v>
      </x:c>
      <x:c r="W1803" t="n">
        <x:v>54</x:v>
      </x:c>
      <x:c r="X1803" t="n">
        <x:v>4</x:v>
      </x:c>
      <x:c r="Y1803" s="38" t="n">
        <x:v>0.6409090909090909</x:v>
      </x:c>
      <x:c r="Z1803" s="38" t="n">
        <x:v>0.6742906559018058</x:v>
      </x:c>
      <x:c r="AA1803"/>
    </x:row>
    <x:row r="1804">
      <x:c r="A1804" s="54" t="n">
        <x:v>45016</x:v>
      </x:c>
      <x:c r="B1804" t="n">
        <x:v>45016.624999988424</x:v>
      </x:c>
      <x:c r="C1804" t="str">
        <x:v>348350</x:v>
      </x:c>
      <x:c r="D1804" t="str">
        <x:v>위드텍</x:v>
      </x:c>
      <x:c r="E1804" t="str">
        <x:v>KOSDAQ</x:v>
      </x:c>
      <x:c r="F1804" t="str">
        <x:v>SMALL</x:v>
      </x:c>
      <x:c r="G1804" t="str">
        <x:v>ELIGIBLE</x:v>
      </x:c>
      <x:c r="H1804"/>
      <x:c r="I1804" s="54" t="n">
        <x:v>45016</x:v>
      </x:c>
      <x:c r="J1804" s="55" t="n">
        <x:v>12970</x:v>
      </x:c>
      <x:c r="K1804" s="55" t="n">
        <x:v>132081292000</x:v>
      </x:c>
      <x:c r="L1804" s="55" t="n">
        <x:v>10183600</x:v>
      </x:c>
      <x:c r="M1804" t="str">
        <x:v>20230315001322</x:v>
      </x:c>
      <x:c r="N1804" t="n">
        <x:v>45000.624999988424</x:v>
      </x:c>
      <x:c r="O1804" s="54" t="n">
        <x:v>44926</x:v>
      </x:c>
      <x:c r="P1804" t="str">
        <x:v>False</x:v>
      </x:c>
      <x:c r="Q1804" t="str">
        <x:v>5a6323619d7ad35f7de29006ad26b51d53afa3f1b5ef1e1bafd08da40b7fc115</x:v>
      </x:c>
      <x:c r="R1804" t="str">
        <x:v>579dfd7d0e61d41b5d29bb6598c374909b901fe4a1cbfa2870ace192e3cae039</x:v>
      </x:c>
      <x:c r="S1804" t="n">
        <x:v>5</x:v>
      </x:c>
      <x:c r="T1804" t="str">
        <x:v>2020-12-31|2021-12-31|2022-12-31</x:v>
      </x:c>
      <x:c r="U1804" s="57" t="n">
        <x:v>14309.903984827863</x:v>
      </x:c>
      <x:c r="V1804" s="57" t="n">
        <x:v>0.10330794023345127</x:v>
      </x:c>
      <x:c r="W1804" t="n">
        <x:v>23</x:v>
      </x:c>
      <x:c r="X1804" t="n">
        <x:v>2</x:v>
      </x:c>
      <x:c r="Y1804" s="38" t="n">
        <x:v>0.6409090909090909</x:v>
      </x:c>
      <x:c r="Z1804" s="38" t="n">
        <x:v>0.6261496378896817</x:v>
      </x:c>
      <x:c r="AA1804"/>
    </x:row>
    <x:row r="1805">
      <x:c r="A1805" s="54" t="n">
        <x:v>45016</x:v>
      </x:c>
      <x:c r="B1805" t="n">
        <x:v>45016.624999988424</x:v>
      </x:c>
      <x:c r="C1805" t="str">
        <x:v>226330</x:v>
      </x:c>
      <x:c r="D1805" t="str">
        <x:v>신테카바이오</x:v>
      </x:c>
      <x:c r="E1805" t="str">
        <x:v>KOSDAQ</x:v>
      </x:c>
      <x:c r="F1805" t="str">
        <x:v>SMALL</x:v>
      </x:c>
      <x:c r="G1805" t="str">
        <x:v>DCF_SCREENING_EXCLUSION</x:v>
      </x:c>
      <x:c r="H1805" t="str">
        <x:v>NON_POSITIVE_ENTERPRISE_VALUE|NON_POSITIVE_TERMINAL_FCF</x:v>
      </x:c>
      <x:c r="I1805" s="54" t="n">
        <x:v>45016</x:v>
      </x:c>
      <x:c r="J1805" s="55" t="n">
        <x:v>8610</x:v>
      </x:c>
      <x:c r="K1805" s="55" t="n">
        <x:v>116421974760</x:v>
      </x:c>
      <x:c r="L1805" s="55" t="n">
        <x:v>13521716</x:v>
      </x:c>
      <x:c r="M1805" t="str">
        <x:v>20230323000653</x:v>
      </x:c>
      <x:c r="N1805" t="n">
        <x:v>45008.624999988424</x:v>
      </x:c>
      <x:c r="O1805" s="54" t="n">
        <x:v>44926</x:v>
      </x:c>
      <x:c r="P1805" t="str">
        <x:v>False</x:v>
      </x:c>
      <x:c r="Q1805" t="str">
        <x:v>3f0afb59cfe07770c1283a502c76f24874ee173ff49359e807bfb2d2d4a2e6c6</x:v>
      </x:c>
      <x:c r="R1805" t="str">
        <x:v>e20c085f47adc6aba0b57bd8ba5a40bae1d01c8d84ef9521ecf3f82c9b87e1ca</x:v>
      </x:c>
      <x:c r="S1805" t="n">
        <x:v>5</x:v>
      </x:c>
      <x:c r="T1805" t="str">
        <x:v>2019-12-31|2020-12-31|2021-12-31|2022-12-31</x:v>
      </x:c>
      <x:c r="U1805" s="57" t="n">
        <x:v>1813.2355496873936</x:v>
      </x:c>
      <x:c r="V1805" s="57" t="n">
        <x:v>-0.7894035366216732</x:v>
      </x:c>
      <x:c r="W1805"/>
      <x:c r="X1805"/>
      <x:c r="Y1805" s="38" t="n">
        <x:v>0.6409090909090909</x:v>
      </x:c>
      <x:c r="Z1805" s="38" t="n">
        <x:v>0.6095054406520231</x:v>
      </x:c>
      <x:c r="AA1805" t="str">
        <x:v>NON_POSITIVE_ENTERPRISE_VALUE|NON_POSITIVE_TERMINAL_FCF</x:v>
      </x:c>
    </x:row>
    <x:row r="1806">
      <x:c r="A1806" s="54" t="n">
        <x:v>45016</x:v>
      </x:c>
      <x:c r="B1806" t="n">
        <x:v>45016.624999988424</x:v>
      </x:c>
      <x:c r="C1806" t="str">
        <x:v>215090</x:v>
      </x:c>
      <x:c r="D1806" t="str">
        <x:v>솔디펜스</x:v>
      </x:c>
      <x:c r="E1806" t="str">
        <x:v>KOSDAQ</x:v>
      </x:c>
      <x:c r="F1806" t="str">
        <x:v>SMALL</x:v>
      </x:c>
      <x:c r="G1806" t="str">
        <x:v>DCF_SCREENING_EXCLUSION</x:v>
      </x:c>
      <x:c r="H1806" t="str">
        <x:v>NON_POSITIVE_ENTERPRISE_VALUE|NON_POSITIVE_EQUITY_VALUE|NON_POSITIVE_TERMINAL_FCF</x:v>
      </x:c>
      <x:c r="I1806" s="54" t="n">
        <x:v>45016</x:v>
      </x:c>
      <x:c r="J1806" s="55" t="n">
        <x:v>1505</x:v>
      </x:c>
      <x:c r="K1806" s="55" t="n">
        <x:v>120843123170</x:v>
      </x:c>
      <x:c r="L1806" s="55" t="n">
        <x:v>80294434</x:v>
      </x:c>
      <x:c r="M1806" t="str">
        <x:v>20230323001577</x:v>
      </x:c>
      <x:c r="N1806" t="n">
        <x:v>45008.624999988424</x:v>
      </x:c>
      <x:c r="O1806" s="54" t="n">
        <x:v>44926</x:v>
      </x:c>
      <x:c r="P1806" t="str">
        <x:v>False</x:v>
      </x:c>
      <x:c r="Q1806" t="str">
        <x:v>7caf8e5770f0f99647694caf6dbeba6534a3bd010589c7d3bdecb6aae1454841</x:v>
      </x:c>
      <x:c r="R1806" t="str">
        <x:v>6ef87ee89f8fde8836ec1a22fd939a16690e271c6e7f00f8e72df3d9fc4f0328</x:v>
      </x:c>
      <x:c r="S1806" t="n">
        <x:v>5</x:v>
      </x:c>
      <x:c r="T1806" t="str">
        <x:v>2018-12-31|2019-12-31|2020-12-31|2021-12-31|2022-12-31</x:v>
      </x:c>
      <x:c r="U1806" s="57" t="n">
        <x:v>-240.7289902578976</x:v>
      </x:c>
      <x:c r="V1806" s="57" t="n">
        <x:v>-1.159952817447108</x:v>
      </x:c>
      <x:c r="W1806"/>
      <x:c r="X1806"/>
      <x:c r="Y1806" s="38" t="n">
        <x:v>0.6409090909090909</x:v>
      </x:c>
      <x:c r="Z1806" s="38" t="n">
        <x:v>0.6280679398713767</x:v>
      </x:c>
      <x:c r="AA1806" t="str">
        <x:v>NON_POSITIVE_ENTERPRISE_VALUE|NON_POSITIVE_EQUITY_VALUE|NON_POSITIVE_TERMINAL_FCF</x:v>
      </x:c>
    </x:row>
    <x:row r="1807">
      <x:c r="A1807" s="54" t="n">
        <x:v>45016</x:v>
      </x:c>
      <x:c r="B1807" t="n">
        <x:v>45016.624999988424</x:v>
      </x:c>
      <x:c r="C1807" t="str">
        <x:v>185490</x:v>
      </x:c>
      <x:c r="D1807" t="str">
        <x:v>아이진</x:v>
      </x:c>
      <x:c r="E1807" t="str">
        <x:v>KOSDAQ</x:v>
      </x:c>
      <x:c r="F1807" t="str">
        <x:v>SMALL</x:v>
      </x:c>
      <x:c r="G1807" t="str">
        <x:v>DCF_SCREENING_EXCLUSION</x:v>
      </x:c>
      <x:c r="H1807" t="str">
        <x:v>NON_POSITIVE_ENTERPRISE_VALUE|NON_POSITIVE_EQUITY_VALUE|NON_POSITIVE_TERMINAL_FCF</x:v>
      </x:c>
      <x:c r="I1807" s="54" t="n">
        <x:v>45016</x:v>
      </x:c>
      <x:c r="J1807" s="55" t="n">
        <x:v>4365</x:v>
      </x:c>
      <x:c r="K1807" s="55" t="n">
        <x:v>93752954100</x:v>
      </x:c>
      <x:c r="L1807" s="55" t="n">
        <x:v>21478340</x:v>
      </x:c>
      <x:c r="M1807" t="str">
        <x:v>20230315001401</x:v>
      </x:c>
      <x:c r="N1807" t="n">
        <x:v>45000.624999988424</x:v>
      </x:c>
      <x:c r="O1807" s="54" t="n">
        <x:v>44926</x:v>
      </x:c>
      <x:c r="P1807" t="str">
        <x:v>False</x:v>
      </x:c>
      <x:c r="Q1807" t="str">
        <x:v>c397debbd0091ddd6bf16e6dad441fccd47f73cbda2a1ac5840236e1bac6e11e</x:v>
      </x:c>
      <x:c r="R1807" t="str">
        <x:v>0c1ac31c89c8343ee44ab9a488672232a714c97ffe3c101f7ff030a79b21b038</x:v>
      </x:c>
      <x:c r="S1807" t="n">
        <x:v>5</x:v>
      </x:c>
      <x:c r="T1807" t="str">
        <x:v>2018-12-31|2019-12-31|2020-12-31|2021-12-31|2022-12-31</x:v>
      </x:c>
      <x:c r="U1807" s="57" t="n">
        <x:v>-486.7578203776162</x:v>
      </x:c>
      <x:c r="V1807" s="57" t="n">
        <x:v>-1.1115138191014011</x:v>
      </x:c>
      <x:c r="W1807"/>
      <x:c r="X1807"/>
      <x:c r="Y1807" s="38" t="n">
        <x:v>0.6409090909090909</x:v>
      </x:c>
      <x:c r="Z1807" s="38" t="n">
        <x:v>0.6422566574366064</x:v>
      </x:c>
      <x:c r="AA1807" t="str">
        <x:v>NON_POSITIVE_ENTERPRISE_VALUE|NON_POSITIVE_EQUITY_VALUE|NON_POSITIVE_TERMINAL_FCF</x:v>
      </x:c>
    </x:row>
    <x:row r="1808">
      <x:c r="A1808" s="54" t="n">
        <x:v>45016</x:v>
      </x:c>
      <x:c r="B1808" t="n">
        <x:v>45016.624999988424</x:v>
      </x:c>
      <x:c r="C1808" t="str">
        <x:v>333620</x:v>
      </x:c>
      <x:c r="D1808" t="str">
        <x:v>엔시스</x:v>
      </x:c>
      <x:c r="E1808" t="str">
        <x:v>KOSDAQ</x:v>
      </x:c>
      <x:c r="F1808" t="str">
        <x:v>SMALL</x:v>
      </x:c>
      <x:c r="G1808" t="str">
        <x:v>ELIGIBLE</x:v>
      </x:c>
      <x:c r="H1808"/>
      <x:c r="I1808" s="54" t="n">
        <x:v>45016</x:v>
      </x:c>
      <x:c r="J1808" s="55" t="n">
        <x:v>13900</x:v>
      </x:c>
      <x:c r="K1808" s="55" t="n">
        <x:v>146733181600</x:v>
      </x:c>
      <x:c r="L1808" s="55" t="n">
        <x:v>10556344</x:v>
      </x:c>
      <x:c r="M1808" t="str">
        <x:v>20230321000024</x:v>
      </x:c>
      <x:c r="N1808" t="n">
        <x:v>45006.624999988424</x:v>
      </x:c>
      <x:c r="O1808" s="54" t="n">
        <x:v>44926</x:v>
      </x:c>
      <x:c r="P1808" t="str">
        <x:v>False</x:v>
      </x:c>
      <x:c r="Q1808" t="str">
        <x:v>31dbb21ddcad5b2ad28ed0a4aae3e0ceb52e21841557c50d5019d74a8dfa12f3</x:v>
      </x:c>
      <x:c r="R1808" t="str">
        <x:v>fb45111f1e452f88a6c98d51a0b0da00a152d33af3a5e75b5b7a9b9e7df64078</x:v>
      </x:c>
      <x:c r="S1808" t="n">
        <x:v>6</x:v>
      </x:c>
      <x:c r="T1808" t="str">
        <x:v>2020-12-31|2021-12-31|2022-12-31</x:v>
      </x:c>
      <x:c r="U1808" s="57" t="n">
        <x:v>3754.6810911879898</x:v>
      </x:c>
      <x:c r="V1808" s="57" t="n">
        <x:v>-0.7298790581879144</x:v>
      </x:c>
      <x:c r="W1808" t="n">
        <x:v>58</x:v>
      </x:c>
      <x:c r="X1808" t="n">
        <x:v>5</x:v>
      </x:c>
      <x:c r="Y1808" s="38" t="n">
        <x:v>0.6409090909090909</x:v>
      </x:c>
      <x:c r="Z1808" s="38" t="n">
        <x:v>0.7689778383906659</x:v>
      </x:c>
      <x:c r="AA1808"/>
    </x:row>
    <x:row r="1809">
      <x:c r="A1809" s="54" t="n">
        <x:v>45016</x:v>
      </x:c>
      <x:c r="B1809" t="n">
        <x:v>45016.624999988424</x:v>
      </x:c>
      <x:c r="C1809" t="str">
        <x:v>036710</x:v>
      </x:c>
      <x:c r="D1809" t="str">
        <x:v>심텍홀딩스</x:v>
      </x:c>
      <x:c r="E1809" t="str">
        <x:v>KOSDAQ</x:v>
      </x:c>
      <x:c r="F1809" t="str">
        <x:v>SMALL</x:v>
      </x:c>
      <x:c r="G1809" t="str">
        <x:v>EXCLUDED_ARCHETYPE</x:v>
      </x:c>
      <x:c r="H1809" t="str">
        <x:v>FCFF_NOT_COMPARABLE_FOR_FINANCE_OR_HOLDING_HINT</x:v>
      </x:c>
      <x:c r="I1809" s="54"/>
      <x:c r="J1809" s="55"/>
      <x:c r="K1809" s="55"/>
      <x:c r="L1809" s="55"/>
      <x:c r="M1809"/>
      <x:c r="N1809"/>
      <x:c r="O1809" s="54"/>
      <x:c r="P1809"/>
      <x:c r="Q1809"/>
      <x:c r="R1809"/>
      <x:c r="S1809"/>
      <x:c r="T1809"/>
      <x:c r="U1809" s="57"/>
      <x:c r="V1809" s="57"/>
      <x:c r="W1809"/>
      <x:c r="X1809"/>
      <x:c r="Y1809" s="38"/>
      <x:c r="Z1809" s="38"/>
      <x:c r="AA1809"/>
    </x:row>
    <x:row r="1810">
      <x:c r="A1810" s="54" t="n">
        <x:v>45016</x:v>
      </x:c>
      <x:c r="B1810" t="n">
        <x:v>45016.624999988424</x:v>
      </x:c>
      <x:c r="C1810" t="str">
        <x:v>049480</x:v>
      </x:c>
      <x:c r="D1810" t="str">
        <x:v>오픈베이스</x:v>
      </x:c>
      <x:c r="E1810" t="str">
        <x:v>KOSDAQ</x:v>
      </x:c>
      <x:c r="F1810" t="str">
        <x:v>SMALL</x:v>
      </x:c>
      <x:c r="G1810" t="str">
        <x:v>ELIGIBLE</x:v>
      </x:c>
      <x:c r="H1810"/>
      <x:c r="I1810" s="54" t="n">
        <x:v>45016</x:v>
      </x:c>
      <x:c r="J1810" s="55" t="n">
        <x:v>3215</x:v>
      </x:c>
      <x:c r="K1810" s="55" t="n">
        <x:v>101022961345</x:v>
      </x:c>
      <x:c r="L1810" s="55" t="n">
        <x:v>31422383</x:v>
      </x:c>
      <x:c r="M1810" t="str">
        <x:v>20230327000282</x:v>
      </x:c>
      <x:c r="N1810" t="n">
        <x:v>45012.624999988424</x:v>
      </x:c>
      <x:c r="O1810" s="54" t="n">
        <x:v>44926</x:v>
      </x:c>
      <x:c r="P1810" t="str">
        <x:v>True</x:v>
      </x:c>
      <x:c r="Q1810" t="str">
        <x:v>42ea968732c68af704538b6a96069c24f471922e6900275570ae4010b40edc5d</x:v>
      </x:c>
      <x:c r="R1810" t="str">
        <x:v>ab09784fda9d75cc8b97f3d5bb38041a05710bed737db030285a8ac9556f54a0</x:v>
      </x:c>
      <x:c r="S1810" t="n">
        <x:v>6</x:v>
      </x:c>
      <x:c r="T1810" t="str">
        <x:v>2018-12-31|2019-12-31|2020-12-31|2021-12-31|2022-12-31</x:v>
      </x:c>
      <x:c r="U1810" s="57" t="n">
        <x:v>1803.8821154458892</x:v>
      </x:c>
      <x:c r="V1810" s="57" t="n">
        <x:v>-0.4389169158799723</x:v>
      </x:c>
      <x:c r="W1810" t="n">
        <x:v>42</x:v>
      </x:c>
      <x:c r="X1810" t="n">
        <x:v>3</x:v>
      </x:c>
      <x:c r="Y1810" s="38" t="n">
        <x:v>0.6409090909090909</x:v>
      </x:c>
      <x:c r="Z1810" s="38" t="n">
        <x:v>0.5306461642500262</x:v>
      </x:c>
      <x:c r="AA1810"/>
    </x:row>
    <x:row r="1811">
      <x:c r="A1811" s="54" t="n">
        <x:v>45016</x:v>
      </x:c>
      <x:c r="B1811" t="n">
        <x:v>45016.624999988424</x:v>
      </x:c>
      <x:c r="C1811" t="str">
        <x:v>302430</x:v>
      </x:c>
      <x:c r="D1811" t="str">
        <x:v>이노메트리</x:v>
      </x:c>
      <x:c r="E1811" t="str">
        <x:v>KOSDAQ</x:v>
      </x:c>
      <x:c r="F1811" t="str">
        <x:v>SMALL</x:v>
      </x:c>
      <x:c r="G1811" t="str">
        <x:v>ELIGIBLE</x:v>
      </x:c>
      <x:c r="H1811"/>
      <x:c r="I1811" s="54" t="n">
        <x:v>45016</x:v>
      </x:c>
      <x:c r="J1811" s="55" t="n">
        <x:v>16150</x:v>
      </x:c>
      <x:c r="K1811" s="55" t="n">
        <x:v>158806309200</x:v>
      </x:c>
      <x:c r="L1811" s="55" t="n">
        <x:v>9833208</x:v>
      </x:c>
      <x:c r="M1811" t="str">
        <x:v>20230317000534</x:v>
      </x:c>
      <x:c r="N1811" t="n">
        <x:v>45002.624999988424</x:v>
      </x:c>
      <x:c r="O1811" s="54" t="n">
        <x:v>44926</x:v>
      </x:c>
      <x:c r="P1811" t="str">
        <x:v>False</x:v>
      </x:c>
      <x:c r="Q1811" t="str">
        <x:v>de9546fda28c65a23fad6628de7853535b6651560757ff0fe1a52b30730cfc03</x:v>
      </x:c>
      <x:c r="R1811" t="str">
        <x:v>8a26ebe85de001e6143797cb929271694b60af9589b3044f81aa89f0fdecc7a9</x:v>
      </x:c>
      <x:c r="S1811" t="n">
        <x:v>6</x:v>
      </x:c>
      <x:c r="T1811" t="str">
        <x:v>2018-12-31|2019-12-31|2020-12-31|2021-12-31|2022-12-31</x:v>
      </x:c>
      <x:c r="U1811" s="57" t="n">
        <x:v>2561.2579654535784</x:v>
      </x:c>
      <x:c r="V1811" s="57" t="n">
        <x:v>-0.8414081755137103</x:v>
      </x:c>
      <x:c r="W1811" t="n">
        <x:v>64</x:v>
      </x:c>
      <x:c r="X1811" t="n">
        <x:v>5</x:v>
      </x:c>
      <x:c r="Y1811" s="38" t="n">
        <x:v>0.6409090909090909</x:v>
      </x:c>
      <x:c r="Z1811" s="38" t="n">
        <x:v>0.6743683677875997</x:v>
      </x:c>
      <x:c r="AA1811"/>
    </x:row>
    <x:row r="1812">
      <x:c r="A1812" s="54" t="n">
        <x:v>45016</x:v>
      </x:c>
      <x:c r="B1812" t="n">
        <x:v>45016.624999988424</x:v>
      </x:c>
      <x:c r="C1812" t="str">
        <x:v>288620</x:v>
      </x:c>
      <x:c r="D1812" t="str">
        <x:v>에스퓨얼셀</x:v>
      </x:c>
      <x:c r="E1812" t="str">
        <x:v>KOSDAQ</x:v>
      </x:c>
      <x:c r="F1812" t="str">
        <x:v>SMALL</x:v>
      </x:c>
      <x:c r="G1812" t="str">
        <x:v>DCF_SCREENING_EXCLUSION</x:v>
      </x:c>
      <x:c r="H1812" t="str">
        <x:v>NON_POSITIVE_EQUITY_VALUE|UNRELIABLE_TERMINAL_VALUE_SHARE</x:v>
      </x:c>
      <x:c r="I1812" s="54" t="n">
        <x:v>45016</x:v>
      </x:c>
      <x:c r="J1812" s="55" t="n">
        <x:v>21450</x:v>
      </x:c>
      <x:c r="K1812" s="55" t="n">
        <x:v>147454078200</x:v>
      </x:c>
      <x:c r="L1812" s="55" t="n">
        <x:v>6874316</x:v>
      </x:c>
      <x:c r="M1812" t="str">
        <x:v>20230316001373</x:v>
      </x:c>
      <x:c r="N1812" t="n">
        <x:v>45001.624999988424</x:v>
      </x:c>
      <x:c r="O1812" s="54" t="n">
        <x:v>44926</x:v>
      </x:c>
      <x:c r="P1812" t="str">
        <x:v>False</x:v>
      </x:c>
      <x:c r="Q1812" t="str">
        <x:v>a0f73bf5abd07b28ebfb12fc1090d5d41c37644288eda61745064e3c381d57bf</x:v>
      </x:c>
      <x:c r="R1812" t="str">
        <x:v>26d9f4961fa261b2f033fa38cfe5ebffffd8a8571e51064c9347559a92b11917</x:v>
      </x:c>
      <x:c r="S1812" t="n">
        <x:v>6</x:v>
      </x:c>
      <x:c r="T1812" t="str">
        <x:v>2018-12-31|2019-12-31|2020-12-31|2021-12-31|2022-12-31</x:v>
      </x:c>
      <x:c r="U1812" s="57" t="n">
        <x:v>-4441.9776246834135</x:v>
      </x:c>
      <x:c r="V1812" s="57" t="n">
        <x:v>-1.2070852039479447</x:v>
      </x:c>
      <x:c r="W1812"/>
      <x:c r="X1812"/>
      <x:c r="Y1812" s="38" t="n">
        <x:v>0.6409090909090909</x:v>
      </x:c>
      <x:c r="Z1812" s="38" t="n">
        <x:v>2.269399089417067</x:v>
      </x:c>
      <x:c r="AA1812" t="str">
        <x:v>NON_POSITIVE_EQUITY_VALUE|UNRELIABLE_TERMINAL_VALUE_SHARE</x:v>
      </x:c>
    </x:row>
    <x:row r="1813">
      <x:c r="A1813" s="54" t="n">
        <x:v>45016</x:v>
      </x:c>
      <x:c r="B1813" t="n">
        <x:v>45016.624999988424</x:v>
      </x:c>
      <x:c r="C1813" t="str">
        <x:v>094840</x:v>
      </x:c>
      <x:c r="D1813" t="str">
        <x:v>슈프리마에이치큐</x:v>
      </x:c>
      <x:c r="E1813" t="str">
        <x:v>KOSDAQ</x:v>
      </x:c>
      <x:c r="F1813" t="str">
        <x:v>SMALL</x:v>
      </x:c>
      <x:c r="G1813" t="str">
        <x:v>ELIGIBLE</x:v>
      </x:c>
      <x:c r="H1813"/>
      <x:c r="I1813" s="54" t="n">
        <x:v>45016</x:v>
      </x:c>
      <x:c r="J1813" s="55" t="n">
        <x:v>5500</x:v>
      </x:c>
      <x:c r="K1813" s="55" t="n">
        <x:v>57595120000</x:v>
      </x:c>
      <x:c r="L1813" s="55" t="n">
        <x:v>10471840</x:v>
      </x:c>
      <x:c r="M1813" t="str">
        <x:v>20230314001299</x:v>
      </x:c>
      <x:c r="N1813" t="n">
        <x:v>45000.624999988424</x:v>
      </x:c>
      <x:c r="O1813" s="54" t="n">
        <x:v>44926</x:v>
      </x:c>
      <x:c r="P1813" t="str">
        <x:v>False</x:v>
      </x:c>
      <x:c r="Q1813" t="str">
        <x:v>68dfd4440b2c2afb80c1e44c2b622c1d51d9f1ed97fd061ad39acf1a13ff5528</x:v>
      </x:c>
      <x:c r="R1813" t="str">
        <x:v>401bf4b2f3290e8a8fc1738434ddb00df3d9594339b6b1eadcd9cc44f8c9e7ea</x:v>
      </x:c>
      <x:c r="S1813" t="n">
        <x:v>6</x:v>
      </x:c>
      <x:c r="T1813" t="str">
        <x:v>2018-12-31|2019-12-31|2020-12-31|2021-12-31|2022-12-31</x:v>
      </x:c>
      <x:c r="U1813" s="57" t="n">
        <x:v>6313.964112199713</x:v>
      </x:c>
      <x:c r="V1813" s="57" t="n">
        <x:v>0.1479934749454024</x:v>
      </x:c>
      <x:c r="W1813" t="n">
        <x:v>22</x:v>
      </x:c>
      <x:c r="X1813" t="n">
        <x:v>2</x:v>
      </x:c>
      <x:c r="Y1813" s="38" t="n">
        <x:v>0.6409090909090909</x:v>
      </x:c>
      <x:c r="Z1813" s="38" t="n">
        <x:v>0.628344919435413</x:v>
      </x:c>
      <x:c r="AA1813"/>
    </x:row>
    <x:row r="1814">
      <x:c r="A1814" s="54" t="n">
        <x:v>45016</x:v>
      </x:c>
      <x:c r="B1814" t="n">
        <x:v>45016.624999988424</x:v>
      </x:c>
      <x:c r="C1814" t="str">
        <x:v>019990</x:v>
      </x:c>
      <x:c r="D1814" t="str">
        <x:v>에너토크</x:v>
      </x:c>
      <x:c r="E1814" t="str">
        <x:v>KOSDAQ</x:v>
      </x:c>
      <x:c r="F1814" t="str">
        <x:v>SMALL</x:v>
      </x:c>
      <x:c r="G1814" t="str">
        <x:v>DCF_SCREENING_EXCLUSION</x:v>
      </x:c>
      <x:c r="H1814" t="str">
        <x:v>NON_POSITIVE_ENTERPRISE_VALUE|NON_POSITIVE_EQUITY_VALUE|NON_POSITIVE_TERMINAL_FCF</x:v>
      </x:c>
      <x:c r="I1814" s="54" t="n">
        <x:v>45016</x:v>
      </x:c>
      <x:c r="J1814" s="55" t="n">
        <x:v>9890</x:v>
      </x:c>
      <x:c r="K1814" s="55" t="n">
        <x:v>96487710320</x:v>
      </x:c>
      <x:c r="L1814" s="55" t="n">
        <x:v>9756088</x:v>
      </x:c>
      <x:c r="M1814" t="str">
        <x:v>20230316001528</x:v>
      </x:c>
      <x:c r="N1814" t="n">
        <x:v>45001.624999988424</x:v>
      </x:c>
      <x:c r="O1814" s="54" t="n">
        <x:v>44926</x:v>
      </x:c>
      <x:c r="P1814" t="str">
        <x:v>False</x:v>
      </x:c>
      <x:c r="Q1814" t="str">
        <x:v>356862a864c2f3ffb6ca902df021f84b186b7c85c77a19c2ad6191de38eaafb4</x:v>
      </x:c>
      <x:c r="R1814" t="str">
        <x:v>7637dddb3a954b6add6c7848290a7d97e844c67b392b0325bf98adcb6b1393bf</x:v>
      </x:c>
      <x:c r="S1814" t="n">
        <x:v>7</x:v>
      </x:c>
      <x:c r="T1814" t="str">
        <x:v>2018-12-31|2019-12-31|2020-12-31|2021-12-31|2022-12-31</x:v>
      </x:c>
      <x:c r="U1814" s="57" t="n">
        <x:v>-384.5998941714026</x:v>
      </x:c>
      <x:c r="V1814" s="57" t="n">
        <x:v>-1.0388877547190498</x:v>
      </x:c>
      <x:c r="W1814"/>
      <x:c r="X1814"/>
      <x:c r="Y1814" s="38" t="n">
        <x:v>0.6409090909090909</x:v>
      </x:c>
      <x:c r="Z1814" s="38" t="n">
        <x:v>0.6560443368251093</x:v>
      </x:c>
      <x:c r="AA1814" t="str">
        <x:v>NON_POSITIVE_ENTERPRISE_VALUE|NON_POSITIVE_EQUITY_VALUE|NON_POSITIVE_TERMINAL_FCF</x:v>
      </x:c>
    </x:row>
    <x:row r="1815">
      <x:c r="A1815" s="54" t="n">
        <x:v>45016</x:v>
      </x:c>
      <x:c r="B1815" t="n">
        <x:v>45016.624999988424</x:v>
      </x:c>
      <x:c r="C1815" t="str">
        <x:v>024740</x:v>
      </x:c>
      <x:c r="D1815" t="str">
        <x:v>한일단조</x:v>
      </x:c>
      <x:c r="E1815" t="str">
        <x:v>KOSDAQ</x:v>
      </x:c>
      <x:c r="F1815" t="str">
        <x:v>SMALL</x:v>
      </x:c>
      <x:c r="G1815" t="str">
        <x:v>DCF_SCREENING_EXCLUSION</x:v>
      </x:c>
      <x:c r="H1815" t="str">
        <x:v>NON_POSITIVE_ENTERPRISE_VALUE|NON_POSITIVE_EQUITY_VALUE|NON_POSITIVE_TERMINAL_FCF|UNRELIABLE_TERMINAL_VALUE_SHARE</x:v>
      </x:c>
      <x:c r="I1815" s="54" t="n">
        <x:v>45016</x:v>
      </x:c>
      <x:c r="J1815" s="55" t="n">
        <x:v>2590</x:v>
      </x:c>
      <x:c r="K1815" s="55" t="n">
        <x:v>81521016640</x:v>
      </x:c>
      <x:c r="L1815" s="55" t="n">
        <x:v>31475296</x:v>
      </x:c>
      <x:c r="M1815" t="str">
        <x:v>20230321000435</x:v>
      </x:c>
      <x:c r="N1815" t="n">
        <x:v>45006.624999988424</x:v>
      </x:c>
      <x:c r="O1815" s="54" t="n">
        <x:v>44926</x:v>
      </x:c>
      <x:c r="P1815" t="str">
        <x:v>False</x:v>
      </x:c>
      <x:c r="Q1815" t="str">
        <x:v>97953ed9acfd97d0245326a28cf1ae40c3d9a06af7da7dfeb127ad1c8bbeff11</x:v>
      </x:c>
      <x:c r="R1815" t="str">
        <x:v>ae141a7e675b2d9a9bd9222cc2215d2d08b187aedad3f8881d7275d4ad8cb8d5</x:v>
      </x:c>
      <x:c r="S1815" t="n">
        <x:v>7</x:v>
      </x:c>
      <x:c r="T1815" t="str">
        <x:v>2018-12-31|2019-12-31|2020-12-31|2021-12-31|2022-12-31</x:v>
      </x:c>
      <x:c r="U1815" s="57" t="n">
        <x:v>-2516.922168257382</x:v>
      </x:c>
      <x:c r="V1815" s="57" t="n">
        <x:v>-1.9717846209487961</x:v>
      </x:c>
      <x:c r="W1815"/>
      <x:c r="X1815"/>
      <x:c r="Y1815" s="38" t="n">
        <x:v>0.6409090909090909</x:v>
      </x:c>
      <x:c r="Z1815" s="38" t="n">
        <x:v>2.0506706664207273</x:v>
      </x:c>
      <x:c r="AA1815" t="str">
        <x:v>NON_POSITIVE_ENTERPRISE_VALUE|NON_POSITIVE_EQUITY_VALUE|NON_POSITIVE_TERMINAL_FCF|UNRELIABLE_TERMINAL_VALUE_SHARE</x:v>
      </x:c>
    </x:row>
    <x:row r="1816">
      <x:c r="A1816" s="54" t="n">
        <x:v>45016</x:v>
      </x:c>
      <x:c r="B1816" t="n">
        <x:v>45016.624999988424</x:v>
      </x:c>
      <x:c r="C1816" t="str">
        <x:v>340930</x:v>
      </x:c>
      <x:c r="D1816" t="str">
        <x:v>유일에너테크</x:v>
      </x:c>
      <x:c r="E1816" t="str">
        <x:v>KOSDAQ</x:v>
      </x:c>
      <x:c r="F1816" t="str">
        <x:v>SMALL</x:v>
      </x:c>
      <x:c r="G1816" t="str">
        <x:v>DCF_SCREENING_EXCLUSION</x:v>
      </x:c>
      <x:c r="H1816" t="str">
        <x:v>NON_POSITIVE_ENTERPRISE_VALUE|NON_POSITIVE_EQUITY_VALUE|NON_POSITIVE_TERMINAL_FCF</x:v>
      </x:c>
      <x:c r="I1816" s="54" t="n">
        <x:v>45016</x:v>
      </x:c>
      <x:c r="J1816" s="55" t="n">
        <x:v>18560</x:v>
      </x:c>
      <x:c r="K1816" s="55" t="n">
        <x:v>199695280640</x:v>
      </x:c>
      <x:c r="L1816" s="55" t="n">
        <x:v>10759444</x:v>
      </x:c>
      <x:c r="M1816" t="str">
        <x:v>20230321001157</x:v>
      </x:c>
      <x:c r="N1816" t="n">
        <x:v>45006.624999988424</x:v>
      </x:c>
      <x:c r="O1816" s="54" t="n">
        <x:v>44926</x:v>
      </x:c>
      <x:c r="P1816" t="str">
        <x:v>False</x:v>
      </x:c>
      <x:c r="Q1816" t="str">
        <x:v>694821b65736458c9ba9eb4b0bfaf285b605aa8bb0dcf365ada2c05fd062ab72</x:v>
      </x:c>
      <x:c r="R1816" t="str">
        <x:v>9092e74c99bf086ca39546a47f078925499af3135f3dd3b666eb787a56519eca</x:v>
      </x:c>
      <x:c r="S1816" t="n">
        <x:v>7</x:v>
      </x:c>
      <x:c r="T1816" t="str">
        <x:v>2020-12-31|2021-12-31|2022-12-31</x:v>
      </x:c>
      <x:c r="U1816" s="57" t="n">
        <x:v>-12902.62715537771</x:v>
      </x:c>
      <x:c r="V1816" s="57" t="n">
        <x:v>-1.6951846527681955</x:v>
      </x:c>
      <x:c r="W1816"/>
      <x:c r="X1816"/>
      <x:c r="Y1816" s="38" t="n">
        <x:v>0.6409090909090909</x:v>
      </x:c>
      <x:c r="Z1816" s="38" t="n">
        <x:v>0.6236446277888583</x:v>
      </x:c>
      <x:c r="AA1816" t="str">
        <x:v>NON_POSITIVE_ENTERPRISE_VALUE|NON_POSITIVE_EQUITY_VALUE|NON_POSITIVE_TERMINAL_FCF</x:v>
      </x:c>
    </x:row>
    <x:row r="1817">
      <x:c r="A1817" s="54" t="n">
        <x:v>45016</x:v>
      </x:c>
      <x:c r="B1817" t="n">
        <x:v>45016.624999988424</x:v>
      </x:c>
      <x:c r="C1817" t="str">
        <x:v>057030</x:v>
      </x:c>
      <x:c r="D1817" t="str">
        <x:v>YBM넷</x:v>
      </x:c>
      <x:c r="E1817" t="str">
        <x:v>KOSDAQ</x:v>
      </x:c>
      <x:c r="F1817" t="str">
        <x:v>SMALL</x:v>
      </x:c>
      <x:c r="G1817" t="str">
        <x:v>ELIGIBLE</x:v>
      </x:c>
      <x:c r="H1817"/>
      <x:c r="I1817" s="54" t="n">
        <x:v>45016</x:v>
      </x:c>
      <x:c r="J1817" s="55" t="n">
        <x:v>4750</x:v>
      </x:c>
      <x:c r="K1817" s="55" t="n">
        <x:v>77485310750</x:v>
      </x:c>
      <x:c r="L1817" s="55" t="n">
        <x:v>16312697</x:v>
      </x:c>
      <x:c r="M1817" t="str">
        <x:v>20230323001037</x:v>
      </x:c>
      <x:c r="N1817" t="n">
        <x:v>45008.624999988424</x:v>
      </x:c>
      <x:c r="O1817" s="54" t="n">
        <x:v>44926</x:v>
      </x:c>
      <x:c r="P1817" t="str">
        <x:v>False</x:v>
      </x:c>
      <x:c r="Q1817" t="str">
        <x:v>ce091b9f145ad6c6d09491c04337fb3f75aca3e033aa3e1a266a4e850f7cdc36</x:v>
      </x:c>
      <x:c r="R1817" t="str">
        <x:v>67422e9dc9ea5c57476b7fc88ec0cf9d433812df4f02cd3668c9ef4832958748</x:v>
      </x:c>
      <x:c r="S1817" t="n">
        <x:v>6</x:v>
      </x:c>
      <x:c r="T1817" t="str">
        <x:v>2018-12-31|2019-12-31|2020-12-31|2021-12-31|2022-12-31</x:v>
      </x:c>
      <x:c r="U1817" s="57" t="n">
        <x:v>1779.8615662370728</x:v>
      </x:c>
      <x:c r="V1817" s="57" t="n">
        <x:v>-0.6252923018448268</x:v>
      </x:c>
      <x:c r="W1817" t="n">
        <x:v>52</x:v>
      </x:c>
      <x:c r="X1817" t="n">
        <x:v>4</x:v>
      </x:c>
      <x:c r="Y1817" s="38" t="n">
        <x:v>0.6409090909090909</x:v>
      </x:c>
      <x:c r="Z1817" s="38" t="n">
        <x:v>0.5218083711789233</x:v>
      </x:c>
      <x:c r="AA1817"/>
    </x:row>
    <x:row r="1818">
      <x:c r="A1818" s="54" t="n">
        <x:v>45016</x:v>
      </x:c>
      <x:c r="B1818" t="n">
        <x:v>45016.624999988424</x:v>
      </x:c>
      <x:c r="C1818" t="str">
        <x:v>053160</x:v>
      </x:c>
      <x:c r="D1818" t="str">
        <x:v>프리엠스</x:v>
      </x:c>
      <x:c r="E1818" t="str">
        <x:v>KOSDAQ</x:v>
      </x:c>
      <x:c r="F1818" t="str">
        <x:v>SMALL</x:v>
      </x:c>
      <x:c r="G1818" t="str">
        <x:v>ELIGIBLE</x:v>
      </x:c>
      <x:c r="H1818"/>
      <x:c r="I1818" s="54" t="n">
        <x:v>45016</x:v>
      </x:c>
      <x:c r="J1818" s="55" t="n">
        <x:v>7580</x:v>
      </x:c>
      <x:c r="K1818" s="55" t="n">
        <x:v>45480000000</x:v>
      </x:c>
      <x:c r="L1818" s="55" t="n">
        <x:v>6000000</x:v>
      </x:c>
      <x:c r="M1818" t="str">
        <x:v>20230321001115</x:v>
      </x:c>
      <x:c r="N1818" t="n">
        <x:v>45006.624999988424</x:v>
      </x:c>
      <x:c r="O1818" s="54" t="n">
        <x:v>44926</x:v>
      </x:c>
      <x:c r="P1818" t="str">
        <x:v>False</x:v>
      </x:c>
      <x:c r="Q1818" t="str">
        <x:v>b2dfcc79e91edc63e13d4186a98f21a42f353eaf6fe6d9e9374e73be3bee3fb7</x:v>
      </x:c>
      <x:c r="R1818" t="str">
        <x:v>1acade6ca6b6edeb5442d561dd223ff598601b026acd351edc13c8a5e7da331c</x:v>
      </x:c>
      <x:c r="S1818" t="n">
        <x:v>7</x:v>
      </x:c>
      <x:c r="T1818" t="str">
        <x:v>2018-12-31|2019-12-31|2020-12-31|2021-12-31|2022-12-31</x:v>
      </x:c>
      <x:c r="U1818" s="57" t="n">
        <x:v>1821.8855425061884</x:v>
      </x:c>
      <x:c r="V1818" s="57" t="n">
        <x:v>-0.7596457067933788</x:v>
      </x:c>
      <x:c r="W1818" t="n">
        <x:v>59</x:v>
      </x:c>
      <x:c r="X1818" t="n">
        <x:v>5</x:v>
      </x:c>
      <x:c r="Y1818" s="38" t="n">
        <x:v>0.6409090909090909</x:v>
      </x:c>
      <x:c r="Z1818" s="38" t="n">
        <x:v>0.8440169237053482</x:v>
      </x:c>
      <x:c r="AA1818"/>
    </x:row>
    <x:row r="1819">
      <x:c r="A1819" s="54" t="n">
        <x:v>45016</x:v>
      </x:c>
      <x:c r="B1819" t="n">
        <x:v>45016.624999988424</x:v>
      </x:c>
      <x:c r="C1819" t="str">
        <x:v>038620</x:v>
      </x:c>
      <x:c r="D1819" t="str">
        <x:v>위즈코프</x:v>
      </x:c>
      <x:c r="E1819" t="str">
        <x:v>KOSDAQ</x:v>
      </x:c>
      <x:c r="F1819" t="str">
        <x:v>SMALL</x:v>
      </x:c>
      <x:c r="G1819" t="str">
        <x:v>ELIGIBLE</x:v>
      </x:c>
      <x:c r="H1819"/>
      <x:c r="I1819" s="54" t="n">
        <x:v>45016</x:v>
      </x:c>
      <x:c r="J1819" s="55" t="n">
        <x:v>793</x:v>
      </x:c>
      <x:c r="K1819" s="55" t="n">
        <x:v>52771346745</x:v>
      </x:c>
      <x:c r="L1819" s="55" t="n">
        <x:v>66546465</x:v>
      </x:c>
      <x:c r="M1819" t="str">
        <x:v>20230321000864</x:v>
      </x:c>
      <x:c r="N1819" t="n">
        <x:v>45006.624999988424</x:v>
      </x:c>
      <x:c r="O1819" s="54" t="n">
        <x:v>44926</x:v>
      </x:c>
      <x:c r="P1819" t="str">
        <x:v>False</x:v>
      </x:c>
      <x:c r="Q1819" t="str">
        <x:v>edc3b8b29e0450380a4e6806abcf4d131c8abb0ceaf857f4a1dba04e7d7fe600</x:v>
      </x:c>
      <x:c r="R1819" t="str">
        <x:v>527fff5308032f95072aa08fff750482a4ecde95deb4fe00b46c48e06427242e</x:v>
      </x:c>
      <x:c r="S1819" t="n">
        <x:v>5</x:v>
      </x:c>
      <x:c r="T1819" t="str">
        <x:v>2018-12-31|2019-12-31|2020-12-31|2021-12-31|2022-12-31</x:v>
      </x:c>
      <x:c r="U1819" s="57" t="n">
        <x:v>426.0114082458841</x:v>
      </x:c>
      <x:c r="V1819" s="57" t="n">
        <x:v>-0.4627851093998939</x:v>
      </x:c>
      <x:c r="W1819" t="n">
        <x:v>45</x:v>
      </x:c>
      <x:c r="X1819" t="n">
        <x:v>4</x:v>
      </x:c>
      <x:c r="Y1819" s="38" t="n">
        <x:v>0.6409090909090909</x:v>
      </x:c>
      <x:c r="Z1819" s="38" t="n">
        <x:v>0.5889916216817043</x:v>
      </x:c>
      <x:c r="AA1819"/>
    </x:row>
    <x:row r="1820">
      <x:c r="A1820" s="54" t="n">
        <x:v>45016</x:v>
      </x:c>
      <x:c r="B1820" t="n">
        <x:v>45016.624999988424</x:v>
      </x:c>
      <x:c r="C1820" t="str">
        <x:v>313760</x:v>
      </x:c>
      <x:c r="D1820" t="str">
        <x:v>캐리</x:v>
      </x:c>
      <x:c r="E1820" t="str">
        <x:v>KOSDAQ</x:v>
      </x:c>
      <x:c r="F1820" t="str">
        <x:v>SMALL</x:v>
      </x:c>
      <x:c r="G1820" t="str">
        <x:v>DCF_SCREENING_EXCLUSION</x:v>
      </x:c>
      <x:c r="H1820" t="str">
        <x:v>NON_POSITIVE_ENTERPRISE_VALUE|NON_POSITIVE_EQUITY_VALUE|NON_POSITIVE_TERMINAL_FCF</x:v>
      </x:c>
      <x:c r="I1820" s="54" t="n">
        <x:v>45016</x:v>
      </x:c>
      <x:c r="J1820" s="55" t="n">
        <x:v>7110</x:v>
      </x:c>
      <x:c r="K1820" s="55" t="n">
        <x:v>40439312370</x:v>
      </x:c>
      <x:c r="L1820" s="55" t="n">
        <x:v>5687667</x:v>
      </x:c>
      <x:c r="M1820" t="str">
        <x:v>20230321000948</x:v>
      </x:c>
      <x:c r="N1820" t="n">
        <x:v>45006.624999988424</x:v>
      </x:c>
      <x:c r="O1820" s="54" t="n">
        <x:v>44926</x:v>
      </x:c>
      <x:c r="P1820" t="str">
        <x:v>False</x:v>
      </x:c>
      <x:c r="Q1820" t="str">
        <x:v>595323229b13489978ad4695c5237b7f5b3f6201d10d45817b31f37dc9cc8bac</x:v>
      </x:c>
      <x:c r="R1820" t="str">
        <x:v>a2763f65b03f79411deae2a2854479094bd17f0dcf7a465bc22005586391f34c</x:v>
      </x:c>
      <x:c r="S1820" t="n">
        <x:v>6</x:v>
      </x:c>
      <x:c r="T1820" t="str">
        <x:v>2019-12-31|2020-12-31|2021-12-31|2022-12-31</x:v>
      </x:c>
      <x:c r="U1820" s="57" t="n">
        <x:v>-6805.954179574858</x:v>
      </x:c>
      <x:c r="V1820" s="57" t="n">
        <x:v>-1.9572368747643965</x:v>
      </x:c>
      <x:c r="W1820"/>
      <x:c r="X1820"/>
      <x:c r="Y1820" s="38" t="n">
        <x:v>0.6409090909090909</x:v>
      </x:c>
      <x:c r="Z1820" s="38" t="n">
        <x:v>0.26717094415135195</x:v>
      </x:c>
      <x:c r="AA1820" t="str">
        <x:v>NON_POSITIVE_ENTERPRISE_VALUE|NON_POSITIVE_EQUITY_VALUE|NON_POSITIVE_TERMINAL_FCF</x:v>
      </x:c>
    </x:row>
    <x:row r="1821">
      <x:c r="A1821" s="54" t="n">
        <x:v>45016</x:v>
      </x:c>
      <x:c r="B1821" t="n">
        <x:v>45016.624999988424</x:v>
      </x:c>
      <x:c r="C1821" t="str">
        <x:v>372800</x:v>
      </x:c>
      <x:c r="D1821" t="str">
        <x:v>아이티아이즈</x:v>
      </x:c>
      <x:c r="E1821" t="str">
        <x:v>KOSDAQ</x:v>
      </x:c>
      <x:c r="F1821" t="str">
        <x:v>SMALL</x:v>
      </x:c>
      <x:c r="G1821" t="str">
        <x:v>DCF_SCREENING_EXCLUSION</x:v>
      </x:c>
      <x:c r="H1821" t="str">
        <x:v>NON_POSITIVE_ENTERPRISE_VALUE|NON_POSITIVE_EQUITY_VALUE|NON_POSITIVE_TERMINAL_FCF</x:v>
      </x:c>
      <x:c r="I1821" s="54" t="n">
        <x:v>45016</x:v>
      </x:c>
      <x:c r="J1821" s="55" t="n">
        <x:v>10520</x:v>
      </x:c>
      <x:c r="K1821" s="55" t="n">
        <x:v>62877934800</x:v>
      </x:c>
      <x:c r="L1821" s="55" t="n">
        <x:v>5976990</x:v>
      </x:c>
      <x:c r="M1821" t="str">
        <x:v>20230321000514</x:v>
      </x:c>
      <x:c r="N1821" t="n">
        <x:v>45006.624999988424</x:v>
      </x:c>
      <x:c r="O1821" s="54" t="n">
        <x:v>44926</x:v>
      </x:c>
      <x:c r="P1821" t="str">
        <x:v>False</x:v>
      </x:c>
      <x:c r="Q1821" t="str">
        <x:v>e6c8afdaa7ba3e8f4e0b2a03fdb12d918a90bdc567c2e105c08df9fb5ea1d246</x:v>
      </x:c>
      <x:c r="R1821" t="str">
        <x:v>b3e952c30ffe3cdce6a5172f4a452b9dcbd4a8f83f6dafb3e9f03a65129ec534</x:v>
      </x:c>
      <x:c r="S1821" t="n">
        <x:v>7</x:v>
      </x:c>
      <x:c r="T1821" t="str">
        <x:v>2021-12-31|2022-12-31</x:v>
      </x:c>
      <x:c r="U1821" s="57" t="n">
        <x:v>-6779.840730163857</x:v>
      </x:c>
      <x:c r="V1821" s="57" t="n">
        <x:v>-1.6444715522969446</x:v>
      </x:c>
      <x:c r="W1821"/>
      <x:c r="X1821"/>
      <x:c r="Y1821" s="38" t="n">
        <x:v>0.6409090909090909</x:v>
      </x:c>
      <x:c r="Z1821" s="38" t="n">
        <x:v>0.5378744047405174</x:v>
      </x:c>
      <x:c r="AA1821" t="str">
        <x:v>NON_POSITIVE_ENTERPRISE_VALUE|NON_POSITIVE_EQUITY_VALUE|NON_POSITIVE_TERMINAL_FCF</x:v>
      </x:c>
    </x:row>
    <x:row r="1822">
      <x:c r="A1822" s="54" t="n">
        <x:v>45016</x:v>
      </x:c>
      <x:c r="B1822" t="n">
        <x:v>45016.624999988424</x:v>
      </x:c>
      <x:c r="C1822" t="str">
        <x:v>332290</x:v>
      </x:c>
      <x:c r="D1822" t="str">
        <x:v>누보</x:v>
      </x:c>
      <x:c r="E1822" t="str">
        <x:v>KOSDAQ</x:v>
      </x:c>
      <x:c r="F1822" t="str">
        <x:v>SMALL</x:v>
      </x:c>
      <x:c r="G1822" t="str">
        <x:v>DCF_SCREENING_EXCLUSION</x:v>
      </x:c>
      <x:c r="H1822" t="str">
        <x:v>NON_POSITIVE_ENTERPRISE_VALUE|NON_POSITIVE_EQUITY_VALUE|NON_POSITIVE_TERMINAL_FCF</x:v>
      </x:c>
      <x:c r="I1822" s="54" t="n">
        <x:v>45016</x:v>
      </x:c>
      <x:c r="J1822" s="55" t="n">
        <x:v>1350</x:v>
      </x:c>
      <x:c r="K1822" s="55" t="n">
        <x:v>44659786050</x:v>
      </x:c>
      <x:c r="L1822" s="55" t="n">
        <x:v>33081323</x:v>
      </x:c>
      <x:c r="M1822" t="str">
        <x:v>20230323001024</x:v>
      </x:c>
      <x:c r="N1822" t="n">
        <x:v>45008.624999988424</x:v>
      </x:c>
      <x:c r="O1822" s="54" t="n">
        <x:v>44926</x:v>
      </x:c>
      <x:c r="P1822" t="str">
        <x:v>False</x:v>
      </x:c>
      <x:c r="Q1822" t="str">
        <x:v>385f93186157285492b9794e4f0eb20047901a652d87b6dbf5ccecd8e3ac3b00</x:v>
      </x:c>
      <x:c r="R1822" t="str">
        <x:v>0e0eb4e08fe9a44424274a4b1602731333300bf9f71614cab6033f19692a533c</x:v>
      </x:c>
      <x:c r="S1822" t="n">
        <x:v>6</x:v>
      </x:c>
      <x:c r="T1822" t="str">
        <x:v>2022-12-31</x:v>
      </x:c>
      <x:c r="U1822" s="57" t="n">
        <x:v>-1745.2559057713622</x:v>
      </x:c>
      <x:c r="V1822" s="57" t="n">
        <x:v>-2.2927821524232312</x:v>
      </x:c>
      <x:c r="W1822"/>
      <x:c r="X1822"/>
      <x:c r="Y1822" s="38" t="n">
        <x:v>0.6409090909090909</x:v>
      </x:c>
      <x:c r="Z1822" s="38" t="n">
        <x:v>0.6264850986190418</x:v>
      </x:c>
      <x:c r="AA1822" t="str">
        <x:v>NON_POSITIVE_ENTERPRISE_VALUE|NON_POSITIVE_EQUITY_VALUE|NON_POSITIVE_TERMINAL_FCF</x:v>
      </x:c>
    </x:row>
    <x:row r="1823">
      <x:c r="A1823" s="54" t="n">
        <x:v>45016</x:v>
      </x:c>
      <x:c r="B1823" t="n">
        <x:v>45016.624999988424</x:v>
      </x:c>
      <x:c r="C1823" t="str">
        <x:v>059100</x:v>
      </x:c>
      <x:c r="D1823" t="str">
        <x:v>아이컴포넌트</x:v>
      </x:c>
      <x:c r="E1823" t="str">
        <x:v>KOSDAQ</x:v>
      </x:c>
      <x:c r="F1823" t="str">
        <x:v>SMALL</x:v>
      </x:c>
      <x:c r="G1823" t="str">
        <x:v>ELIGIBLE</x:v>
      </x:c>
      <x:c r="H1823"/>
      <x:c r="I1823" s="54" t="n">
        <x:v>45016</x:v>
      </x:c>
      <x:c r="J1823" s="55" t="n">
        <x:v>7070</x:v>
      </x:c>
      <x:c r="K1823" s="55" t="n">
        <x:v>49990980200</x:v>
      </x:c>
      <x:c r="L1823" s="55" t="n">
        <x:v>7070860</x:v>
      </x:c>
      <x:c r="M1823" t="str">
        <x:v>20230315000496</x:v>
      </x:c>
      <x:c r="N1823" t="n">
        <x:v>45000.624999988424</x:v>
      </x:c>
      <x:c r="O1823" s="54" t="n">
        <x:v>44926</x:v>
      </x:c>
      <x:c r="P1823" t="str">
        <x:v>False</x:v>
      </x:c>
      <x:c r="Q1823" t="str">
        <x:v>590760555b24b8ca83f46bb6f947be08fef7998df137b8ee3a688eedd86cdad4</x:v>
      </x:c>
      <x:c r="R1823" t="str">
        <x:v>affd50f0a869764aadd98c32bf33a9c4839fc0d058b1aa9f359eb7a44a16139d</x:v>
      </x:c>
      <x:c r="S1823" t="n">
        <x:v>7</x:v>
      </x:c>
      <x:c r="T1823" t="str">
        <x:v>2018-12-31|2019-12-31|2020-12-31|2021-12-31|2022-12-31</x:v>
      </x:c>
      <x:c r="U1823" s="57" t="n">
        <x:v>1975.0427853653218</x:v>
      </x:c>
      <x:c r="V1823" s="57" t="n">
        <x:v>-0.7206445848139573</x:v>
      </x:c>
      <x:c r="W1823" t="n">
        <x:v>57</x:v>
      </x:c>
      <x:c r="X1823" t="n">
        <x:v>5</x:v>
      </x:c>
      <x:c r="Y1823" s="38" t="n">
        <x:v>0.6409090909090909</x:v>
      </x:c>
      <x:c r="Z1823" s="38" t="n">
        <x:v>0.6108028309188008</x:v>
      </x:c>
      <x:c r="AA1823"/>
    </x:row>
    <x:row r="1824">
      <x:c r="A1824" s="54" t="n">
        <x:v>45016</x:v>
      </x:c>
      <x:c r="B1824" t="n">
        <x:v>45016.624999988424</x:v>
      </x:c>
      <x:c r="C1824" t="str">
        <x:v>060900</x:v>
      </x:c>
      <x:c r="D1824" t="str">
        <x:v>DGP</x:v>
      </x:c>
      <x:c r="E1824" t="str">
        <x:v>KOSDAQ</x:v>
      </x:c>
      <x:c r="F1824" t="str">
        <x:v>SMALL</x:v>
      </x:c>
      <x:c r="G1824" t="str">
        <x:v>DCF_SCREENING_EXCLUSION</x:v>
      </x:c>
      <x:c r="H1824" t="str">
        <x:v>NON_POSITIVE_ENTERPRISE_VALUE|NON_POSITIVE_EQUITY_VALUE|NON_POSITIVE_TERMINAL_FCF</x:v>
      </x:c>
      <x:c r="I1824" s="54" t="n">
        <x:v>45016</x:v>
      </x:c>
      <x:c r="J1824" s="55" t="n">
        <x:v>474</x:v>
      </x:c>
      <x:c r="K1824" s="55" t="n">
        <x:v>96819688878</x:v>
      </x:c>
      <x:c r="L1824" s="55" t="n">
        <x:v>204260947</x:v>
      </x:c>
      <x:c r="M1824" t="str">
        <x:v>20230321000921</x:v>
      </x:c>
      <x:c r="N1824" t="n">
        <x:v>45006.624999988424</x:v>
      </x:c>
      <x:c r="O1824" s="54" t="n">
        <x:v>44926</x:v>
      </x:c>
      <x:c r="P1824" t="str">
        <x:v>False</x:v>
      </x:c>
      <x:c r="Q1824" t="str">
        <x:v>a3a7b5a2b435fd1ddeaa245339b854f9c1ad877a4376efd00b89c8f1bfcede34</x:v>
      </x:c>
      <x:c r="R1824" t="str">
        <x:v>a2f71697d0cc88f729c4125813229441d6c19f22d3cf2ce257be7b61e0f35e7d</x:v>
      </x:c>
      <x:c r="S1824" t="n">
        <x:v>5</x:v>
      </x:c>
      <x:c r="T1824" t="str">
        <x:v>2018-12-31|2019-12-31|2021-12-31|2022-12-31</x:v>
      </x:c>
      <x:c r="U1824" s="57" t="n">
        <x:v>-341.3761384061717</x:v>
      </x:c>
      <x:c r="V1824" s="57" t="n">
        <x:v>-1.7202028236417124</x:v>
      </x:c>
      <x:c r="W1824"/>
      <x:c r="X1824"/>
      <x:c r="Y1824" s="38" t="n">
        <x:v>0.6409090909090909</x:v>
      </x:c>
      <x:c r="Z1824" s="38" t="n">
        <x:v>0.6877366627079367</x:v>
      </x:c>
      <x:c r="AA1824" t="str">
        <x:v>NON_POSITIVE_ENTERPRISE_VALUE|NON_POSITIVE_EQUITY_VALUE|NON_POSITIVE_TERMINAL_FCF</x:v>
      </x:c>
    </x:row>
    <x:row r="1825">
      <x:c r="A1825" s="54" t="n">
        <x:v>45016</x:v>
      </x:c>
      <x:c r="B1825" t="n">
        <x:v>45016.624999988424</x:v>
      </x:c>
      <x:c r="C1825" t="str">
        <x:v>232830</x:v>
      </x:c>
      <x:c r="D1825" t="str">
        <x:v>아이티센피엔에스</x:v>
      </x:c>
      <x:c r="E1825" t="str">
        <x:v>KOSDAQ</x:v>
      </x:c>
      <x:c r="F1825" t="str">
        <x:v>SMALL</x:v>
      </x:c>
      <x:c r="G1825" t="str">
        <x:v>NO_PIT_FINANCIALS</x:v>
      </x:c>
      <x:c r="H1825"/>
      <x:c r="I1825" s="54" t="n">
        <x:v>45016</x:v>
      </x:c>
      <x:c r="J1825" s="55" t="n">
        <x:v>6590</x:v>
      </x:c>
      <x:c r="K1825" s="55" t="n">
        <x:v>62664520880</x:v>
      </x:c>
      <x:c r="L1825" s="55" t="n">
        <x:v>9509032</x:v>
      </x:c>
      <x:c r="M1825"/>
      <x:c r="N1825"/>
      <x:c r="O1825" s="54"/>
      <x:c r="P1825"/>
      <x:c r="Q1825"/>
      <x:c r="R1825"/>
      <x:c r="S1825"/>
      <x:c r="T1825"/>
      <x:c r="U1825" s="57"/>
      <x:c r="V1825" s="57"/>
      <x:c r="W1825"/>
      <x:c r="X1825"/>
      <x:c r="Y1825" s="38"/>
      <x:c r="Z1825" s="38"/>
      <x:c r="AA1825"/>
    </x:row>
    <x:row r="1826">
      <x:c r="A1826" s="54" t="n">
        <x:v>45016</x:v>
      </x:c>
      <x:c r="B1826" t="n">
        <x:v>45016.624999988424</x:v>
      </x:c>
      <x:c r="C1826" t="str">
        <x:v>070590</x:v>
      </x:c>
      <x:c r="D1826" t="str">
        <x:v>한솔인티큐브</x:v>
      </x:c>
      <x:c r="E1826" t="str">
        <x:v>KOSDAQ</x:v>
      </x:c>
      <x:c r="F1826" t="str">
        <x:v>SMALL</x:v>
      </x:c>
      <x:c r="G1826" t="str">
        <x:v>DCF_SCREENING_EXCLUSION</x:v>
      </x:c>
      <x:c r="H1826" t="str">
        <x:v>NON_POSITIVE_ENTERPRISE_VALUE|NON_POSITIVE_EQUITY_VALUE|NON_POSITIVE_TERMINAL_FCF</x:v>
      </x:c>
      <x:c r="I1826" s="54" t="n">
        <x:v>45016</x:v>
      </x:c>
      <x:c r="J1826" s="55" t="n">
        <x:v>1697</x:v>
      </x:c>
      <x:c r="K1826" s="55" t="n">
        <x:v>23553547137</x:v>
      </x:c>
      <x:c r="L1826" s="55" t="n">
        <x:v>13879521</x:v>
      </x:c>
      <x:c r="M1826" t="str">
        <x:v>20230314001266</x:v>
      </x:c>
      <x:c r="N1826" t="n">
        <x:v>44999.624999988424</x:v>
      </x:c>
      <x:c r="O1826" s="54" t="n">
        <x:v>44926</x:v>
      </x:c>
      <x:c r="P1826" t="str">
        <x:v>False</x:v>
      </x:c>
      <x:c r="Q1826" t="str">
        <x:v>899914e2e79c458a718c1a2ff51257f7afda365621d0d454aaddec82cdcec43f</x:v>
      </x:c>
      <x:c r="R1826" t="str">
        <x:v>dcc64751a501c29d71ad971f9b229a75ea1a75dc19a4c00fab50c0d5b2a20898</x:v>
      </x:c>
      <x:c r="S1826" t="n">
        <x:v>6</x:v>
      </x:c>
      <x:c r="T1826" t="str">
        <x:v>2018-12-31|2019-12-31|2020-12-31|2021-12-31|2022-12-31</x:v>
      </x:c>
      <x:c r="U1826" s="57" t="n">
        <x:v>-854.2895297456943</x:v>
      </x:c>
      <x:c r="V1826" s="57" t="n">
        <x:v>-1.5034116262496726</x:v>
      </x:c>
      <x:c r="W1826"/>
      <x:c r="X1826"/>
      <x:c r="Y1826" s="38" t="n">
        <x:v>0.6409090909090909</x:v>
      </x:c>
      <x:c r="Z1826" s="38" t="n">
        <x:v>0.46660484779054157</x:v>
      </x:c>
      <x:c r="AA1826" t="str">
        <x:v>NON_POSITIVE_ENTERPRISE_VALUE|NON_POSITIVE_EQUITY_VALUE|NON_POSITIVE_TERMINAL_FCF</x:v>
      </x:c>
    </x:row>
    <x:row r="1827">
      <x:c r="A1827" s="54" t="n">
        <x:v>45016</x:v>
      </x:c>
      <x:c r="B1827" t="n">
        <x:v>45016.624999988424</x:v>
      </x:c>
      <x:c r="C1827" t="str">
        <x:v>163560</x:v>
      </x:c>
      <x:c r="D1827" t="str">
        <x:v>동일고무벨트</x:v>
      </x:c>
      <x:c r="E1827" t="str">
        <x:v>KOSPI</x:v>
      </x:c>
      <x:c r="F1827" t="str">
        <x:v>SMALL</x:v>
      </x:c>
      <x:c r="G1827" t="str">
        <x:v>ELIGIBLE</x:v>
      </x:c>
      <x:c r="H1827"/>
      <x:c r="I1827" s="54" t="n">
        <x:v>45016</x:v>
      </x:c>
      <x:c r="J1827" s="55" t="n">
        <x:v>6170</x:v>
      </x:c>
      <x:c r="K1827" s="55" t="n">
        <x:v>85763000000</x:v>
      </x:c>
      <x:c r="L1827" s="55" t="n">
        <x:v>13900000</x:v>
      </x:c>
      <x:c r="M1827" t="str">
        <x:v>20230314000884</x:v>
      </x:c>
      <x:c r="N1827" t="n">
        <x:v>44999.624999988424</x:v>
      </x:c>
      <x:c r="O1827" s="54" t="n">
        <x:v>44926</x:v>
      </x:c>
      <x:c r="P1827" t="str">
        <x:v>False</x:v>
      </x:c>
      <x:c r="Q1827" t="str">
        <x:v>e1af9e07f54b08b31e6319135c3557d45c47b7108d497a5ebef5a4c34391d077</x:v>
      </x:c>
      <x:c r="R1827" t="str">
        <x:v>d66a2a512ef36e9a8c618d56a66759390209677074b942d530d3e7ed873093fc</x:v>
      </x:c>
      <x:c r="S1827" t="n">
        <x:v>5</x:v>
      </x:c>
      <x:c r="T1827" t="str">
        <x:v>2018-12-31|2019-12-31|2020-12-31|2021-12-31|2022-12-31</x:v>
      </x:c>
      <x:c r="U1827" s="57" t="n">
        <x:v>3977.580104654106</x:v>
      </x:c>
      <x:c r="V1827" s="57" t="n">
        <x:v>-0.35533547736562304</x:v>
      </x:c>
      <x:c r="W1827" t="n">
        <x:v>34</x:v>
      </x:c>
      <x:c r="X1827" t="n">
        <x:v>3</x:v>
      </x:c>
      <x:c r="Y1827" s="38" t="n">
        <x:v>0.6409090909090909</x:v>
      </x:c>
      <x:c r="Z1827" s="38" t="n">
        <x:v>0.7515064542839399</x:v>
      </x:c>
      <x:c r="AA1827"/>
    </x:row>
    <x:row r="1828">
      <x:c r="A1828" s="54" t="n">
        <x:v>45016</x:v>
      </x:c>
      <x:c r="B1828" t="n">
        <x:v>45016.624999988424</x:v>
      </x:c>
      <x:c r="C1828" t="str">
        <x:v>004830</x:v>
      </x:c>
      <x:c r="D1828" t="str">
        <x:v>덕성</x:v>
      </x:c>
      <x:c r="E1828" t="str">
        <x:v>KOSPI</x:v>
      </x:c>
      <x:c r="F1828" t="str">
        <x:v>SMALL</x:v>
      </x:c>
      <x:c r="G1828" t="str">
        <x:v>ELIGIBLE</x:v>
      </x:c>
      <x:c r="H1828"/>
      <x:c r="I1828" s="54" t="n">
        <x:v>45016</x:v>
      </x:c>
      <x:c r="J1828" s="55" t="n">
        <x:v>5000</x:v>
      </x:c>
      <x:c r="K1828" s="55" t="n">
        <x:v>78400000000</x:v>
      </x:c>
      <x:c r="L1828" s="55" t="n">
        <x:v>15680000</x:v>
      </x:c>
      <x:c r="M1828" t="str">
        <x:v>20230317000725</x:v>
      </x:c>
      <x:c r="N1828" t="n">
        <x:v>45002.624999988424</x:v>
      </x:c>
      <x:c r="O1828" s="54" t="n">
        <x:v>44926</x:v>
      </x:c>
      <x:c r="P1828" t="str">
        <x:v>False</x:v>
      </x:c>
      <x:c r="Q1828" t="str">
        <x:v>f050cbf10b3afeec85fa14f52a00c27e024f1d4a8ba6e536874a3fbba610a8a9</x:v>
      </x:c>
      <x:c r="R1828" t="str">
        <x:v>97435f046c63b71b1e391f1bc6352312bbdaa33ab8ef3b6e2b3e3762477304d6</x:v>
      </x:c>
      <x:c r="S1828" t="n">
        <x:v>7</x:v>
      </x:c>
      <x:c r="T1828" t="str">
        <x:v>2018-12-31|2019-12-31|2020-12-31|2021-12-31|2022-12-31</x:v>
      </x:c>
      <x:c r="U1828" s="57" t="n">
        <x:v>2778.8065618787664</x:v>
      </x:c>
      <x:c r="V1828" s="57" t="n">
        <x:v>-0.44423868762424673</x:v>
      </x:c>
      <x:c r="W1828" t="n">
        <x:v>44</x:v>
      </x:c>
      <x:c r="X1828" t="n">
        <x:v>4</x:v>
      </x:c>
      <x:c r="Y1828" s="38" t="n">
        <x:v>0.6409090909090909</x:v>
      </x:c>
      <x:c r="Z1828" s="38" t="n">
        <x:v>0.6705959802185688</x:v>
      </x:c>
      <x:c r="AA1828"/>
    </x:row>
    <x:row r="1829">
      <x:c r="A1829" s="54" t="n">
        <x:v>45016</x:v>
      </x:c>
      <x:c r="B1829" t="n">
        <x:v>45016.624999988424</x:v>
      </x:c>
      <x:c r="C1829" t="str">
        <x:v>014440</x:v>
      </x:c>
      <x:c r="D1829" t="str">
        <x:v>영보화학</x:v>
      </x:c>
      <x:c r="E1829" t="str">
        <x:v>KOSPI</x:v>
      </x:c>
      <x:c r="F1829" t="str">
        <x:v>SMALL</x:v>
      </x:c>
      <x:c r="G1829" t="str">
        <x:v>ELIGIBLE</x:v>
      </x:c>
      <x:c r="H1829"/>
      <x:c r="I1829" s="54" t="n">
        <x:v>45016</x:v>
      </x:c>
      <x:c r="J1829" s="55" t="n">
        <x:v>3560</x:v>
      </x:c>
      <x:c r="K1829" s="55" t="n">
        <x:v>71200000000</x:v>
      </x:c>
      <x:c r="L1829" s="55" t="n">
        <x:v>20000000</x:v>
      </x:c>
      <x:c r="M1829" t="str">
        <x:v>20230315000345</x:v>
      </x:c>
      <x:c r="N1829" t="n">
        <x:v>45000.624999988424</x:v>
      </x:c>
      <x:c r="O1829" s="54" t="n">
        <x:v>44926</x:v>
      </x:c>
      <x:c r="P1829" t="str">
        <x:v>False</x:v>
      </x:c>
      <x:c r="Q1829" t="str">
        <x:v>d63d9fa8510e2308020934e7c0b199c248549e13d003ee246c6e1fc306e90076</x:v>
      </x:c>
      <x:c r="R1829" t="str">
        <x:v>81922ca1b6399cabf576ee59c1173b5c4ee55c697accad85ffeaa4a8ed2e7733</x:v>
      </x:c>
      <x:c r="S1829" t="n">
        <x:v>6</x:v>
      </x:c>
      <x:c r="T1829" t="str">
        <x:v>2018-12-31|2019-12-31|2020-12-31|2021-12-31|2022-12-31</x:v>
      </x:c>
      <x:c r="U1829" s="57" t="n">
        <x:v>2130.6598994347996</x:v>
      </x:c>
      <x:c r="V1829" s="57" t="n">
        <x:v>-0.40150002824865183</x:v>
      </x:c>
      <x:c r="W1829" t="n">
        <x:v>38</x:v>
      </x:c>
      <x:c r="X1829" t="n">
        <x:v>3</x:v>
      </x:c>
      <x:c r="Y1829" s="38" t="n">
        <x:v>0.6409090909090909</x:v>
      </x:c>
      <x:c r="Z1829" s="38" t="n">
        <x:v>0.36468053982794346</x:v>
      </x:c>
      <x:c r="AA1829"/>
    </x:row>
    <x:row r="1830">
      <x:c r="A1830" s="54" t="n">
        <x:v>45016</x:v>
      </x:c>
      <x:c r="B1830" t="n">
        <x:v>45016.624999988424</x:v>
      </x:c>
      <x:c r="C1830" t="str">
        <x:v>009180</x:v>
      </x:c>
      <x:c r="D1830" t="str">
        <x:v>한솔로지스틱스</x:v>
      </x:c>
      <x:c r="E1830" t="str">
        <x:v>KOSPI</x:v>
      </x:c>
      <x:c r="F1830" t="str">
        <x:v>SMALL</x:v>
      </x:c>
      <x:c r="G1830" t="str">
        <x:v>ELIGIBLE</x:v>
      </x:c>
      <x:c r="H1830"/>
      <x:c r="I1830" s="54" t="n">
        <x:v>45016</x:v>
      </x:c>
      <x:c r="J1830" s="55" t="n">
        <x:v>2835</x:v>
      </x:c>
      <x:c r="K1830" s="55" t="n">
        <x:v>77898499875</x:v>
      </x:c>
      <x:c r="L1830" s="55" t="n">
        <x:v>27477425</x:v>
      </x:c>
      <x:c r="M1830" t="str">
        <x:v>20230314000521</x:v>
      </x:c>
      <x:c r="N1830" t="n">
        <x:v>44999.624999988424</x:v>
      </x:c>
      <x:c r="O1830" s="54" t="n">
        <x:v>44926</x:v>
      </x:c>
      <x:c r="P1830" t="str">
        <x:v>False</x:v>
      </x:c>
      <x:c r="Q1830" t="str">
        <x:v>eda31c52b16b96a3d3e2e56f195008d48a51f3f4d471e61b08ff4bd7c3dc42d6</x:v>
      </x:c>
      <x:c r="R1830" t="str">
        <x:v>ce8fec0bf919a35953ce5bc0f7cbbdc0092795f1f90e71b58e263f9e988693d0</x:v>
      </x:c>
      <x:c r="S1830" t="n">
        <x:v>6</x:v>
      </x:c>
      <x:c r="T1830" t="str">
        <x:v>2018-12-31|2019-12-31|2020-12-31|2021-12-31|2022-12-31</x:v>
      </x:c>
      <x:c r="U1830" s="57" t="n">
        <x:v>7285.250974816553</x:v>
      </x:c>
      <x:c r="V1830" s="57" t="n">
        <x:v>1.569753430270389</x:v>
      </x:c>
      <x:c r="W1830" t="n">
        <x:v>9</x:v>
      </x:c>
      <x:c r="X1830" t="n">
        <x:v>1</x:v>
      </x:c>
      <x:c r="Y1830" s="38" t="n">
        <x:v>0.6409090909090909</x:v>
      </x:c>
      <x:c r="Z1830" s="38" t="n">
        <x:v>0.6119376603889574</x:v>
      </x:c>
      <x:c r="AA1830"/>
    </x:row>
    <x:row r="1831">
      <x:c r="A1831" s="54" t="n">
        <x:v>45016</x:v>
      </x:c>
      <x:c r="B1831" t="n">
        <x:v>45016.624999988424</x:v>
      </x:c>
      <x:c r="C1831" t="str">
        <x:v>004910</x:v>
      </x:c>
      <x:c r="D1831" t="str">
        <x:v>조광페인트</x:v>
      </x:c>
      <x:c r="E1831" t="str">
        <x:v>KOSPI</x:v>
      </x:c>
      <x:c r="F1831" t="str">
        <x:v>SMALL</x:v>
      </x:c>
      <x:c r="G1831" t="str">
        <x:v>DCF_SCREENING_EXCLUSION</x:v>
      </x:c>
      <x:c r="H1831" t="str">
        <x:v>NON_POSITIVE_ENTERPRISE_VALUE|NON_POSITIVE_EQUITY_VALUE|NON_POSITIVE_TERMINAL_FCF</x:v>
      </x:c>
      <x:c r="I1831" s="54" t="n">
        <x:v>45016</x:v>
      </x:c>
      <x:c r="J1831" s="55" t="n">
        <x:v>7220</x:v>
      </x:c>
      <x:c r="K1831" s="55" t="n">
        <x:v>92416000000</x:v>
      </x:c>
      <x:c r="L1831" s="55" t="n">
        <x:v>12800000</x:v>
      </x:c>
      <x:c r="M1831" t="str">
        <x:v>20230327000842</x:v>
      </x:c>
      <x:c r="N1831" t="n">
        <x:v>45012.624999988424</x:v>
      </x:c>
      <x:c r="O1831" s="54" t="n">
        <x:v>44926</x:v>
      </x:c>
      <x:c r="P1831" t="str">
        <x:v>True</x:v>
      </x:c>
      <x:c r="Q1831" t="str">
        <x:v>8502d6910c586d5bf2e3d05259b684f052a56334a5f78b3f50d899c463b910f1</x:v>
      </x:c>
      <x:c r="R1831" t="str">
        <x:v>1dd640a4399a83979d430ab8be09bcabb8ade99f67af583be6f90c51d46827ba</x:v>
      </x:c>
      <x:c r="S1831" t="n">
        <x:v>6</x:v>
      </x:c>
      <x:c r="T1831" t="str">
        <x:v>2018-12-31|2019-12-31|2020-12-31|2021-12-31|2022-12-31</x:v>
      </x:c>
      <x:c r="U1831" s="57" t="n">
        <x:v>-10700.587748293754</x:v>
      </x:c>
      <x:c r="V1831" s="57" t="n">
        <x:v>-2.4820758654146475</x:v>
      </x:c>
      <x:c r="W1831"/>
      <x:c r="X1831"/>
      <x:c r="Y1831" s="38" t="n">
        <x:v>0.6409090909090909</x:v>
      </x:c>
      <x:c r="Z1831" s="38" t="n">
        <x:v>0.621631928643766</x:v>
      </x:c>
      <x:c r="AA1831" t="str">
        <x:v>NON_POSITIVE_ENTERPRISE_VALUE|NON_POSITIVE_EQUITY_VALUE|NON_POSITIVE_TERMINAL_FCF</x:v>
      </x:c>
    </x:row>
    <x:row r="1832">
      <x:c r="A1832" s="54" t="n">
        <x:v>45016</x:v>
      </x:c>
      <x:c r="B1832" t="n">
        <x:v>45016.624999988424</x:v>
      </x:c>
      <x:c r="C1832" t="str">
        <x:v>004870</x:v>
      </x:c>
      <x:c r="D1832" t="str">
        <x:v>티웨이홀딩스</x:v>
      </x:c>
      <x:c r="E1832" t="str">
        <x:v>KOSPI</x:v>
      </x:c>
      <x:c r="F1832" t="str">
        <x:v>SMALL</x:v>
      </x:c>
      <x:c r="G1832" t="str">
        <x:v>EXCLUDED_ARCHETYPE</x:v>
      </x:c>
      <x:c r="H1832" t="str">
        <x:v>FCFF_NOT_COMPARABLE_FOR_FINANCE_OR_HOLDING_HINT</x:v>
      </x:c>
      <x:c r="I1832" s="54"/>
      <x:c r="J1832" s="55"/>
      <x:c r="K1832" s="55"/>
      <x:c r="L1832" s="55"/>
      <x:c r="M1832"/>
      <x:c r="N1832"/>
      <x:c r="O1832" s="54"/>
      <x:c r="P1832"/>
      <x:c r="Q1832"/>
      <x:c r="R1832"/>
      <x:c r="S1832"/>
      <x:c r="T1832"/>
      <x:c r="U1832" s="57"/>
      <x:c r="V1832" s="57"/>
      <x:c r="W1832"/>
      <x:c r="X1832"/>
      <x:c r="Y1832" s="38"/>
      <x:c r="Z1832" s="38"/>
      <x:c r="AA1832"/>
    </x:row>
    <x:row r="1833">
      <x:c r="A1833" s="54" t="n">
        <x:v>45016</x:v>
      </x:c>
      <x:c r="B1833" t="n">
        <x:v>45016.624999988424</x:v>
      </x:c>
      <x:c r="C1833" t="str">
        <x:v>010770</x:v>
      </x:c>
      <x:c r="D1833" t="str">
        <x:v>평화홀딩스</x:v>
      </x:c>
      <x:c r="E1833" t="str">
        <x:v>KOSPI</x:v>
      </x:c>
      <x:c r="F1833" t="str">
        <x:v>SMALL</x:v>
      </x:c>
      <x:c r="G1833" t="str">
        <x:v>EXCLUDED_ARCHETYPE</x:v>
      </x:c>
      <x:c r="H1833" t="str">
        <x:v>FCFF_NOT_COMPARABLE_FOR_FINANCE_OR_HOLDING_HINT</x:v>
      </x:c>
      <x:c r="I1833" s="54"/>
      <x:c r="J1833" s="55"/>
      <x:c r="K1833" s="55"/>
      <x:c r="L1833" s="55"/>
      <x:c r="M1833"/>
      <x:c r="N1833"/>
      <x:c r="O1833" s="54"/>
      <x:c r="P1833"/>
      <x:c r="Q1833"/>
      <x:c r="R1833"/>
      <x:c r="S1833"/>
      <x:c r="T1833"/>
      <x:c r="U1833" s="57"/>
      <x:c r="V1833" s="57"/>
      <x:c r="W1833"/>
      <x:c r="X1833"/>
      <x:c r="Y1833" s="38"/>
      <x:c r="Z1833" s="38"/>
      <x:c r="AA1833"/>
    </x:row>
    <x:row r="1834">
      <x:c r="A1834" s="54" t="n">
        <x:v>45016</x:v>
      </x:c>
      <x:c r="B1834" t="n">
        <x:v>45016.624999988424</x:v>
      </x:c>
      <x:c r="C1834" t="str">
        <x:v>001290</x:v>
      </x:c>
      <x:c r="D1834" t="str">
        <x:v>상상인증권</x:v>
      </x:c>
      <x:c r="E1834" t="str">
        <x:v>KOSPI</x:v>
      </x:c>
      <x:c r="F1834" t="str">
        <x:v>SMALL</x:v>
      </x:c>
      <x:c r="G1834" t="str">
        <x:v>EXCLUDED_ARCHETYPE</x:v>
      </x:c>
      <x:c r="H1834" t="str">
        <x:v>FCFF_NOT_COMPARABLE_FOR_FINANCE_OR_HOLDING_HINT</x:v>
      </x:c>
      <x:c r="I1834" s="54"/>
      <x:c r="J1834" s="55"/>
      <x:c r="K1834" s="55"/>
      <x:c r="L1834" s="55"/>
      <x:c r="M1834"/>
      <x:c r="N1834"/>
      <x:c r="O1834" s="54"/>
      <x:c r="P1834"/>
      <x:c r="Q1834"/>
      <x:c r="R1834"/>
      <x:c r="S1834"/>
      <x:c r="T1834"/>
      <x:c r="U1834" s="57"/>
      <x:c r="V1834" s="57"/>
      <x:c r="W1834"/>
      <x:c r="X1834"/>
      <x:c r="Y1834" s="38"/>
      <x:c r="Z1834" s="38"/>
      <x:c r="AA1834"/>
    </x:row>
    <x:row r="1835">
      <x:c r="A1835" s="54" t="n">
        <x:v>45016</x:v>
      </x:c>
      <x:c r="B1835" t="n">
        <x:v>45016.624999988424</x:v>
      </x:c>
      <x:c r="C1835" t="str">
        <x:v>047400</x:v>
      </x:c>
      <x:c r="D1835" t="str">
        <x:v>유니온머티리얼</x:v>
      </x:c>
      <x:c r="E1835" t="str">
        <x:v>KOSPI</x:v>
      </x:c>
      <x:c r="F1835" t="str">
        <x:v>SMALL</x:v>
      </x:c>
      <x:c r="G1835" t="str">
        <x:v>DCF_SCREENING_EXCLUSION</x:v>
      </x:c>
      <x:c r="H1835" t="str">
        <x:v>NON_POSITIVE_ENTERPRISE_VALUE|NON_POSITIVE_EQUITY_VALUE|NON_POSITIVE_TERMINAL_FCF</x:v>
      </x:c>
      <x:c r="I1835" s="54" t="n">
        <x:v>45016</x:v>
      </x:c>
      <x:c r="J1835" s="55" t="n">
        <x:v>2885</x:v>
      </x:c>
      <x:c r="K1835" s="55" t="n">
        <x:v>121170000000</x:v>
      </x:c>
      <x:c r="L1835" s="55" t="n">
        <x:v>42000000</x:v>
      </x:c>
      <x:c r="M1835" t="str">
        <x:v>20230324001267</x:v>
      </x:c>
      <x:c r="N1835" t="n">
        <x:v>45009.624999988424</x:v>
      </x:c>
      <x:c r="O1835" s="54" t="n">
        <x:v>44926</x:v>
      </x:c>
      <x:c r="P1835" t="str">
        <x:v>True</x:v>
      </x:c>
      <x:c r="Q1835" t="str">
        <x:v>2fe21c6c793277208fdb903e1ac031307cc7fd58266bbcbfa97d286a2543249a</x:v>
      </x:c>
      <x:c r="R1835" t="str">
        <x:v>7a51fb1b984cedb138d1b7687c971f44dda3a8afbc9b997862ad42c11ce28bea</x:v>
      </x:c>
      <x:c r="S1835" t="n">
        <x:v>7</x:v>
      </x:c>
      <x:c r="T1835" t="str">
        <x:v>2018-12-31|2019-12-31|2020-12-31|2021-12-31|2022-12-31</x:v>
      </x:c>
      <x:c r="U1835" s="57" t="n">
        <x:v>-3742.3773333717227</x:v>
      </x:c>
      <x:c r="V1835" s="57" t="n">
        <x:v>-2.2971845176331795</x:v>
      </x:c>
      <x:c r="W1835"/>
      <x:c r="X1835"/>
      <x:c r="Y1835" s="38" t="n">
        <x:v>0.6409090909090909</x:v>
      </x:c>
      <x:c r="Z1835" s="38" t="n">
        <x:v>0.6301308421759896</x:v>
      </x:c>
      <x:c r="AA1835" t="str">
        <x:v>NON_POSITIVE_ENTERPRISE_VALUE|NON_POSITIVE_EQUITY_VALUE|NON_POSITIVE_TERMINAL_FCF</x:v>
      </x:c>
    </x:row>
    <x:row r="1836">
      <x:c r="A1836" s="54" t="n">
        <x:v>45016</x:v>
      </x:c>
      <x:c r="B1836" t="n">
        <x:v>45016.624999988424</x:v>
      </x:c>
      <x:c r="C1836" t="str">
        <x:v>011300</x:v>
      </x:c>
      <x:c r="D1836" t="str">
        <x:v>성안머티리얼스</x:v>
      </x:c>
      <x:c r="E1836" t="str">
        <x:v>KOSPI</x:v>
      </x:c>
      <x:c r="F1836" t="str">
        <x:v>SMALL</x:v>
      </x:c>
      <x:c r="G1836" t="str">
        <x:v>DCF_SCREENING_EXCLUSION</x:v>
      </x:c>
      <x:c r="H1836" t="str">
        <x:v>NON_POSITIVE_ENTERPRISE_VALUE|NON_POSITIVE_EQUITY_VALUE|NON_POSITIVE_TERMINAL_FCF|UNRELIABLE_TERMINAL_VALUE_SHARE</x:v>
      </x:c>
      <x:c r="I1836" s="54" t="n">
        <x:v>45016</x:v>
      </x:c>
      <x:c r="J1836" s="55" t="n">
        <x:v>1869</x:v>
      </x:c>
      <x:c r="K1836" s="55" t="n">
        <x:v>108458428848</x:v>
      </x:c>
      <x:c r="L1836" s="55" t="n">
        <x:v>58030192</x:v>
      </x:c>
      <x:c r="M1836" t="str">
        <x:v>20230322000752</x:v>
      </x:c>
      <x:c r="N1836" t="n">
        <x:v>45007.624999988424</x:v>
      </x:c>
      <x:c r="O1836" s="54" t="n">
        <x:v>44926</x:v>
      </x:c>
      <x:c r="P1836" t="str">
        <x:v>False</x:v>
      </x:c>
      <x:c r="Q1836" t="str">
        <x:v>f2b859668663c8feee6c9246f1b1aa5864a20a9088ea52451a4aacadd065dffc</x:v>
      </x:c>
      <x:c r="R1836" t="str">
        <x:v>77774899877e09c0656baeff358971b9e241494b9ecd3a7c7ab5c9b79ae07b96</x:v>
      </x:c>
      <x:c r="S1836" t="n">
        <x:v>7</x:v>
      </x:c>
      <x:c r="T1836" t="str">
        <x:v>2018-12-31|2019-12-31|2020-12-31|2021-12-31|2022-12-31</x:v>
      </x:c>
      <x:c r="U1836" s="57" t="n">
        <x:v>-489.5511284352454</x:v>
      </x:c>
      <x:c r="V1836" s="57" t="n">
        <x:v>-1.2619321179428815</x:v>
      </x:c>
      <x:c r="W1836"/>
      <x:c r="X1836"/>
      <x:c r="Y1836" s="38" t="n">
        <x:v>0.6409090909090909</x:v>
      </x:c>
      <x:c r="Z1836" s="38" t="n">
        <x:v>0.8570330924845574</x:v>
      </x:c>
      <x:c r="AA1836" t="str">
        <x:v>NON_POSITIVE_ENTERPRISE_VALUE|NON_POSITIVE_EQUITY_VALUE|NON_POSITIVE_TERMINAL_FCF|UNRELIABLE_TERMINAL_VALUE_SHARE</x:v>
      </x:c>
    </x:row>
    <x:row r="1837">
      <x:c r="A1837" s="54" t="n">
        <x:v>45016</x:v>
      </x:c>
      <x:c r="B1837" t="n">
        <x:v>45016.624999988424</x:v>
      </x:c>
      <x:c r="C1837" t="str">
        <x:v>018500</x:v>
      </x:c>
      <x:c r="D1837" t="str">
        <x:v>동원금속</x:v>
      </x:c>
      <x:c r="E1837" t="str">
        <x:v>KOSPI</x:v>
      </x:c>
      <x:c r="F1837" t="str">
        <x:v>SMALL</x:v>
      </x:c>
      <x:c r="G1837" t="str">
        <x:v>DCF_SCREENING_EXCLUSION</x:v>
      </x:c>
      <x:c r="H1837" t="str">
        <x:v>NON_POSITIVE_ENTERPRISE_VALUE|NON_POSITIVE_EQUITY_VALUE|NON_POSITIVE_TERMINAL_FCF</x:v>
      </x:c>
      <x:c r="I1837" s="54" t="n">
        <x:v>45016</x:v>
      </x:c>
      <x:c r="J1837" s="55" t="n">
        <x:v>943</x:v>
      </x:c>
      <x:c r="K1837" s="55" t="n">
        <x:v>44089901819</x:v>
      </x:c>
      <x:c r="L1837" s="55" t="n">
        <x:v>46754933</x:v>
      </x:c>
      <x:c r="M1837" t="str">
        <x:v>20220620000208</x:v>
      </x:c>
      <x:c r="N1837" t="n">
        <x:v>44732.624999988424</x:v>
      </x:c>
      <x:c r="O1837" s="54" t="n">
        <x:v>44651</x:v>
      </x:c>
      <x:c r="P1837" t="str">
        <x:v>False</x:v>
      </x:c>
      <x:c r="Q1837" t="str">
        <x:v>6032b6d0ff0fa5c8589ce2e9495f3392e2d87eac4ac6326e2958e1f26443339d</x:v>
      </x:c>
      <x:c r="R1837" t="str">
        <x:v>93395776f505cb3e68e13de0fe0a6c37642acc03a8e4e2a364181c6e986a8788</x:v>
      </x:c>
      <x:c r="S1837" t="n">
        <x:v>6</x:v>
      </x:c>
      <x:c r="T1837" t="str">
        <x:v>2019-03-31|2020-03-31|2021-03-31|2022-03-31</x:v>
      </x:c>
      <x:c r="U1837" s="57" t="n">
        <x:v>-5223.077801948049</x:v>
      </x:c>
      <x:c r="V1837" s="57" t="n">
        <x:v>-6.538788761344696</x:v>
      </x:c>
      <x:c r="W1837"/>
      <x:c r="X1837"/>
      <x:c r="Y1837" s="38" t="n">
        <x:v>0.6409090909090909</x:v>
      </x:c>
      <x:c r="Z1837" s="38" t="n">
        <x:v>0.7019558398857392</x:v>
      </x:c>
      <x:c r="AA1837" t="str">
        <x:v>NON_POSITIVE_ENTERPRISE_VALUE|NON_POSITIVE_EQUITY_VALUE|NON_POSITIVE_TERMINAL_FCF</x:v>
      </x:c>
    </x:row>
    <x:row r="1838">
      <x:c r="A1838" s="54" t="n">
        <x:v>45016</x:v>
      </x:c>
      <x:c r="B1838" t="n">
        <x:v>45016.624999988424</x:v>
      </x:c>
      <x:c r="C1838" t="str">
        <x:v>004770</x:v>
      </x:c>
      <x:c r="D1838" t="str">
        <x:v>써니전자</x:v>
      </x:c>
      <x:c r="E1838" t="str">
        <x:v>KOSPI</x:v>
      </x:c>
      <x:c r="F1838" t="str">
        <x:v>SMALL</x:v>
      </x:c>
      <x:c r="G1838" t="str">
        <x:v>ELIGIBLE</x:v>
      </x:c>
      <x:c r="H1838"/>
      <x:c r="I1838" s="54" t="n">
        <x:v>45016</x:v>
      </x:c>
      <x:c r="J1838" s="55" t="n">
        <x:v>2315</x:v>
      </x:c>
      <x:c r="K1838" s="55" t="n">
        <x:v>80666200465</x:v>
      </x:c>
      <x:c r="L1838" s="55" t="n">
        <x:v>34845011</x:v>
      </x:c>
      <x:c r="M1838" t="str">
        <x:v>20230317001042</x:v>
      </x:c>
      <x:c r="N1838" t="n">
        <x:v>45002.624999988424</x:v>
      </x:c>
      <x:c r="O1838" s="54" t="n">
        <x:v>44926</x:v>
      </x:c>
      <x:c r="P1838" t="str">
        <x:v>False</x:v>
      </x:c>
      <x:c r="Q1838" t="str">
        <x:v>cc9e18e07201573391b9e0b596098d83df19d635decd3634aaca4e044673cc53</x:v>
      </x:c>
      <x:c r="R1838" t="str">
        <x:v>c4c3ad3e6350fc26daab1924af6861fbb1b5d3a130f4f366730dada5ee778d80</x:v>
      </x:c>
      <x:c r="S1838" t="n">
        <x:v>6</x:v>
      </x:c>
      <x:c r="T1838" t="str">
        <x:v>2018-12-31|2019-12-31|2020-12-31|2021-12-31|2022-12-31</x:v>
      </x:c>
      <x:c r="U1838" s="57" t="n">
        <x:v>478.2864764367982</x:v>
      </x:c>
      <x:c r="V1838" s="57" t="n">
        <x:v>-0.7933967704376682</x:v>
      </x:c>
      <x:c r="W1838" t="n">
        <x:v>63</x:v>
      </x:c>
      <x:c r="X1838" t="n">
        <x:v>5</x:v>
      </x:c>
      <x:c r="Y1838" s="38" t="n">
        <x:v>0.6409090909090909</x:v>
      </x:c>
      <x:c r="Z1838" s="38" t="n">
        <x:v>0.6315063926884522</x:v>
      </x:c>
      <x:c r="AA1838"/>
    </x:row>
    <x:row r="1839">
      <x:c r="A1839" s="54" t="n">
        <x:v>45016</x:v>
      </x:c>
      <x:c r="B1839" t="n">
        <x:v>45016.624999988424</x:v>
      </x:c>
      <x:c r="C1839" t="str">
        <x:v>000890</x:v>
      </x:c>
      <x:c r="D1839" t="str">
        <x:v>보해양조</x:v>
      </x:c>
      <x:c r="E1839" t="str">
        <x:v>KOSPI</x:v>
      </x:c>
      <x:c r="F1839" t="str">
        <x:v>SMALL</x:v>
      </x:c>
      <x:c r="G1839" t="str">
        <x:v>DCF_SCREENING_EXCLUSION</x:v>
      </x:c>
      <x:c r="H1839" t="str">
        <x:v>NON_POSITIVE_ENTERPRISE_VALUE|NON_POSITIVE_EQUITY_VALUE|NON_POSITIVE_TERMINAL_FCF</x:v>
      </x:c>
      <x:c r="I1839" s="54" t="n">
        <x:v>45016</x:v>
      </x:c>
      <x:c r="J1839" s="55" t="n">
        <x:v>615</x:v>
      </x:c>
      <x:c r="K1839" s="55" t="n">
        <x:v>85558879335</x:v>
      </x:c>
      <x:c r="L1839" s="55" t="n">
        <x:v>139120129</x:v>
      </x:c>
      <x:c r="M1839" t="str">
        <x:v>20230321001480</x:v>
      </x:c>
      <x:c r="N1839" t="n">
        <x:v>45006.624999988424</x:v>
      </x:c>
      <x:c r="O1839" s="54" t="n">
        <x:v>44926</x:v>
      </x:c>
      <x:c r="P1839" t="str">
        <x:v>False</x:v>
      </x:c>
      <x:c r="Q1839" t="str">
        <x:v>139d1d577ce9fe237dde0faae0b9a2fa06044da3bca94cf24b02b00bfdd1d3e9</x:v>
      </x:c>
      <x:c r="R1839" t="str">
        <x:v>09575fe14abe819fb5a535e55c31e0ef8a1afa13684e489b978f22528599458c</x:v>
      </x:c>
      <x:c r="S1839" t="n">
        <x:v>6</x:v>
      </x:c>
      <x:c r="T1839" t="str">
        <x:v>2018-12-31|2019-12-31|2020-12-31|2021-12-31|2022-12-31</x:v>
      </x:c>
      <x:c r="U1839" s="57" t="n">
        <x:v>-171.03486766784357</x:v>
      </x:c>
      <x:c r="V1839" s="57" t="n">
        <x:v>-1.2781054758826724</x:v>
      </x:c>
      <x:c r="W1839"/>
      <x:c r="X1839"/>
      <x:c r="Y1839" s="38" t="n">
        <x:v>0.6409090909090909</x:v>
      </x:c>
      <x:c r="Z1839" s="38" t="n">
        <x:v>0.6078481490190666</x:v>
      </x:c>
      <x:c r="AA1839" t="str">
        <x:v>NON_POSITIVE_ENTERPRISE_VALUE|NON_POSITIVE_EQUITY_VALUE|NON_POSITIVE_TERMINAL_FCF</x:v>
      </x:c>
    </x:row>
    <x:row r="1840">
      <x:c r="A1840" s="54" t="n">
        <x:v>45016</x:v>
      </x:c>
      <x:c r="B1840" t="n">
        <x:v>45016.624999988424</x:v>
      </x:c>
      <x:c r="C1840" t="str">
        <x:v>021050</x:v>
      </x:c>
      <x:c r="D1840" t="str">
        <x:v>서원</x:v>
      </x:c>
      <x:c r="E1840" t="str">
        <x:v>KOSPI</x:v>
      </x:c>
      <x:c r="F1840" t="str">
        <x:v>SMALL</x:v>
      </x:c>
      <x:c r="G1840" t="str">
        <x:v>DCF_SCREENING_EXCLUSION</x:v>
      </x:c>
      <x:c r="H1840" t="str">
        <x:v>NON_POSITIVE_EQUITY_VALUE|UNRELIABLE_TERMINAL_VALUE_SHARE</x:v>
      </x:c>
      <x:c r="I1840" s="54" t="n">
        <x:v>45016</x:v>
      </x:c>
      <x:c r="J1840" s="55" t="n">
        <x:v>1251</x:v>
      </x:c>
      <x:c r="K1840" s="55" t="n">
        <x:v>59390712090</x:v>
      </x:c>
      <x:c r="L1840" s="55" t="n">
        <x:v>47474590</x:v>
      </x:c>
      <x:c r="M1840" t="str">
        <x:v>20230323000835</x:v>
      </x:c>
      <x:c r="N1840" t="n">
        <x:v>45008.624999988424</x:v>
      </x:c>
      <x:c r="O1840" s="54" t="n">
        <x:v>44926</x:v>
      </x:c>
      <x:c r="P1840" t="str">
        <x:v>False</x:v>
      </x:c>
      <x:c r="Q1840" t="str">
        <x:v>a9cc558dee1f1305ae3ff0663d41defa1f6c94547971900ba1a7e0ad20fc702e</x:v>
      </x:c>
      <x:c r="R1840" t="str">
        <x:v>b466aa7ddb7ebf232b058aab9a5d041f6a13b1b5d8600109ff915ec56721faea</x:v>
      </x:c>
      <x:c r="S1840" t="n">
        <x:v>6</x:v>
      </x:c>
      <x:c r="T1840" t="str">
        <x:v>2018-12-31|2019-12-31|2020-12-31|2021-12-31|2022-12-31</x:v>
      </x:c>
      <x:c r="U1840" s="57" t="n">
        <x:v>-950.9042094502876</x:v>
      </x:c>
      <x:c r="V1840" s="57" t="n">
        <x:v>-1.760115275339958</x:v>
      </x:c>
      <x:c r="W1840"/>
      <x:c r="X1840"/>
      <x:c r="Y1840" s="38" t="n">
        <x:v>0.6409090909090909</x:v>
      </x:c>
      <x:c r="Z1840" s="38" t="n">
        <x:v>0.9131362731117916</x:v>
      </x:c>
      <x:c r="AA1840" t="str">
        <x:v>NON_POSITIVE_EQUITY_VALUE|UNRELIABLE_TERMINAL_VALUE_SHARE</x:v>
      </x:c>
    </x:row>
    <x:row r="1841">
      <x:c r="A1841" s="54" t="n">
        <x:v>45016</x:v>
      </x:c>
      <x:c r="B1841" t="n">
        <x:v>45016.624999988424</x:v>
      </x:c>
      <x:c r="C1841" t="str">
        <x:v>134790</x:v>
      </x:c>
      <x:c r="D1841" t="str">
        <x:v>시디즈</x:v>
      </x:c>
      <x:c r="E1841" t="str">
        <x:v>KOSPI</x:v>
      </x:c>
      <x:c r="F1841" t="str">
        <x:v>SMALL</x:v>
      </x:c>
      <x:c r="G1841" t="str">
        <x:v>DCF_SCREENING_EXCLUSION</x:v>
      </x:c>
      <x:c r="H1841" t="str">
        <x:v>UNRELIABLE_TERMINAL_VALUE_SHARE</x:v>
      </x:c>
      <x:c r="I1841" s="54" t="n">
        <x:v>45016</x:v>
      </x:c>
      <x:c r="J1841" s="55" t="n">
        <x:v>39200</x:v>
      </x:c>
      <x:c r="K1841" s="55" t="n">
        <x:v>78400000000</x:v>
      </x:c>
      <x:c r="L1841" s="55" t="n">
        <x:v>2000000</x:v>
      </x:c>
      <x:c r="M1841" t="str">
        <x:v>20230316001196</x:v>
      </x:c>
      <x:c r="N1841" t="n">
        <x:v>45001.624999988424</x:v>
      </x:c>
      <x:c r="O1841" s="54" t="n">
        <x:v>44926</x:v>
      </x:c>
      <x:c r="P1841" t="str">
        <x:v>False</x:v>
      </x:c>
      <x:c r="Q1841" t="str">
        <x:v>24bdedb0d2af1bd974749f3ba26d6be1909c02eec1bbc671d567d6cdcfd329fe</x:v>
      </x:c>
      <x:c r="R1841" t="str">
        <x:v>c16e31fd1b5ca96ef0b56ac9b587438cec86a4439b9c1d1443e546566374f176</x:v>
      </x:c>
      <x:c r="S1841" t="n">
        <x:v>6</x:v>
      </x:c>
      <x:c r="T1841" t="str">
        <x:v>2018-12-31|2019-12-31|2020-12-31|2021-12-31|2022-12-31</x:v>
      </x:c>
      <x:c r="U1841" s="57" t="n">
        <x:v>37714.33973836483</x:v>
      </x:c>
      <x:c r="V1841" s="57" t="n">
        <x:v>-0.0378994964702848</x:v>
      </x:c>
      <x:c r="W1841"/>
      <x:c r="X1841"/>
      <x:c r="Y1841" s="38" t="n">
        <x:v>0.6409090909090909</x:v>
      </x:c>
      <x:c r="Z1841" s="38" t="n">
        <x:v>0.8882535263746824</x:v>
      </x:c>
      <x:c r="AA1841" t="str">
        <x:v>UNRELIABLE_TERMINAL_VALUE_SHARE</x:v>
      </x:c>
    </x:row>
    <x:row r="1842">
      <x:c r="A1842" s="54" t="n">
        <x:v>45016</x:v>
      </x:c>
      <x:c r="B1842" t="n">
        <x:v>45016.624999988424</x:v>
      </x:c>
      <x:c r="C1842" t="str">
        <x:v>004920</x:v>
      </x:c>
      <x:c r="D1842" t="str">
        <x:v>씨아이테크</x:v>
      </x:c>
      <x:c r="E1842" t="str">
        <x:v>KOSPI</x:v>
      </x:c>
      <x:c r="F1842" t="str">
        <x:v>SMALL</x:v>
      </x:c>
      <x:c r="G1842" t="str">
        <x:v>DCF_SCREENING_EXCLUSION</x:v>
      </x:c>
      <x:c r="H1842" t="str">
        <x:v>NON_POSITIVE_ENTERPRISE_VALUE|NON_POSITIVE_EQUITY_VALUE|NON_POSITIVE_TERMINAL_FCF</x:v>
      </x:c>
      <x:c r="I1842" s="54" t="n">
        <x:v>45016</x:v>
      </x:c>
      <x:c r="J1842" s="55" t="n">
        <x:v>1071</x:v>
      </x:c>
      <x:c r="K1842" s="55" t="n">
        <x:v>49697997489</x:v>
      </x:c>
      <x:c r="L1842" s="55" t="n">
        <x:v>46403359</x:v>
      </x:c>
      <x:c r="M1842" t="str">
        <x:v>20230320000388</x:v>
      </x:c>
      <x:c r="N1842" t="n">
        <x:v>45005.624999988424</x:v>
      </x:c>
      <x:c r="O1842" s="54" t="n">
        <x:v>44926</x:v>
      </x:c>
      <x:c r="P1842" t="str">
        <x:v>False</x:v>
      </x:c>
      <x:c r="Q1842" t="str">
        <x:v>9d171d492d7f298cc2edf609b66dec5acde94c9a7fd778fd9b9fdec668887cd8</x:v>
      </x:c>
      <x:c r="R1842" t="str">
        <x:v>9302036e2699fc3141df99cf16ef66f975b5f1d676b5bebd06e6278c021f59d3</x:v>
      </x:c>
      <x:c r="S1842" t="n">
        <x:v>6</x:v>
      </x:c>
      <x:c r="T1842" t="str">
        <x:v>2018-12-31|2019-12-31|2020-12-31|2021-12-31|2022-12-31</x:v>
      </x:c>
      <x:c r="U1842" s="57" t="n">
        <x:v>-1122.1405123127875</x:v>
      </x:c>
      <x:c r="V1842" s="57" t="n">
        <x:v>-2.0477502449232374</x:v>
      </x:c>
      <x:c r="W1842"/>
      <x:c r="X1842"/>
      <x:c r="Y1842" s="38" t="n">
        <x:v>0.6409090909090909</x:v>
      </x:c>
      <x:c r="Z1842" s="38" t="n">
        <x:v>0.6703860416593708</x:v>
      </x:c>
      <x:c r="AA1842" t="str">
        <x:v>NON_POSITIVE_ENTERPRISE_VALUE|NON_POSITIVE_EQUITY_VALUE|NON_POSITIVE_TERMINAL_FCF</x:v>
      </x:c>
    </x:row>
    <x:row r="1843">
      <x:c r="A1843" s="54" t="n">
        <x:v>45016</x:v>
      </x:c>
      <x:c r="B1843" t="n">
        <x:v>45016.624999988424</x:v>
      </x:c>
      <x:c r="C1843" t="str">
        <x:v>058730</x:v>
      </x:c>
      <x:c r="D1843" t="str">
        <x:v>다스코</x:v>
      </x:c>
      <x:c r="E1843" t="str">
        <x:v>KOSPI</x:v>
      </x:c>
      <x:c r="F1843" t="str">
        <x:v>SMALL</x:v>
      </x:c>
      <x:c r="G1843" t="str">
        <x:v>DCF_SCREENING_EXCLUSION</x:v>
      </x:c>
      <x:c r="H1843" t="str">
        <x:v>NON_POSITIVE_ENTERPRISE_VALUE|NON_POSITIVE_EQUITY_VALUE|NON_POSITIVE_TERMINAL_FCF</x:v>
      </x:c>
      <x:c r="I1843" s="54" t="n">
        <x:v>45016</x:v>
      </x:c>
      <x:c r="J1843" s="55" t="n">
        <x:v>4635</x:v>
      </x:c>
      <x:c r="K1843" s="55" t="n">
        <x:v>89904821535</x:v>
      </x:c>
      <x:c r="L1843" s="55" t="n">
        <x:v>19396941</x:v>
      </x:c>
      <x:c r="M1843" t="str">
        <x:v>20230321001293</x:v>
      </x:c>
      <x:c r="N1843" t="n">
        <x:v>45006.624999988424</x:v>
      </x:c>
      <x:c r="O1843" s="54" t="n">
        <x:v>44926</x:v>
      </x:c>
      <x:c r="P1843" t="str">
        <x:v>False</x:v>
      </x:c>
      <x:c r="Q1843" t="str">
        <x:v>a93853e5b96927c3c21ed5c838b1026b278911aeef0d4c2f05f47251dc97e9fc</x:v>
      </x:c>
      <x:c r="R1843" t="str">
        <x:v>2e4d57025ded24437f0e3d40c2f540317ac0eca5a5741d1d78ea98501347bc29</x:v>
      </x:c>
      <x:c r="S1843" t="n">
        <x:v>7</x:v>
      </x:c>
      <x:c r="T1843" t="str">
        <x:v>2019-12-31|2020-12-31|2021-12-31|2022-12-31</x:v>
      </x:c>
      <x:c r="U1843" s="57" t="n">
        <x:v>-3657.238297158266</x:v>
      </x:c>
      <x:c r="V1843" s="57" t="n">
        <x:v>-1.7890481763016755</x:v>
      </x:c>
      <x:c r="W1843"/>
      <x:c r="X1843"/>
      <x:c r="Y1843" s="38" t="n">
        <x:v>0.6409090909090909</x:v>
      </x:c>
      <x:c r="Z1843" s="38" t="n">
        <x:v>0.7137548445491458</x:v>
      </x:c>
      <x:c r="AA1843" t="str">
        <x:v>NON_POSITIVE_ENTERPRISE_VALUE|NON_POSITIVE_EQUITY_VALUE|NON_POSITIVE_TERMINAL_FCF</x:v>
      </x:c>
    </x:row>
    <x:row r="1844">
      <x:c r="A1844" s="54" t="n">
        <x:v>45016</x:v>
      </x:c>
      <x:c r="B1844" t="n">
        <x:v>45016.624999988424</x:v>
      </x:c>
      <x:c r="C1844" t="str">
        <x:v>465770</x:v>
      </x:c>
      <x:c r="D1844" t="str">
        <x:v>STX그린로지스</x:v>
      </x:c>
      <x:c r="E1844" t="str">
        <x:v>KOSPI</x:v>
      </x:c>
      <x:c r="F1844" t="str">
        <x:v>SMALL</x:v>
      </x:c>
      <x:c r="G1844" t="str">
        <x:v>NOT_LISTED_OR_NO_PRICE</x:v>
      </x:c>
      <x:c r="H1844"/>
      <x:c r="I1844" s="54"/>
      <x:c r="J1844" s="55"/>
      <x:c r="K1844" s="55"/>
      <x:c r="L1844" s="55"/>
      <x:c r="M1844"/>
      <x:c r="N1844"/>
      <x:c r="O1844" s="54"/>
      <x:c r="P1844"/>
      <x:c r="Q1844"/>
      <x:c r="R1844"/>
      <x:c r="S1844"/>
      <x:c r="T1844"/>
      <x:c r="U1844" s="57"/>
      <x:c r="V1844" s="57"/>
      <x:c r="W1844"/>
      <x:c r="X1844"/>
      <x:c r="Y1844" s="38"/>
      <x:c r="Z1844" s="38"/>
      <x:c r="AA1844"/>
    </x:row>
    <x:row r="1845">
      <x:c r="A1845" s="54" t="n">
        <x:v>45016</x:v>
      </x:c>
      <x:c r="B1845" t="n">
        <x:v>45016.624999988424</x:v>
      </x:c>
      <x:c r="C1845" t="str">
        <x:v>000950</x:v>
      </x:c>
      <x:c r="D1845" t="str">
        <x:v>전방</x:v>
      </x:c>
      <x:c r="E1845" t="str">
        <x:v>KOSPI</x:v>
      </x:c>
      <x:c r="F1845" t="str">
        <x:v>SMALL</x:v>
      </x:c>
      <x:c r="G1845" t="str">
        <x:v>DCF_SCREENING_EXCLUSION</x:v>
      </x:c>
      <x:c r="H1845" t="str">
        <x:v>NON_POSITIVE_ENTERPRISE_VALUE|NON_POSITIVE_EQUITY_VALUE|NON_POSITIVE_TERMINAL_FCF</x:v>
      </x:c>
      <x:c r="I1845" s="54" t="n">
        <x:v>45016</x:v>
      </x:c>
      <x:c r="J1845" s="55" t="n">
        <x:v>38850</x:v>
      </x:c>
      <x:c r="K1845" s="55" t="n">
        <x:v>65268000000</x:v>
      </x:c>
      <x:c r="L1845" s="55" t="n">
        <x:v>1680000</x:v>
      </x:c>
      <x:c r="M1845" t="str">
        <x:v>20230317000870</x:v>
      </x:c>
      <x:c r="N1845" t="n">
        <x:v>45002.624999988424</x:v>
      </x:c>
      <x:c r="O1845" s="54" t="n">
        <x:v>44926</x:v>
      </x:c>
      <x:c r="P1845" t="str">
        <x:v>True</x:v>
      </x:c>
      <x:c r="Q1845" t="str">
        <x:v>0b962c0c6cdda1197c02ba0db4078a2f1853e6554a552e65f4d3aa08ed4c6df3</x:v>
      </x:c>
      <x:c r="R1845" t="str">
        <x:v>f9d2b2d3a4b1e69b7b0ae12db8b6dff6cd81f70cf146e86a1503071e1d5bc3a1</x:v>
      </x:c>
      <x:c r="S1845" t="n">
        <x:v>6</x:v>
      </x:c>
      <x:c r="T1845" t="str">
        <x:v>2018-12-31|2019-12-31|2020-12-31|2021-12-31|2022-12-31</x:v>
      </x:c>
      <x:c r="U1845" s="57" t="n">
        <x:v>-103939.18003410507</x:v>
      </x:c>
      <x:c r="V1845" s="57" t="n">
        <x:v>-3.675397169475034</x:v>
      </x:c>
      <x:c r="W1845"/>
      <x:c r="X1845"/>
      <x:c r="Y1845" s="38" t="n">
        <x:v>0.6409090909090909</x:v>
      </x:c>
      <x:c r="Z1845" s="38" t="n">
        <x:v>0.6246941382663442</x:v>
      </x:c>
      <x:c r="AA1845" t="str">
        <x:v>NON_POSITIVE_ENTERPRISE_VALUE|NON_POSITIVE_EQUITY_VALUE|NON_POSITIVE_TERMINAL_FCF</x:v>
      </x:c>
    </x:row>
    <x:row r="1846">
      <x:c r="A1846" s="54" t="n">
        <x:v>45016</x:v>
      </x:c>
      <x:c r="B1846" t="n">
        <x:v>45016.624999988424</x:v>
      </x:c>
      <x:c r="C1846" t="str">
        <x:v>019180</x:v>
      </x:c>
      <x:c r="D1846" t="str">
        <x:v>티에이치엔</x:v>
      </x:c>
      <x:c r="E1846" t="str">
        <x:v>KOSPI</x:v>
      </x:c>
      <x:c r="F1846" t="str">
        <x:v>SMALL</x:v>
      </x:c>
      <x:c r="G1846" t="str">
        <x:v>DCF_SCREENING_EXCLUSION</x:v>
      </x:c>
      <x:c r="H1846" t="str">
        <x:v>NON_POSITIVE_EQUITY_VALUE|UNRELIABLE_TERMINAL_VALUE_SHARE</x:v>
      </x:c>
      <x:c r="I1846" s="54" t="n">
        <x:v>45016</x:v>
      </x:c>
      <x:c r="J1846" s="55" t="n">
        <x:v>3440</x:v>
      </x:c>
      <x:c r="K1846" s="55" t="n">
        <x:v>61920000000</x:v>
      </x:c>
      <x:c r="L1846" s="55" t="n">
        <x:v>18000000</x:v>
      </x:c>
      <x:c r="M1846" t="str">
        <x:v>20230322000844</x:v>
      </x:c>
      <x:c r="N1846" t="n">
        <x:v>45007.624999988424</x:v>
      </x:c>
      <x:c r="O1846" s="54" t="n">
        <x:v>44926</x:v>
      </x:c>
      <x:c r="P1846" t="str">
        <x:v>False</x:v>
      </x:c>
      <x:c r="Q1846" t="str">
        <x:v>9dc4b92fddc4665fe50a3aeec5a1e49cc82eabe73a1ff77a1bc4eb5a27e26110</x:v>
      </x:c>
      <x:c r="R1846" t="str">
        <x:v>d96a5d66c4074cb526063939a7b8de96ff63741fdd101021983c14dedbd7150c</x:v>
      </x:c>
      <x:c r="S1846" t="n">
        <x:v>6</x:v>
      </x:c>
      <x:c r="T1846" t="str">
        <x:v>2018-12-31|2019-12-31|2020-12-31|2021-12-31|2022-12-31</x:v>
      </x:c>
      <x:c r="U1846" s="57" t="n">
        <x:v>-1273.1190101644775</x:v>
      </x:c>
      <x:c r="V1846" s="57" t="n">
        <x:v>-1.3700927355129295</x:v>
      </x:c>
      <x:c r="W1846"/>
      <x:c r="X1846"/>
      <x:c r="Y1846" s="38" t="n">
        <x:v>0.6409090909090909</x:v>
      </x:c>
      <x:c r="Z1846" s="38" t="n">
        <x:v>4.698640613538601</x:v>
      </x:c>
      <x:c r="AA1846" t="str">
        <x:v>NON_POSITIVE_EQUITY_VALUE|UNRELIABLE_TERMINAL_VALUE_SHARE</x:v>
      </x:c>
    </x:row>
    <x:row r="1847">
      <x:c r="A1847" s="54" t="n">
        <x:v>45016</x:v>
      </x:c>
      <x:c r="B1847" t="n">
        <x:v>45016.624999988424</x:v>
      </x:c>
      <x:c r="C1847" t="str">
        <x:v>020760</x:v>
      </x:c>
      <x:c r="D1847" t="str">
        <x:v>일진디스플</x:v>
      </x:c>
      <x:c r="E1847" t="str">
        <x:v>KOSPI</x:v>
      </x:c>
      <x:c r="F1847" t="str">
        <x:v>SMALL</x:v>
      </x:c>
      <x:c r="G1847" t="str">
        <x:v>DCF_SCREENING_EXCLUSION</x:v>
      </x:c>
      <x:c r="H1847" t="str">
        <x:v>NON_POSITIVE_ENTERPRISE_VALUE|NON_POSITIVE_EQUITY_VALUE|NON_POSITIVE_TERMINAL_FCF</x:v>
      </x:c>
      <x:c r="I1847" s="54" t="n">
        <x:v>45016</x:v>
      </x:c>
      <x:c r="J1847" s="55" t="n">
        <x:v>1281</x:v>
      </x:c>
      <x:c r="K1847" s="55" t="n">
        <x:v>65989102221</x:v>
      </x:c>
      <x:c r="L1847" s="55" t="n">
        <x:v>51513741</x:v>
      </x:c>
      <x:c r="M1847" t="str">
        <x:v>20230327000330</x:v>
      </x:c>
      <x:c r="N1847" t="n">
        <x:v>45012.624999988424</x:v>
      </x:c>
      <x:c r="O1847" s="54" t="n">
        <x:v>44926</x:v>
      </x:c>
      <x:c r="P1847" t="str">
        <x:v>True</x:v>
      </x:c>
      <x:c r="Q1847" t="str">
        <x:v>c756e5e4941ae1d4185b6da2083620dc6d9d4beab1609e285704e68e976c31e9</x:v>
      </x:c>
      <x:c r="R1847" t="str">
        <x:v>d6242db68610f13425492916fa24dfb948db0950afee63973c1d2df13369a5c9</x:v>
      </x:c>
      <x:c r="S1847" t="n">
        <x:v>6</x:v>
      </x:c>
      <x:c r="T1847" t="str">
        <x:v>2018-12-31|2019-12-31|2020-12-31|2021-12-31|2022-12-31</x:v>
      </x:c>
      <x:c r="U1847" s="57" t="n">
        <x:v>-3816.3539240874256</x:v>
      </x:c>
      <x:c r="V1847" s="57" t="n">
        <x:v>-3.9791990039714484</x:v>
      </x:c>
      <x:c r="W1847"/>
      <x:c r="X1847"/>
      <x:c r="Y1847" s="38" t="n">
        <x:v>0.6409090909090909</x:v>
      </x:c>
      <x:c r="Z1847" s="38" t="n">
        <x:v>0.7829067383621485</x:v>
      </x:c>
      <x:c r="AA1847" t="str">
        <x:v>NON_POSITIVE_ENTERPRISE_VALUE|NON_POSITIVE_EQUITY_VALUE|NON_POSITIVE_TERMINAL_FCF</x:v>
      </x:c>
    </x:row>
    <x:row r="1848">
      <x:c r="A1848" s="54" t="n">
        <x:v>45016</x:v>
      </x:c>
      <x:c r="B1848" t="n">
        <x:v>45016.624999988424</x:v>
      </x:c>
      <x:c r="C1848" t="str">
        <x:v>069640</x:v>
      </x:c>
      <x:c r="D1848" t="str">
        <x:v>한세엠케이</x:v>
      </x:c>
      <x:c r="E1848" t="str">
        <x:v>KOSPI</x:v>
      </x:c>
      <x:c r="F1848" t="str">
        <x:v>SMALL</x:v>
      </x:c>
      <x:c r="G1848" t="str">
        <x:v>DCF_SCREENING_EXCLUSION</x:v>
      </x:c>
      <x:c r="H1848" t="str">
        <x:v>NON_POSITIVE_ENTERPRISE_VALUE|NON_POSITIVE_EQUITY_VALUE|NON_POSITIVE_TERMINAL_FCF</x:v>
      </x:c>
      <x:c r="I1848" s="54" t="n">
        <x:v>45016</x:v>
      </x:c>
      <x:c r="J1848" s="55" t="n">
        <x:v>2850</x:v>
      </x:c>
      <x:c r="K1848" s="55" t="n">
        <x:v>85803530700</x:v>
      </x:c>
      <x:c r="L1848" s="55" t="n">
        <x:v>30106502</x:v>
      </x:c>
      <x:c r="M1848" t="str">
        <x:v>20230320000908</x:v>
      </x:c>
      <x:c r="N1848" t="n">
        <x:v>45005.624999988424</x:v>
      </x:c>
      <x:c r="O1848" s="54" t="n">
        <x:v>44926</x:v>
      </x:c>
      <x:c r="P1848" t="str">
        <x:v>False</x:v>
      </x:c>
      <x:c r="Q1848" t="str">
        <x:v>9706c871923407753a792b957fe9910c27694f7ea0cdaf27e42e3170fc45a740</x:v>
      </x:c>
      <x:c r="R1848" t="str">
        <x:v>7d251d04ba1e8505032ea15fe4bfc05ec8c54239776964f5657291f30d288246</x:v>
      </x:c>
      <x:c r="S1848" t="n">
        <x:v>6</x:v>
      </x:c>
      <x:c r="T1848" t="str">
        <x:v>2018-12-31|2019-12-31|2020-12-31|2021-12-31|2022-12-31</x:v>
      </x:c>
      <x:c r="U1848" s="57" t="n">
        <x:v>-8143.579153900665</x:v>
      </x:c>
      <x:c r="V1848" s="57" t="n">
        <x:v>-3.8573961943511104</x:v>
      </x:c>
      <x:c r="W1848"/>
      <x:c r="X1848"/>
      <x:c r="Y1848" s="38" t="n">
        <x:v>0.6409090909090909</x:v>
      </x:c>
      <x:c r="Z1848" s="38" t="n">
        <x:v>0.6562779675221068</x:v>
      </x:c>
      <x:c r="AA1848" t="str">
        <x:v>NON_POSITIVE_ENTERPRISE_VALUE|NON_POSITIVE_EQUITY_VALUE|NON_POSITIVE_TERMINAL_FCF</x:v>
      </x:c>
    </x:row>
    <x:row r="1849">
      <x:c r="A1849" s="54" t="n">
        <x:v>45016</x:v>
      </x:c>
      <x:c r="B1849" t="n">
        <x:v>45016.624999988424</x:v>
      </x:c>
      <x:c r="C1849" t="str">
        <x:v>000040</x:v>
      </x:c>
      <x:c r="D1849" t="str">
        <x:v>KR모터스</x:v>
      </x:c>
      <x:c r="E1849" t="str">
        <x:v>KOSPI</x:v>
      </x:c>
      <x:c r="F1849" t="str">
        <x:v>SMALL</x:v>
      </x:c>
      <x:c r="G1849" t="str">
        <x:v>DCF_SCREENING_EXCLUSION</x:v>
      </x:c>
      <x:c r="H1849" t="str">
        <x:v>NON_POSITIVE_ENTERPRISE_VALUE|NON_POSITIVE_EQUITY_VALUE|NON_POSITIVE_TERMINAL_FCF</x:v>
      </x:c>
      <x:c r="I1849" s="54" t="n">
        <x:v>45016</x:v>
      </x:c>
      <x:c r="J1849" s="55" t="n">
        <x:v>504</x:v>
      </x:c>
      <x:c r="K1849" s="55" t="n">
        <x:v>48453786360</x:v>
      </x:c>
      <x:c r="L1849" s="55" t="n">
        <x:v>96138465</x:v>
      </x:c>
      <x:c r="M1849" t="str">
        <x:v>20230322001182</x:v>
      </x:c>
      <x:c r="N1849" t="n">
        <x:v>45007.624999988424</x:v>
      </x:c>
      <x:c r="O1849" s="54" t="n">
        <x:v>44926</x:v>
      </x:c>
      <x:c r="P1849" t="str">
        <x:v>False</x:v>
      </x:c>
      <x:c r="Q1849" t="str">
        <x:v>1dfb108dba5b711dc246d9a5c06790baa2a6f221e084c7473abddf76d00e6db2</x:v>
      </x:c>
      <x:c r="R1849" t="str">
        <x:v>ae436b124964db68b441b57116efaf8c58d9669927ab8164ed6038ae15d13578</x:v>
      </x:c>
      <x:c r="S1849" t="n">
        <x:v>5</x:v>
      </x:c>
      <x:c r="T1849" t="str">
        <x:v>2018-12-31|2019-12-31|2020-12-31|2021-12-31|2022-12-31</x:v>
      </x:c>
      <x:c r="U1849" s="57" t="n">
        <x:v>-768.6580296162379</x:v>
      </x:c>
      <x:c r="V1849" s="57" t="n">
        <x:v>-2.525115138127456</x:v>
      </x:c>
      <x:c r="W1849"/>
      <x:c r="X1849"/>
      <x:c r="Y1849" s="38" t="n">
        <x:v>0.6409090909090909</x:v>
      </x:c>
      <x:c r="Z1849" s="38" t="n">
        <x:v>0.6257857483754615</x:v>
      </x:c>
      <x:c r="AA1849" t="str">
        <x:v>NON_POSITIVE_ENTERPRISE_VALUE|NON_POSITIVE_EQUITY_VALUE|NON_POSITIVE_TERMINAL_FCF</x:v>
      </x:c>
    </x:row>
    <x:row r="1850">
      <x:c r="A1850" s="54" t="n">
        <x:v>45016</x:v>
      </x:c>
      <x:c r="B1850" t="n">
        <x:v>45016.624999988424</x:v>
      </x:c>
      <x:c r="C1850" t="str">
        <x:v>003680</x:v>
      </x:c>
      <x:c r="D1850" t="str">
        <x:v>한성기업</x:v>
      </x:c>
      <x:c r="E1850" t="str">
        <x:v>KOSPI</x:v>
      </x:c>
      <x:c r="F1850" t="str">
        <x:v>SMALL</x:v>
      </x:c>
      <x:c r="G1850" t="str">
        <x:v>DCF_SCREENING_EXCLUSION</x:v>
      </x:c>
      <x:c r="H1850" t="str">
        <x:v>NON_POSITIVE_EQUITY_VALUE|NON_POSITIVE_TERMINAL_FCF|UNRELIABLE_TERMINAL_VALUE_SHARE</x:v>
      </x:c>
      <x:c r="I1850" s="54" t="n">
        <x:v>45016</x:v>
      </x:c>
      <x:c r="J1850" s="55" t="n">
        <x:v>5380</x:v>
      </x:c>
      <x:c r="K1850" s="55" t="n">
        <x:v>33407190700</x:v>
      </x:c>
      <x:c r="L1850" s="55" t="n">
        <x:v>6209515</x:v>
      </x:c>
      <x:c r="M1850" t="str">
        <x:v>20230320000677</x:v>
      </x:c>
      <x:c r="N1850" t="n">
        <x:v>45005.624999988424</x:v>
      </x:c>
      <x:c r="O1850" s="54" t="n">
        <x:v>44926</x:v>
      </x:c>
      <x:c r="P1850" t="str">
        <x:v>False</x:v>
      </x:c>
      <x:c r="Q1850" t="str">
        <x:v>05e2f03e39b52746fc5e9522f9d62b2523f8ec4c19f03645b3361943649c8598</x:v>
      </x:c>
      <x:c r="R1850" t="str">
        <x:v>4d6444409eaa16091089469bca726fa82df2bb54991d61ff5aaf5e5c374211c9</x:v>
      </x:c>
      <x:c r="S1850" t="n">
        <x:v>7</x:v>
      </x:c>
      <x:c r="T1850" t="str">
        <x:v>2018-12-31|2019-12-31|2020-12-31|2021-12-31|2022-12-31</x:v>
      </x:c>
      <x:c r="U1850" s="57" t="n">
        <x:v>-9458.909625227312</x:v>
      </x:c>
      <x:c r="V1850" s="57" t="n">
        <x:v>-2.758161640376824</x:v>
      </x:c>
      <x:c r="W1850"/>
      <x:c r="X1850"/>
      <x:c r="Y1850" s="38" t="n">
        <x:v>0.6409090909090909</x:v>
      </x:c>
      <x:c r="Z1850" s="38" t="n">
        <x:v>-0.3624245290136293</x:v>
      </x:c>
      <x:c r="AA1850" t="str">
        <x:v>NON_POSITIVE_EQUITY_VALUE|NON_POSITIVE_TERMINAL_FCF|UNRELIABLE_TERMINAL_VALUE_SHARE</x:v>
      </x:c>
    </x:row>
    <x:row r="1851">
      <x:c r="A1851" s="54" t="n">
        <x:v>45016</x:v>
      </x:c>
      <x:c r="B1851" t="n">
        <x:v>45016.624999988424</x:v>
      </x:c>
      <x:c r="C1851" t="str">
        <x:v>008600</x:v>
      </x:c>
      <x:c r="D1851" t="str">
        <x:v>윌비스</x:v>
      </x:c>
      <x:c r="E1851" t="str">
        <x:v>KOSPI</x:v>
      </x:c>
      <x:c r="F1851" t="str">
        <x:v>SMALL</x:v>
      </x:c>
      <x:c r="G1851" t="str">
        <x:v>DCF_SCREENING_EXCLUSION</x:v>
      </x:c>
      <x:c r="H1851" t="str">
        <x:v>NON_POSITIVE_ENTERPRISE_VALUE|NON_POSITIVE_EQUITY_VALUE|NON_POSITIVE_TERMINAL_FCF|UNRELIABLE_TERMINAL_VALUE_SHARE</x:v>
      </x:c>
      <x:c r="I1851" s="54" t="n">
        <x:v>45016</x:v>
      </x:c>
      <x:c r="J1851" s="55" t="n">
        <x:v>627</x:v>
      </x:c>
      <x:c r="K1851" s="55" t="n">
        <x:v>42156996453</x:v>
      </x:c>
      <x:c r="L1851" s="55" t="n">
        <x:v>67236039</x:v>
      </x:c>
      <x:c r="M1851" t="str">
        <x:v>20230321001489</x:v>
      </x:c>
      <x:c r="N1851" t="n">
        <x:v>45006.624999988424</x:v>
      </x:c>
      <x:c r="O1851" s="54" t="n">
        <x:v>44926</x:v>
      </x:c>
      <x:c r="P1851" t="str">
        <x:v>False</x:v>
      </x:c>
      <x:c r="Q1851" t="str">
        <x:v>291f6e8c8900a2b52d5f905f4cc6795c6414d6affa7f185fe63085aaa8684e51</x:v>
      </x:c>
      <x:c r="R1851" t="str">
        <x:v>a94986e1546add39342c296750d72bfef540954125162947acba09fed77e06df</x:v>
      </x:c>
      <x:c r="S1851" t="n">
        <x:v>6</x:v>
      </x:c>
      <x:c r="T1851" t="str">
        <x:v>2018-12-31|2019-12-31|2020-12-31|2021-12-31|2022-12-31</x:v>
      </x:c>
      <x:c r="U1851" s="57" t="n">
        <x:v>-1945.7637110453777</x:v>
      </x:c>
      <x:c r="V1851" s="57" t="n">
        <x:v>-4.103291405176041</x:v>
      </x:c>
      <x:c r="W1851"/>
      <x:c r="X1851"/>
      <x:c r="Y1851" s="38" t="n">
        <x:v>0.6409090909090909</x:v>
      </x:c>
      <x:c r="Z1851" s="38" t="n">
        <x:v>2.41537005103754</x:v>
      </x:c>
      <x:c r="AA1851" t="str">
        <x:v>NON_POSITIVE_ENTERPRISE_VALUE|NON_POSITIVE_EQUITY_VALUE|NON_POSITIVE_TERMINAL_FCF|UNRELIABLE_TERMINAL_VALUE_SHARE</x:v>
      </x:c>
    </x:row>
    <x:row r="1852">
      <x:c r="A1852" s="54" t="n">
        <x:v>45016</x:v>
      </x:c>
      <x:c r="B1852" t="n">
        <x:v>45016.624999988424</x:v>
      </x:c>
      <x:c r="C1852" t="str">
        <x:v>018310</x:v>
      </x:c>
      <x:c r="D1852" t="str">
        <x:v>삼목에스폼</x:v>
      </x:c>
      <x:c r="E1852" t="str">
        <x:v>KOSDAQ</x:v>
      </x:c>
      <x:c r="F1852" t="str">
        <x:v>MID</x:v>
      </x:c>
      <x:c r="G1852" t="str">
        <x:v>ELIGIBLE</x:v>
      </x:c>
      <x:c r="H1852"/>
      <x:c r="I1852" s="54" t="n">
        <x:v>45016</x:v>
      </x:c>
      <x:c r="J1852" s="55" t="n">
        <x:v>14370</x:v>
      </x:c>
      <x:c r="K1852" s="55" t="n">
        <x:v>211239000000</x:v>
      </x:c>
      <x:c r="L1852" s="55" t="n">
        <x:v>14700000</x:v>
      </x:c>
      <x:c r="M1852" t="str">
        <x:v>20230322000728</x:v>
      </x:c>
      <x:c r="N1852" t="n">
        <x:v>45007.624999988424</x:v>
      </x:c>
      <x:c r="O1852" s="54" t="n">
        <x:v>44926</x:v>
      </x:c>
      <x:c r="P1852" t="str">
        <x:v>False</x:v>
      </x:c>
      <x:c r="Q1852" t="str">
        <x:v>b1f9bf886f7b28ef4ef828ba6605d4f0a1447cdcacd9193c143a62028b382698</x:v>
      </x:c>
      <x:c r="R1852" t="str">
        <x:v>330f5ec98dc16120f732252f6d521b429ddcbf9a047fb51336c36f4bc1461d5e</x:v>
      </x:c>
      <x:c r="S1852" t="n">
        <x:v>6</x:v>
      </x:c>
      <x:c r="T1852" t="str">
        <x:v>2018-12-31|2019-12-31|2020-12-31|2021-12-31|2022-12-31</x:v>
      </x:c>
      <x:c r="U1852" s="57" t="n">
        <x:v>20434.041693918112</x:v>
      </x:c>
      <x:c r="V1852" s="57" t="n">
        <x:v>0.4219931589365422</x:v>
      </x:c>
      <x:c r="W1852" t="n">
        <x:v>17</x:v>
      </x:c>
      <x:c r="X1852" t="n">
        <x:v>2</x:v>
      </x:c>
      <x:c r="Y1852" s="38" t="n">
        <x:v>0.6409090909090909</x:v>
      </x:c>
      <x:c r="Z1852" s="38" t="n">
        <x:v>0.4929628453052042</x:v>
      </x:c>
      <x:c r="AA1852"/>
    </x:row>
    <x:row r="1853">
      <x:c r="A1853" s="54" t="n">
        <x:v>45016</x:v>
      </x:c>
      <x:c r="B1853" t="n">
        <x:v>45016.624999988424</x:v>
      </x:c>
      <x:c r="C1853" t="str">
        <x:v>090360</x:v>
      </x:c>
      <x:c r="D1853" t="str">
        <x:v>로보스타</x:v>
      </x:c>
      <x:c r="E1853" t="str">
        <x:v>KOSDAQ</x:v>
      </x:c>
      <x:c r="F1853" t="str">
        <x:v>MID</x:v>
      </x:c>
      <x:c r="G1853" t="str">
        <x:v>DCF_SCREENING_EXCLUSION</x:v>
      </x:c>
      <x:c r="H1853" t="str">
        <x:v>NON_POSITIVE_ENTERPRISE_VALUE|NON_POSITIVE_TERMINAL_FCF</x:v>
      </x:c>
      <x:c r="I1853" s="54" t="n">
        <x:v>45016</x:v>
      </x:c>
      <x:c r="J1853" s="55" t="n">
        <x:v>41650</x:v>
      </x:c>
      <x:c r="K1853" s="55" t="n">
        <x:v>406087500000</x:v>
      </x:c>
      <x:c r="L1853" s="55" t="n">
        <x:v>9750000</x:v>
      </x:c>
      <x:c r="M1853" t="str">
        <x:v>20230316000682</x:v>
      </x:c>
      <x:c r="N1853" t="n">
        <x:v>45001.624999988424</x:v>
      </x:c>
      <x:c r="O1853" s="54" t="n">
        <x:v>44926</x:v>
      </x:c>
      <x:c r="P1853" t="str">
        <x:v>False</x:v>
      </x:c>
      <x:c r="Q1853" t="str">
        <x:v>1f70170ba42bc9b2147378d546ec421559192d382e4ac95cfea85cc07e6b1122</x:v>
      </x:c>
      <x:c r="R1853" t="str">
        <x:v>6d409e8d29c0456773c8d20162f86775d30c7bbca2e8e671754df7486dec42bb</x:v>
      </x:c>
      <x:c r="S1853" t="n">
        <x:v>5</x:v>
      </x:c>
      <x:c r="T1853" t="str">
        <x:v>2018-12-31|2019-12-31|2020-12-31|2021-12-31|2022-12-31</x:v>
      </x:c>
      <x:c r="U1853" s="57" t="n">
        <x:v>784.1610120265144</x:v>
      </x:c>
      <x:c r="V1853" s="57" t="n">
        <x:v>-0.981172604753265</x:v>
      </x:c>
      <x:c r="W1853"/>
      <x:c r="X1853"/>
      <x:c r="Y1853" s="38" t="n">
        <x:v>0.6409090909090909</x:v>
      </x:c>
      <x:c r="Z1853" s="38" t="n">
        <x:v>0.8266921902282445</x:v>
      </x:c>
      <x:c r="AA1853" t="str">
        <x:v>NON_POSITIVE_ENTERPRISE_VALUE|NON_POSITIVE_TERMINAL_FCF</x:v>
      </x:c>
    </x:row>
    <x:row r="1854">
      <x:c r="A1854" s="54" t="n">
        <x:v>45016</x:v>
      </x:c>
      <x:c r="B1854" t="n">
        <x:v>45016.624999988424</x:v>
      </x:c>
      <x:c r="C1854" t="str">
        <x:v>144960</x:v>
      </x:c>
      <x:c r="D1854" t="str">
        <x:v>뉴파워프라즈마</x:v>
      </x:c>
      <x:c r="E1854" t="str">
        <x:v>KOSDAQ</x:v>
      </x:c>
      <x:c r="F1854" t="str">
        <x:v>MID</x:v>
      </x:c>
      <x:c r="G1854" t="str">
        <x:v>DCF_SCREENING_EXCLUSION</x:v>
      </x:c>
      <x:c r="H1854" t="str">
        <x:v>UNRELIABLE_TERMINAL_VALUE_SHARE</x:v>
      </x:c>
      <x:c r="I1854" s="54" t="n">
        <x:v>45016</x:v>
      </x:c>
      <x:c r="J1854" s="55" t="n">
        <x:v>5130</x:v>
      </x:c>
      <x:c r="K1854" s="55" t="n">
        <x:v>224143161120</x:v>
      </x:c>
      <x:c r="L1854" s="55" t="n">
        <x:v>43692624</x:v>
      </x:c>
      <x:c r="M1854" t="str">
        <x:v>20230322001241</x:v>
      </x:c>
      <x:c r="N1854" t="n">
        <x:v>45007.624999988424</x:v>
      </x:c>
      <x:c r="O1854" s="54" t="n">
        <x:v>44926</x:v>
      </x:c>
      <x:c r="P1854" t="str">
        <x:v>False</x:v>
      </x:c>
      <x:c r="Q1854" t="str">
        <x:v>635ad4b90417c4cff17e05596ab954eff5f69df42d9e1b9ab3c05ddd80bfb46a</x:v>
      </x:c>
      <x:c r="R1854" t="str">
        <x:v>69203ec8b5e70ff9be32eb56c7c48f06eb146bfbee24ed2824d37dcfe238b276</x:v>
      </x:c>
      <x:c r="S1854" t="n">
        <x:v>6</x:v>
      </x:c>
      <x:c r="T1854" t="str">
        <x:v>2018-12-31|2019-12-31|2020-12-31|2021-12-31|2022-12-31</x:v>
      </x:c>
      <x:c r="U1854" s="57" t="n">
        <x:v>1590.4337032348958</x:v>
      </x:c>
      <x:c r="V1854" s="57" t="n">
        <x:v>-0.6899739369912484</x:v>
      </x:c>
      <x:c r="W1854"/>
      <x:c r="X1854"/>
      <x:c r="Y1854" s="38" t="n">
        <x:v>0.6409090909090909</x:v>
      </x:c>
      <x:c r="Z1854" s="38" t="n">
        <x:v>0.9789334410362668</x:v>
      </x:c>
      <x:c r="AA1854" t="str">
        <x:v>UNRELIABLE_TERMINAL_VALUE_SHARE</x:v>
      </x:c>
    </x:row>
    <x:row r="1855">
      <x:c r="A1855" s="54" t="n">
        <x:v>45016</x:v>
      </x:c>
      <x:c r="B1855" t="n">
        <x:v>45016.624999988424</x:v>
      </x:c>
      <x:c r="C1855" t="str">
        <x:v>065660</x:v>
      </x:c>
      <x:c r="D1855" t="str">
        <x:v>안트로젠</x:v>
      </x:c>
      <x:c r="E1855" t="str">
        <x:v>KOSDAQ</x:v>
      </x:c>
      <x:c r="F1855" t="str">
        <x:v>MID</x:v>
      </x:c>
      <x:c r="G1855" t="str">
        <x:v>DCF_SCREENING_EXCLUSION</x:v>
      </x:c>
      <x:c r="H1855" t="str">
        <x:v>NON_POSITIVE_ENTERPRISE_VALUE|NON_POSITIVE_EQUITY_VALUE|NON_POSITIVE_TERMINAL_FCF</x:v>
      </x:c>
      <x:c r="I1855" s="54" t="n">
        <x:v>45016</x:v>
      </x:c>
      <x:c r="J1855" s="55" t="n">
        <x:v>22300</x:v>
      </x:c>
      <x:c r="K1855" s="55" t="n">
        <x:v>217009617900</x:v>
      </x:c>
      <x:c r="L1855" s="55" t="n">
        <x:v>9731373</x:v>
      </x:c>
      <x:c r="M1855" t="str">
        <x:v>20230303000629</x:v>
      </x:c>
      <x:c r="N1855" t="n">
        <x:v>44988.624999988424</x:v>
      </x:c>
      <x:c r="O1855" s="54" t="n">
        <x:v>44926</x:v>
      </x:c>
      <x:c r="P1855" t="str">
        <x:v>True</x:v>
      </x:c>
      <x:c r="Q1855" t="str">
        <x:v>ce2ddbfc5080a9e36120c63a9ff1f86a1297a48662a007c16ac7bae4651eba3e</x:v>
      </x:c>
      <x:c r="R1855" t="str">
        <x:v>54cc1736fe433c1031d6de1ca5a71d5d4203e972b4389e25124af82159aca274</x:v>
      </x:c>
      <x:c r="S1855" t="n">
        <x:v>6</x:v>
      </x:c>
      <x:c r="T1855" t="str">
        <x:v>2018-12-31|2019-12-31|2020-12-31|2021-12-31|2022-12-31</x:v>
      </x:c>
      <x:c r="U1855" s="57" t="n">
        <x:v>-2807.6995714385234</x:v>
      </x:c>
      <x:c r="V1855" s="57" t="n">
        <x:v>-1.1259058103784092</x:v>
      </x:c>
      <x:c r="W1855"/>
      <x:c r="X1855"/>
      <x:c r="Y1855" s="38" t="n">
        <x:v>0.6409090909090909</x:v>
      </x:c>
      <x:c r="Z1855" s="38" t="n">
        <x:v>0.6666592455022953</x:v>
      </x:c>
      <x:c r="AA1855" t="str">
        <x:v>NON_POSITIVE_ENTERPRISE_VALUE|NON_POSITIVE_EQUITY_VALUE|NON_POSITIVE_TERMINAL_FCF</x:v>
      </x:c>
    </x:row>
    <x:row r="1856">
      <x:c r="A1856" s="54" t="n">
        <x:v>45016</x:v>
      </x:c>
      <x:c r="B1856" t="n">
        <x:v>45016.624999988424</x:v>
      </x:c>
      <x:c r="C1856" t="str">
        <x:v>255220</x:v>
      </x:c>
      <x:c r="D1856" t="str">
        <x:v>SG</x:v>
      </x:c>
      <x:c r="E1856" t="str">
        <x:v>KOSDAQ</x:v>
      </x:c>
      <x:c r="F1856" t="str">
        <x:v>MID</x:v>
      </x:c>
      <x:c r="G1856" t="str">
        <x:v>DCF_SCREENING_EXCLUSION</x:v>
      </x:c>
      <x:c r="H1856" t="str">
        <x:v>NON_POSITIVE_EQUITY_VALUE|UNRELIABLE_TERMINAL_VALUE_SHARE</x:v>
      </x:c>
      <x:c r="I1856" s="54" t="n">
        <x:v>45016</x:v>
      </x:c>
      <x:c r="J1856" s="55" t="n">
        <x:v>1158</x:v>
      </x:c>
      <x:c r="K1856" s="55" t="n">
        <x:v>51828245862</x:v>
      </x:c>
      <x:c r="L1856" s="55" t="n">
        <x:v>44756689</x:v>
      </x:c>
      <x:c r="M1856" t="str">
        <x:v>20230316001293</x:v>
      </x:c>
      <x:c r="N1856" t="n">
        <x:v>45001.624999988424</x:v>
      </x:c>
      <x:c r="O1856" s="54" t="n">
        <x:v>44926</x:v>
      </x:c>
      <x:c r="P1856" t="str">
        <x:v>False</x:v>
      </x:c>
      <x:c r="Q1856" t="str">
        <x:v>631d9d315ac00217b6fe4645a31d406967b4205835ede9d3b22f391d7a88e02a</x:v>
      </x:c>
      <x:c r="R1856" t="str">
        <x:v>e32b35b09ec4a050d18aedf8cbdc20f159b8d42b997f6c042d213690cacc5888</x:v>
      </x:c>
      <x:c r="S1856" t="n">
        <x:v>6</x:v>
      </x:c>
      <x:c r="T1856" t="str">
        <x:v>2018-12-31|2019-12-31|2020-12-31|2021-12-31|2022-12-31</x:v>
      </x:c>
      <x:c r="U1856" s="57" t="n">
        <x:v>-921.5811002985633</x:v>
      </x:c>
      <x:c r="V1856" s="57" t="n">
        <x:v>-1.7958386012940961</x:v>
      </x:c>
      <x:c r="W1856"/>
      <x:c r="X1856"/>
      <x:c r="Y1856" s="38" t="n">
        <x:v>0.6409090909090909</x:v>
      </x:c>
      <x:c r="Z1856" s="38" t="n">
        <x:v>1.3939827942896779</x:v>
      </x:c>
      <x:c r="AA1856" t="str">
        <x:v>NON_POSITIVE_EQUITY_VALUE|UNRELIABLE_TERMINAL_VALUE_SHARE</x:v>
      </x:c>
    </x:row>
    <x:row r="1857">
      <x:c r="A1857" s="54" t="n">
        <x:v>45016</x:v>
      </x:c>
      <x:c r="B1857" t="n">
        <x:v>45016.624999988424</x:v>
      </x:c>
      <x:c r="C1857" t="str">
        <x:v>356680</x:v>
      </x:c>
      <x:c r="D1857" t="str">
        <x:v>엑스게이트</x:v>
      </x:c>
      <x:c r="E1857" t="str">
        <x:v>KOSDAQ</x:v>
      </x:c>
      <x:c r="F1857" t="str">
        <x:v>MID</x:v>
      </x:c>
      <x:c r="G1857" t="str">
        <x:v>ELIGIBLE</x:v>
      </x:c>
      <x:c r="H1857"/>
      <x:c r="I1857" s="54" t="n">
        <x:v>45016</x:v>
      </x:c>
      <x:c r="J1857" s="55" t="n">
        <x:v>3780</x:v>
      </x:c>
      <x:c r="K1857" s="55" t="n">
        <x:v>99457413300</x:v>
      </x:c>
      <x:c r="L1857" s="55" t="n">
        <x:v>26311485</x:v>
      </x:c>
      <x:c r="M1857" t="str">
        <x:v>20230322001072</x:v>
      </x:c>
      <x:c r="N1857" t="n">
        <x:v>45007.624999988424</x:v>
      </x:c>
      <x:c r="O1857" s="54" t="n">
        <x:v>44926</x:v>
      </x:c>
      <x:c r="P1857" t="str">
        <x:v>False</x:v>
      </x:c>
      <x:c r="Q1857" t="str">
        <x:v>45256a084497b9c996839f196ba6dc245c7da61fcdee587232be7941f75bf104</x:v>
      </x:c>
      <x:c r="R1857" t="str">
        <x:v>07146b039b96ffec2a30b11a2dd31f93d4f550ae30ff89a73d225d488c988d83</x:v>
      </x:c>
      <x:c r="S1857" t="n">
        <x:v>7</x:v>
      </x:c>
      <x:c r="T1857" t="str">
        <x:v>2022-12-31</x:v>
      </x:c>
      <x:c r="U1857" s="57" t="n">
        <x:v>1841.7586983941221</x:v>
      </x:c>
      <x:c r="V1857" s="57" t="n">
        <x:v>-0.5127622491020841</x:v>
      </x:c>
      <x:c r="W1857" t="n">
        <x:v>47</x:v>
      </x:c>
      <x:c r="X1857" t="n">
        <x:v>4</x:v>
      </x:c>
      <x:c r="Y1857" s="38" t="n">
        <x:v>0.6409090909090909</x:v>
      </x:c>
      <x:c r="Z1857" s="38" t="n">
        <x:v>0.6701769222689359</x:v>
      </x:c>
      <x:c r="AA1857"/>
    </x:row>
    <x:row r="1858">
      <x:c r="A1858" s="54" t="n">
        <x:v>45016</x:v>
      </x:c>
      <x:c r="B1858" t="n">
        <x:v>45016.624999988424</x:v>
      </x:c>
      <x:c r="C1858" t="str">
        <x:v>038390</x:v>
      </x:c>
      <x:c r="D1858" t="str">
        <x:v>레드캡투어</x:v>
      </x:c>
      <x:c r="E1858" t="str">
        <x:v>KOSDAQ</x:v>
      </x:c>
      <x:c r="F1858" t="str">
        <x:v>MID</x:v>
      </x:c>
      <x:c r="G1858" t="str">
        <x:v>ELIGIBLE</x:v>
      </x:c>
      <x:c r="H1858"/>
      <x:c r="I1858" s="54" t="n">
        <x:v>45016</x:v>
      </x:c>
      <x:c r="J1858" s="55" t="n">
        <x:v>18320</x:v>
      </x:c>
      <x:c r="K1858" s="55" t="n">
        <x:v>157359273600</x:v>
      </x:c>
      <x:c r="L1858" s="55" t="n">
        <x:v>8589480</x:v>
      </x:c>
      <x:c r="M1858" t="str">
        <x:v>20230316001413</x:v>
      </x:c>
      <x:c r="N1858" t="n">
        <x:v>45001.624999988424</x:v>
      </x:c>
      <x:c r="O1858" s="54" t="n">
        <x:v>44926</x:v>
      </x:c>
      <x:c r="P1858" t="str">
        <x:v>False</x:v>
      </x:c>
      <x:c r="Q1858" t="str">
        <x:v>6500420a9c0c7cb8b0822920c111922a787b3827c6dfb04dd784e0d4bc2d01c2</x:v>
      </x:c>
      <x:c r="R1858" t="str">
        <x:v>b4bd991fc9b846dae9046715ad744afdcd835bc5ca8b51a9b64f74f9fa316356</x:v>
      </x:c>
      <x:c r="S1858" t="n">
        <x:v>6</x:v>
      </x:c>
      <x:c r="T1858" t="str">
        <x:v>2018-12-31|2019-12-31|2020-12-31|2021-12-31|2022-12-31</x:v>
      </x:c>
      <x:c r="U1858" s="57" t="n">
        <x:v>16138.328056645201</x:v>
      </x:c>
      <x:c r="V1858" s="57" t="n">
        <x:v>-0.11908689647133183</x:v>
      </x:c>
      <x:c r="W1858" t="n">
        <x:v>30</x:v>
      </x:c>
      <x:c r="X1858" t="n">
        <x:v>3</x:v>
      </x:c>
      <x:c r="Y1858" s="38" t="n">
        <x:v>0.6409090909090909</x:v>
      </x:c>
      <x:c r="Z1858" s="38" t="n">
        <x:v>0.6232987678852291</x:v>
      </x:c>
      <x:c r="AA1858"/>
    </x:row>
    <x:row r="1859">
      <x:c r="A1859" s="54" t="n">
        <x:v>45016</x:v>
      </x:c>
      <x:c r="B1859" t="n">
        <x:v>45016.624999988424</x:v>
      </x:c>
      <x:c r="C1859" t="str">
        <x:v>083930</x:v>
      </x:c>
      <x:c r="D1859" t="str">
        <x:v>아바코</x:v>
      </x:c>
      <x:c r="E1859" t="str">
        <x:v>KOSDAQ</x:v>
      </x:c>
      <x:c r="F1859" t="str">
        <x:v>MID</x:v>
      </x:c>
      <x:c r="G1859" t="str">
        <x:v>ELIGIBLE</x:v>
      </x:c>
      <x:c r="H1859"/>
      <x:c r="I1859" s="54" t="n">
        <x:v>45016</x:v>
      </x:c>
      <x:c r="J1859" s="55" t="n">
        <x:v>17050</x:v>
      </x:c>
      <x:c r="K1859" s="55" t="n">
        <x:v>262788205900</x:v>
      </x:c>
      <x:c r="L1859" s="55" t="n">
        <x:v>15412798</x:v>
      </x:c>
      <x:c r="M1859" t="str">
        <x:v>20230321001021</x:v>
      </x:c>
      <x:c r="N1859" t="n">
        <x:v>45006.624999988424</x:v>
      </x:c>
      <x:c r="O1859" s="54" t="n">
        <x:v>44926</x:v>
      </x:c>
      <x:c r="P1859" t="str">
        <x:v>False</x:v>
      </x:c>
      <x:c r="Q1859" t="str">
        <x:v>51d45d71cda3f9d61f6b6bb2b78909cdf8916f5bbd371569386df61c1ede7656</x:v>
      </x:c>
      <x:c r="R1859" t="str">
        <x:v>3eba896975bc12fee3681ba5c4f04960ff86743b2d3872656c84a542c300d8d0</x:v>
      </x:c>
      <x:c r="S1859" t="n">
        <x:v>7</x:v>
      </x:c>
      <x:c r="T1859" t="str">
        <x:v>2018-12-31|2019-12-31|2020-12-31|2021-12-31|2022-12-31</x:v>
      </x:c>
      <x:c r="U1859" s="57" t="n">
        <x:v>9553.050368237855</x:v>
      </x:c>
      <x:c r="V1859" s="57" t="n">
        <x:v>-0.4397037907191874</x:v>
      </x:c>
      <x:c r="W1859" t="n">
        <x:v>43</x:v>
      </x:c>
      <x:c r="X1859" t="n">
        <x:v>4</x:v>
      </x:c>
      <x:c r="Y1859" s="38" t="n">
        <x:v>0.6409090909090909</x:v>
      </x:c>
      <x:c r="Z1859" s="38" t="n">
        <x:v>0.6252138108817894</x:v>
      </x:c>
      <x:c r="AA1859"/>
    </x:row>
    <x:row r="1860">
      <x:c r="A1860" s="54" t="n">
        <x:v>45016</x:v>
      </x:c>
      <x:c r="B1860" t="n">
        <x:v>45016.624999988424</x:v>
      </x:c>
      <x:c r="C1860" t="str">
        <x:v>089600</x:v>
      </x:c>
      <x:c r="D1860" t="str">
        <x:v>KT나스미디어</x:v>
      </x:c>
      <x:c r="E1860" t="str">
        <x:v>KOSDAQ</x:v>
      </x:c>
      <x:c r="F1860" t="str">
        <x:v>MID</x:v>
      </x:c>
      <x:c r="G1860" t="str">
        <x:v>ELIGIBLE</x:v>
      </x:c>
      <x:c r="H1860"/>
      <x:c r="I1860" s="54" t="n">
        <x:v>45016</x:v>
      </x:c>
      <x:c r="J1860" s="55" t="n">
        <x:v>24450</x:v>
      </x:c>
      <x:c r="K1860" s="55" t="n">
        <x:v>257702070900</x:v>
      </x:c>
      <x:c r="L1860" s="55" t="n">
        <x:v>10539962</x:v>
      </x:c>
      <x:c r="M1860" t="str">
        <x:v>20230323000424</x:v>
      </x:c>
      <x:c r="N1860" t="n">
        <x:v>45008.624999988424</x:v>
      </x:c>
      <x:c r="O1860" s="54" t="n">
        <x:v>44926</x:v>
      </x:c>
      <x:c r="P1860" t="str">
        <x:v>False</x:v>
      </x:c>
      <x:c r="Q1860" t="str">
        <x:v>a29cdc151488a733c822f4c21c776e7e2d0f670736a57ef1f9162f4b760e2bf9</x:v>
      </x:c>
      <x:c r="R1860" t="str">
        <x:v>9182469e51b5cad7d6b8d177a7d6d9d31f3920ea8169205aafb066f017026287</x:v>
      </x:c>
      <x:c r="S1860" t="n">
        <x:v>6</x:v>
      </x:c>
      <x:c r="T1860" t="str">
        <x:v>2019-12-31|2020-12-31|2021-12-31|2022-12-31</x:v>
      </x:c>
      <x:c r="U1860" s="57" t="n">
        <x:v>44172.31743889533</x:v>
      </x:c>
      <x:c r="V1860" s="57" t="n">
        <x:v>0.8066387500570685</x:v>
      </x:c>
      <x:c r="W1860" t="n">
        <x:v>12</x:v>
      </x:c>
      <x:c r="X1860" t="n">
        <x:v>1</x:v>
      </x:c>
      <x:c r="Y1860" s="38" t="n">
        <x:v>0.6409090909090909</x:v>
      </x:c>
      <x:c r="Z1860" s="38" t="n">
        <x:v>0.706343261712411</x:v>
      </x:c>
      <x:c r="AA1860"/>
    </x:row>
    <x:row r="1861">
      <x:c r="A1861" s="54" t="n">
        <x:v>45016</x:v>
      </x:c>
      <x:c r="B1861" t="n">
        <x:v>45016.624999988424</x:v>
      </x:c>
      <x:c r="C1861" t="str">
        <x:v>091120</x:v>
      </x:c>
      <x:c r="D1861" t="str">
        <x:v>이엠텍</x:v>
      </x:c>
      <x:c r="E1861" t="str">
        <x:v>KOSDAQ</x:v>
      </x:c>
      <x:c r="F1861" t="str">
        <x:v>MID</x:v>
      </x:c>
      <x:c r="G1861" t="str">
        <x:v>ELIGIBLE</x:v>
      </x:c>
      <x:c r="H1861"/>
      <x:c r="I1861" s="54" t="n">
        <x:v>45016</x:v>
      </x:c>
      <x:c r="J1861" s="55" t="n">
        <x:v>25050</x:v>
      </x:c>
      <x:c r="K1861" s="55" t="n">
        <x:v>429180046800</x:v>
      </x:c>
      <x:c r="L1861" s="55" t="n">
        <x:v>17132936</x:v>
      </x:c>
      <x:c r="M1861" t="str">
        <x:v>20230314000840</x:v>
      </x:c>
      <x:c r="N1861" t="n">
        <x:v>44999.624999988424</x:v>
      </x:c>
      <x:c r="O1861" s="54" t="n">
        <x:v>44926</x:v>
      </x:c>
      <x:c r="P1861" t="str">
        <x:v>False</x:v>
      </x:c>
      <x:c r="Q1861" t="str">
        <x:v>8fccbe5a66751953a409231fc37bc1852ba075cda52f991cc8c77b5562fa08b1</x:v>
      </x:c>
      <x:c r="R1861" t="str">
        <x:v>73525dd9894ad6355da7197449cb770bef9f2afb9183eef534b0f89f18503e8d</x:v>
      </x:c>
      <x:c r="S1861" t="n">
        <x:v>6</x:v>
      </x:c>
      <x:c r="T1861" t="str">
        <x:v>2018-12-31|2019-12-31|2020-12-31|2021-12-31|2022-12-31</x:v>
      </x:c>
      <x:c r="U1861" s="57" t="n">
        <x:v>7849.310012839665</x:v>
      </x:c>
      <x:c r="V1861" s="57" t="n">
        <x:v>-0.6866542909046042</x:v>
      </x:c>
      <x:c r="W1861" t="n">
        <x:v>55</x:v>
      </x:c>
      <x:c r="X1861" t="n">
        <x:v>4</x:v>
      </x:c>
      <x:c r="Y1861" s="38" t="n">
        <x:v>0.6409090909090909</x:v>
      </x:c>
      <x:c r="Z1861" s="38" t="n">
        <x:v>0.6666569941414513</x:v>
      </x:c>
      <x:c r="AA1861"/>
    </x:row>
    <x:row r="1862">
      <x:c r="A1862" s="54" t="n">
        <x:v>45016</x:v>
      </x:c>
      <x:c r="B1862" t="n">
        <x:v>45016.624999988424</x:v>
      </x:c>
      <x:c r="C1862" t="str">
        <x:v>353810</x:v>
      </x:c>
      <x:c r="D1862" t="str">
        <x:v>이지바이오</x:v>
      </x:c>
      <x:c r="E1862" t="str">
        <x:v>KOSDAQ</x:v>
      </x:c>
      <x:c r="F1862" t="str">
        <x:v>MID</x:v>
      </x:c>
      <x:c r="G1862" t="str">
        <x:v>ELIGIBLE</x:v>
      </x:c>
      <x:c r="H1862"/>
      <x:c r="I1862" s="54" t="n">
        <x:v>45016</x:v>
      </x:c>
      <x:c r="J1862" s="55" t="n">
        <x:v>3835</x:v>
      </x:c>
      <x:c r="K1862" s="55" t="n">
        <x:v>131125246200</x:v>
      </x:c>
      <x:c r="L1862" s="55" t="n">
        <x:v>34191720</x:v>
      </x:c>
      <x:c r="M1862" t="str">
        <x:v>20230323001202</x:v>
      </x:c>
      <x:c r="N1862" t="n">
        <x:v>45008.624999988424</x:v>
      </x:c>
      <x:c r="O1862" s="54" t="n">
        <x:v>44926</x:v>
      </x:c>
      <x:c r="P1862" t="str">
        <x:v>False</x:v>
      </x:c>
      <x:c r="Q1862" t="str">
        <x:v>c0fd4e20c1d6af3aabd5e0aeaad8673427f57ef110dee4754c1824db2704a706</x:v>
      </x:c>
      <x:c r="R1862" t="str">
        <x:v>438b19d1cc5b29656f99777a21914259bc127b97f4418b53984845b353597e76</x:v>
      </x:c>
      <x:c r="S1862" t="n">
        <x:v>6</x:v>
      </x:c>
      <x:c r="T1862" t="str">
        <x:v>2021-12-31|2022-12-31</x:v>
      </x:c>
      <x:c r="U1862" s="57" t="n">
        <x:v>4432.380049842225</x:v>
      </x:c>
      <x:c r="V1862" s="57" t="n">
        <x:v>0.15577054754686448</x:v>
      </x:c>
      <x:c r="W1862" t="n">
        <x:v>21</x:v>
      </x:c>
      <x:c r="X1862" t="n">
        <x:v>2</x:v>
      </x:c>
      <x:c r="Y1862" s="38" t="n">
        <x:v>0.6409090909090909</x:v>
      </x:c>
      <x:c r="Z1862" s="38" t="n">
        <x:v>0.7560673660909806</x:v>
      </x:c>
      <x:c r="AA1862"/>
    </x:row>
    <x:row r="1863">
      <x:c r="A1863" s="54" t="n">
        <x:v>45016</x:v>
      </x:c>
      <x:c r="B1863" t="n">
        <x:v>45016.624999988424</x:v>
      </x:c>
      <x:c r="C1863" t="str">
        <x:v>203650</x:v>
      </x:c>
      <x:c r="D1863" t="str">
        <x:v>드림시큐리티</x:v>
      </x:c>
      <x:c r="E1863" t="str">
        <x:v>KOSDAQ</x:v>
      </x:c>
      <x:c r="F1863" t="str">
        <x:v>MID</x:v>
      </x:c>
      <x:c r="G1863" t="str">
        <x:v>ELIGIBLE</x:v>
      </x:c>
      <x:c r="H1863"/>
      <x:c r="I1863" s="54" t="n">
        <x:v>45016</x:v>
      </x:c>
      <x:c r="J1863" s="55" t="n">
        <x:v>3315</x:v>
      </x:c>
      <x:c r="K1863" s="55" t="n">
        <x:v>167758074510</x:v>
      </x:c>
      <x:c r="L1863" s="55" t="n">
        <x:v>50605754</x:v>
      </x:c>
      <x:c r="M1863" t="str">
        <x:v>20230320001053</x:v>
      </x:c>
      <x:c r="N1863" t="n">
        <x:v>45005.624999988424</x:v>
      </x:c>
      <x:c r="O1863" s="54" t="n">
        <x:v>44926</x:v>
      </x:c>
      <x:c r="P1863" t="str">
        <x:v>False</x:v>
      </x:c>
      <x:c r="Q1863" t="str">
        <x:v>34289534fe1bab0ef563c0c6e0b3801653fbb5285a3f840605ec66e0ad4d5b86</x:v>
      </x:c>
      <x:c r="R1863" t="str">
        <x:v>a295f60795f5538f197595de041e9e15f565d0ffd21244275b939d950d2bedb1</x:v>
      </x:c>
      <x:c r="S1863" t="n">
        <x:v>6</x:v>
      </x:c>
      <x:c r="T1863" t="str">
        <x:v>2018-12-31|2019-12-31|2020-12-31|2021-12-31|2022-12-31</x:v>
      </x:c>
      <x:c r="U1863" s="57" t="n">
        <x:v>2245.64212473627</x:v>
      </x:c>
      <x:c r="V1863" s="57" t="n">
        <x:v>-0.32258156116552944</x:v>
      </x:c>
      <x:c r="W1863" t="n">
        <x:v>33</x:v>
      </x:c>
      <x:c r="X1863" t="n">
        <x:v>3</x:v>
      </x:c>
      <x:c r="Y1863" s="38" t="n">
        <x:v>0.6409090909090909</x:v>
      </x:c>
      <x:c r="Z1863" s="38" t="n">
        <x:v>0.6619022306471682</x:v>
      </x:c>
      <x:c r="AA1863"/>
    </x:row>
    <x:row r="1864">
      <x:c r="A1864" s="54" t="n">
        <x:v>45016</x:v>
      </x:c>
      <x:c r="B1864" t="n">
        <x:v>45016.624999988424</x:v>
      </x:c>
      <x:c r="C1864" t="str">
        <x:v>251120</x:v>
      </x:c>
      <x:c r="D1864" t="str">
        <x:v>바이오에프디엔씨</x:v>
      </x:c>
      <x:c r="E1864" t="str">
        <x:v>KOSDAQ</x:v>
      </x:c>
      <x:c r="F1864" t="str">
        <x:v>MID</x:v>
      </x:c>
      <x:c r="G1864" t="str">
        <x:v>ELIGIBLE</x:v>
      </x:c>
      <x:c r="H1864"/>
      <x:c r="I1864" s="54" t="n">
        <x:v>45016</x:v>
      </x:c>
      <x:c r="J1864" s="55" t="n">
        <x:v>15750</x:v>
      </x:c>
      <x:c r="K1864" s="55" t="n">
        <x:v>136957275000</x:v>
      </x:c>
      <x:c r="L1864" s="55" t="n">
        <x:v>8695700</x:v>
      </x:c>
      <x:c r="M1864" t="str">
        <x:v>20230323000550</x:v>
      </x:c>
      <x:c r="N1864" t="n">
        <x:v>45008.624999988424</x:v>
      </x:c>
      <x:c r="O1864" s="54" t="n">
        <x:v>44926</x:v>
      </x:c>
      <x:c r="P1864" t="str">
        <x:v>False</x:v>
      </x:c>
      <x:c r="Q1864" t="str">
        <x:v>457a8311ddb92eff6410ce12ddac4bff11e07f014260711e66f0b7059be85f1e</x:v>
      </x:c>
      <x:c r="R1864" t="str">
        <x:v>77f741f2d11ad012d851efe62bb45bbb62abc053fd2cbebb9cad9af222fcb971</x:v>
      </x:c>
      <x:c r="S1864" t="n">
        <x:v>5</x:v>
      </x:c>
      <x:c r="T1864" t="str">
        <x:v>2021-12-31|2022-12-31</x:v>
      </x:c>
      <x:c r="U1864" s="57" t="n">
        <x:v>6898.290174105601</x:v>
      </x:c>
      <x:c r="V1864" s="57" t="n">
        <x:v>-0.5620133222790095</x:v>
      </x:c>
      <x:c r="W1864" t="n">
        <x:v>51</x:v>
      </x:c>
      <x:c r="X1864" t="n">
        <x:v>4</x:v>
      </x:c>
      <x:c r="Y1864" s="38" t="n">
        <x:v>0.6409090909090909</x:v>
      </x:c>
      <x:c r="Z1864" s="38" t="n">
        <x:v>0.6825532650903761</x:v>
      </x:c>
      <x:c r="AA1864"/>
    </x:row>
    <x:row r="1865">
      <x:c r="A1865" s="54" t="n">
        <x:v>45016</x:v>
      </x:c>
      <x:c r="B1865" t="n">
        <x:v>45016.624999988424</x:v>
      </x:c>
      <x:c r="C1865" t="str">
        <x:v>094820</x:v>
      </x:c>
      <x:c r="D1865" t="str">
        <x:v>일진파워</x:v>
      </x:c>
      <x:c r="E1865" t="str">
        <x:v>KOSDAQ</x:v>
      </x:c>
      <x:c r="F1865" t="str">
        <x:v>MID</x:v>
      </x:c>
      <x:c r="G1865" t="str">
        <x:v>ELIGIBLE</x:v>
      </x:c>
      <x:c r="H1865"/>
      <x:c r="I1865" s="54" t="n">
        <x:v>45016</x:v>
      </x:c>
      <x:c r="J1865" s="55" t="n">
        <x:v>15020</x:v>
      </x:c>
      <x:c r="K1865" s="55" t="n">
        <x:v>226482209180</x:v>
      </x:c>
      <x:c r="L1865" s="55" t="n">
        <x:v>15078709</x:v>
      </x:c>
      <x:c r="M1865" t="str">
        <x:v>20230321000783</x:v>
      </x:c>
      <x:c r="N1865" t="n">
        <x:v>45006.624999988424</x:v>
      </x:c>
      <x:c r="O1865" s="54" t="n">
        <x:v>44926</x:v>
      </x:c>
      <x:c r="P1865" t="str">
        <x:v>False</x:v>
      </x:c>
      <x:c r="Q1865" t="str">
        <x:v>b1954d2fa7c944aa90e566217c623b7b9f138546620bf8df26bb90079fa0a761</x:v>
      </x:c>
      <x:c r="R1865" t="str">
        <x:v>948c800051bf5ae91bee432eeef4e6bddbc35d6d93ccafef06c84d382b314ac0</x:v>
      </x:c>
      <x:c r="S1865" t="n">
        <x:v>6</x:v>
      </x:c>
      <x:c r="T1865" t="str">
        <x:v>2018-12-31|2019-12-31|2020-12-31|2021-12-31|2022-12-31</x:v>
      </x:c>
      <x:c r="U1865" s="57" t="n">
        <x:v>14568.71822737499</x:v>
      </x:c>
      <x:c r="V1865" s="57" t="n">
        <x:v>-0.030045390987018018</x:v>
      </x:c>
      <x:c r="W1865" t="n">
        <x:v>27</x:v>
      </x:c>
      <x:c r="X1865" t="n">
        <x:v>2</x:v>
      </x:c>
      <x:c r="Y1865" s="38" t="n">
        <x:v>0.6409090909090909</x:v>
      </x:c>
      <x:c r="Z1865" s="38" t="n">
        <x:v>0.6848982614778122</x:v>
      </x:c>
      <x:c r="AA1865"/>
    </x:row>
    <x:row r="1866">
      <x:c r="A1866" s="54" t="n">
        <x:v>45016</x:v>
      </x:c>
      <x:c r="B1866" t="n">
        <x:v>45016.624999988424</x:v>
      </x:c>
      <x:c r="C1866" t="str">
        <x:v>333430</x:v>
      </x:c>
      <x:c r="D1866" t="str">
        <x:v>일승</x:v>
      </x:c>
      <x:c r="E1866" t="str">
        <x:v>KOSDAQ</x:v>
      </x:c>
      <x:c r="F1866" t="str">
        <x:v>MID</x:v>
      </x:c>
      <x:c r="G1866" t="str">
        <x:v>DCF_SCREENING_EXCLUSION</x:v>
      </x:c>
      <x:c r="H1866" t="str">
        <x:v>NON_POSITIVE_ENTERPRISE_VALUE|NON_POSITIVE_EQUITY_VALUE|NON_POSITIVE_TERMINAL_FCF</x:v>
      </x:c>
      <x:c r="I1866" s="54" t="n">
        <x:v>45016</x:v>
      </x:c>
      <x:c r="J1866" s="55" t="n">
        <x:v>2890</x:v>
      </x:c>
      <x:c r="K1866" s="55" t="n">
        <x:v>88800298830</x:v>
      </x:c>
      <x:c r="L1866" s="55" t="n">
        <x:v>30726747</x:v>
      </x:c>
      <x:c r="M1866" t="str">
        <x:v>20230321001139</x:v>
      </x:c>
      <x:c r="N1866" t="n">
        <x:v>45006.624999988424</x:v>
      </x:c>
      <x:c r="O1866" s="54" t="n">
        <x:v>44926</x:v>
      </x:c>
      <x:c r="P1866" t="str">
        <x:v>False</x:v>
      </x:c>
      <x:c r="Q1866" t="str">
        <x:v>d7502cdcc3c654ca1d1940655519e09ad8b56e302692e749b0328b7e843bbf89</x:v>
      </x:c>
      <x:c r="R1866" t="str">
        <x:v>abd71ec1474faa0eba46763bdc83340ccdae6f0942644b6b38714fe131032813</x:v>
      </x:c>
      <x:c r="S1866" t="n">
        <x:v>6</x:v>
      </x:c>
      <x:c r="T1866" t="str">
        <x:v>2021-12-31|2022-12-31</x:v>
      </x:c>
      <x:c r="U1866" s="57" t="n">
        <x:v>-611.6882297528869</x:v>
      </x:c>
      <x:c r="V1866" s="57" t="n">
        <x:v>-1.211656826904113</x:v>
      </x:c>
      <x:c r="W1866"/>
      <x:c r="X1866"/>
      <x:c r="Y1866" s="38" t="n">
        <x:v>0.6409090909090909</x:v>
      </x:c>
      <x:c r="Z1866" s="38" t="n">
        <x:v>0.32596597928319837</x:v>
      </x:c>
      <x:c r="AA1866" t="str">
        <x:v>NON_POSITIVE_ENTERPRISE_VALUE|NON_POSITIVE_EQUITY_VALUE|NON_POSITIVE_TERMINAL_FCF</x:v>
      </x:c>
    </x:row>
    <x:row r="1867">
      <x:c r="A1867" s="54" t="n">
        <x:v>45016</x:v>
      </x:c>
      <x:c r="B1867" t="n">
        <x:v>45016.624999988424</x:v>
      </x:c>
      <x:c r="C1867" t="str">
        <x:v>041440</x:v>
      </x:c>
      <x:c r="D1867" t="str">
        <x:v>현대에버다임</x:v>
      </x:c>
      <x:c r="E1867" t="str">
        <x:v>KOSDAQ</x:v>
      </x:c>
      <x:c r="F1867" t="str">
        <x:v>MID</x:v>
      </x:c>
      <x:c r="G1867" t="str">
        <x:v>DCF_SCREENING_EXCLUSION</x:v>
      </x:c>
      <x:c r="H1867" t="str">
        <x:v>NON_POSITIVE_ENTERPRISE_VALUE|NON_POSITIVE_EQUITY_VALUE|NON_POSITIVE_TERMINAL_FCF</x:v>
      </x:c>
      <x:c r="I1867" s="54" t="n">
        <x:v>45016</x:v>
      </x:c>
      <x:c r="J1867" s="55" t="n">
        <x:v>7810</x:v>
      </x:c>
      <x:c r="K1867" s="55" t="n">
        <x:v>139923522640</x:v>
      </x:c>
      <x:c r="L1867" s="55" t="n">
        <x:v>17915944</x:v>
      </x:c>
      <x:c r="M1867" t="str">
        <x:v>20230320000982</x:v>
      </x:c>
      <x:c r="N1867" t="n">
        <x:v>45005.624999988424</x:v>
      </x:c>
      <x:c r="O1867" s="54" t="n">
        <x:v>44926</x:v>
      </x:c>
      <x:c r="P1867" t="str">
        <x:v>False</x:v>
      </x:c>
      <x:c r="Q1867" t="str">
        <x:v>8c3d9a83fb6c517a8cd313377559d3dea4a69bedff0db9c303c7595a8f32a66a</x:v>
      </x:c>
      <x:c r="R1867" t="str">
        <x:v>41baf22bd69a11eba2250fb647f80bfaea0394015173ea0819971eea359f9329</x:v>
      </x:c>
      <x:c r="S1867" t="n">
        <x:v>7</x:v>
      </x:c>
      <x:c r="T1867" t="str">
        <x:v>2018-12-31|2019-12-31|2020-12-31|2021-12-31|2022-12-31</x:v>
      </x:c>
      <x:c r="U1867" s="57" t="n">
        <x:v>-7160.384465012425</x:v>
      </x:c>
      <x:c r="V1867" s="57" t="n">
        <x:v>-1.9168225947519109</x:v>
      </x:c>
      <x:c r="W1867"/>
      <x:c r="X1867"/>
      <x:c r="Y1867" s="38" t="n">
        <x:v>0.6409090909090909</x:v>
      </x:c>
      <x:c r="Z1867" s="38" t="n">
        <x:v>0.6118890122114707</x:v>
      </x:c>
      <x:c r="AA1867" t="str">
        <x:v>NON_POSITIVE_ENTERPRISE_VALUE|NON_POSITIVE_EQUITY_VALUE|NON_POSITIVE_TERMINAL_FCF</x:v>
      </x:c>
    </x:row>
    <x:row r="1868">
      <x:c r="A1868" s="54" t="n">
        <x:v>45016</x:v>
      </x:c>
      <x:c r="B1868" t="n">
        <x:v>45016.624999988424</x:v>
      </x:c>
      <x:c r="C1868" t="str">
        <x:v>067990</x:v>
      </x:c>
      <x:c r="D1868" t="str">
        <x:v>도이치모터스</x:v>
      </x:c>
      <x:c r="E1868" t="str">
        <x:v>KOSDAQ</x:v>
      </x:c>
      <x:c r="F1868" t="str">
        <x:v>MID</x:v>
      </x:c>
      <x:c r="G1868" t="str">
        <x:v>DCF_SCREENING_EXCLUSION</x:v>
      </x:c>
      <x:c r="H1868" t="str">
        <x:v>NON_POSITIVE_EQUITY_VALUE</x:v>
      </x:c>
      <x:c r="I1868" s="54" t="n">
        <x:v>45016</x:v>
      </x:c>
      <x:c r="J1868" s="55" t="n">
        <x:v>5690</x:v>
      </x:c>
      <x:c r="K1868" s="55" t="n">
        <x:v>183113019500</x:v>
      </x:c>
      <x:c r="L1868" s="55" t="n">
        <x:v>32181550</x:v>
      </x:c>
      <x:c r="M1868" t="str">
        <x:v>20230317000760</x:v>
      </x:c>
      <x:c r="N1868" t="n">
        <x:v>45002.624999988424</x:v>
      </x:c>
      <x:c r="O1868" s="54" t="n">
        <x:v>44926</x:v>
      </x:c>
      <x:c r="P1868" t="str">
        <x:v>False</x:v>
      </x:c>
      <x:c r="Q1868" t="str">
        <x:v>7f959e11e8485d180ff361123246abc52f32d0d6ca7b3df433db63b2e3a91ba1</x:v>
      </x:c>
      <x:c r="R1868" t="str">
        <x:v>0081b4ef6ace73aa22d0a80b8d24b0d7cf9195fdeaba6e597eaab64df0a7b488</x:v>
      </x:c>
      <x:c r="S1868" t="n">
        <x:v>6</x:v>
      </x:c>
      <x:c r="T1868" t="str">
        <x:v>2016-12-31|2018-12-31|2019-12-31|2020-12-31|2021-12-31|2022-12-31</x:v>
      </x:c>
      <x:c r="U1868" s="57" t="n">
        <x:v>-9085.783444268378</x:v>
      </x:c>
      <x:c r="V1868" s="57" t="n">
        <x:v>-2.5967984963564814</x:v>
      </x:c>
      <x:c r="W1868"/>
      <x:c r="X1868"/>
      <x:c r="Y1868" s="38" t="n">
        <x:v>0.6409090909090909</x:v>
      </x:c>
      <x:c r="Z1868" s="38" t="n">
        <x:v>0.7697478293952159</x:v>
      </x:c>
      <x:c r="AA1868" t="str">
        <x:v>NON_POSITIVE_EQUITY_VALUE</x:v>
      </x:c>
    </x:row>
    <x:row r="1869">
      <x:c r="A1869" s="54" t="n">
        <x:v>45016</x:v>
      </x:c>
      <x:c r="B1869" t="n">
        <x:v>45016.624999988424</x:v>
      </x:c>
      <x:c r="C1869" t="str">
        <x:v>037070</x:v>
      </x:c>
      <x:c r="D1869" t="str">
        <x:v>파세코</x:v>
      </x:c>
      <x:c r="E1869" t="str">
        <x:v>KOSDAQ</x:v>
      </x:c>
      <x:c r="F1869" t="str">
        <x:v>MID</x:v>
      </x:c>
      <x:c r="G1869" t="str">
        <x:v>ELIGIBLE</x:v>
      </x:c>
      <x:c r="H1869"/>
      <x:c r="I1869" s="54" t="n">
        <x:v>45016</x:v>
      </x:c>
      <x:c r="J1869" s="55" t="n">
        <x:v>14460</x:v>
      </x:c>
      <x:c r="K1869" s="55" t="n">
        <x:v>289200000000</x:v>
      </x:c>
      <x:c r="L1869" s="55" t="n">
        <x:v>20000000</x:v>
      </x:c>
      <x:c r="M1869" t="str">
        <x:v>20230322000475</x:v>
      </x:c>
      <x:c r="N1869" t="n">
        <x:v>45007.624999988424</x:v>
      </x:c>
      <x:c r="O1869" s="54" t="n">
        <x:v>44926</x:v>
      </x:c>
      <x:c r="P1869" t="str">
        <x:v>False</x:v>
      </x:c>
      <x:c r="Q1869" t="str">
        <x:v>e0e628c1c4f3d44105afad67f3e241489cd6e09b190059e31bcca1cc8e91cefc</x:v>
      </x:c>
      <x:c r="R1869" t="str">
        <x:v>534a5be0bc61d177fbac066d23e10beac9b6d143754bed0f9c80fb43ba461c7d</x:v>
      </x:c>
      <x:c r="S1869" t="n">
        <x:v>7</x:v>
      </x:c>
      <x:c r="T1869" t="str">
        <x:v>2018-12-31|2019-12-31|2020-12-31|2021-12-31|2022-12-31</x:v>
      </x:c>
      <x:c r="U1869" s="57" t="n">
        <x:v>6820.926575942535</x:v>
      </x:c>
      <x:c r="V1869" s="57" t="n">
        <x:v>-0.5282900016637251</x:v>
      </x:c>
      <x:c r="W1869" t="n">
        <x:v>49</x:v>
      </x:c>
      <x:c r="X1869" t="n">
        <x:v>4</x:v>
      </x:c>
      <x:c r="Y1869" s="38" t="n">
        <x:v>0.6409090909090909</x:v>
      </x:c>
      <x:c r="Z1869" s="38" t="n">
        <x:v>0.7394480833327476</x:v>
      </x:c>
      <x:c r="AA1869"/>
    </x:row>
    <x:row r="1870">
      <x:c r="A1870" s="54" t="n">
        <x:v>45016</x:v>
      </x:c>
      <x:c r="B1870" t="n">
        <x:v>45016.624999988424</x:v>
      </x:c>
      <x:c r="C1870" t="str">
        <x:v>365330</x:v>
      </x:c>
      <x:c r="D1870" t="str">
        <x:v>에스와이스틸텍</x:v>
      </x:c>
      <x:c r="E1870" t="str">
        <x:v>KOSDAQ</x:v>
      </x:c>
      <x:c r="F1870" t="str">
        <x:v>MID</x:v>
      </x:c>
      <x:c r="G1870" t="str">
        <x:v>NOT_LISTED_OR_NO_PRICE</x:v>
      </x:c>
      <x:c r="H1870"/>
      <x:c r="I1870" s="54"/>
      <x:c r="J1870" s="55"/>
      <x:c r="K1870" s="55"/>
      <x:c r="L1870" s="55"/>
      <x:c r="M1870"/>
      <x:c r="N1870"/>
      <x:c r="O1870" s="54"/>
      <x:c r="P1870"/>
      <x:c r="Q1870"/>
      <x:c r="R1870"/>
      <x:c r="S1870"/>
      <x:c r="T1870"/>
      <x:c r="U1870" s="57"/>
      <x:c r="V1870" s="57"/>
      <x:c r="W1870"/>
      <x:c r="X1870"/>
      <x:c r="Y1870" s="38"/>
      <x:c r="Z1870" s="38"/>
      <x:c r="AA1870"/>
    </x:row>
    <x:row r="1871">
      <x:c r="A1871" s="54" t="n">
        <x:v>45016</x:v>
      </x:c>
      <x:c r="B1871" t="n">
        <x:v>45016.624999988424</x:v>
      </x:c>
      <x:c r="C1871" t="str">
        <x:v>086960</x:v>
      </x:c>
      <x:c r="D1871" t="str">
        <x:v>MDS테크</x:v>
      </x:c>
      <x:c r="E1871" t="str">
        <x:v>KOSDAQ</x:v>
      </x:c>
      <x:c r="F1871" t="str">
        <x:v>MID</x:v>
      </x:c>
      <x:c r="G1871" t="str">
        <x:v>ELIGIBLE</x:v>
      </x:c>
      <x:c r="H1871"/>
      <x:c r="I1871" s="54" t="n">
        <x:v>45016</x:v>
      </x:c>
      <x:c r="J1871" s="55" t="n">
        <x:v>3150</x:v>
      </x:c>
      <x:c r="K1871" s="55" t="n">
        <x:v>261219722400</x:v>
      </x:c>
      <x:c r="L1871" s="55" t="n">
        <x:v>82926896</x:v>
      </x:c>
      <x:c r="M1871" t="str">
        <x:v>20230321001394</x:v>
      </x:c>
      <x:c r="N1871" t="n">
        <x:v>45006.624999988424</x:v>
      </x:c>
      <x:c r="O1871" s="54" t="n">
        <x:v>44926</x:v>
      </x:c>
      <x:c r="P1871" t="str">
        <x:v>False</x:v>
      </x:c>
      <x:c r="Q1871" t="str">
        <x:v>6de65259a3d072f42d0fca3d53001c4393de76a7b6785d72709e18e8e2184e5d</x:v>
      </x:c>
      <x:c r="R1871" t="str">
        <x:v>0a064b5a48ddc0c295a1489d2b419a5c1fb6e4d178bb4e529a768d64682b58d6</x:v>
      </x:c>
      <x:c r="S1871" t="n">
        <x:v>6</x:v>
      </x:c>
      <x:c r="T1871" t="str">
        <x:v>2018-12-31|2019-12-31|2020-12-31|2021-12-31|2022-12-31</x:v>
      </x:c>
      <x:c r="U1871" s="57" t="n">
        <x:v>671.4289519571331</x:v>
      </x:c>
      <x:c r="V1871" s="57" t="n">
        <x:v>-0.7868479517596403</x:v>
      </x:c>
      <x:c r="W1871" t="n">
        <x:v>62</x:v>
      </x:c>
      <x:c r="X1871" t="n">
        <x:v>5</x:v>
      </x:c>
      <x:c r="Y1871" s="38" t="n">
        <x:v>0.6409090909090909</x:v>
      </x:c>
      <x:c r="Z1871" s="38" t="n">
        <x:v>0.503297506332927</x:v>
      </x:c>
      <x:c r="AA1871"/>
    </x:row>
    <x:row r="1872">
      <x:c r="A1872" s="54" t="n">
        <x:v>45016</x:v>
      </x:c>
      <x:c r="B1872" t="n">
        <x:v>45016.624999988424</x:v>
      </x:c>
      <x:c r="C1872" t="str">
        <x:v>014970</x:v>
      </x:c>
      <x:c r="D1872" t="str">
        <x:v>삼륭물산</x:v>
      </x:c>
      <x:c r="E1872" t="str">
        <x:v>KOSDAQ</x:v>
      </x:c>
      <x:c r="F1872" t="str">
        <x:v>MID</x:v>
      </x:c>
      <x:c r="G1872" t="str">
        <x:v>DCF_SCREENING_EXCLUSION</x:v>
      </x:c>
      <x:c r="H1872" t="str">
        <x:v>NON_POSITIVE_ENTERPRISE_VALUE|NON_POSITIVE_EQUITY_VALUE|NON_POSITIVE_TERMINAL_FCF</x:v>
      </x:c>
      <x:c r="I1872" s="54" t="n">
        <x:v>45016</x:v>
      </x:c>
      <x:c r="J1872" s="55" t="n">
        <x:v>5040</x:v>
      </x:c>
      <x:c r="K1872" s="55" t="n">
        <x:v>76230000000</x:v>
      </x:c>
      <x:c r="L1872" s="55" t="n">
        <x:v>15125000</x:v>
      </x:c>
      <x:c r="M1872" t="str">
        <x:v>20230321000886</x:v>
      </x:c>
      <x:c r="N1872" t="n">
        <x:v>45006.624999988424</x:v>
      </x:c>
      <x:c r="O1872" s="54" t="n">
        <x:v>44926</x:v>
      </x:c>
      <x:c r="P1872" t="str">
        <x:v>False</x:v>
      </x:c>
      <x:c r="Q1872" t="str">
        <x:v>883e85ca54d69019d753f75ff70bd82e9ec95c7f381af4f7070b658bf9977127</x:v>
      </x:c>
      <x:c r="R1872" t="str">
        <x:v>6aead4fd53b27da53ce0040d23d43dbcaede491dd27efb33c775b4235ae6877b</x:v>
      </x:c>
      <x:c r="S1872" t="n">
        <x:v>6</x:v>
      </x:c>
      <x:c r="T1872" t="str">
        <x:v>2018-12-31|2019-12-31|2020-12-31|2021-12-31|2022-12-31</x:v>
      </x:c>
      <x:c r="U1872" s="57" t="n">
        <x:v>-2342.5038501299105</x:v>
      </x:c>
      <x:c r="V1872" s="57" t="n">
        <x:v>-1.464782509946411</x:v>
      </x:c>
      <x:c r="W1872"/>
      <x:c r="X1872"/>
      <x:c r="Y1872" s="38" t="n">
        <x:v>0.6409090909090909</x:v>
      </x:c>
      <x:c r="Z1872" s="38" t="n">
        <x:v>0.38695392197793776</x:v>
      </x:c>
      <x:c r="AA1872" t="str">
        <x:v>NON_POSITIVE_ENTERPRISE_VALUE|NON_POSITIVE_EQUITY_VALUE|NON_POSITIVE_TERMINAL_FCF</x:v>
      </x:c>
    </x:row>
    <x:row r="1873">
      <x:c r="A1873" s="54" t="n">
        <x:v>45016</x:v>
      </x:c>
      <x:c r="B1873" t="n">
        <x:v>45016.624999988424</x:v>
      </x:c>
      <x:c r="C1873" t="str">
        <x:v>088390</x:v>
      </x:c>
      <x:c r="D1873" t="str">
        <x:v>이녹스</x:v>
      </x:c>
      <x:c r="E1873" t="str">
        <x:v>KOSDAQ</x:v>
      </x:c>
      <x:c r="F1873" t="str">
        <x:v>MID</x:v>
      </x:c>
      <x:c r="G1873" t="str">
        <x:v>ELIGIBLE</x:v>
      </x:c>
      <x:c r="H1873"/>
      <x:c r="I1873" s="54" t="n">
        <x:v>45016</x:v>
      </x:c>
      <x:c r="J1873" s="55" t="n">
        <x:v>32400</x:v>
      </x:c>
      <x:c r="K1873" s="55" t="n">
        <x:v>304101345600</x:v>
      </x:c>
      <x:c r="L1873" s="55" t="n">
        <x:v>9385844</x:v>
      </x:c>
      <x:c r="M1873" t="str">
        <x:v>20230321000937</x:v>
      </x:c>
      <x:c r="N1873" t="n">
        <x:v>45006.624999988424</x:v>
      </x:c>
      <x:c r="O1873" s="54" t="n">
        <x:v>44926</x:v>
      </x:c>
      <x:c r="P1873" t="str">
        <x:v>False</x:v>
      </x:c>
      <x:c r="Q1873" t="str">
        <x:v>c806ff3b25a78008817dea909ba8d87907b897404702a945415dc8bddf5a3bba</x:v>
      </x:c>
      <x:c r="R1873" t="str">
        <x:v>a334546554aa10b611102f8d42eec0e13da704c6535d6c2253ec83dd0adcbc43</x:v>
      </x:c>
      <x:c r="S1873" t="n">
        <x:v>6</x:v>
      </x:c>
      <x:c r="T1873" t="str">
        <x:v>2018-12-31|2019-12-31|2020-12-31|2021-12-31|2022-12-31</x:v>
      </x:c>
      <x:c r="U1873" s="57" t="n">
        <x:v>20179.33646225463</x:v>
      </x:c>
      <x:c r="V1873" s="57" t="n">
        <x:v>-0.3771809733872028</x:v>
      </x:c>
      <x:c r="W1873" t="n">
        <x:v>35</x:v>
      </x:c>
      <x:c r="X1873" t="n">
        <x:v>3</x:v>
      </x:c>
      <x:c r="Y1873" s="38" t="n">
        <x:v>0.6409090909090909</x:v>
      </x:c>
      <x:c r="Z1873" s="38" t="n">
        <x:v>0.6559585112822673</x:v>
      </x:c>
      <x:c r="AA1873"/>
    </x:row>
    <x:row r="1874">
      <x:c r="A1874" s="54" t="n">
        <x:v>45016</x:v>
      </x:c>
      <x:c r="B1874" t="n">
        <x:v>45016.624999988424</x:v>
      </x:c>
      <x:c r="C1874" t="str">
        <x:v>170920</x:v>
      </x:c>
      <x:c r="D1874" t="str">
        <x:v>엘티씨</x:v>
      </x:c>
      <x:c r="E1874" t="str">
        <x:v>KOSDAQ</x:v>
      </x:c>
      <x:c r="F1874" t="str">
        <x:v>MID</x:v>
      </x:c>
      <x:c r="G1874" t="str">
        <x:v>DCF_SCREENING_EXCLUSION</x:v>
      </x:c>
      <x:c r="H1874" t="str">
        <x:v>NON_POSITIVE_EQUITY_VALUE</x:v>
      </x:c>
      <x:c r="I1874" s="54" t="n">
        <x:v>45016</x:v>
      </x:c>
      <x:c r="J1874" s="55" t="n">
        <x:v>13950</x:v>
      </x:c>
      <x:c r="K1874" s="55" t="n">
        <x:v>113817101400</x:v>
      </x:c>
      <x:c r="L1874" s="55" t="n">
        <x:v>8158932</x:v>
      </x:c>
      <x:c r="M1874" t="str">
        <x:v>20230321001487</x:v>
      </x:c>
      <x:c r="N1874" t="n">
        <x:v>45006.624999988424</x:v>
      </x:c>
      <x:c r="O1874" s="54" t="n">
        <x:v>44926</x:v>
      </x:c>
      <x:c r="P1874" t="str">
        <x:v>False</x:v>
      </x:c>
      <x:c r="Q1874" t="str">
        <x:v>a5dae5e20cb63a18e32c98947b4715639d1167f521be8482e4df15e45dbc7a5e</x:v>
      </x:c>
      <x:c r="R1874" t="str">
        <x:v>669ac794f9aa2ef10105bd2f3cb42ba26f6dca949e57c990abb8149f25d8a938</x:v>
      </x:c>
      <x:c r="S1874" t="n">
        <x:v>6</x:v>
      </x:c>
      <x:c r="T1874" t="str">
        <x:v>2018-12-31|2019-12-31|2020-12-31|2021-12-31|2022-12-31</x:v>
      </x:c>
      <x:c r="U1874" s="57" t="n">
        <x:v>-567.7447623450928</x:v>
      </x:c>
      <x:c r="V1874" s="57" t="n">
        <x:v>-1.0406985492720497</x:v>
      </x:c>
      <x:c r="W1874"/>
      <x:c r="X1874"/>
      <x:c r="Y1874" s="38" t="n">
        <x:v>0.6409090909090909</x:v>
      </x:c>
      <x:c r="Z1874" s="38" t="n">
        <x:v>0.6063381050684947</x:v>
      </x:c>
      <x:c r="AA1874" t="str">
        <x:v>NON_POSITIVE_EQUITY_VALUE</x:v>
      </x:c>
    </x:row>
    <x:row r="1875">
      <x:c r="A1875" s="54" t="n">
        <x:v>45016</x:v>
      </x:c>
      <x:c r="B1875" t="n">
        <x:v>45016.624999988424</x:v>
      </x:c>
      <x:c r="C1875" t="str">
        <x:v>021080</x:v>
      </x:c>
      <x:c r="D1875" t="str">
        <x:v>에이티넘인베스트</x:v>
      </x:c>
      <x:c r="E1875" t="str">
        <x:v>KOSDAQ</x:v>
      </x:c>
      <x:c r="F1875" t="str">
        <x:v>MID</x:v>
      </x:c>
      <x:c r="G1875" t="str">
        <x:v>ELIGIBLE</x:v>
      </x:c>
      <x:c r="H1875"/>
      <x:c r="I1875" s="54" t="n">
        <x:v>45016</x:v>
      </x:c>
      <x:c r="J1875" s="55" t="n">
        <x:v>2735</x:v>
      </x:c>
      <x:c r="K1875" s="55" t="n">
        <x:v>131280000000</x:v>
      </x:c>
      <x:c r="L1875" s="55" t="n">
        <x:v>48000000</x:v>
      </x:c>
      <x:c r="M1875" t="str">
        <x:v>20230314001059</x:v>
      </x:c>
      <x:c r="N1875" t="n">
        <x:v>44999.624999988424</x:v>
      </x:c>
      <x:c r="O1875" s="54" t="n">
        <x:v>44926</x:v>
      </x:c>
      <x:c r="P1875" t="str">
        <x:v>False</x:v>
      </x:c>
      <x:c r="Q1875" t="str">
        <x:v>8c5d66bc32cae6aaea39b9031902bfd89e3a6ffd612bd13d18956e5d3c55b227</x:v>
      </x:c>
      <x:c r="R1875" t="str">
        <x:v>25932feee45d4f34e5d899bbfdb4236433277e2205d191def6fb07776ac1872f</x:v>
      </x:c>
      <x:c r="S1875" t="n">
        <x:v>4</x:v>
      </x:c>
      <x:c r="T1875" t="str">
        <x:v>2018-12-31|2019-12-31|2020-12-31|2021-12-31|2022-12-31</x:v>
      </x:c>
      <x:c r="U1875" s="57" t="n">
        <x:v>9406.736948369926</x:v>
      </x:c>
      <x:c r="V1875" s="57" t="n">
        <x:v>2.439391937246773</x:v>
      </x:c>
      <x:c r="W1875" t="n">
        <x:v>6</x:v>
      </x:c>
      <x:c r="X1875" t="n">
        <x:v>1</x:v>
      </x:c>
      <x:c r="Y1875" s="38" t="n">
        <x:v>0.6409090909090909</x:v>
      </x:c>
      <x:c r="Z1875" s="38" t="n">
        <x:v>0.6853837104206245</x:v>
      </x:c>
      <x:c r="AA1875"/>
    </x:row>
    <x:row r="1876">
      <x:c r="A1876" s="54" t="n">
        <x:v>45016</x:v>
      </x:c>
      <x:c r="B1876" t="n">
        <x:v>45016.624999988424</x:v>
      </x:c>
      <x:c r="C1876" t="str">
        <x:v>302550</x:v>
      </x:c>
      <x:c r="D1876" t="str">
        <x:v>리메드</x:v>
      </x:c>
      <x:c r="E1876" t="str">
        <x:v>KOSDAQ</x:v>
      </x:c>
      <x:c r="F1876" t="str">
        <x:v>MID</x:v>
      </x:c>
      <x:c r="G1876" t="str">
        <x:v>ELIGIBLE</x:v>
      </x:c>
      <x:c r="H1876"/>
      <x:c r="I1876" s="54" t="n">
        <x:v>45016</x:v>
      </x:c>
      <x:c r="J1876" s="55" t="n">
        <x:v>12940</x:v>
      </x:c>
      <x:c r="K1876" s="55" t="n">
        <x:v>79291351040</x:v>
      </x:c>
      <x:c r="L1876" s="55" t="n">
        <x:v>6127616</x:v>
      </x:c>
      <x:c r="M1876" t="str">
        <x:v>20230317000634</x:v>
      </x:c>
      <x:c r="N1876" t="n">
        <x:v>45002.624999988424</x:v>
      </x:c>
      <x:c r="O1876" s="54" t="n">
        <x:v>44926</x:v>
      </x:c>
      <x:c r="P1876" t="str">
        <x:v>False</x:v>
      </x:c>
      <x:c r="Q1876" t="str">
        <x:v>d5af64e920043eb8d2a9eede6d7332fad3c4a5ce4e29b3cce685d4ef60561568</x:v>
      </x:c>
      <x:c r="R1876" t="str">
        <x:v>dc9138708e4bf54e1903b520d457bec0b84284da0761a3aca6b8cf338ed2b78e</x:v>
      </x:c>
      <x:c r="S1876" t="n">
        <x:v>5</x:v>
      </x:c>
      <x:c r="T1876" t="str">
        <x:v>2019-12-31|2020-12-31|2021-12-31|2022-12-31</x:v>
      </x:c>
      <x:c r="U1876" s="57" t="n">
        <x:v>3933.783904575903</x:v>
      </x:c>
      <x:c r="V1876" s="57" t="n">
        <x:v>-0.6959981526602858</x:v>
      </x:c>
      <x:c r="W1876" t="n">
        <x:v>56</x:v>
      </x:c>
      <x:c r="X1876" t="n">
        <x:v>4</x:v>
      </x:c>
      <x:c r="Y1876" s="38" t="n">
        <x:v>0.6409090909090909</x:v>
      </x:c>
      <x:c r="Z1876" s="38" t="n">
        <x:v>0.6901126110971331</x:v>
      </x:c>
      <x:c r="AA1876"/>
    </x:row>
    <x:row r="1877">
      <x:c r="A1877" s="54" t="n">
        <x:v>45016</x:v>
      </x:c>
      <x:c r="B1877" t="n">
        <x:v>45016.624999988424</x:v>
      </x:c>
      <x:c r="C1877" t="str">
        <x:v>011760</x:v>
      </x:c>
      <x:c r="D1877" t="str">
        <x:v>현대코퍼레이션</x:v>
      </x:c>
      <x:c r="E1877" t="str">
        <x:v>KOSPI</x:v>
      </x:c>
      <x:c r="F1877" t="str">
        <x:v>MID</x:v>
      </x:c>
      <x:c r="G1877" t="str">
        <x:v>ELIGIBLE</x:v>
      </x:c>
      <x:c r="H1877"/>
      <x:c r="I1877" s="54" t="n">
        <x:v>45016</x:v>
      </x:c>
      <x:c r="J1877" s="55" t="n">
        <x:v>16340</x:v>
      </x:c>
      <x:c r="K1877" s="55" t="n">
        <x:v>216161304440</x:v>
      </x:c>
      <x:c r="L1877" s="55" t="n">
        <x:v>13228966</x:v>
      </x:c>
      <x:c r="M1877" t="str">
        <x:v>20230321001082</x:v>
      </x:c>
      <x:c r="N1877" t="n">
        <x:v>45006.624999988424</x:v>
      </x:c>
      <x:c r="O1877" s="54" t="n">
        <x:v>44926</x:v>
      </x:c>
      <x:c r="P1877" t="str">
        <x:v>False</x:v>
      </x:c>
      <x:c r="Q1877" t="str">
        <x:v>7497290dfb7df1cdb145ded0dcd43d2219860d472f25d57ceb52cf8da7a1f19d</x:v>
      </x:c>
      <x:c r="R1877" t="str">
        <x:v>e44d414fb883ec676e3c561de4b1c48d84619c9565a5962f170a9145182b85c8</x:v>
      </x:c>
      <x:c r="S1877" t="n">
        <x:v>6</x:v>
      </x:c>
      <x:c r="T1877" t="str">
        <x:v>2018-12-31|2019-12-31|2020-12-31|2021-12-31|2022-12-31</x:v>
      </x:c>
      <x:c r="U1877" s="57" t="n">
        <x:v>35512.0741871538</x:v>
      </x:c>
      <x:c r="V1877" s="57" t="n">
        <x:v>1.173321553681383</x:v>
      </x:c>
      <x:c r="W1877" t="n">
        <x:v>11</x:v>
      </x:c>
      <x:c r="X1877" t="n">
        <x:v>1</x:v>
      </x:c>
      <x:c r="Y1877" s="38" t="n">
        <x:v>0.6409090909090909</x:v>
      </x:c>
      <x:c r="Z1877" s="38" t="n">
        <x:v>0.6771245069754701</x:v>
      </x:c>
      <x:c r="AA1877"/>
    </x:row>
    <x:row r="1878">
      <x:c r="A1878" s="54" t="n">
        <x:v>45016</x:v>
      </x:c>
      <x:c r="B1878" t="n">
        <x:v>45016.624999988424</x:v>
      </x:c>
      <x:c r="C1878" t="str">
        <x:v>010690</x:v>
      </x:c>
      <x:c r="D1878" t="str">
        <x:v>화신</x:v>
      </x:c>
      <x:c r="E1878" t="str">
        <x:v>KOSPI</x:v>
      </x:c>
      <x:c r="F1878" t="str">
        <x:v>MID</x:v>
      </x:c>
      <x:c r="G1878" t="str">
        <x:v>DCF_SCREENING_EXCLUSION</x:v>
      </x:c>
      <x:c r="H1878" t="str">
        <x:v>NON_POSITIVE_ENTERPRISE_VALUE|NON_POSITIVE_EQUITY_VALUE|NON_POSITIVE_TERMINAL_FCF|UNRELIABLE_TERMINAL_VALUE_SHARE</x:v>
      </x:c>
      <x:c r="I1878" s="54" t="n">
        <x:v>45016</x:v>
      </x:c>
      <x:c r="J1878" s="55" t="n">
        <x:v>12420</x:v>
      </x:c>
      <x:c r="K1878" s="55" t="n">
        <x:v>433711492200</x:v>
      </x:c>
      <x:c r="L1878" s="55" t="n">
        <x:v>34920410</x:v>
      </x:c>
      <x:c r="M1878" t="str">
        <x:v>20230320000645</x:v>
      </x:c>
      <x:c r="N1878" t="n">
        <x:v>45005.624999988424</x:v>
      </x:c>
      <x:c r="O1878" s="54" t="n">
        <x:v>44926</x:v>
      </x:c>
      <x:c r="P1878" t="str">
        <x:v>False</x:v>
      </x:c>
      <x:c r="Q1878" t="str">
        <x:v>ace030b5867bd40c85d08d8079564b6f1adba8cb64ce5247769c40f3cb666f0c</x:v>
      </x:c>
      <x:c r="R1878" t="str">
        <x:v>c8947a650432b8d7fe4195798251d6392cac5b504010a72e30232a3fa75037ce</x:v>
      </x:c>
      <x:c r="S1878" t="n">
        <x:v>6</x:v>
      </x:c>
      <x:c r="T1878" t="str">
        <x:v>2018-12-31|2019-12-31|2020-12-31|2021-12-31|2022-12-31</x:v>
      </x:c>
      <x:c r="U1878" s="57" t="n">
        <x:v>-17045.32296634363</x:v>
      </x:c>
      <x:c r="V1878" s="57" t="n">
        <x:v>-2.3724092565494064</x:v>
      </x:c>
      <x:c r="W1878"/>
      <x:c r="X1878"/>
      <x:c r="Y1878" s="38" t="n">
        <x:v>0.6409090909090909</x:v>
      </x:c>
      <x:c r="Z1878" s="38" t="n">
        <x:v>0.8696011390894546</x:v>
      </x:c>
      <x:c r="AA1878" t="str">
        <x:v>NON_POSITIVE_ENTERPRISE_VALUE|NON_POSITIVE_EQUITY_VALUE|NON_POSITIVE_TERMINAL_FCF|UNRELIABLE_TERMINAL_VALUE_SHARE</x:v>
      </x:c>
    </x:row>
    <x:row r="1879">
      <x:c r="A1879" s="54" t="n">
        <x:v>45016</x:v>
      </x:c>
      <x:c r="B1879" t="n">
        <x:v>45016.624999988424</x:v>
      </x:c>
      <x:c r="C1879" t="str">
        <x:v>029460</x:v>
      </x:c>
      <x:c r="D1879" t="str">
        <x:v>케이씨</x:v>
      </x:c>
      <x:c r="E1879" t="str">
        <x:v>KOSPI</x:v>
      </x:c>
      <x:c r="F1879" t="str">
        <x:v>MID</x:v>
      </x:c>
      <x:c r="G1879" t="str">
        <x:v>ELIGIBLE</x:v>
      </x:c>
      <x:c r="H1879"/>
      <x:c r="I1879" s="54" t="n">
        <x:v>45016</x:v>
      </x:c>
      <x:c r="J1879" s="55" t="n">
        <x:v>21900</x:v>
      </x:c>
      <x:c r="K1879" s="55" t="n">
        <x:v>296833563600</x:v>
      </x:c>
      <x:c r="L1879" s="55" t="n">
        <x:v>13554044</x:v>
      </x:c>
      <x:c r="M1879" t="str">
        <x:v>20230321001309</x:v>
      </x:c>
      <x:c r="N1879" t="n">
        <x:v>45006.624999988424</x:v>
      </x:c>
      <x:c r="O1879" s="54" t="n">
        <x:v>44926</x:v>
      </x:c>
      <x:c r="P1879" t="str">
        <x:v>False</x:v>
      </x:c>
      <x:c r="Q1879" t="str">
        <x:v>58e2d472bbe37e0e42e1f560f9d3acf2a30dbfda1ffdbc268c79157babdb6d9e</x:v>
      </x:c>
      <x:c r="R1879" t="str">
        <x:v>4f1107530bcbdbfdb99fcbe552d55f3f95991ae8735eae7990d0fb52b4e43364</x:v>
      </x:c>
      <x:c r="S1879" t="n">
        <x:v>7</x:v>
      </x:c>
      <x:c r="T1879" t="str">
        <x:v>2018-12-31|2019-12-31|2020-12-31|2021-12-31|2022-12-31</x:v>
      </x:c>
      <x:c r="U1879" s="57" t="n">
        <x:v>57723.94566201972</x:v>
      </x:c>
      <x:c r="V1879" s="57" t="n">
        <x:v>1.6357966055716768</x:v>
      </x:c>
      <x:c r="W1879" t="n">
        <x:v>8</x:v>
      </x:c>
      <x:c r="X1879" t="n">
        <x:v>1</x:v>
      </x:c>
      <x:c r="Y1879" s="38" t="n">
        <x:v>0.6409090909090909</x:v>
      </x:c>
      <x:c r="Z1879" s="38" t="n">
        <x:v>0.6872369630522922</x:v>
      </x:c>
      <x:c r="AA1879"/>
    </x:row>
    <x:row r="1880">
      <x:c r="A1880" s="54" t="n">
        <x:v>45016</x:v>
      </x:c>
      <x:c r="B1880" t="n">
        <x:v>45016.624999988424</x:v>
      </x:c>
      <x:c r="C1880" t="str">
        <x:v>122900</x:v>
      </x:c>
      <x:c r="D1880" t="str">
        <x:v>아이마켓코리아</x:v>
      </x:c>
      <x:c r="E1880" t="str">
        <x:v>KOSPI</x:v>
      </x:c>
      <x:c r="F1880" t="str">
        <x:v>MID</x:v>
      </x:c>
      <x:c r="G1880" t="str">
        <x:v>ELIGIBLE</x:v>
      </x:c>
      <x:c r="H1880"/>
      <x:c r="I1880" s="54" t="n">
        <x:v>45016</x:v>
      </x:c>
      <x:c r="J1880" s="55" t="n">
        <x:v>9930</x:v>
      </x:c>
      <x:c r="K1880" s="55" t="n">
        <x:v>331948381200</x:v>
      </x:c>
      <x:c r="L1880" s="55" t="n">
        <x:v>33428840</x:v>
      </x:c>
      <x:c r="M1880" t="str">
        <x:v>20230322000722</x:v>
      </x:c>
      <x:c r="N1880" t="n">
        <x:v>45007.624999988424</x:v>
      </x:c>
      <x:c r="O1880" s="54" t="n">
        <x:v>44926</x:v>
      </x:c>
      <x:c r="P1880" t="str">
        <x:v>False</x:v>
      </x:c>
      <x:c r="Q1880" t="str">
        <x:v>541510e32a7f5e0c3289b935df9aa47469db852b3e2332ec4d4887ad0a8a3a00</x:v>
      </x:c>
      <x:c r="R1880" t="str">
        <x:v>d3db2a9e5647450f49beda7b3bbce417ea59264baaa424912ee59324b698a5a1</x:v>
      </x:c>
      <x:c r="S1880" t="n">
        <x:v>7</x:v>
      </x:c>
      <x:c r="T1880" t="str">
        <x:v>2018-12-31|2019-12-31|2020-12-31|2021-12-31|2022-12-31</x:v>
      </x:c>
      <x:c r="U1880" s="57" t="n">
        <x:v>11510.344845218757</x:v>
      </x:c>
      <x:c r="V1880" s="57" t="n">
        <x:v>0.15914852419121422</x:v>
      </x:c>
      <x:c r="W1880" t="n">
        <x:v>20</x:v>
      </x:c>
      <x:c r="X1880" t="n">
        <x:v>2</x:v>
      </x:c>
      <x:c r="Y1880" s="38" t="n">
        <x:v>0.6409090909090909</x:v>
      </x:c>
      <x:c r="Z1880" s="38" t="n">
        <x:v>0.6565126915691513</x:v>
      </x:c>
      <x:c r="AA1880"/>
    </x:row>
    <x:row r="1881">
      <x:c r="A1881" s="54" t="n">
        <x:v>45016</x:v>
      </x:c>
      <x:c r="B1881" t="n">
        <x:v>45016.624999988424</x:v>
      </x:c>
      <x:c r="C1881" t="str">
        <x:v>001820</x:v>
      </x:c>
      <x:c r="D1881" t="str">
        <x:v>삼화콘덴서</x:v>
      </x:c>
      <x:c r="E1881" t="str">
        <x:v>KOSPI</x:v>
      </x:c>
      <x:c r="F1881" t="str">
        <x:v>MID</x:v>
      </x:c>
      <x:c r="G1881" t="str">
        <x:v>ELIGIBLE</x:v>
      </x:c>
      <x:c r="H1881"/>
      <x:c r="I1881" s="54" t="n">
        <x:v>45016</x:v>
      </x:c>
      <x:c r="J1881" s="55" t="n">
        <x:v>48750</x:v>
      </x:c>
      <x:c r="K1881" s="55" t="n">
        <x:v>506756250000</x:v>
      </x:c>
      <x:c r="L1881" s="55" t="n">
        <x:v>10395000</x:v>
      </x:c>
      <x:c r="M1881" t="str">
        <x:v>20230316001232</x:v>
      </x:c>
      <x:c r="N1881" t="n">
        <x:v>45001.624999988424</x:v>
      </x:c>
      <x:c r="O1881" s="54" t="n">
        <x:v>44926</x:v>
      </x:c>
      <x:c r="P1881" t="str">
        <x:v>False</x:v>
      </x:c>
      <x:c r="Q1881" t="str">
        <x:v>21c9a7489bf916d34448a0cf4023d4b2918aa14f06fa7fbfecdc791aad0d3a25</x:v>
      </x:c>
      <x:c r="R1881" t="str">
        <x:v>d98eb8030c6a8d0bd488a289243d1d793ce24874b738ec97734a7be617eeb5ec</x:v>
      </x:c>
      <x:c r="S1881" t="n">
        <x:v>6</x:v>
      </x:c>
      <x:c r="T1881" t="str">
        <x:v>2018-12-31|2019-12-31|2020-12-31|2021-12-31|2022-12-31</x:v>
      </x:c>
      <x:c r="U1881" s="57" t="n">
        <x:v>23344.60615683926</x:v>
      </x:c>
      <x:c r="V1881" s="57" t="n">
        <x:v>-0.5211362839622715</x:v>
      </x:c>
      <x:c r="W1881" t="n">
        <x:v>48</x:v>
      </x:c>
      <x:c r="X1881" t="n">
        <x:v>4</x:v>
      </x:c>
      <x:c r="Y1881" s="38" t="n">
        <x:v>0.6409090909090909</x:v>
      </x:c>
      <x:c r="Z1881" s="38" t="n">
        <x:v>0.6774188039585555</x:v>
      </x:c>
      <x:c r="AA1881"/>
    </x:row>
    <x:row r="1882">
      <x:c r="A1882" s="54" t="n">
        <x:v>45016</x:v>
      </x:c>
      <x:c r="B1882" t="n">
        <x:v>45016.624999988424</x:v>
      </x:c>
      <x:c r="C1882" t="str">
        <x:v>001790</x:v>
      </x:c>
      <x:c r="D1882" t="str">
        <x:v>대한제당</x:v>
      </x:c>
      <x:c r="E1882" t="str">
        <x:v>KOSPI</x:v>
      </x:c>
      <x:c r="F1882" t="str">
        <x:v>MID</x:v>
      </x:c>
      <x:c r="G1882" t="str">
        <x:v>ELIGIBLE</x:v>
      </x:c>
      <x:c r="H1882"/>
      <x:c r="I1882" s="54" t="n">
        <x:v>45016</x:v>
      </x:c>
      <x:c r="J1882" s="55" t="n">
        <x:v>2670</x:v>
      </x:c>
      <x:c r="K1882" s="55" t="n">
        <x:v>239489868600</x:v>
      </x:c>
      <x:c r="L1882" s="55" t="n">
        <x:v>89696580</x:v>
      </x:c>
      <x:c r="M1882" t="str">
        <x:v>20230316001046</x:v>
      </x:c>
      <x:c r="N1882" t="n">
        <x:v>45001.624999988424</x:v>
      </x:c>
      <x:c r="O1882" s="54" t="n">
        <x:v>44926</x:v>
      </x:c>
      <x:c r="P1882" t="str">
        <x:v>False</x:v>
      </x:c>
      <x:c r="Q1882" t="str">
        <x:v>1470941c191c19b84c7adee1ef3cb8a6631abd9d9946815fd4a3cfdcb7c9afd7</x:v>
      </x:c>
      <x:c r="R1882" t="str">
        <x:v>52b38e27ecd11fb1c266f904ac3caa5b13eab576bbf5e087693bb0ea6fb7b3d8</x:v>
      </x:c>
      <x:c r="S1882" t="n">
        <x:v>6</x:v>
      </x:c>
      <x:c r="T1882" t="str">
        <x:v>2018-12-31|2019-12-31|2020-12-31|2021-12-31|2022-12-31</x:v>
      </x:c>
      <x:c r="U1882" s="57" t="n">
        <x:v>2512.5220368220816</x:v>
      </x:c>
      <x:c r="V1882" s="57" t="n">
        <x:v>-0.05898051055352744</x:v>
      </x:c>
      <x:c r="W1882" t="n">
        <x:v>29</x:v>
      </x:c>
      <x:c r="X1882" t="n">
        <x:v>3</x:v>
      </x:c>
      <x:c r="Y1882" s="38" t="n">
        <x:v>0.6409090909090909</x:v>
      </x:c>
      <x:c r="Z1882" s="38" t="n">
        <x:v>0.6758534661559685</x:v>
      </x:c>
      <x:c r="AA1882"/>
    </x:row>
    <x:row r="1883">
      <x:c r="A1883" s="54" t="n">
        <x:v>45016</x:v>
      </x:c>
      <x:c r="B1883" t="n">
        <x:v>45016.624999988424</x:v>
      </x:c>
      <x:c r="C1883" t="str">
        <x:v>001340</x:v>
      </x:c>
      <x:c r="D1883" t="str">
        <x:v>PKC</x:v>
      </x:c>
      <x:c r="E1883" t="str">
        <x:v>KOSPI</x:v>
      </x:c>
      <x:c r="F1883" t="str">
        <x:v>MID</x:v>
      </x:c>
      <x:c r="G1883" t="str">
        <x:v>ELIGIBLE</x:v>
      </x:c>
      <x:c r="H1883"/>
      <x:c r="I1883" s="54" t="n">
        <x:v>45016</x:v>
      </x:c>
      <x:c r="J1883" s="55" t="n">
        <x:v>5150</x:v>
      </x:c>
      <x:c r="K1883" s="55" t="n">
        <x:v>231329796050</x:v>
      </x:c>
      <x:c r="L1883" s="55" t="n">
        <x:v>44918407</x:v>
      </x:c>
      <x:c r="M1883" t="str">
        <x:v>20230315000818</x:v>
      </x:c>
      <x:c r="N1883" t="n">
        <x:v>45000.624999988424</x:v>
      </x:c>
      <x:c r="O1883" s="54" t="n">
        <x:v>44926</x:v>
      </x:c>
      <x:c r="P1883" t="str">
        <x:v>False</x:v>
      </x:c>
      <x:c r="Q1883" t="str">
        <x:v>558c9edbc3243e9a70a8177e38ec9b6ff6d82e01a5e2bbdd4c75dfc6b9658bd5</x:v>
      </x:c>
      <x:c r="R1883" t="str">
        <x:v>60c8b62c58046c510ab9e848c28d4d6c2ace989bde3485615c19ed17359872d9</x:v>
      </x:c>
      <x:c r="S1883" t="n">
        <x:v>6</x:v>
      </x:c>
      <x:c r="T1883" t="str">
        <x:v>2016-12-31|2017-12-31|2018-12-31|2019-12-31|2020-12-31|2021-12-31|2022-12-31</x:v>
      </x:c>
      <x:c r="U1883" s="57" t="n">
        <x:v>175.82934072008524</x:v>
      </x:c>
      <x:c r="V1883" s="57" t="n">
        <x:v>-0.9658583804427019</x:v>
      </x:c>
      <x:c r="W1883" t="n">
        <x:v>68</x:v>
      </x:c>
      <x:c r="X1883" t="n">
        <x:v>5</x:v>
      </x:c>
      <x:c r="Y1883" s="38" t="n">
        <x:v>0.6409090909090909</x:v>
      </x:c>
      <x:c r="Z1883" s="38" t="n">
        <x:v>0.6026278080829884</x:v>
      </x:c>
      <x:c r="AA1883"/>
    </x:row>
    <x:row r="1884">
      <x:c r="A1884" s="54" t="n">
        <x:v>45016</x:v>
      </x:c>
      <x:c r="B1884" t="n">
        <x:v>45016.624999988424</x:v>
      </x:c>
      <x:c r="C1884" t="str">
        <x:v>096760</x:v>
      </x:c>
      <x:c r="D1884" t="str">
        <x:v>JW홀딩스</x:v>
      </x:c>
      <x:c r="E1884" t="str">
        <x:v>KOSPI</x:v>
      </x:c>
      <x:c r="F1884" t="str">
        <x:v>MID</x:v>
      </x:c>
      <x:c r="G1884" t="str">
        <x:v>EXCLUDED_ARCHETYPE</x:v>
      </x:c>
      <x:c r="H1884" t="str">
        <x:v>FCFF_NOT_COMPARABLE_FOR_FINANCE_OR_HOLDING_HINT</x:v>
      </x:c>
      <x:c r="I1884" s="54"/>
      <x:c r="J1884" s="55"/>
      <x:c r="K1884" s="55"/>
      <x:c r="L1884" s="55"/>
      <x:c r="M1884"/>
      <x:c r="N1884"/>
      <x:c r="O1884" s="54"/>
      <x:c r="P1884"/>
      <x:c r="Q1884"/>
      <x:c r="R1884"/>
      <x:c r="S1884"/>
      <x:c r="T1884"/>
      <x:c r="U1884" s="57"/>
      <x:c r="V1884" s="57"/>
      <x:c r="W1884"/>
      <x:c r="X1884"/>
      <x:c r="Y1884" s="38"/>
      <x:c r="Z1884" s="38"/>
      <x:c r="AA1884"/>
    </x:row>
    <x:row r="1885">
      <x:c r="A1885" s="54" t="n">
        <x:v>45016</x:v>
      </x:c>
      <x:c r="B1885" t="n">
        <x:v>45016.624999988424</x:v>
      </x:c>
      <x:c r="C1885" t="str">
        <x:v>005010</x:v>
      </x:c>
      <x:c r="D1885" t="str">
        <x:v>휴스틸</x:v>
      </x:c>
      <x:c r="E1885" t="str">
        <x:v>KOSPI</x:v>
      </x:c>
      <x:c r="F1885" t="str">
        <x:v>MID</x:v>
      </x:c>
      <x:c r="G1885" t="str">
        <x:v>ELIGIBLE</x:v>
      </x:c>
      <x:c r="H1885"/>
      <x:c r="I1885" s="54" t="n">
        <x:v>45016</x:v>
      </x:c>
      <x:c r="J1885" s="55" t="n">
        <x:v>6870</x:v>
      </x:c>
      <x:c r="K1885" s="55" t="n">
        <x:v>386012075250</x:v>
      </x:c>
      <x:c r="L1885" s="55" t="n">
        <x:v>56188075</x:v>
      </x:c>
      <x:c r="M1885" t="str">
        <x:v>20230322001091</x:v>
      </x:c>
      <x:c r="N1885" t="n">
        <x:v>45007.624999988424</x:v>
      </x:c>
      <x:c r="O1885" s="54" t="n">
        <x:v>44926</x:v>
      </x:c>
      <x:c r="P1885" t="str">
        <x:v>False</x:v>
      </x:c>
      <x:c r="Q1885" t="str">
        <x:v>d9dbeeef1aa4a18fb7e1b286713e7ac56f27f2bee80e9f7c8abb669a235538b9</x:v>
      </x:c>
      <x:c r="R1885" t="str">
        <x:v>91116ae41a3d9d36dbef495a4667f91436e1b440d9c3b340c7d4d4493ba79f39</x:v>
      </x:c>
      <x:c r="S1885" t="n">
        <x:v>7</x:v>
      </x:c>
      <x:c r="T1885" t="str">
        <x:v>2018-12-31|2019-12-31|2020-12-31|2021-12-31|2022-12-31</x:v>
      </x:c>
      <x:c r="U1885" s="57" t="n">
        <x:v>16959.49964400331</x:v>
      </x:c>
      <x:c r="V1885" s="57" t="n">
        <x:v>1.4686316803498267</x:v>
      </x:c>
      <x:c r="W1885" t="n">
        <x:v>10</x:v>
      </x:c>
      <x:c r="X1885" t="n">
        <x:v>1</x:v>
      </x:c>
      <x:c r="Y1885" s="38" t="n">
        <x:v>0.6409090909090909</x:v>
      </x:c>
      <x:c r="Z1885" s="38" t="n">
        <x:v>0.3282955912636518</x:v>
      </x:c>
      <x:c r="AA1885"/>
    </x:row>
    <x:row r="1886">
      <x:c r="A1886" s="54" t="n">
        <x:v>45016</x:v>
      </x:c>
      <x:c r="B1886" t="n">
        <x:v>45016.624999988424</x:v>
      </x:c>
      <x:c r="C1886" t="str">
        <x:v>001630</x:v>
      </x:c>
      <x:c r="D1886" t="str">
        <x:v>종근당홀딩스</x:v>
      </x:c>
      <x:c r="E1886" t="str">
        <x:v>KOSPI</x:v>
      </x:c>
      <x:c r="F1886" t="str">
        <x:v>MID</x:v>
      </x:c>
      <x:c r="G1886" t="str">
        <x:v>EXCLUDED_ARCHETYPE</x:v>
      </x:c>
      <x:c r="H1886" t="str">
        <x:v>FCFF_NOT_COMPARABLE_FOR_FINANCE_OR_HOLDING_HINT</x:v>
      </x:c>
      <x:c r="I1886" s="54"/>
      <x:c r="J1886" s="55"/>
      <x:c r="K1886" s="55"/>
      <x:c r="L1886" s="55"/>
      <x:c r="M1886"/>
      <x:c r="N1886"/>
      <x:c r="O1886" s="54"/>
      <x:c r="P1886"/>
      <x:c r="Q1886"/>
      <x:c r="R1886"/>
      <x:c r="S1886"/>
      <x:c r="T1886"/>
      <x:c r="U1886" s="57"/>
      <x:c r="V1886" s="57"/>
      <x:c r="W1886"/>
      <x:c r="X1886"/>
      <x:c r="Y1886" s="38"/>
      <x:c r="Z1886" s="38"/>
      <x:c r="AA1886"/>
    </x:row>
    <x:row r="1887">
      <x:c r="A1887" s="54" t="n">
        <x:v>45016</x:v>
      </x:c>
      <x:c r="B1887" t="n">
        <x:v>45016.624999988424</x:v>
      </x:c>
      <x:c r="C1887" t="str">
        <x:v>005680</x:v>
      </x:c>
      <x:c r="D1887" t="str">
        <x:v>삼영전자</x:v>
      </x:c>
      <x:c r="E1887" t="str">
        <x:v>KOSPI</x:v>
      </x:c>
      <x:c r="F1887" t="str">
        <x:v>MID</x:v>
      </x:c>
      <x:c r="G1887" t="str">
        <x:v>ELIGIBLE</x:v>
      </x:c>
      <x:c r="H1887"/>
      <x:c r="I1887" s="54" t="n">
        <x:v>45016</x:v>
      </x:c>
      <x:c r="J1887" s="55" t="n">
        <x:v>9370</x:v>
      </x:c>
      <x:c r="K1887" s="55" t="n">
        <x:v>187400000000</x:v>
      </x:c>
      <x:c r="L1887" s="55" t="n">
        <x:v>20000000</x:v>
      </x:c>
      <x:c r="M1887" t="str">
        <x:v>20230316001053</x:v>
      </x:c>
      <x:c r="N1887" t="n">
        <x:v>45001.624999988424</x:v>
      </x:c>
      <x:c r="O1887" s="54" t="n">
        <x:v>44926</x:v>
      </x:c>
      <x:c r="P1887" t="str">
        <x:v>False</x:v>
      </x:c>
      <x:c r="Q1887" t="str">
        <x:v>f6f53cbc5e755b70045095c5cd06f68b16c68540d3609c68bab92de4870f062f</x:v>
      </x:c>
      <x:c r="R1887" t="str">
        <x:v>40b84c17d0e1515ac32414a83e0f689da42513eab824b0ec81b4bde2f62b8829</x:v>
      </x:c>
      <x:c r="S1887" t="n">
        <x:v>5</x:v>
      </x:c>
      <x:c r="T1887" t="str">
        <x:v>2018-12-31|2019-12-31|2020-12-31|2021-12-31|2022-12-31</x:v>
      </x:c>
      <x:c r="U1887" s="57" t="n">
        <x:v>5661.292335764469</x:v>
      </x:c>
      <x:c r="V1887" s="57" t="n">
        <x:v>-0.3958065810283385</x:v>
      </x:c>
      <x:c r="W1887" t="n">
        <x:v>37</x:v>
      </x:c>
      <x:c r="X1887" t="n">
        <x:v>3</x:v>
      </x:c>
      <x:c r="Y1887" s="38" t="n">
        <x:v>0.6409090909090909</x:v>
      </x:c>
      <x:c r="Z1887" s="38" t="n">
        <x:v>0.556459738548656</x:v>
      </x:c>
      <x:c r="AA1887"/>
    </x:row>
    <x:row r="1888">
      <x:c r="A1888" s="54" t="n">
        <x:v>45016</x:v>
      </x:c>
      <x:c r="B1888" t="n">
        <x:v>45016.624999988424</x:v>
      </x:c>
      <x:c r="C1888" t="str">
        <x:v>028100</x:v>
      </x:c>
      <x:c r="D1888" t="str">
        <x:v>동아지질</x:v>
      </x:c>
      <x:c r="E1888" t="str">
        <x:v>KOSPI</x:v>
      </x:c>
      <x:c r="F1888" t="str">
        <x:v>MID</x:v>
      </x:c>
      <x:c r="G1888" t="str">
        <x:v>DCF_SCREENING_EXCLUSION</x:v>
      </x:c>
      <x:c r="H1888" t="str">
        <x:v>NON_POSITIVE_ENTERPRISE_VALUE|UNRELIABLE_TERMINAL_VALUE_SHARE</x:v>
      </x:c>
      <x:c r="I1888" s="54" t="n">
        <x:v>45016</x:v>
      </x:c>
      <x:c r="J1888" s="55" t="n">
        <x:v>12440</x:v>
      </x:c>
      <x:c r="K1888" s="55" t="n">
        <x:v>174814916240</x:v>
      </x:c>
      <x:c r="L1888" s="55" t="n">
        <x:v>14052646</x:v>
      </x:c>
      <x:c r="M1888" t="str">
        <x:v>20230320001020</x:v>
      </x:c>
      <x:c r="N1888" t="n">
        <x:v>45005.624999988424</x:v>
      </x:c>
      <x:c r="O1888" s="54" t="n">
        <x:v>44926</x:v>
      </x:c>
      <x:c r="P1888" t="str">
        <x:v>False</x:v>
      </x:c>
      <x:c r="Q1888" t="str">
        <x:v>6e65a0fcc2a189fcbec262b72a3f07926633a5c762d0eefd84569fab16aca765</x:v>
      </x:c>
      <x:c r="R1888" t="str">
        <x:v>d05ece4bde6ad05c2afcdf647b432d935396efd2a851de8022649169af90a3b1</x:v>
      </x:c>
      <x:c r="S1888" t="n">
        <x:v>7</x:v>
      </x:c>
      <x:c r="T1888" t="str">
        <x:v>2018-12-31|2019-12-31|2020-12-31|2021-12-31|2022-12-31</x:v>
      </x:c>
      <x:c r="U1888" s="57" t="n">
        <x:v>4342.027108793265</x:v>
      </x:c>
      <x:c r="V1888" s="57" t="n">
        <x:v>-0.6509624510616346</x:v>
      </x:c>
      <x:c r="W1888"/>
      <x:c r="X1888"/>
      <x:c r="Y1888" s="38" t="n">
        <x:v>0.6409090909090909</x:v>
      </x:c>
      <x:c r="Z1888" s="38" t="n">
        <x:v>-0.5251607053909674</x:v>
      </x:c>
      <x:c r="AA1888" t="str">
        <x:v>NON_POSITIVE_ENTERPRISE_VALUE|UNRELIABLE_TERMINAL_VALUE_SHARE</x:v>
      </x:c>
    </x:row>
    <x:row r="1889">
      <x:c r="A1889" s="54" t="n">
        <x:v>45016</x:v>
      </x:c>
      <x:c r="B1889" t="n">
        <x:v>45016.624999988424</x:v>
      </x:c>
      <x:c r="C1889" t="str">
        <x:v>001750</x:v>
      </x:c>
      <x:c r="D1889" t="str">
        <x:v>한양증권</x:v>
      </x:c>
      <x:c r="E1889" t="str">
        <x:v>KOSPI</x:v>
      </x:c>
      <x:c r="F1889" t="str">
        <x:v>MID</x:v>
      </x:c>
      <x:c r="G1889" t="str">
        <x:v>EXCLUDED_ARCHETYPE</x:v>
      </x:c>
      <x:c r="H1889" t="str">
        <x:v>FCFF_NOT_COMPARABLE_FOR_FINANCE_OR_HOLDING_HINT</x:v>
      </x:c>
      <x:c r="I1889" s="54"/>
      <x:c r="J1889" s="55"/>
      <x:c r="K1889" s="55"/>
      <x:c r="L1889" s="55"/>
      <x:c r="M1889"/>
      <x:c r="N1889"/>
      <x:c r="O1889" s="54"/>
      <x:c r="P1889"/>
      <x:c r="Q1889"/>
      <x:c r="R1889"/>
      <x:c r="S1889"/>
      <x:c r="T1889"/>
      <x:c r="U1889" s="57"/>
      <x:c r="V1889" s="57"/>
      <x:c r="W1889"/>
      <x:c r="X1889"/>
      <x:c r="Y1889" s="38"/>
      <x:c r="Z1889" s="38"/>
      <x:c r="AA1889"/>
    </x:row>
    <x:row r="1890">
      <x:c r="A1890" s="54" t="n">
        <x:v>45016</x:v>
      </x:c>
      <x:c r="B1890" t="n">
        <x:v>45016.624999988424</x:v>
      </x:c>
      <x:c r="C1890" t="str">
        <x:v>102460</x:v>
      </x:c>
      <x:c r="D1890" t="str">
        <x:v>이연제약</x:v>
      </x:c>
      <x:c r="E1890" t="str">
        <x:v>KOSPI</x:v>
      </x:c>
      <x:c r="F1890" t="str">
        <x:v>MID</x:v>
      </x:c>
      <x:c r="G1890" t="str">
        <x:v>ELIGIBLE</x:v>
      </x:c>
      <x:c r="H1890"/>
      <x:c r="I1890" s="54" t="n">
        <x:v>45016</x:v>
      </x:c>
      <x:c r="J1890" s="55" t="n">
        <x:v>17930</x:v>
      </x:c>
      <x:c r="K1890" s="55" t="n">
        <x:v>322714485610</x:v>
      </x:c>
      <x:c r="L1890" s="55" t="n">
        <x:v>17998577</x:v>
      </x:c>
      <x:c r="M1890" t="str">
        <x:v>20230323001335</x:v>
      </x:c>
      <x:c r="N1890" t="n">
        <x:v>45008.624999988424</x:v>
      </x:c>
      <x:c r="O1890" s="54" t="n">
        <x:v>44926</x:v>
      </x:c>
      <x:c r="P1890" t="str">
        <x:v>False</x:v>
      </x:c>
      <x:c r="Q1890" t="str">
        <x:v>61a1387cb297808c9d3141c45d4550f4c28659bb02db2066736810a3b83a60bb</x:v>
      </x:c>
      <x:c r="R1890" t="str">
        <x:v>b63896e76489cae32b5212b326b1267152a737bc0690e097b2df269e0abd93ba</x:v>
      </x:c>
      <x:c r="S1890" t="n">
        <x:v>4</x:v>
      </x:c>
      <x:c r="T1890" t="str">
        <x:v>2018-12-31|2019-12-31|2020-12-31|2021-12-31|2022-12-31</x:v>
      </x:c>
      <x:c r="U1890" s="57" t="n">
        <x:v>2584.7541315542067</x:v>
      </x:c>
      <x:c r="V1890" s="57" t="n">
        <x:v>-0.8558419335441045</x:v>
      </x:c>
      <x:c r="W1890" t="n">
        <x:v>65</x:v>
      </x:c>
      <x:c r="X1890" t="n">
        <x:v>5</x:v>
      </x:c>
      <x:c r="Y1890" s="38" t="n">
        <x:v>0.6409090909090909</x:v>
      </x:c>
      <x:c r="Z1890" s="38" t="n">
        <x:v>0.5571094878374717</x:v>
      </x:c>
      <x:c r="AA1890"/>
    </x:row>
    <x:row r="1891">
      <x:c r="A1891" s="54" t="n">
        <x:v>45016</x:v>
      </x:c>
      <x:c r="B1891" t="n">
        <x:v>45016.624999988424</x:v>
      </x:c>
      <x:c r="C1891" t="str">
        <x:v>053690</x:v>
      </x:c>
      <x:c r="D1891" t="str">
        <x:v>한미글로벌</x:v>
      </x:c>
      <x:c r="E1891" t="str">
        <x:v>KOSPI</x:v>
      </x:c>
      <x:c r="F1891" t="str">
        <x:v>MID</x:v>
      </x:c>
      <x:c r="G1891" t="str">
        <x:v>ELIGIBLE</x:v>
      </x:c>
      <x:c r="H1891"/>
      <x:c r="I1891" s="54" t="n">
        <x:v>45016</x:v>
      </x:c>
      <x:c r="J1891" s="55" t="n">
        <x:v>26400</x:v>
      </x:c>
      <x:c r="K1891" s="55" t="n">
        <x:v>289279320000</x:v>
      </x:c>
      <x:c r="L1891" s="55" t="n">
        <x:v>10957550</x:v>
      </x:c>
      <x:c r="M1891" t="str">
        <x:v>20230316001135</x:v>
      </x:c>
      <x:c r="N1891" t="n">
        <x:v>45001.624999988424</x:v>
      </x:c>
      <x:c r="O1891" s="54" t="n">
        <x:v>44926</x:v>
      </x:c>
      <x:c r="P1891" t="str">
        <x:v>False</x:v>
      </x:c>
      <x:c r="Q1891" t="str">
        <x:v>8a1d81ce5d798ee907ad59ea4b72e7aa15cbc5d6b3d4060a72883648f6cf66fe</x:v>
      </x:c>
      <x:c r="R1891" t="str">
        <x:v>67ed112098f1faf397ccc8a2ad4edb937e42e1db14b8de6cbea2080f1d2e816f</x:v>
      </x:c>
      <x:c r="S1891" t="n">
        <x:v>6</x:v>
      </x:c>
      <x:c r="T1891" t="str">
        <x:v>2018-12-31|2019-12-31|2020-12-31|2021-12-31|2022-12-31</x:v>
      </x:c>
      <x:c r="U1891" s="57" t="n">
        <x:v>27771.42853009523</x:v>
      </x:c>
      <x:c r="V1891" s="57" t="n">
        <x:v>0.05194805038239504</x:v>
      </x:c>
      <x:c r="W1891" t="n">
        <x:v>25</x:v>
      </x:c>
      <x:c r="X1891" t="n">
        <x:v>2</x:v>
      </x:c>
      <x:c r="Y1891" s="38" t="n">
        <x:v>0.6409090909090909</x:v>
      </x:c>
      <x:c r="Z1891" s="38" t="n">
        <x:v>0.6748613228024413</x:v>
      </x:c>
      <x:c r="AA1891"/>
    </x:row>
    <x:row r="1892">
      <x:c r="A1892" s="54" t="n">
        <x:v>45016</x:v>
      </x:c>
      <x:c r="B1892" t="n">
        <x:v>45016.624999988424</x:v>
      </x:c>
      <x:c r="C1892" t="str">
        <x:v>213500</x:v>
      </x:c>
      <x:c r="D1892" t="str">
        <x:v>한솔제지</x:v>
      </x:c>
      <x:c r="E1892" t="str">
        <x:v>KOSPI</x:v>
      </x:c>
      <x:c r="F1892" t="str">
        <x:v>MID</x:v>
      </x:c>
      <x:c r="G1892" t="str">
        <x:v>ELIGIBLE</x:v>
      </x:c>
      <x:c r="H1892"/>
      <x:c r="I1892" s="54" t="n">
        <x:v>45016</x:v>
      </x:c>
      <x:c r="J1892" s="55" t="n">
        <x:v>11770</x:v>
      </x:c>
      <x:c r="K1892" s="55" t="n">
        <x:v>280132779520</x:v>
      </x:c>
      <x:c r="L1892" s="55" t="n">
        <x:v>23800576</x:v>
      </x:c>
      <x:c r="M1892" t="str">
        <x:v>20230314001205</x:v>
      </x:c>
      <x:c r="N1892" t="n">
        <x:v>44999.624999988424</x:v>
      </x:c>
      <x:c r="O1892" s="54" t="n">
        <x:v>44926</x:v>
      </x:c>
      <x:c r="P1892" t="str">
        <x:v>False</x:v>
      </x:c>
      <x:c r="Q1892" t="str">
        <x:v>a50c047ba7dfd21d7c902f99c4c38cf444b0d46f22f882fca2024b3b4244c3f0</x:v>
      </x:c>
      <x:c r="R1892" t="str">
        <x:v>dd9ffddb2f871f8b927f0c1c41f6ef438a6142cc850c5a2c80d50f686e3d941d</x:v>
      </x:c>
      <x:c r="S1892" t="n">
        <x:v>6</x:v>
      </x:c>
      <x:c r="T1892" t="str">
        <x:v>2018-12-31|2019-12-31|2020-12-31|2021-12-31|2022-12-31</x:v>
      </x:c>
      <x:c r="U1892" s="57" t="n">
        <x:v>17157.835892810886</x:v>
      </x:c>
      <x:c r="V1892" s="57" t="n">
        <x:v>0.4577600588624372</x:v>
      </x:c>
      <x:c r="W1892" t="n">
        <x:v>15</x:v>
      </x:c>
      <x:c r="X1892" t="n">
        <x:v>2</x:v>
      </x:c>
      <x:c r="Y1892" s="38" t="n">
        <x:v>0.6409090909090909</x:v>
      </x:c>
      <x:c r="Z1892" s="38" t="n">
        <x:v>0.7470788974033864</x:v>
      </x:c>
      <x:c r="AA1892"/>
    </x:row>
    <x:row r="1893">
      <x:c r="A1893" s="54" t="n">
        <x:v>45016</x:v>
      </x:c>
      <x:c r="B1893" t="n">
        <x:v>45016.624999988424</x:v>
      </x:c>
      <x:c r="C1893" t="str">
        <x:v>005430</x:v>
      </x:c>
      <x:c r="D1893" t="str">
        <x:v>한국공항</x:v>
      </x:c>
      <x:c r="E1893" t="str">
        <x:v>KOSPI</x:v>
      </x:c>
      <x:c r="F1893" t="str">
        <x:v>MID</x:v>
      </x:c>
      <x:c r="G1893" t="str">
        <x:v>ELIGIBLE</x:v>
      </x:c>
      <x:c r="H1893"/>
      <x:c r="I1893" s="54" t="n">
        <x:v>45016</x:v>
      </x:c>
      <x:c r="J1893" s="55" t="n">
        <x:v>41000</x:v>
      </x:c>
      <x:c r="K1893" s="55" t="n">
        <x:v>129820555000</x:v>
      </x:c>
      <x:c r="L1893" s="55" t="n">
        <x:v>3166355</x:v>
      </x:c>
      <x:c r="M1893" t="str">
        <x:v>20230314001107</x:v>
      </x:c>
      <x:c r="N1893" t="n">
        <x:v>44999.624999988424</x:v>
      </x:c>
      <x:c r="O1893" s="54" t="n">
        <x:v>44926</x:v>
      </x:c>
      <x:c r="P1893" t="str">
        <x:v>False</x:v>
      </x:c>
      <x:c r="Q1893" t="str">
        <x:v>7e72a94f54fe1628153cab3ed308f8d08fae1827ce09290b8a6dd620486ffafc</x:v>
      </x:c>
      <x:c r="R1893" t="str">
        <x:v>5f89e7cc3af26ccf5b7a51e6bbf343c2dbcb329d3112199a3d85c127a1ec734e</x:v>
      </x:c>
      <x:c r="S1893" t="n">
        <x:v>7</x:v>
      </x:c>
      <x:c r="T1893" t="str">
        <x:v>2018-12-31|2019-12-31|2020-12-31|2021-12-31|2022-12-31</x:v>
      </x:c>
      <x:c r="U1893" s="57" t="n">
        <x:v>23902.01168093522</x:v>
      </x:c>
      <x:c r="V1893" s="57" t="n">
        <x:v>-0.41702410534304346</x:v>
      </x:c>
      <x:c r="W1893" t="n">
        <x:v>39</x:v>
      </x:c>
      <x:c r="X1893" t="n">
        <x:v>3</x:v>
      </x:c>
      <x:c r="Y1893" s="38" t="n">
        <x:v>0.6409090909090909</x:v>
      </x:c>
      <x:c r="Z1893" s="38" t="n">
        <x:v>0.6772841438809504</x:v>
      </x:c>
      <x:c r="AA1893"/>
    </x:row>
    <x:row r="1894">
      <x:c r="A1894" s="54" t="n">
        <x:v>45016</x:v>
      </x:c>
      <x:c r="B1894" t="n">
        <x:v>45016.624999988424</x:v>
      </x:c>
      <x:c r="C1894" t="str">
        <x:v>003460</x:v>
      </x:c>
      <x:c r="D1894" t="str">
        <x:v>유화증권</x:v>
      </x:c>
      <x:c r="E1894" t="str">
        <x:v>KOSPI</x:v>
      </x:c>
      <x:c r="F1894" t="str">
        <x:v>MID</x:v>
      </x:c>
      <x:c r="G1894" t="str">
        <x:v>EXCLUDED_ARCHETYPE</x:v>
      </x:c>
      <x:c r="H1894" t="str">
        <x:v>FCFF_NOT_COMPARABLE_FOR_FINANCE_OR_HOLDING_HINT</x:v>
      </x:c>
      <x:c r="I1894" s="54"/>
      <x:c r="J1894" s="55"/>
      <x:c r="K1894" s="55"/>
      <x:c r="L1894" s="55"/>
      <x:c r="M1894"/>
      <x:c r="N1894"/>
      <x:c r="O1894" s="54"/>
      <x:c r="P1894"/>
      <x:c r="Q1894"/>
      <x:c r="R1894"/>
      <x:c r="S1894"/>
      <x:c r="T1894"/>
      <x:c r="U1894" s="57"/>
      <x:c r="V1894" s="57"/>
      <x:c r="W1894"/>
      <x:c r="X1894"/>
      <x:c r="Y1894" s="38"/>
      <x:c r="Z1894" s="38"/>
      <x:c r="AA1894"/>
    </x:row>
    <x:row r="1895">
      <x:c r="A1895" s="54" t="n">
        <x:v>45016</x:v>
      </x:c>
      <x:c r="B1895" t="n">
        <x:v>45016.624999988424</x:v>
      </x:c>
      <x:c r="C1895" t="str">
        <x:v>004140</x:v>
      </x:c>
      <x:c r="D1895" t="str">
        <x:v>동방</x:v>
      </x:c>
      <x:c r="E1895" t="str">
        <x:v>KOSPI</x:v>
      </x:c>
      <x:c r="F1895" t="str">
        <x:v>MID</x:v>
      </x:c>
      <x:c r="G1895" t="str">
        <x:v>DCF_SCREENING_EXCLUSION</x:v>
      </x:c>
      <x:c r="H1895" t="str">
        <x:v>NON_POSITIVE_ENTERPRISE_VALUE|NON_POSITIVE_EQUITY_VALUE|NON_POSITIVE_TERMINAL_FCF|UNRELIABLE_TERMINAL_VALUE_SHARE</x:v>
      </x:c>
      <x:c r="I1895" s="54" t="n">
        <x:v>45016</x:v>
      </x:c>
      <x:c r="J1895" s="55" t="n">
        <x:v>2420</x:v>
      </x:c>
      <x:c r="K1895" s="55" t="n">
        <x:v>116091673720</x:v>
      </x:c>
      <x:c r="L1895" s="55" t="n">
        <x:v>47971766</x:v>
      </x:c>
      <x:c r="M1895" t="str">
        <x:v>20230323001509</x:v>
      </x:c>
      <x:c r="N1895" t="n">
        <x:v>45008.624999988424</x:v>
      </x:c>
      <x:c r="O1895" s="54" t="n">
        <x:v>44926</x:v>
      </x:c>
      <x:c r="P1895" t="str">
        <x:v>False</x:v>
      </x:c>
      <x:c r="Q1895" t="str">
        <x:v>e186b2712d7c1b08c3556170f49756edd04a784aed5c14672578a652817c6ce4</x:v>
      </x:c>
      <x:c r="R1895" t="str">
        <x:v>90cde25da68280288819811ba20727aa93cf69fef754d5d1b246a20e2e78738a</x:v>
      </x:c>
      <x:c r="S1895" t="n">
        <x:v>7</x:v>
      </x:c>
      <x:c r="T1895" t="str">
        <x:v>2013-12-31|2014-12-31|2015-12-31|2016-12-31|2018-12-31|2019-12-31|2020-12-31|2021-12-31|2022-12-31</x:v>
      </x:c>
      <x:c r="U1895" s="57" t="n">
        <x:v>-2135.56968712535</x:v>
      </x:c>
      <x:c r="V1895" s="57" t="n">
        <x:v>-1.8824668128617148</x:v>
      </x:c>
      <x:c r="W1895"/>
      <x:c r="X1895"/>
      <x:c r="Y1895" s="38" t="n">
        <x:v>0.6409090909090909</x:v>
      </x:c>
      <x:c r="Z1895" s="38" t="n">
        <x:v>2.078775280915033</x:v>
      </x:c>
      <x:c r="AA1895" t="str">
        <x:v>NON_POSITIVE_ENTERPRISE_VALUE|NON_POSITIVE_EQUITY_VALUE|NON_POSITIVE_TERMINAL_FCF|UNRELIABLE_TERMINAL_VALUE_SHARE</x:v>
      </x:c>
    </x:row>
    <x:row r="1896">
      <x:c r="A1896" s="54" t="n">
        <x:v>45016</x:v>
      </x:c>
      <x:c r="B1896" t="n">
        <x:v>45016.624999988424</x:v>
      </x:c>
      <x:c r="C1896" t="str">
        <x:v>317400</x:v>
      </x:c>
      <x:c r="D1896" t="str">
        <x:v>자이에스앤디</x:v>
      </x:c>
      <x:c r="E1896" t="str">
        <x:v>KOSPI</x:v>
      </x:c>
      <x:c r="F1896" t="str">
        <x:v>MID</x:v>
      </x:c>
      <x:c r="G1896" t="str">
        <x:v>ELIGIBLE</x:v>
      </x:c>
      <x:c r="H1896"/>
      <x:c r="I1896" s="54" t="n">
        <x:v>45016</x:v>
      </x:c>
      <x:c r="J1896" s="55" t="n">
        <x:v>6430</x:v>
      </x:c>
      <x:c r="K1896" s="55" t="n">
        <x:v>249371603600</x:v>
      </x:c>
      <x:c r="L1896" s="55" t="n">
        <x:v>38782520</x:v>
      </x:c>
      <x:c r="M1896" t="str">
        <x:v>20230316001505</x:v>
      </x:c>
      <x:c r="N1896" t="n">
        <x:v>45001.624999988424</x:v>
      </x:c>
      <x:c r="O1896" s="54" t="n">
        <x:v>44926</x:v>
      </x:c>
      <x:c r="P1896" t="str">
        <x:v>False</x:v>
      </x:c>
      <x:c r="Q1896" t="str">
        <x:v>a470869241e1d3695b58c7009b8152843867abd28e60f5a391a7828401af0ca4</x:v>
      </x:c>
      <x:c r="R1896" t="str">
        <x:v>422a765174de97eb5087ea3cbc0f681dbfe35dd0f8e28cfc312efb16d8e263fc</x:v>
      </x:c>
      <x:c r="S1896" t="n">
        <x:v>6</x:v>
      </x:c>
      <x:c r="T1896" t="str">
        <x:v>2019-12-31|2020-12-31|2021-12-31|2022-12-31</x:v>
      </x:c>
      <x:c r="U1896" s="57" t="n">
        <x:v>51417.61894696431</x:v>
      </x:c>
      <x:c r="V1896" s="57" t="n">
        <x:v>6.996519276355258</x:v>
      </x:c>
      <x:c r="W1896" t="n">
        <x:v>2</x:v>
      </x:c>
      <x:c r="X1896" t="n">
        <x:v>1</x:v>
      </x:c>
      <x:c r="Y1896" s="38" t="n">
        <x:v>0.6409090909090909</x:v>
      </x:c>
      <x:c r="Z1896" s="38" t="n">
        <x:v>0.7270850964725074</x:v>
      </x:c>
      <x:c r="AA1896"/>
    </x:row>
    <x:row r="1897">
      <x:c r="A1897" s="54" t="n">
        <x:v>45016</x:v>
      </x:c>
      <x:c r="B1897" t="n">
        <x:v>45016.624999988424</x:v>
      </x:c>
      <x:c r="C1897" t="str">
        <x:v>077500</x:v>
      </x:c>
      <x:c r="D1897" t="str">
        <x:v>유니퀘스트</x:v>
      </x:c>
      <x:c r="E1897" t="str">
        <x:v>KOSPI</x:v>
      </x:c>
      <x:c r="F1897" t="str">
        <x:v>MID</x:v>
      </x:c>
      <x:c r="G1897" t="str">
        <x:v>ELIGIBLE</x:v>
      </x:c>
      <x:c r="H1897"/>
      <x:c r="I1897" s="54" t="n">
        <x:v>45016</x:v>
      </x:c>
      <x:c r="J1897" s="55" t="n">
        <x:v>11690</x:v>
      </x:c>
      <x:c r="K1897" s="55" t="n">
        <x:v>319791347750</x:v>
      </x:c>
      <x:c r="L1897" s="55" t="n">
        <x:v>27355975</x:v>
      </x:c>
      <x:c r="M1897" t="str">
        <x:v>20230323001413</x:v>
      </x:c>
      <x:c r="N1897" t="n">
        <x:v>45008.624999988424</x:v>
      </x:c>
      <x:c r="O1897" s="54" t="n">
        <x:v>44926</x:v>
      </x:c>
      <x:c r="P1897" t="str">
        <x:v>False</x:v>
      </x:c>
      <x:c r="Q1897" t="str">
        <x:v>3761b5b0678b0666017399c48956a02c3a6784143d060aeac355c1c247fc6994</x:v>
      </x:c>
      <x:c r="R1897" t="str">
        <x:v>6759ca705081069bc9e4d839024d708f82a3addadcec712cb5b36b2b8beec42e</x:v>
      </x:c>
      <x:c r="S1897" t="n">
        <x:v>6</x:v>
      </x:c>
      <x:c r="T1897" t="str">
        <x:v>2011-12-31|2012-12-31|2013-12-31|2014-12-31|2015-12-31|2016-12-31|2017-12-31|2018-12-31|2019-12-31|2020-12-31|2021-12-31|2022-12-31</x:v>
      </x:c>
      <x:c r="U1897" s="57" t="n">
        <x:v>6732.479598985089</x:v>
      </x:c>
      <x:c r="V1897" s="57" t="n">
        <x:v>-0.42408215577544145</x:v>
      </x:c>
      <x:c r="W1897" t="n">
        <x:v>40</x:v>
      </x:c>
      <x:c r="X1897" t="n">
        <x:v>3</x:v>
      </x:c>
      <x:c r="Y1897" s="38" t="n">
        <x:v>0.6409090909090909</x:v>
      </x:c>
      <x:c r="Z1897" s="38" t="n">
        <x:v>0.6090445049107983</x:v>
      </x:c>
      <x:c r="AA1897"/>
    </x:row>
    <x:row r="1898">
      <x:c r="A1898" s="54" t="n">
        <x:v>45016</x:v>
      </x:c>
      <x:c r="B1898" t="n">
        <x:v>45016.624999988424</x:v>
      </x:c>
      <x:c r="C1898" t="str">
        <x:v>012800</x:v>
      </x:c>
      <x:c r="D1898" t="str">
        <x:v>대창</x:v>
      </x:c>
      <x:c r="E1898" t="str">
        <x:v>KOSPI</x:v>
      </x:c>
      <x:c r="F1898" t="str">
        <x:v>MID</x:v>
      </x:c>
      <x:c r="G1898" t="str">
        <x:v>DCF_SCREENING_EXCLUSION</x:v>
      </x:c>
      <x:c r="H1898" t="str">
        <x:v>NON_POSITIVE_EQUITY_VALUE</x:v>
      </x:c>
      <x:c r="I1898" s="54" t="n">
        <x:v>45016</x:v>
      </x:c>
      <x:c r="J1898" s="55" t="n">
        <x:v>1248</x:v>
      </x:c>
      <x:c r="K1898" s="55" t="n">
        <x:v>113743342752</x:v>
      </x:c>
      <x:c r="L1898" s="55" t="n">
        <x:v>91140499</x:v>
      </x:c>
      <x:c r="M1898" t="str">
        <x:v>20230321001144</x:v>
      </x:c>
      <x:c r="N1898" t="n">
        <x:v>45006.624999988424</x:v>
      </x:c>
      <x:c r="O1898" s="54" t="n">
        <x:v>44926</x:v>
      </x:c>
      <x:c r="P1898" t="str">
        <x:v>False</x:v>
      </x:c>
      <x:c r="Q1898" t="str">
        <x:v>14ce9aacc52382aecaaf7a194b3a1d1f6c7f31cc0dc71373f73354f107367c3b</x:v>
      </x:c>
      <x:c r="R1898" t="str">
        <x:v>290109a872b708495432f48fbbbcfedc2b0dc92d11db17ac1f46d61cfa8c2806</x:v>
      </x:c>
      <x:c r="S1898" t="n">
        <x:v>6</x:v>
      </x:c>
      <x:c r="T1898" t="str">
        <x:v>2018-12-31|2019-12-31|2020-12-31|2021-12-31|2022-12-31</x:v>
      </x:c>
      <x:c r="U1898" s="57" t="n">
        <x:v>-975.2321422402201</x:v>
      </x:c>
      <x:c r="V1898" s="57" t="n">
        <x:v>-1.7814360114104328</x:v>
      </x:c>
      <x:c r="W1898"/>
      <x:c r="X1898"/>
      <x:c r="Y1898" s="38" t="n">
        <x:v>0.6409090909090909</x:v>
      </x:c>
      <x:c r="Z1898" s="38" t="n">
        <x:v>0.8488956221932996</x:v>
      </x:c>
      <x:c r="AA1898" t="str">
        <x:v>NON_POSITIVE_EQUITY_VALUE</x:v>
      </x:c>
    </x:row>
    <x:row r="1899">
      <x:c r="A1899" s="54" t="n">
        <x:v>45016</x:v>
      </x:c>
      <x:c r="B1899" t="n">
        <x:v>45016.624999988424</x:v>
      </x:c>
      <x:c r="C1899" t="str">
        <x:v>063160</x:v>
      </x:c>
      <x:c r="D1899" t="str">
        <x:v>종근당바이오</x:v>
      </x:c>
      <x:c r="E1899" t="str">
        <x:v>KOSPI</x:v>
      </x:c>
      <x:c r="F1899" t="str">
        <x:v>MID</x:v>
      </x:c>
      <x:c r="G1899" t="str">
        <x:v>DCF_SCREENING_EXCLUSION</x:v>
      </x:c>
      <x:c r="H1899" t="str">
        <x:v>NON_POSITIVE_ENTERPRISE_VALUE|NON_POSITIVE_EQUITY_VALUE|NON_POSITIVE_TERMINAL_FCF</x:v>
      </x:c>
      <x:c r="I1899" s="54" t="n">
        <x:v>45016</x:v>
      </x:c>
      <x:c r="J1899" s="55" t="n">
        <x:v>24950</x:v>
      </x:c>
      <x:c r="K1899" s="55" t="n">
        <x:v>136874751900</x:v>
      </x:c>
      <x:c r="L1899" s="55" t="n">
        <x:v>5485962</x:v>
      </x:c>
      <x:c r="M1899" t="str">
        <x:v>20230314000316</x:v>
      </x:c>
      <x:c r="N1899" t="n">
        <x:v>44999.624999988424</x:v>
      </x:c>
      <x:c r="O1899" s="54" t="n">
        <x:v>44926</x:v>
      </x:c>
      <x:c r="P1899" t="str">
        <x:v>False</x:v>
      </x:c>
      <x:c r="Q1899" t="str">
        <x:v>66325b8d872636b293e0f8b2a0e97daecaf4a8313c7cfa3de870a6cdf6d09cbc</x:v>
      </x:c>
      <x:c r="R1899" t="str">
        <x:v>1bf389ec5dde5bba1a177b27cc7d293fa5900131fbde3f439202d4b529b82815</x:v>
      </x:c>
      <x:c r="S1899" t="n">
        <x:v>6</x:v>
      </x:c>
      <x:c r="T1899" t="str">
        <x:v>2018-12-31|2019-12-31|2020-12-31|2021-12-31|2022-12-31</x:v>
      </x:c>
      <x:c r="U1899" s="57" t="n">
        <x:v>-22583.012002133524</x:v>
      </x:c>
      <x:c r="V1899" s="57" t="n">
        <x:v>-1.905130741568478</x:v>
      </x:c>
      <x:c r="W1899"/>
      <x:c r="X1899"/>
      <x:c r="Y1899" s="38" t="n">
        <x:v>0.6409090909090909</x:v>
      </x:c>
      <x:c r="Z1899" s="38" t="n">
        <x:v>0.16792377152461097</x:v>
      </x:c>
      <x:c r="AA1899" t="str">
        <x:v>NON_POSITIVE_ENTERPRISE_VALUE|NON_POSITIVE_EQUITY_VALUE|NON_POSITIVE_TERMINAL_FCF</x:v>
      </x:c>
    </x:row>
    <x:row r="1900">
      <x:c r="A1900" s="54" t="n">
        <x:v>45016</x:v>
      </x:c>
      <x:c r="B1900" t="n">
        <x:v>45016.624999988424</x:v>
      </x:c>
      <x:c r="C1900" t="str">
        <x:v>013570</x:v>
      </x:c>
      <x:c r="D1900" t="str">
        <x:v>디와이</x:v>
      </x:c>
      <x:c r="E1900" t="str">
        <x:v>KOSPI</x:v>
      </x:c>
      <x:c r="F1900" t="str">
        <x:v>MID</x:v>
      </x:c>
      <x:c r="G1900" t="str">
        <x:v>ELIGIBLE</x:v>
      </x:c>
      <x:c r="H1900"/>
      <x:c r="I1900" s="54" t="n">
        <x:v>45016</x:v>
      </x:c>
      <x:c r="J1900" s="55" t="n">
        <x:v>6270</x:v>
      </x:c>
      <x:c r="K1900" s="55" t="n">
        <x:v>165024098910</x:v>
      </x:c>
      <x:c r="L1900" s="55" t="n">
        <x:v>26319633</x:v>
      </x:c>
      <x:c r="M1900" t="str">
        <x:v>20230315001400</x:v>
      </x:c>
      <x:c r="N1900" t="n">
        <x:v>45000.624999988424</x:v>
      </x:c>
      <x:c r="O1900" s="54" t="n">
        <x:v>44926</x:v>
      </x:c>
      <x:c r="P1900" t="str">
        <x:v>False</x:v>
      </x:c>
      <x:c r="Q1900" t="str">
        <x:v>865364d66fb039806408dde3fbeec053144f3de8cfd524fef6f9e085cdbe1ae2</x:v>
      </x:c>
      <x:c r="R1900" t="str">
        <x:v>cbd956d98e43133b4d0fcf64fbc7e1df57876bea4a6c48bb5e05c59325213fbe</x:v>
      </x:c>
      <x:c r="S1900" t="n">
        <x:v>6</x:v>
      </x:c>
      <x:c r="T1900" t="str">
        <x:v>2018-12-31|2019-12-31|2020-12-31|2021-12-31|2022-12-31</x:v>
      </x:c>
      <x:c r="U1900" s="57" t="n">
        <x:v>9073.022857441467</x:v>
      </x:c>
      <x:c r="V1900" s="57" t="n">
        <x:v>0.44705308731123866</x:v>
      </x:c>
      <x:c r="W1900" t="n">
        <x:v>16</x:v>
      </x:c>
      <x:c r="X1900" t="n">
        <x:v>2</x:v>
      </x:c>
      <x:c r="Y1900" s="38" t="n">
        <x:v>0.6409090909090909</x:v>
      </x:c>
      <x:c r="Z1900" s="38" t="n">
        <x:v>0.7856628812893495</x:v>
      </x:c>
      <x:c r="AA1900"/>
    </x:row>
    <x:row r="1901">
      <x:c r="A1901" s="54" t="n">
        <x:v>45016</x:v>
      </x:c>
      <x:c r="B1901" t="n">
        <x:v>45016.624999988424</x:v>
      </x:c>
      <x:c r="C1901" t="str">
        <x:v>227840</x:v>
      </x:c>
      <x:c r="D1901" t="str">
        <x:v>현대코퍼레이션홀딩스</x:v>
      </x:c>
      <x:c r="E1901" t="str">
        <x:v>KOSPI</x:v>
      </x:c>
      <x:c r="F1901" t="str">
        <x:v>MID</x:v>
      </x:c>
      <x:c r="G1901" t="str">
        <x:v>EXCLUDED_ARCHETYPE</x:v>
      </x:c>
      <x:c r="H1901" t="str">
        <x:v>FCFF_NOT_COMPARABLE_FOR_FINANCE_OR_HOLDING_HINT</x:v>
      </x:c>
      <x:c r="I1901" s="54"/>
      <x:c r="J1901" s="55"/>
      <x:c r="K1901" s="55"/>
      <x:c r="L1901" s="55"/>
      <x:c r="M1901"/>
      <x:c r="N1901"/>
      <x:c r="O1901" s="54"/>
      <x:c r="P1901"/>
      <x:c r="Q1901"/>
      <x:c r="R1901"/>
      <x:c r="S1901"/>
      <x:c r="T1901"/>
      <x:c r="U1901" s="57"/>
      <x:c r="V1901" s="57"/>
      <x:c r="W1901"/>
      <x:c r="X1901"/>
      <x:c r="Y1901" s="38"/>
      <x:c r="Z1901" s="38"/>
      <x:c r="AA1901"/>
    </x:row>
    <x:row r="1902">
      <x:c r="A1902" s="54" t="n">
        <x:v>45016</x:v>
      </x:c>
      <x:c r="B1902" t="n">
        <x:v>45016.624999988424</x:v>
      </x:c>
      <x:c r="C1902" t="str">
        <x:v>247540</x:v>
      </x:c>
      <x:c r="D1902" t="str">
        <x:v>에코프로비엠</x:v>
      </x:c>
      <x:c r="E1902" t="str">
        <x:v>KOSDAQ</x:v>
      </x:c>
      <x:c r="F1902" t="str">
        <x:v>LARGE</x:v>
      </x:c>
      <x:c r="G1902" t="str">
        <x:v>ELIGIBLE</x:v>
      </x:c>
      <x:c r="H1902"/>
      <x:c r="I1902" s="54" t="n">
        <x:v>45016</x:v>
      </x:c>
      <x:c r="J1902" s="55" t="n">
        <x:v>224500</x:v>
      </x:c>
      <x:c r="K1902" s="55" t="n">
        <x:v>21956401728000</x:v>
      </x:c>
      <x:c r="L1902" s="55" t="n">
        <x:v>97801344</x:v>
      </x:c>
      <x:c r="M1902" t="str">
        <x:v>20230321001436</x:v>
      </x:c>
      <x:c r="N1902" t="n">
        <x:v>45006.624999988424</x:v>
      </x:c>
      <x:c r="O1902" s="54" t="n">
        <x:v>44926</x:v>
      </x:c>
      <x:c r="P1902" t="str">
        <x:v>False</x:v>
      </x:c>
      <x:c r="Q1902" t="str">
        <x:v>22a057b9b068170602e9e6baa55a77f766db50edbd138b4850cc07aa625e3694</x:v>
      </x:c>
      <x:c r="R1902" t="str">
        <x:v>d1a6b1539ae09067f39b7ea706381d7b1279f0adfcf22990e9b9ece1ca7a4dfe</x:v>
      </x:c>
      <x:c r="S1902" t="n">
        <x:v>5</x:v>
      </x:c>
      <x:c r="T1902" t="str">
        <x:v>2018-12-31|2019-12-31|2020-12-31|2021-12-31|2022-12-31</x:v>
      </x:c>
      <x:c r="U1902" s="57" t="n">
        <x:v>4896.710898961431</x:v>
      </x:c>
      <x:c r="V1902" s="57" t="n">
        <x:v>-0.9781883701605282</x:v>
      </x:c>
      <x:c r="W1902" t="n">
        <x:v>69</x:v>
      </x:c>
      <x:c r="X1902" t="n">
        <x:v>5</x:v>
      </x:c>
      <x:c r="Y1902" s="38" t="n">
        <x:v>0.6409090909090909</x:v>
      </x:c>
      <x:c r="Z1902" s="38" t="n">
        <x:v>0.7476188571473295</x:v>
      </x:c>
      <x:c r="AA1902"/>
    </x:row>
    <x:row r="1903">
      <x:c r="A1903" s="54" t="n">
        <x:v>45016</x:v>
      </x:c>
      <x:c r="B1903" t="n">
        <x:v>45016.624999988424</x:v>
      </x:c>
      <x:c r="C1903" t="str">
        <x:v>086520</x:v>
      </x:c>
      <x:c r="D1903" t="str">
        <x:v>에코프로</x:v>
      </x:c>
      <x:c r="E1903" t="str">
        <x:v>KOSDAQ</x:v>
      </x:c>
      <x:c r="F1903" t="str">
        <x:v>LARGE</x:v>
      </x:c>
      <x:c r="G1903" t="str">
        <x:v>ELIGIBLE</x:v>
      </x:c>
      <x:c r="H1903"/>
      <x:c r="I1903" s="54" t="n">
        <x:v>45016</x:v>
      </x:c>
      <x:c r="J1903" s="55" t="n">
        <x:v>498500</x:v>
      </x:c>
      <x:c r="K1903" s="55" t="n">
        <x:v>12860270099000</x:v>
      </x:c>
      <x:c r="L1903" s="55" t="n">
        <x:v>25797934</x:v>
      </x:c>
      <x:c r="M1903" t="str">
        <x:v>20230322001113</x:v>
      </x:c>
      <x:c r="N1903" t="n">
        <x:v>45007.624999988424</x:v>
      </x:c>
      <x:c r="O1903" s="54" t="n">
        <x:v>44926</x:v>
      </x:c>
      <x:c r="P1903" t="str">
        <x:v>False</x:v>
      </x:c>
      <x:c r="Q1903" t="str">
        <x:v>d5ca0cf44d61c76d9b6bab2b826b979e9a59e209be138b6baca1b16651adc0d2</x:v>
      </x:c>
      <x:c r="R1903" t="str">
        <x:v>d5ed80d4185417e74758aa37a2b38b9078553f7876fa22a2d06c1540bbfb810b</x:v>
      </x:c>
      <x:c r="S1903" t="n">
        <x:v>6</x:v>
      </x:c>
      <x:c r="T1903" t="str">
        <x:v>2018-12-31|2019-12-31|2020-12-31|2021-12-31|2022-12-31</x:v>
      </x:c>
      <x:c r="U1903" s="57" t="n">
        <x:v>51043.486093873056</x:v>
      </x:c>
      <x:c r="V1903" s="57" t="n">
        <x:v>-0.8976058453482988</x:v>
      </x:c>
      <x:c r="W1903" t="n">
        <x:v>67</x:v>
      </x:c>
      <x:c r="X1903" t="n">
        <x:v>5</x:v>
      </x:c>
      <x:c r="Y1903" s="38" t="n">
        <x:v>0.6409090909090909</x:v>
      </x:c>
      <x:c r="Z1903" s="38" t="n">
        <x:v>0.688241253837696</x:v>
      </x:c>
      <x:c r="AA1903"/>
    </x:row>
    <x:row r="1904">
      <x:c r="A1904" s="54" t="n">
        <x:v>45016</x:v>
      </x:c>
      <x:c r="B1904" t="n">
        <x:v>45016.624999988424</x:v>
      </x:c>
      <x:c r="C1904" t="str">
        <x:v>214450</x:v>
      </x:c>
      <x:c r="D1904" t="str">
        <x:v>파마리서치</x:v>
      </x:c>
      <x:c r="E1904" t="str">
        <x:v>KOSDAQ</x:v>
      </x:c>
      <x:c r="F1904" t="str">
        <x:v>LARGE</x:v>
      </x:c>
      <x:c r="G1904" t="str">
        <x:v>ELIGIBLE</x:v>
      </x:c>
      <x:c r="H1904"/>
      <x:c r="I1904" s="54" t="n">
        <x:v>45016</x:v>
      </x:c>
      <x:c r="J1904" s="55" t="n">
        <x:v>70200</x:v>
      </x:c>
      <x:c r="K1904" s="55" t="n">
        <x:v>709857486000</x:v>
      </x:c>
      <x:c r="L1904" s="55" t="n">
        <x:v>10111930</x:v>
      </x:c>
      <x:c r="M1904" t="str">
        <x:v>20230322001252</x:v>
      </x:c>
      <x:c r="N1904" t="n">
        <x:v>45007.624999988424</x:v>
      </x:c>
      <x:c r="O1904" s="54" t="n">
        <x:v>44926</x:v>
      </x:c>
      <x:c r="P1904" t="str">
        <x:v>False</x:v>
      </x:c>
      <x:c r="Q1904" t="str">
        <x:v>d1d8571bd746fd5df22b5f79322e5712d56ee303146ab140e9a8e3c7300a808b</x:v>
      </x:c>
      <x:c r="R1904" t="str">
        <x:v>0ab9ae1cb427dfc6dad3cedf05daf5415b444fb66fad6b777a97db7198b3ad65</x:v>
      </x:c>
      <x:c r="S1904" t="n">
        <x:v>6</x:v>
      </x:c>
      <x:c r="T1904" t="str">
        <x:v>2018-12-31|2019-12-31|2020-12-31|2021-12-31|2022-12-31</x:v>
      </x:c>
      <x:c r="U1904" s="57" t="n">
        <x:v>69401.53371251222</x:v>
      </x:c>
      <x:c r="V1904" s="57" t="n">
        <x:v>-0.011374163639427115</x:v>
      </x:c>
      <x:c r="W1904" t="n">
        <x:v>26</x:v>
      </x:c>
      <x:c r="X1904" t="n">
        <x:v>2</x:v>
      </x:c>
      <x:c r="Y1904" s="38" t="n">
        <x:v>0.6409090909090909</x:v>
      </x:c>
      <x:c r="Z1904" s="38" t="n">
        <x:v>0.705727109259069</x:v>
      </x:c>
      <x:c r="AA1904"/>
    </x:row>
    <x:row r="1905">
      <x:c r="A1905" s="54" t="n">
        <x:v>45016</x:v>
      </x:c>
      <x:c r="B1905" t="n">
        <x:v>45016.624999988424</x:v>
      </x:c>
      <x:c r="C1905" t="str">
        <x:v>277810</x:v>
      </x:c>
      <x:c r="D1905" t="str">
        <x:v>레인보우로보틱스</x:v>
      </x:c>
      <x:c r="E1905" t="str">
        <x:v>KOSDAQ</x:v>
      </x:c>
      <x:c r="F1905" t="str">
        <x:v>LARGE</x:v>
      </x:c>
      <x:c r="G1905" t="str">
        <x:v>DCF_SCREENING_EXCLUSION</x:v>
      </x:c>
      <x:c r="H1905" t="str">
        <x:v>NON_POSITIVE_ENTERPRISE_VALUE|NON_POSITIVE_TERMINAL_FCF</x:v>
      </x:c>
      <x:c r="I1905" s="54" t="n">
        <x:v>45016</x:v>
      </x:c>
      <x:c r="J1905" s="55" t="n">
        <x:v>126800</x:v>
      </x:c>
      <x:c r="K1905" s="55" t="n">
        <x:v>2412696636800</x:v>
      </x:c>
      <x:c r="L1905" s="55" t="n">
        <x:v>19027576</x:v>
      </x:c>
      <x:c r="M1905" t="str">
        <x:v>20230323000602</x:v>
      </x:c>
      <x:c r="N1905" t="n">
        <x:v>45008.624999988424</x:v>
      </x:c>
      <x:c r="O1905" s="54" t="n">
        <x:v>44926</x:v>
      </x:c>
      <x:c r="P1905" t="str">
        <x:v>False</x:v>
      </x:c>
      <x:c r="Q1905" t="str">
        <x:v>2ada5eb1eccaeeee7c97c8e4c631cdb13c91ada276de9a8e71821b6a745cd9ce</x:v>
      </x:c>
      <x:c r="R1905" t="str">
        <x:v>e1c32ad386de325e7e750ae92420e0a475250cb7acbc9087da92a2b830e058d6</x:v>
      </x:c>
      <x:c r="S1905" t="n">
        <x:v>6</x:v>
      </x:c>
      <x:c r="T1905" t="str">
        <x:v>2020-12-31|2021-12-31|2022-12-31</x:v>
      </x:c>
      <x:c r="U1905" s="57" t="n">
        <x:v>855.3310071600873</x:v>
      </x:c>
      <x:c r="V1905" s="57" t="n">
        <x:v>-0.9932544873252359</x:v>
      </x:c>
      <x:c r="W1905"/>
      <x:c r="X1905"/>
      <x:c r="Y1905" s="38" t="n">
        <x:v>0.6409090909090909</x:v>
      </x:c>
      <x:c r="Z1905" s="38" t="n">
        <x:v>0.8425512038979058</x:v>
      </x:c>
      <x:c r="AA1905" t="str">
        <x:v>NON_POSITIVE_ENTERPRISE_VALUE|NON_POSITIVE_TERMINAL_FCF</x:v>
      </x:c>
    </x:row>
    <x:row r="1906">
      <x:c r="A1906" s="54" t="n">
        <x:v>45016</x:v>
      </x:c>
      <x:c r="B1906" t="n">
        <x:v>45016.624999988424</x:v>
      </x:c>
      <x:c r="C1906" t="str">
        <x:v>310210</x:v>
      </x:c>
      <x:c r="D1906" t="str">
        <x:v>보로노이</x:v>
      </x:c>
      <x:c r="E1906" t="str">
        <x:v>KOSDAQ</x:v>
      </x:c>
      <x:c r="F1906" t="str">
        <x:v>LARGE</x:v>
      </x:c>
      <x:c r="G1906" t="str">
        <x:v>DCF_SCREENING_EXCLUSION</x:v>
      </x:c>
      <x:c r="H1906" t="str">
        <x:v>NON_POSITIVE_ENTERPRISE_VALUE|NON_POSITIVE_EQUITY_VALUE|NON_POSITIVE_TERMINAL_FCF</x:v>
      </x:c>
      <x:c r="I1906" s="54" t="n">
        <x:v>45016</x:v>
      </x:c>
      <x:c r="J1906" s="55" t="n">
        <x:v>31900</x:v>
      </x:c>
      <x:c r="K1906" s="55" t="n">
        <x:v>403467021100</x:v>
      </x:c>
      <x:c r="L1906" s="55" t="n">
        <x:v>12647869</x:v>
      </x:c>
      <x:c r="M1906" t="str">
        <x:v>20230323001447</x:v>
      </x:c>
      <x:c r="N1906" t="n">
        <x:v>45008.624999988424</x:v>
      </x:c>
      <x:c r="O1906" s="54" t="n">
        <x:v>44926</x:v>
      </x:c>
      <x:c r="P1906" t="str">
        <x:v>False</x:v>
      </x:c>
      <x:c r="Q1906" t="str">
        <x:v>38d2b1f5e9c968f4f6fa965d42cb2f1a325c069332624c3eed7a50315d302dcc</x:v>
      </x:c>
      <x:c r="R1906" t="str">
        <x:v>576c97c4daed21efafcbd8890e5b797da413a5a092541c93f1595fcf7c74e341</x:v>
      </x:c>
      <x:c r="S1906" t="n">
        <x:v>5</x:v>
      </x:c>
      <x:c r="T1906" t="str">
        <x:v>2022-12-31</x:v>
      </x:c>
      <x:c r="U1906" s="57" t="n">
        <x:v>-2936.92717875873</x:v>
      </x:c>
      <x:c r="V1906" s="57" t="n">
        <x:v>-1.0920666827197094</x:v>
      </x:c>
      <x:c r="W1906"/>
      <x:c r="X1906"/>
      <x:c r="Y1906" s="38" t="n">
        <x:v>0.6409090909090909</x:v>
      </x:c>
      <x:c r="Z1906" s="38" t="n">
        <x:v>0.7013426708992583</x:v>
      </x:c>
      <x:c r="AA1906" t="str">
        <x:v>NON_POSITIVE_ENTERPRISE_VALUE|NON_POSITIVE_EQUITY_VALUE|NON_POSITIVE_TERMINAL_FCF</x:v>
      </x:c>
    </x:row>
    <x:row r="1907">
      <x:c r="A1907" s="54" t="n">
        <x:v>45016</x:v>
      </x:c>
      <x:c r="B1907" t="n">
        <x:v>45016.624999988424</x:v>
      </x:c>
      <x:c r="C1907" t="str">
        <x:v>195940</x:v>
      </x:c>
      <x:c r="D1907" t="str">
        <x:v>HK이노엔</x:v>
      </x:c>
      <x:c r="E1907" t="str">
        <x:v>KOSDAQ</x:v>
      </x:c>
      <x:c r="F1907" t="str">
        <x:v>LARGE</x:v>
      </x:c>
      <x:c r="G1907" t="str">
        <x:v>ELIGIBLE</x:v>
      </x:c>
      <x:c r="H1907"/>
      <x:c r="I1907" s="54" t="n">
        <x:v>45016</x:v>
      </x:c>
      <x:c r="J1907" s="55" t="n">
        <x:v>34100</x:v>
      </x:c>
      <x:c r="K1907" s="55" t="n">
        <x:v>966049283100</x:v>
      </x:c>
      <x:c r="L1907" s="55" t="n">
        <x:v>28329891</x:v>
      </x:c>
      <x:c r="M1907" t="str">
        <x:v>20230320001014</x:v>
      </x:c>
      <x:c r="N1907" t="n">
        <x:v>45005.624999988424</x:v>
      </x:c>
      <x:c r="O1907" s="54" t="n">
        <x:v>44926</x:v>
      </x:c>
      <x:c r="P1907" t="str">
        <x:v>False</x:v>
      </x:c>
      <x:c r="Q1907" t="str">
        <x:v>4f6a0806e0e5fd9c2cd2d393c888771faba743176534f676c421f01bd70e632b</x:v>
      </x:c>
      <x:c r="R1907" t="str">
        <x:v>3c6c5321d38ea949af4f9c43ff725d1d6f97d8e872f740bed5c3b8ba843d6006</x:v>
      </x:c>
      <x:c r="S1907" t="n">
        <x:v>6</x:v>
      </x:c>
      <x:c r="T1907" t="str">
        <x:v>2021-12-31|2022-12-31</x:v>
      </x:c>
      <x:c r="U1907" s="57" t="n">
        <x:v>11886.658464352715</x:v>
      </x:c>
      <x:c r="V1907" s="57" t="n">
        <x:v>-0.6514176403415627</x:v>
      </x:c>
      <x:c r="W1907" t="n">
        <x:v>53</x:v>
      </x:c>
      <x:c r="X1907" t="n">
        <x:v>4</x:v>
      </x:c>
      <x:c r="Y1907" s="38" t="n">
        <x:v>0.6409090909090909</x:v>
      </x:c>
      <x:c r="Z1907" s="38" t="n">
        <x:v>0.7290831375167371</x:v>
      </x:c>
      <x:c r="AA1907"/>
    </x:row>
    <x:row r="1908">
      <x:c r="A1908" s="54" t="n">
        <x:v>45016</x:v>
      </x:c>
      <x:c r="B1908" t="n">
        <x:v>45016.624999988424</x:v>
      </x:c>
      <x:c r="C1908" t="str">
        <x:v>039200</x:v>
      </x:c>
      <x:c r="D1908" t="str">
        <x:v>오스코텍</x:v>
      </x:c>
      <x:c r="E1908" t="str">
        <x:v>KOSDAQ</x:v>
      </x:c>
      <x:c r="F1908" t="str">
        <x:v>LARGE</x:v>
      </x:c>
      <x:c r="G1908" t="str">
        <x:v>DCF_SCREENING_EXCLUSION</x:v>
      </x:c>
      <x:c r="H1908" t="str">
        <x:v>NON_POSITIVE_ENTERPRISE_VALUE|NON_POSITIVE_EQUITY_VALUE|NON_POSITIVE_TERMINAL_FCF</x:v>
      </x:c>
      <x:c r="I1908" s="54" t="n">
        <x:v>45016</x:v>
      </x:c>
      <x:c r="J1908" s="55" t="n">
        <x:v>18130</x:v>
      </x:c>
      <x:c r="K1908" s="55" t="n">
        <x:v>666148976430</x:v>
      </x:c>
      <x:c r="L1908" s="55" t="n">
        <x:v>36742911</x:v>
      </x:c>
      <x:c r="M1908" t="str">
        <x:v>20230317000843</x:v>
      </x:c>
      <x:c r="N1908" t="n">
        <x:v>45002.624999988424</x:v>
      </x:c>
      <x:c r="O1908" s="54" t="n">
        <x:v>44926</x:v>
      </x:c>
      <x:c r="P1908" t="str">
        <x:v>False</x:v>
      </x:c>
      <x:c r="Q1908" t="str">
        <x:v>8b1322750e8278193e051e8c7d46b09022876f0dc7c2d5ff2328596c8992b84b</x:v>
      </x:c>
      <x:c r="R1908" t="str">
        <x:v>f7f14c75868017753bc2d7a8d682c72a5b3b8eedd2b0a42ea565d6619da6b652</x:v>
      </x:c>
      <x:c r="S1908" t="n">
        <x:v>6</x:v>
      </x:c>
      <x:c r="T1908" t="str">
        <x:v>2018-12-31|2019-12-31|2020-12-31|2021-12-31|2022-12-31</x:v>
      </x:c>
      <x:c r="U1908" s="57" t="n">
        <x:v>-196.03280202426188</x:v>
      </x:c>
      <x:c r="V1908" s="57" t="n">
        <x:v>-1.0108126200785583</x:v>
      </x:c>
      <x:c r="W1908"/>
      <x:c r="X1908"/>
      <x:c r="Y1908" s="38" t="n">
        <x:v>0.6409090909090909</x:v>
      </x:c>
      <x:c r="Z1908" s="38" t="n">
        <x:v>0.6865240790654953</x:v>
      </x:c>
      <x:c r="AA1908" t="str">
        <x:v>NON_POSITIVE_ENTERPRISE_VALUE|NON_POSITIVE_EQUITY_VALUE|NON_POSITIVE_TERMINAL_FCF</x:v>
      </x:c>
    </x:row>
    <x:row r="1909">
      <x:c r="A1909" s="54" t="n">
        <x:v>45016</x:v>
      </x:c>
      <x:c r="B1909" t="n">
        <x:v>45016.624999988424</x:v>
      </x:c>
      <x:c r="C1909" t="str">
        <x:v>084370</x:v>
      </x:c>
      <x:c r="D1909" t="str">
        <x:v>유진테크</x:v>
      </x:c>
      <x:c r="E1909" t="str">
        <x:v>KOSDAQ</x:v>
      </x:c>
      <x:c r="F1909" t="str">
        <x:v>LARGE</x:v>
      </x:c>
      <x:c r="G1909" t="str">
        <x:v>ELIGIBLE</x:v>
      </x:c>
      <x:c r="H1909"/>
      <x:c r="I1909" s="54" t="n">
        <x:v>45016</x:v>
      </x:c>
      <x:c r="J1909" s="55" t="n">
        <x:v>31700</x:v>
      </x:c>
      <x:c r="K1909" s="55" t="n">
        <x:v>726438531400</x:v>
      </x:c>
      <x:c r="L1909" s="55" t="n">
        <x:v>22916042</x:v>
      </x:c>
      <x:c r="M1909" t="str">
        <x:v>20230316001233</x:v>
      </x:c>
      <x:c r="N1909" t="n">
        <x:v>45001.624999988424</x:v>
      </x:c>
      <x:c r="O1909" s="54" t="n">
        <x:v>44926</x:v>
      </x:c>
      <x:c r="P1909" t="str">
        <x:v>False</x:v>
      </x:c>
      <x:c r="Q1909" t="str">
        <x:v>6e7015a76630b4a93d0421f2c9948a15f4da48771a5c08d854eaca8d07cf61c9</x:v>
      </x:c>
      <x:c r="R1909" t="str">
        <x:v>9c185bb5f99aa044f90ce49fec10ec432336d91250cf3fab5cc4f9990d78fcc5</x:v>
      </x:c>
      <x:c r="S1909" t="n">
        <x:v>5</x:v>
      </x:c>
      <x:c r="T1909" t="str">
        <x:v>2018-12-31|2019-12-31|2020-12-31|2021-12-31|2022-12-31</x:v>
      </x:c>
      <x:c r="U1909" s="57" t="n">
        <x:v>18249.84920785422</x:v>
      </x:c>
      <x:c r="V1909" s="57" t="n">
        <x:v>-0.42429497767021396</x:v>
      </x:c>
      <x:c r="W1909" t="n">
        <x:v>41</x:v>
      </x:c>
      <x:c r="X1909" t="n">
        <x:v>3</x:v>
      </x:c>
      <x:c r="Y1909" s="38" t="n">
        <x:v>0.6409090909090909</x:v>
      </x:c>
      <x:c r="Z1909" s="38" t="n">
        <x:v>0.6758527692215439</x:v>
      </x:c>
      <x:c r="AA1909"/>
    </x:row>
    <x:row r="1910">
      <x:c r="A1910" s="54" t="n">
        <x:v>45016</x:v>
      </x:c>
      <x:c r="B1910" t="n">
        <x:v>45016.624999988424</x:v>
      </x:c>
      <x:c r="C1910" t="str">
        <x:v>160190</x:v>
      </x:c>
      <x:c r="D1910" t="str">
        <x:v>하이젠알앤엠</x:v>
      </x:c>
      <x:c r="E1910" t="str">
        <x:v>KOSDAQ</x:v>
      </x:c>
      <x:c r="F1910" t="str">
        <x:v>LARGE</x:v>
      </x:c>
      <x:c r="G1910" t="str">
        <x:v>NOT_LISTED_OR_NO_PRICE</x:v>
      </x:c>
      <x:c r="H1910"/>
      <x:c r="I1910" s="54"/>
      <x:c r="J1910" s="55"/>
      <x:c r="K1910" s="55"/>
      <x:c r="L1910" s="55"/>
      <x:c r="M1910"/>
      <x:c r="N1910"/>
      <x:c r="O1910" s="54"/>
      <x:c r="P1910"/>
      <x:c r="Q1910"/>
      <x:c r="R1910"/>
      <x:c r="S1910"/>
      <x:c r="T1910"/>
      <x:c r="U1910" s="57"/>
      <x:c r="V1910" s="57"/>
      <x:c r="W1910"/>
      <x:c r="X1910"/>
      <x:c r="Y1910" s="38"/>
      <x:c r="Z1910" s="38"/>
      <x:c r="AA1910"/>
    </x:row>
    <x:row r="1911">
      <x:c r="A1911" s="54" t="n">
        <x:v>45016</x:v>
      </x:c>
      <x:c r="B1911" t="n">
        <x:v>45016.624999988424</x:v>
      </x:c>
      <x:c r="C1911" t="str">
        <x:v>281740</x:v>
      </x:c>
      <x:c r="D1911" t="str">
        <x:v>레이크머티리얼즈</x:v>
      </x:c>
      <x:c r="E1911" t="str">
        <x:v>KOSDAQ</x:v>
      </x:c>
      <x:c r="F1911" t="str">
        <x:v>LARGE</x:v>
      </x:c>
      <x:c r="G1911" t="str">
        <x:v>ELIGIBLE</x:v>
      </x:c>
      <x:c r="H1911"/>
      <x:c r="I1911" s="54" t="n">
        <x:v>45016</x:v>
      </x:c>
      <x:c r="J1911" s="55" t="n">
        <x:v>8680</x:v>
      </x:c>
      <x:c r="K1911" s="55" t="n">
        <x:v>570541156640</x:v>
      </x:c>
      <x:c r="L1911" s="55" t="n">
        <x:v>65730548</x:v>
      </x:c>
      <x:c r="M1911" t="str">
        <x:v>20230321000462</x:v>
      </x:c>
      <x:c r="N1911" t="n">
        <x:v>45006.624999988424</x:v>
      </x:c>
      <x:c r="O1911" s="54" t="n">
        <x:v>44926</x:v>
      </x:c>
      <x:c r="P1911" t="str">
        <x:v>False</x:v>
      </x:c>
      <x:c r="Q1911" t="str">
        <x:v>bd38aecc65af0a0b98e5da1731778b2438d37a8d11b5ff932f845ba7958b093a</x:v>
      </x:c>
      <x:c r="R1911" t="str">
        <x:v>9e75f2c145a26e2dcd1f3b04d00d2a651834392252b0fc71a6e537449c01c449</x:v>
      </x:c>
      <x:c r="S1911" t="n">
        <x:v>6</x:v>
      </x:c>
      <x:c r="T1911" t="str">
        <x:v>2020-12-31|2021-12-31|2022-12-31</x:v>
      </x:c>
      <x:c r="U1911" s="57" t="n">
        <x:v>4485.628453028402</x:v>
      </x:c>
      <x:c r="V1911" s="57" t="n">
        <x:v>-0.48322252845294905</x:v>
      </x:c>
      <x:c r="W1911" t="n">
        <x:v>46</x:v>
      </x:c>
      <x:c r="X1911" t="n">
        <x:v>4</x:v>
      </x:c>
      <x:c r="Y1911" s="38" t="n">
        <x:v>0.6409090909090909</x:v>
      </x:c>
      <x:c r="Z1911" s="38" t="n">
        <x:v>0.726801270847002</x:v>
      </x:c>
      <x:c r="AA1911"/>
    </x:row>
    <x:row r="1912">
      <x:c r="A1912" s="54" t="n">
        <x:v>45016</x:v>
      </x:c>
      <x:c r="B1912" t="n">
        <x:v>45016.624999988424</x:v>
      </x:c>
      <x:c r="C1912" t="str">
        <x:v>078130</x:v>
      </x:c>
      <x:c r="D1912" t="str">
        <x:v>국일제지</x:v>
      </x:c>
      <x:c r="E1912" t="str">
        <x:v>KOSDAQ</x:v>
      </x:c>
      <x:c r="F1912" t="str">
        <x:v>LARGE</x:v>
      </x:c>
      <x:c r="G1912" t="str">
        <x:v>DCF_SCREENING_EXCLUSION</x:v>
      </x:c>
      <x:c r="H1912" t="str">
        <x:v>NON_POSITIVE_ENTERPRISE_VALUE|NON_POSITIVE_EQUITY_VALUE|UNRELIABLE_TERMINAL_VALUE_SHARE</x:v>
      </x:c>
      <x:c r="I1912" s="54" t="n">
        <x:v>45016</x:v>
      </x:c>
      <x:c r="J1912" s="55" t="n">
        <x:v>800</x:v>
      </x:c>
      <x:c r="K1912" s="55" t="n">
        <x:v>102093978400</x:v>
      </x:c>
      <x:c r="L1912" s="55" t="n">
        <x:v>127617473</x:v>
      </x:c>
      <x:c r="M1912" t="str">
        <x:v>20230329000967</x:v>
      </x:c>
      <x:c r="N1912" t="n">
        <x:v>45014.624999988424</x:v>
      </x:c>
      <x:c r="O1912" s="54" t="n">
        <x:v>44926</x:v>
      </x:c>
      <x:c r="P1912" t="str">
        <x:v>True</x:v>
      </x:c>
      <x:c r="Q1912" t="str">
        <x:v>b6106fdc94b099695e8110b3f566190c0e28ce09398fbb39f6c17c9749ed3e1b</x:v>
      </x:c>
      <x:c r="R1912" t="str">
        <x:v>73dd254b2064bc60d0be7f30c55e7de399ccde87d96889d2029772d592f62142</x:v>
      </x:c>
      <x:c r="S1912" t="n">
        <x:v>7</x:v>
      </x:c>
      <x:c r="T1912" t="str">
        <x:v>2018-12-31|2019-12-31|2020-12-31|2021-12-31|2022-12-31</x:v>
      </x:c>
      <x:c r="U1912" s="57" t="n">
        <x:v>-478.81412463368326</x:v>
      </x:c>
      <x:c r="V1912" s="57" t="n">
        <x:v>-1.5985176557921041</x:v>
      </x:c>
      <x:c r="W1912"/>
      <x:c r="X1912"/>
      <x:c r="Y1912" s="38" t="n">
        <x:v>0.6409090909090909</x:v>
      </x:c>
      <x:c r="Z1912" s="38" t="n">
        <x:v>-1.0062491104711333</x:v>
      </x:c>
      <x:c r="AA1912" t="str">
        <x:v>NON_POSITIVE_ENTERPRISE_VALUE|NON_POSITIVE_EQUITY_VALUE|UNRELIABLE_TERMINAL_VALUE_SHARE</x:v>
      </x:c>
    </x:row>
    <x:row r="1913">
      <x:c r="A1913" s="54" t="n">
        <x:v>45016</x:v>
      </x:c>
      <x:c r="B1913" t="n">
        <x:v>45016.624999988424</x:v>
      </x:c>
      <x:c r="C1913" t="str">
        <x:v>131970</x:v>
      </x:c>
      <x:c r="D1913" t="str">
        <x:v>두산테스나</x:v>
      </x:c>
      <x:c r="E1913" t="str">
        <x:v>KOSDAQ</x:v>
      </x:c>
      <x:c r="F1913" t="str">
        <x:v>LARGE</x:v>
      </x:c>
      <x:c r="G1913" t="str">
        <x:v>ELIGIBLE</x:v>
      </x:c>
      <x:c r="H1913"/>
      <x:c r="I1913" s="54" t="n">
        <x:v>45016</x:v>
      </x:c>
      <x:c r="J1913" s="55" t="n">
        <x:v>39500</x:v>
      </x:c>
      <x:c r="K1913" s="55" t="n">
        <x:v>583003291500</x:v>
      </x:c>
      <x:c r="L1913" s="55" t="n">
        <x:v>14759577</x:v>
      </x:c>
      <x:c r="M1913" t="str">
        <x:v>20230321001018</x:v>
      </x:c>
      <x:c r="N1913" t="n">
        <x:v>45006.624999988424</x:v>
      </x:c>
      <x:c r="O1913" s="54" t="n">
        <x:v>44926</x:v>
      </x:c>
      <x:c r="P1913" t="str">
        <x:v>False</x:v>
      </x:c>
      <x:c r="Q1913" t="str">
        <x:v>884fb42e0046a241832b9dc400722b5050999bfc4acbe2eaab4a2b72708a1eef</x:v>
      </x:c>
      <x:c r="R1913" t="str">
        <x:v>1bab9f86ce7bb62761af67a64415208e4f1003be2995a07128c9ce04910ba75f</x:v>
      </x:c>
      <x:c r="S1913" t="n">
        <x:v>5</x:v>
      </x:c>
      <x:c r="T1913" t="str">
        <x:v>2018-12-31|2019-12-31|2020-12-31|2021-12-31|2022-12-31</x:v>
      </x:c>
      <x:c r="U1913" s="57" t="n">
        <x:v>42781.078535170804</x:v>
      </x:c>
      <x:c r="V1913" s="57" t="n">
        <x:v>0.08306527937141271</x:v>
      </x:c>
      <x:c r="W1913" t="n">
        <x:v>24</x:v>
      </x:c>
      <x:c r="X1913" t="n">
        <x:v>2</x:v>
      </x:c>
      <x:c r="Y1913" s="38" t="n">
        <x:v>0.6409090909090909</x:v>
      </x:c>
      <x:c r="Z1913" s="38" t="n">
        <x:v>0.7192854801003423</x:v>
      </x:c>
      <x:c r="AA1913"/>
    </x:row>
    <x:row r="1914">
      <x:c r="A1914" s="54" t="n">
        <x:v>45016</x:v>
      </x:c>
      <x:c r="B1914" t="n">
        <x:v>45016.624999988424</x:v>
      </x:c>
      <x:c r="C1914" t="str">
        <x:v>025320</x:v>
      </x:c>
      <x:c r="D1914" t="str">
        <x:v>시노펙스</x:v>
      </x:c>
      <x:c r="E1914" t="str">
        <x:v>KOSDAQ</x:v>
      </x:c>
      <x:c r="F1914" t="str">
        <x:v>LARGE</x:v>
      </x:c>
      <x:c r="G1914" t="str">
        <x:v>DCF_SCREENING_EXCLUSION</x:v>
      </x:c>
      <x:c r="H1914" t="str">
        <x:v>NON_POSITIVE_ENTERPRISE_VALUE|NON_POSITIVE_EQUITY_VALUE|NON_POSITIVE_TERMINAL_FCF|UNRELIABLE_TERMINAL_VALUE_SHARE</x:v>
      </x:c>
      <x:c r="I1914" s="54" t="n">
        <x:v>45016</x:v>
      </x:c>
      <x:c r="J1914" s="55" t="n">
        <x:v>2780</x:v>
      </x:c>
      <x:c r="K1914" s="55" t="n">
        <x:v>214408884440</x:v>
      </x:c>
      <x:c r="L1914" s="55" t="n">
        <x:v>77125498</x:v>
      </x:c>
      <x:c r="M1914" t="str">
        <x:v>20230317000970</x:v>
      </x:c>
      <x:c r="N1914" t="n">
        <x:v>45002.624999988424</x:v>
      </x:c>
      <x:c r="O1914" s="54" t="n">
        <x:v>44926</x:v>
      </x:c>
      <x:c r="P1914" t="str">
        <x:v>False</x:v>
      </x:c>
      <x:c r="Q1914" t="str">
        <x:v>97a0662bef0951eeb8bc249158ded53f5a4107f03ae195e85190408a71b2e159</x:v>
      </x:c>
      <x:c r="R1914" t="str">
        <x:v>13398546743628923b374842f994b42a0375ba9d3b6cd96f7a523999333258dc</x:v>
      </x:c>
      <x:c r="S1914" t="n">
        <x:v>6</x:v>
      </x:c>
      <x:c r="T1914" t="str">
        <x:v>2018-12-31|2019-12-31|2020-12-31|2021-12-31|2022-12-31</x:v>
      </x:c>
      <x:c r="U1914" s="57" t="n">
        <x:v>-1065.2598569532813</x:v>
      </x:c>
      <x:c r="V1914" s="57" t="n">
        <x:v>-1.383186998904058</x:v>
      </x:c>
      <x:c r="W1914"/>
      <x:c r="X1914"/>
      <x:c r="Y1914" s="38" t="n">
        <x:v>0.6409090909090909</x:v>
      </x:c>
      <x:c r="Z1914" s="38" t="n">
        <x:v>0.8633040140644538</x:v>
      </x:c>
      <x:c r="AA1914" t="str">
        <x:v>NON_POSITIVE_ENTERPRISE_VALUE|NON_POSITIVE_EQUITY_VALUE|NON_POSITIVE_TERMINAL_FCF|UNRELIABLE_TERMINAL_VALUE_SHARE</x:v>
      </x:c>
    </x:row>
    <x:row r="1915">
      <x:c r="A1915" s="54" t="n">
        <x:v>45016</x:v>
      </x:c>
      <x:c r="B1915" t="n">
        <x:v>45016.624999988424</x:v>
      </x:c>
      <x:c r="C1915" t="str">
        <x:v>347700</x:v>
      </x:c>
      <x:c r="D1915" t="str">
        <x:v>스피어</x:v>
      </x:c>
      <x:c r="E1915" t="str">
        <x:v>KOSDAQ</x:v>
      </x:c>
      <x:c r="F1915" t="str">
        <x:v>LARGE</x:v>
      </x:c>
      <x:c r="G1915" t="str">
        <x:v>DCF_SCREENING_EXCLUSION</x:v>
      </x:c>
      <x:c r="H1915" t="str">
        <x:v>NON_POSITIVE_ENTERPRISE_VALUE|NON_POSITIVE_EQUITY_VALUE|NON_POSITIVE_TERMINAL_FCF</x:v>
      </x:c>
      <x:c r="I1915" s="54" t="n">
        <x:v>45016</x:v>
      </x:c>
      <x:c r="J1915" s="55" t="n">
        <x:v>5500</x:v>
      </x:c>
      <x:c r="K1915" s="55" t="n">
        <x:v>56253725000</x:v>
      </x:c>
      <x:c r="L1915" s="55" t="n">
        <x:v>10227950</x:v>
      </x:c>
      <x:c r="M1915" t="str">
        <x:v>20230323000910</x:v>
      </x:c>
      <x:c r="N1915" t="n">
        <x:v>45008.624999988424</x:v>
      </x:c>
      <x:c r="O1915" s="54" t="n">
        <x:v>44926</x:v>
      </x:c>
      <x:c r="P1915" t="str">
        <x:v>False</x:v>
      </x:c>
      <x:c r="Q1915" t="str">
        <x:v>318d5308ddf30d65b03f9b30626610bf5f1602f10d1d079262c739572e450b01</x:v>
      </x:c>
      <x:c r="R1915" t="str">
        <x:v>8a688877140876da0088777346eecbce820b2f714829b67ca13a2fee8b6668fe</x:v>
      </x:c>
      <x:c r="S1915" t="n">
        <x:v>6</x:v>
      </x:c>
      <x:c r="T1915" t="str">
        <x:v>2020-12-31|2021-12-31|2022-12-31</x:v>
      </x:c>
      <x:c r="U1915" s="57" t="n">
        <x:v>-289.88693562945383</x:v>
      </x:c>
      <x:c r="V1915" s="57" t="n">
        <x:v>-1.0527067155689915</x:v>
      </x:c>
      <x:c r="W1915"/>
      <x:c r="X1915"/>
      <x:c r="Y1915" s="38" t="n">
        <x:v>0.6409090909090909</x:v>
      </x:c>
      <x:c r="Z1915" s="38" t="n">
        <x:v>0.7147392814804288</x:v>
      </x:c>
      <x:c r="AA1915" t="str">
        <x:v>NON_POSITIVE_ENTERPRISE_VALUE|NON_POSITIVE_EQUITY_VALUE|NON_POSITIVE_TERMINAL_FCF</x:v>
      </x:c>
    </x:row>
    <x:row r="1916">
      <x:c r="A1916" s="54" t="n">
        <x:v>45016</x:v>
      </x:c>
      <x:c r="B1916" t="n">
        <x:v>45016.624999988424</x:v>
      </x:c>
      <x:c r="C1916" t="str">
        <x:v>119850</x:v>
      </x:c>
      <x:c r="D1916" t="str">
        <x:v>지엔씨에너지</x:v>
      </x:c>
      <x:c r="E1916" t="str">
        <x:v>KOSDAQ</x:v>
      </x:c>
      <x:c r="F1916" t="str">
        <x:v>LARGE</x:v>
      </x:c>
      <x:c r="G1916" t="str">
        <x:v>ELIGIBLE</x:v>
      </x:c>
      <x:c r="H1916"/>
      <x:c r="I1916" s="54" t="n">
        <x:v>45016</x:v>
      </x:c>
      <x:c r="J1916" s="55" t="n">
        <x:v>3760</x:v>
      </x:c>
      <x:c r="K1916" s="55" t="n">
        <x:v>61847897840</x:v>
      </x:c>
      <x:c r="L1916" s="55" t="n">
        <x:v>16448909</x:v>
      </x:c>
      <x:c r="M1916" t="str">
        <x:v>20230321000381</x:v>
      </x:c>
      <x:c r="N1916" t="n">
        <x:v>45006.624999988424</x:v>
      </x:c>
      <x:c r="O1916" s="54" t="n">
        <x:v>44926</x:v>
      </x:c>
      <x:c r="P1916" t="str">
        <x:v>False</x:v>
      </x:c>
      <x:c r="Q1916" t="str">
        <x:v>f632a6eceb0fdf2b827e41df44c7ef1919a43190db51c5383dd7414638425ef9</x:v>
      </x:c>
      <x:c r="R1916" t="str">
        <x:v>0a80b286f39c459231cb877b726cd5f89c30b847d32dfbfd48b8c1753d8cb348</x:v>
      </x:c>
      <x:c r="S1916" t="n">
        <x:v>6</x:v>
      </x:c>
      <x:c r="T1916" t="str">
        <x:v>2018-12-31|2019-12-31|2020-12-31|2021-12-31|2022-12-31</x:v>
      </x:c>
      <x:c r="U1916" s="57" t="n">
        <x:v>2550.7016156046448</x:v>
      </x:c>
      <x:c r="V1916" s="57" t="n">
        <x:v>-0.32162191074344554</x:v>
      </x:c>
      <x:c r="W1916" t="n">
        <x:v>32</x:v>
      </x:c>
      <x:c r="X1916" t="n">
        <x:v>3</x:v>
      </x:c>
      <x:c r="Y1916" s="38" t="n">
        <x:v>0.6409090909090909</x:v>
      </x:c>
      <x:c r="Z1916" s="38" t="n">
        <x:v>0.6992378881812492</x:v>
      </x:c>
      <x:c r="AA1916"/>
    </x:row>
    <x:row r="1917">
      <x:c r="A1917" s="54" t="n">
        <x:v>45016</x:v>
      </x:c>
      <x:c r="B1917" t="n">
        <x:v>45016.624999988424</x:v>
      </x:c>
      <x:c r="C1917" t="str">
        <x:v>084110</x:v>
      </x:c>
      <x:c r="D1917" t="str">
        <x:v>휴온스글로벌</x:v>
      </x:c>
      <x:c r="E1917" t="str">
        <x:v>KOSDAQ</x:v>
      </x:c>
      <x:c r="F1917" t="str">
        <x:v>LARGE</x:v>
      </x:c>
      <x:c r="G1917" t="str">
        <x:v>ELIGIBLE</x:v>
      </x:c>
      <x:c r="H1917"/>
      <x:c r="I1917" s="54" t="n">
        <x:v>45016</x:v>
      </x:c>
      <x:c r="J1917" s="55" t="n">
        <x:v>19710</x:v>
      </x:c>
      <x:c r="K1917" s="55" t="n">
        <x:v>248769607320</x:v>
      </x:c>
      <x:c r="L1917" s="55" t="n">
        <x:v>12621492</x:v>
      </x:c>
      <x:c r="M1917" t="str">
        <x:v>20230323001526</x:v>
      </x:c>
      <x:c r="N1917" t="n">
        <x:v>45008.624999988424</x:v>
      </x:c>
      <x:c r="O1917" s="54" t="n">
        <x:v>44926</x:v>
      </x:c>
      <x:c r="P1917" t="str">
        <x:v>False</x:v>
      </x:c>
      <x:c r="Q1917" t="str">
        <x:v>541fb198584f283efa69044182a66d8d3bbb27bc4598abf29f13a82efd236391</x:v>
      </x:c>
      <x:c r="R1917" t="str">
        <x:v>c07edab6f2b7838ef3c0f5e884bea46a9a06b1d5c364f4fd38131be15dc9749b</x:v>
      </x:c>
      <x:c r="S1917" t="n">
        <x:v>6</x:v>
      </x:c>
      <x:c r="T1917" t="str">
        <x:v>2018-12-31|2019-12-31|2020-12-31|2021-12-31|2022-12-31</x:v>
      </x:c>
      <x:c r="U1917" s="57" t="n">
        <x:v>79529.11555752518</x:v>
      </x:c>
      <x:c r="V1917" s="57" t="n">
        <x:v>3.034962737571039</x:v>
      </x:c>
      <x:c r="W1917" t="n">
        <x:v>5</x:v>
      </x:c>
      <x:c r="X1917" t="n">
        <x:v>1</x:v>
      </x:c>
      <x:c r="Y1917" s="38" t="n">
        <x:v>0.6409090909090909</x:v>
      </x:c>
      <x:c r="Z1917" s="38" t="n">
        <x:v>0.7695258922995936</x:v>
      </x:c>
      <x:c r="AA1917"/>
    </x:row>
    <x:row r="1918">
      <x:c r="A1918" s="54" t="n">
        <x:v>45016</x:v>
      </x:c>
      <x:c r="B1918" t="n">
        <x:v>45016.624999988424</x:v>
      </x:c>
      <x:c r="C1918" t="str">
        <x:v>206650</x:v>
      </x:c>
      <x:c r="D1918" t="str">
        <x:v>유바이오로직스</x:v>
      </x:c>
      <x:c r="E1918" t="str">
        <x:v>KOSDAQ</x:v>
      </x:c>
      <x:c r="F1918" t="str">
        <x:v>LARGE</x:v>
      </x:c>
      <x:c r="G1918" t="str">
        <x:v>DCF_SCREENING_EXCLUSION</x:v>
      </x:c>
      <x:c r="H1918" t="str">
        <x:v>NON_POSITIVE_ENTERPRISE_VALUE|NON_POSITIVE_EQUITY_VALUE|NON_POSITIVE_TERMINAL_FCF</x:v>
      </x:c>
      <x:c r="I1918" s="54" t="n">
        <x:v>45016</x:v>
      </x:c>
      <x:c r="J1918" s="55" t="n">
        <x:v>7200</x:v>
      </x:c>
      <x:c r="K1918" s="55" t="n">
        <x:v>262402610400</x:v>
      </x:c>
      <x:c r="L1918" s="55" t="n">
        <x:v>36444807</x:v>
      </x:c>
      <x:c r="M1918" t="str">
        <x:v>20230321001064</x:v>
      </x:c>
      <x:c r="N1918" t="n">
        <x:v>45006.624999988424</x:v>
      </x:c>
      <x:c r="O1918" s="54" t="n">
        <x:v>44926</x:v>
      </x:c>
      <x:c r="P1918" t="str">
        <x:v>False</x:v>
      </x:c>
      <x:c r="Q1918" t="str">
        <x:v>fca3a941392c1e401dfc5d056354175a8f59736f1a8bacec99d6d2306060f340</x:v>
      </x:c>
      <x:c r="R1918" t="str">
        <x:v>22d1af952e5a4ad209a1848f1b2b48aa9efb1ad0649ef925f5aefaeff4e9a84d</x:v>
      </x:c>
      <x:c r="S1918" t="n">
        <x:v>5</x:v>
      </x:c>
      <x:c r="T1918" t="str">
        <x:v>2018-12-31|2019-12-31|2020-12-31|2021-12-31|2022-12-31</x:v>
      </x:c>
      <x:c r="U1918" s="57" t="n">
        <x:v>-1919.2372989946105</x:v>
      </x:c>
      <x:c r="V1918" s="57" t="n">
        <x:v>-1.2665607359714737</x:v>
      </x:c>
      <x:c r="W1918"/>
      <x:c r="X1918"/>
      <x:c r="Y1918" s="38" t="n">
        <x:v>0.6409090909090909</x:v>
      </x:c>
      <x:c r="Z1918" s="38" t="n">
        <x:v>0.6636833148664109</x:v>
      </x:c>
      <x:c r="AA1918" t="str">
        <x:v>NON_POSITIVE_ENTERPRISE_VALUE|NON_POSITIVE_EQUITY_VALUE|NON_POSITIVE_TERMINAL_FCF</x:v>
      </x:c>
    </x:row>
    <x:row r="1919">
      <x:c r="A1919" s="54" t="n">
        <x:v>45016</x:v>
      </x:c>
      <x:c r="B1919" t="n">
        <x:v>45016.624999988424</x:v>
      </x:c>
      <x:c r="C1919" t="str">
        <x:v>365340</x:v>
      </x:c>
      <x:c r="D1919" t="str">
        <x:v>성일하이텍</x:v>
      </x:c>
      <x:c r="E1919" t="str">
        <x:v>KOSDAQ</x:v>
      </x:c>
      <x:c r="F1919" t="str">
        <x:v>LARGE</x:v>
      </x:c>
      <x:c r="G1919" t="str">
        <x:v>ELIGIBLE</x:v>
      </x:c>
      <x:c r="H1919"/>
      <x:c r="I1919" s="54" t="n">
        <x:v>45016</x:v>
      </x:c>
      <x:c r="J1919" s="55" t="n">
        <x:v>160200</x:v>
      </x:c>
      <x:c r="K1919" s="55" t="n">
        <x:v>1920228649200</x:v>
      </x:c>
      <x:c r="L1919" s="55" t="n">
        <x:v>11986446</x:v>
      </x:c>
      <x:c r="M1919" t="str">
        <x:v>20230323000846</x:v>
      </x:c>
      <x:c r="N1919" t="n">
        <x:v>45008.624999988424</x:v>
      </x:c>
      <x:c r="O1919" s="54" t="n">
        <x:v>44926</x:v>
      </x:c>
      <x:c r="P1919" t="str">
        <x:v>False</x:v>
      </x:c>
      <x:c r="Q1919" t="str">
        <x:v>7d0abe3c2db2e67cce557f8d247cbcd238617d90a80745b9f2e537f2c3a0b014</x:v>
      </x:c>
      <x:c r="R1919" t="str">
        <x:v>3d7693e5f2fb4d7dbf0d2eae00ebc360e9d376c7695fd488602225ac72151361</x:v>
      </x:c>
      <x:c r="S1919" t="n">
        <x:v>6</x:v>
      </x:c>
      <x:c r="T1919" t="str">
        <x:v>2022-12-31</x:v>
      </x:c>
      <x:c r="U1919" s="57" t="n">
        <x:v>38294.196862542245</x:v>
      </x:c>
      <x:c r="V1919" s="57" t="n">
        <x:v>-0.7609600695222082</x:v>
      </x:c>
      <x:c r="W1919" t="n">
        <x:v>60</x:v>
      </x:c>
      <x:c r="X1919" t="n">
        <x:v>5</x:v>
      </x:c>
      <x:c r="Y1919" s="38" t="n">
        <x:v>0.6409090909090909</x:v>
      </x:c>
      <x:c r="Z1919" s="38" t="n">
        <x:v>0.7013426708992583</x:v>
      </x:c>
      <x:c r="AA1919"/>
    </x:row>
    <x:row r="1920">
      <x:c r="A1920" s="54" t="n">
        <x:v>45016</x:v>
      </x:c>
      <x:c r="B1920" t="n">
        <x:v>45016.624999988424</x:v>
      </x:c>
      <x:c r="C1920" t="str">
        <x:v>030530</x:v>
      </x:c>
      <x:c r="D1920" t="str">
        <x:v>원익홀딩스</x:v>
      </x:c>
      <x:c r="E1920" t="str">
        <x:v>KOSDAQ</x:v>
      </x:c>
      <x:c r="F1920" t="str">
        <x:v>LARGE</x:v>
      </x:c>
      <x:c r="G1920" t="str">
        <x:v>EXCLUDED_ARCHETYPE</x:v>
      </x:c>
      <x:c r="H1920" t="str">
        <x:v>FCFF_NOT_COMPARABLE_FOR_FINANCE_OR_HOLDING_HINT</x:v>
      </x:c>
      <x:c r="I1920" s="54"/>
      <x:c r="J1920" s="55"/>
      <x:c r="K1920" s="55"/>
      <x:c r="L1920" s="55"/>
      <x:c r="M1920"/>
      <x:c r="N1920"/>
      <x:c r="O1920" s="54"/>
      <x:c r="P1920"/>
      <x:c r="Q1920"/>
      <x:c r="R1920"/>
      <x:c r="S1920"/>
      <x:c r="T1920"/>
      <x:c r="U1920" s="57"/>
      <x:c r="V1920" s="57"/>
      <x:c r="W1920"/>
      <x:c r="X1920"/>
      <x:c r="Y1920" s="38"/>
      <x:c r="Z1920" s="38"/>
      <x:c r="AA1920"/>
    </x:row>
    <x:row r="1921">
      <x:c r="A1921" s="54" t="n">
        <x:v>45016</x:v>
      </x:c>
      <x:c r="B1921" t="n">
        <x:v>45016.624999988424</x:v>
      </x:c>
      <x:c r="C1921" t="str">
        <x:v>220100</x:v>
      </x:c>
      <x:c r="D1921" t="str">
        <x:v>퓨쳐켐</x:v>
      </x:c>
      <x:c r="E1921" t="str">
        <x:v>KOSDAQ</x:v>
      </x:c>
      <x:c r="F1921" t="str">
        <x:v>LARGE</x:v>
      </x:c>
      <x:c r="G1921" t="str">
        <x:v>DCF_SCREENING_EXCLUSION</x:v>
      </x:c>
      <x:c r="H1921" t="str">
        <x:v>NON_POSITIVE_ENTERPRISE_VALUE|NON_POSITIVE_EQUITY_VALUE|NON_POSITIVE_TERMINAL_FCF</x:v>
      </x:c>
      <x:c r="I1921" s="54" t="n">
        <x:v>45016</x:v>
      </x:c>
      <x:c r="J1921" s="55" t="n">
        <x:v>6960</x:v>
      </x:c>
      <x:c r="K1921" s="55" t="n">
        <x:v>153830998800</x:v>
      </x:c>
      <x:c r="L1921" s="55" t="n">
        <x:v>22102155</x:v>
      </x:c>
      <x:c r="M1921" t="str">
        <x:v>20230320000345</x:v>
      </x:c>
      <x:c r="N1921" t="n">
        <x:v>45005.624999988424</x:v>
      </x:c>
      <x:c r="O1921" s="54" t="n">
        <x:v>44926</x:v>
      </x:c>
      <x:c r="P1921" t="str">
        <x:v>False</x:v>
      </x:c>
      <x:c r="Q1921" t="str">
        <x:v>7ec6eadb8493835f9b76de188c2f7ef6d2f88e6a4817fe190b9a10b3e501c829</x:v>
      </x:c>
      <x:c r="R1921" t="str">
        <x:v>eb963e41b4943fbccda440cb448890fb414479c081748b40cbf9be1c68e17637</x:v>
      </x:c>
      <x:c r="S1921" t="n">
        <x:v>5</x:v>
      </x:c>
      <x:c r="T1921" t="str">
        <x:v>2018-12-31|2019-12-31|2020-12-31|2021-12-31|2022-12-31</x:v>
      </x:c>
      <x:c r="U1921" s="57" t="n">
        <x:v>-1905.7420247249058</x:v>
      </x:c>
      <x:c r="V1921" s="57" t="n">
        <x:v>-1.2738135092995555</x:v>
      </x:c>
      <x:c r="W1921"/>
      <x:c r="X1921"/>
      <x:c r="Y1921" s="38" t="n">
        <x:v>0.6409090909090909</x:v>
      </x:c>
      <x:c r="Z1921" s="38" t="n">
        <x:v>0.71127269721301</x:v>
      </x:c>
      <x:c r="AA1921" t="str">
        <x:v>NON_POSITIVE_ENTERPRISE_VALUE|NON_POSITIVE_EQUITY_VALUE|NON_POSITIVE_TERMINAL_FCF</x:v>
      </x:c>
    </x:row>
    <x:row r="1922">
      <x:c r="A1922" s="54" t="n">
        <x:v>45016</x:v>
      </x:c>
      <x:c r="B1922" t="n">
        <x:v>45016.624999988424</x:v>
      </x:c>
      <x:c r="C1922" t="str">
        <x:v>416180</x:v>
      </x:c>
      <x:c r="D1922" t="str">
        <x:v>신성에스티</x:v>
      </x:c>
      <x:c r="E1922" t="str">
        <x:v>KOSDAQ</x:v>
      </x:c>
      <x:c r="F1922" t="str">
        <x:v>LARGE</x:v>
      </x:c>
      <x:c r="G1922" t="str">
        <x:v>NOT_LISTED_OR_NO_PRICE</x:v>
      </x:c>
      <x:c r="H1922"/>
      <x:c r="I1922" s="54"/>
      <x:c r="J1922" s="55"/>
      <x:c r="K1922" s="55"/>
      <x:c r="L1922" s="55"/>
      <x:c r="M1922"/>
      <x:c r="N1922"/>
      <x:c r="O1922" s="54"/>
      <x:c r="P1922"/>
      <x:c r="Q1922"/>
      <x:c r="R1922"/>
      <x:c r="S1922"/>
      <x:c r="T1922"/>
      <x:c r="U1922" s="57"/>
      <x:c r="V1922" s="57"/>
      <x:c r="W1922"/>
      <x:c r="X1922"/>
      <x:c r="Y1922" s="38"/>
      <x:c r="Z1922" s="38"/>
      <x:c r="AA1922"/>
    </x:row>
    <x:row r="1923">
      <x:c r="A1923" s="54" t="n">
        <x:v>45016</x:v>
      </x:c>
      <x:c r="B1923" t="n">
        <x:v>45016.624999988424</x:v>
      </x:c>
      <x:c r="C1923" t="str">
        <x:v>082800</x:v>
      </x:c>
      <x:c r="D1923" t="str">
        <x:v>비보존제약</x:v>
      </x:c>
      <x:c r="E1923" t="str">
        <x:v>KOSDAQ</x:v>
      </x:c>
      <x:c r="F1923" t="str">
        <x:v>LARGE</x:v>
      </x:c>
      <x:c r="G1923" t="str">
        <x:v>DCF_SCREENING_EXCLUSION</x:v>
      </x:c>
      <x:c r="H1923" t="str">
        <x:v>NON_POSITIVE_ENTERPRISE_VALUE|NON_POSITIVE_EQUITY_VALUE|NON_POSITIVE_TERMINAL_FCF</x:v>
      </x:c>
      <x:c r="I1923" s="54" t="n">
        <x:v>45016</x:v>
      </x:c>
      <x:c r="J1923" s="55" t="n">
        <x:v>994</x:v>
      </x:c>
      <x:c r="K1923" s="55" t="n">
        <x:v>239612225538</x:v>
      </x:c>
      <x:c r="L1923" s="55" t="n">
        <x:v>241058577</x:v>
      </x:c>
      <x:c r="M1923" t="str">
        <x:v>20230328001048</x:v>
      </x:c>
      <x:c r="N1923" t="n">
        <x:v>45013.624999988424</x:v>
      </x:c>
      <x:c r="O1923" s="54" t="n">
        <x:v>44926</x:v>
      </x:c>
      <x:c r="P1923" t="str">
        <x:v>False</x:v>
      </x:c>
      <x:c r="Q1923" t="str">
        <x:v>1089e1a39a38cb6f2808b81597a204c7e159107a126f2447e76c43849160f347</x:v>
      </x:c>
      <x:c r="R1923" t="str">
        <x:v>f578a5bd2b1adff470077cb357bb4b0e613f19afb7e83e3321fbd15d64d32fec</x:v>
      </x:c>
      <x:c r="S1923" t="n">
        <x:v>7</x:v>
      </x:c>
      <x:c r="T1923" t="str">
        <x:v>2018-12-31|2019-12-31|2020-12-31|2021-12-31|2022-12-31</x:v>
      </x:c>
      <x:c r="U1923" s="57" t="n">
        <x:v>-1061.0065593308473</x:v>
      </x:c>
      <x:c r="V1923" s="57" t="n">
        <x:v>-2.0674110254837497</x:v>
      </x:c>
      <x:c r="W1923"/>
      <x:c r="X1923"/>
      <x:c r="Y1923" s="38" t="n">
        <x:v>0.6409090909090909</x:v>
      </x:c>
      <x:c r="Z1923" s="38" t="n">
        <x:v>0.7001447440711783</x:v>
      </x:c>
      <x:c r="AA1923" t="str">
        <x:v>NON_POSITIVE_ENTERPRISE_VALUE|NON_POSITIVE_EQUITY_VALUE|NON_POSITIVE_TERMINAL_FCF</x:v>
      </x:c>
    </x:row>
    <x:row r="1924">
      <x:c r="A1924" s="54" t="n">
        <x:v>45016</x:v>
      </x:c>
      <x:c r="B1924" t="n">
        <x:v>45016.624999988424</x:v>
      </x:c>
      <x:c r="C1924" t="str">
        <x:v>204620</x:v>
      </x:c>
      <x:c r="D1924" t="str">
        <x:v>글로벌텍스프리</x:v>
      </x:c>
      <x:c r="E1924" t="str">
        <x:v>KOSDAQ</x:v>
      </x:c>
      <x:c r="F1924" t="str">
        <x:v>LARGE</x:v>
      </x:c>
      <x:c r="G1924" t="str">
        <x:v>DCF_SCREENING_EXCLUSION</x:v>
      </x:c>
      <x:c r="H1924" t="str">
        <x:v>NON_POSITIVE_ENTERPRISE_VALUE|NON_POSITIVE_TERMINAL_FCF</x:v>
      </x:c>
      <x:c r="I1924" s="54" t="n">
        <x:v>45016</x:v>
      </x:c>
      <x:c r="J1924" s="55" t="n">
        <x:v>3840</x:v>
      </x:c>
      <x:c r="K1924" s="55" t="n">
        <x:v>210729676800</x:v>
      </x:c>
      <x:c r="L1924" s="55" t="n">
        <x:v>54877520</x:v>
      </x:c>
      <x:c r="M1924" t="str">
        <x:v>20230323001090</x:v>
      </x:c>
      <x:c r="N1924" t="n">
        <x:v>45008.624999988424</x:v>
      </x:c>
      <x:c r="O1924" s="54" t="n">
        <x:v>44926</x:v>
      </x:c>
      <x:c r="P1924" t="str">
        <x:v>False</x:v>
      </x:c>
      <x:c r="Q1924" t="str">
        <x:v>3ec95d2ebe9fca319c0986b7bead3941ac9505f4f62a24cf138d1287a6a6cc0a</x:v>
      </x:c>
      <x:c r="R1924" t="str">
        <x:v>92f5112f4f8c2ba9c3ff7f14625986b8716d92099e4ee1715fb8a21915a1fb2b</x:v>
      </x:c>
      <x:c r="S1924" t="n">
        <x:v>7</x:v>
      </x:c>
      <x:c r="T1924" t="str">
        <x:v>2018-12-31|2019-12-31|2020-12-31|2021-12-31|2022-12-31</x:v>
      </x:c>
      <x:c r="U1924" s="57" t="n">
        <x:v>275.16901902237873</x:v>
      </x:c>
      <x:c r="V1924" s="57" t="n">
        <x:v>-0.9283414012962555</x:v>
      </x:c>
      <x:c r="W1924"/>
      <x:c r="X1924"/>
      <x:c r="Y1924" s="38" t="n">
        <x:v>0.6409090909090909</x:v>
      </x:c>
      <x:c r="Z1924" s="38" t="n">
        <x:v>0.6756613006844315</x:v>
      </x:c>
      <x:c r="AA1924" t="str">
        <x:v>NON_POSITIVE_ENTERPRISE_VALUE|NON_POSITIVE_TERMINAL_FCF</x:v>
      </x:c>
    </x:row>
    <x:row r="1925">
      <x:c r="A1925" s="54" t="n">
        <x:v>45016</x:v>
      </x:c>
      <x:c r="B1925" t="n">
        <x:v>45016.624999988424</x:v>
      </x:c>
      <x:c r="C1925" t="str">
        <x:v>445090</x:v>
      </x:c>
      <x:c r="D1925" t="str">
        <x:v>에이직랜드</x:v>
      </x:c>
      <x:c r="E1925" t="str">
        <x:v>KOSDAQ</x:v>
      </x:c>
      <x:c r="F1925" t="str">
        <x:v>LARGE</x:v>
      </x:c>
      <x:c r="G1925" t="str">
        <x:v>NOT_LISTED_OR_NO_PRICE</x:v>
      </x:c>
      <x:c r="H1925"/>
      <x:c r="I1925" s="54"/>
      <x:c r="J1925" s="55"/>
      <x:c r="K1925" s="55"/>
      <x:c r="L1925" s="55"/>
      <x:c r="M1925"/>
      <x:c r="N1925"/>
      <x:c r="O1925" s="54"/>
      <x:c r="P1925"/>
      <x:c r="Q1925"/>
      <x:c r="R1925"/>
      <x:c r="S1925"/>
      <x:c r="T1925"/>
      <x:c r="U1925" s="57"/>
      <x:c r="V1925" s="57"/>
      <x:c r="W1925"/>
      <x:c r="X1925"/>
      <x:c r="Y1925" s="38"/>
      <x:c r="Z1925" s="38"/>
      <x:c r="AA1925"/>
    </x:row>
    <x:row r="1926">
      <x:c r="A1926" s="54" t="n">
        <x:v>45016</x:v>
      </x:c>
      <x:c r="B1926" t="n">
        <x:v>45016.624999988424</x:v>
      </x:c>
      <x:c r="C1926" t="str">
        <x:v>115450</x:v>
      </x:c>
      <x:c r="D1926" t="str">
        <x:v>HLB테라퓨틱스</x:v>
      </x:c>
      <x:c r="E1926" t="str">
        <x:v>KOSDAQ</x:v>
      </x:c>
      <x:c r="F1926" t="str">
        <x:v>LARGE</x:v>
      </x:c>
      <x:c r="G1926" t="str">
        <x:v>DCF_SCREENING_EXCLUSION</x:v>
      </x:c>
      <x:c r="H1926" t="str">
        <x:v>NON_POSITIVE_ENTERPRISE_VALUE|NON_POSITIVE_EQUITY_VALUE|NON_POSITIVE_TERMINAL_FCF</x:v>
      </x:c>
      <x:c r="I1926" s="54" t="n">
        <x:v>45016</x:v>
      </x:c>
      <x:c r="J1926" s="55" t="n">
        <x:v>5290</x:v>
      </x:c>
      <x:c r="K1926" s="55" t="n">
        <x:v>185121106020</x:v>
      </x:c>
      <x:c r="L1926" s="55" t="n">
        <x:v>34994538</x:v>
      </x:c>
      <x:c r="M1926" t="str">
        <x:v>20230320000967</x:v>
      </x:c>
      <x:c r="N1926" t="n">
        <x:v>45005.624999988424</x:v>
      </x:c>
      <x:c r="O1926" s="54" t="n">
        <x:v>44926</x:v>
      </x:c>
      <x:c r="P1926" t="str">
        <x:v>False</x:v>
      </x:c>
      <x:c r="Q1926" t="str">
        <x:v>43c5581a84ff782cb63aa1b77c3733defee328c638dfc4028f3f09e0f4ea871c</x:v>
      </x:c>
      <x:c r="R1926" t="str">
        <x:v>097a8615af1a7c06ecd02ca9150f146d7b07109487f1f952d6ab4959fca8168e</x:v>
      </x:c>
      <x:c r="S1926" t="n">
        <x:v>6</x:v>
      </x:c>
      <x:c r="T1926" t="str">
        <x:v>2018-12-31|2019-12-31|2020-12-31|2021-12-31|2022-12-31</x:v>
      </x:c>
      <x:c r="U1926" s="57" t="n">
        <x:v>-3424.5906124702938</x:v>
      </x:c>
      <x:c r="V1926" s="57" t="n">
        <x:v>-1.647370626175859</x:v>
      </x:c>
      <x:c r="W1926"/>
      <x:c r="X1926"/>
      <x:c r="Y1926" s="38" t="n">
        <x:v>0.6409090909090909</x:v>
      </x:c>
      <x:c r="Z1926" s="38" t="n">
        <x:v>0.7057538470399946</x:v>
      </x:c>
      <x:c r="AA1926" t="str">
        <x:v>NON_POSITIVE_ENTERPRISE_VALUE|NON_POSITIVE_EQUITY_VALUE|NON_POSITIVE_TERMINAL_FCF</x:v>
      </x:c>
    </x:row>
    <x:row r="1927">
      <x:c r="A1927" s="54" t="n">
        <x:v>45016</x:v>
      </x:c>
      <x:c r="B1927" t="n">
        <x:v>45016.624999988424</x:v>
      </x:c>
      <x:c r="C1927" t="str">
        <x:v>035420</x:v>
      </x:c>
      <x:c r="D1927" t="str">
        <x:v>NAVER</x:v>
      </x:c>
      <x:c r="E1927" t="str">
        <x:v>KOSPI</x:v>
      </x:c>
      <x:c r="F1927" t="str">
        <x:v>LARGE</x:v>
      </x:c>
      <x:c r="G1927" t="str">
        <x:v>ELIGIBLE</x:v>
      </x:c>
      <x:c r="H1927"/>
      <x:c r="I1927" s="54" t="n">
        <x:v>45016</x:v>
      </x:c>
      <x:c r="J1927" s="55" t="n">
        <x:v>202000</x:v>
      </x:c>
      <x:c r="K1927" s="55" t="n">
        <x:v>33137915170000</x:v>
      </x:c>
      <x:c r="L1927" s="55" t="n">
        <x:v>164049085</x:v>
      </x:c>
      <x:c r="M1927" t="str">
        <x:v>20230314001049</x:v>
      </x:c>
      <x:c r="N1927" t="n">
        <x:v>44999.624999988424</x:v>
      </x:c>
      <x:c r="O1927" s="54" t="n">
        <x:v>44926</x:v>
      </x:c>
      <x:c r="P1927" t="str">
        <x:v>False</x:v>
      </x:c>
      <x:c r="Q1927" t="str">
        <x:v>fc1ed41d4fc38278f26529d9a3d8cba8cd6ea9d8f903f6e93c018269280cc70f</x:v>
      </x:c>
      <x:c r="R1927" t="str">
        <x:v>3d165e6cc6c8fdaa49338afbad87f1bd4bc43eadb4a29de48fa6421d0cb02ca0</x:v>
      </x:c>
      <x:c r="S1927" t="n">
        <x:v>6</x:v>
      </x:c>
      <x:c r="T1927" t="str">
        <x:v>2018-12-31|2019-12-31|2020-12-31|2021-12-31|2022-12-31</x:v>
      </x:c>
      <x:c r="U1927" s="57" t="n">
        <x:v>89111.16136054214</x:v>
      </x:c>
      <x:c r="V1927" s="57" t="n">
        <x:v>-0.5588556368289993</x:v>
      </x:c>
      <x:c r="W1927" t="n">
        <x:v>50</x:v>
      </x:c>
      <x:c r="X1927" t="n">
        <x:v>4</x:v>
      </x:c>
      <x:c r="Y1927" s="38" t="n">
        <x:v>0.6409090909090909</x:v>
      </x:c>
      <x:c r="Z1927" s="38" t="n">
        <x:v>0.7279878466368126</x:v>
      </x:c>
      <x:c r="AA1927"/>
    </x:row>
    <x:row r="1928">
      <x:c r="A1928" s="54" t="n">
        <x:v>45016</x:v>
      </x:c>
      <x:c r="B1928" t="n">
        <x:v>45016.624999988424</x:v>
      </x:c>
      <x:c r="C1928" t="str">
        <x:v>030200</x:v>
      </x:c>
      <x:c r="D1928" t="str">
        <x:v>KT</x:v>
      </x:c>
      <x:c r="E1928" t="str">
        <x:v>KOSPI</x:v>
      </x:c>
      <x:c r="F1928" t="str">
        <x:v>LARGE</x:v>
      </x:c>
      <x:c r="G1928" t="str">
        <x:v>ELIGIBLE</x:v>
      </x:c>
      <x:c r="H1928"/>
      <x:c r="I1928" s="54" t="n">
        <x:v>45016</x:v>
      </x:c>
      <x:c r="J1928" s="55" t="n">
        <x:v>29450</x:v>
      </x:c>
      <x:c r="K1928" s="55" t="n">
        <x:v>7689742745600</x:v>
      </x:c>
      <x:c r="L1928" s="55" t="n">
        <x:v>261111808</x:v>
      </x:c>
      <x:c r="M1928" t="str">
        <x:v>20230323001449</x:v>
      </x:c>
      <x:c r="N1928" t="n">
        <x:v>45008.624999988424</x:v>
      </x:c>
      <x:c r="O1928" s="54" t="n">
        <x:v>44926</x:v>
      </x:c>
      <x:c r="P1928" t="str">
        <x:v>False</x:v>
      </x:c>
      <x:c r="Q1928" t="str">
        <x:v>044f2849ec1d04bd36d5ed48f040e70c583ee294c9e797bbe2e14dddb88b758c</x:v>
      </x:c>
      <x:c r="R1928" t="str">
        <x:v>59fdbb73f815bf3eefdbccd654c56048e5d9d74e941b63292c3ca1c415ceece8</x:v>
      </x:c>
      <x:c r="S1928" t="n">
        <x:v>6</x:v>
      </x:c>
      <x:c r="T1928" t="str">
        <x:v>2018-12-31|2019-12-31|2020-12-31|2021-12-31|2022-12-31</x:v>
      </x:c>
      <x:c r="U1928" s="57" t="n">
        <x:v>51726.25597941731</x:v>
      </x:c>
      <x:c r="V1928" s="57" t="n">
        <x:v>0.7564093711177353</x:v>
      </x:c>
      <x:c r="W1928" t="n">
        <x:v>14</x:v>
      </x:c>
      <x:c r="X1928" t="n">
        <x:v>1</x:v>
      </x:c>
      <x:c r="Y1928" s="38" t="n">
        <x:v>0.6409090909090909</x:v>
      </x:c>
      <x:c r="Z1928" s="38" t="n">
        <x:v>0.6742753945181887</x:v>
      </x:c>
      <x:c r="AA1928"/>
    </x:row>
    <x:row r="1929">
      <x:c r="A1929" s="54" t="n">
        <x:v>45016</x:v>
      </x:c>
      <x:c r="B1929" t="n">
        <x:v>45016.624999988424</x:v>
      </x:c>
      <x:c r="C1929" t="str">
        <x:v>018260</x:v>
      </x:c>
      <x:c r="D1929" t="str">
        <x:v>삼성에스디에스</x:v>
      </x:c>
      <x:c r="E1929" t="str">
        <x:v>KOSPI</x:v>
      </x:c>
      <x:c r="F1929" t="str">
        <x:v>LARGE</x:v>
      </x:c>
      <x:c r="G1929" t="str">
        <x:v>ELIGIBLE</x:v>
      </x:c>
      <x:c r="H1929"/>
      <x:c r="I1929" s="54" t="n">
        <x:v>45016</x:v>
      </x:c>
      <x:c r="J1929" s="55" t="n">
        <x:v>116000</x:v>
      </x:c>
      <x:c r="K1929" s="55" t="n">
        <x:v>8975824800000</x:v>
      </x:c>
      <x:c r="L1929" s="55" t="n">
        <x:v>77377800</x:v>
      </x:c>
      <x:c r="M1929" t="str">
        <x:v>20230307000606</x:v>
      </x:c>
      <x:c r="N1929" t="n">
        <x:v>44992.624999988424</x:v>
      </x:c>
      <x:c r="O1929" s="54" t="n">
        <x:v>44926</x:v>
      </x:c>
      <x:c r="P1929" t="str">
        <x:v>False</x:v>
      </x:c>
      <x:c r="Q1929" t="str">
        <x:v>64f48f5dc4db2a5a6c8ec62f6705c13326df4d2e701965db8b07c8fef246a2dc</x:v>
      </x:c>
      <x:c r="R1929" t="str">
        <x:v>f72238505a70cc0304f142443e7c469fd8f851e9f0178ce5f2b070e999040cd9</x:v>
      </x:c>
      <x:c r="S1929" t="n">
        <x:v>6</x:v>
      </x:c>
      <x:c r="T1929" t="str">
        <x:v>2018-12-31|2019-12-31|2020-12-31|2021-12-31|2022-12-31</x:v>
      </x:c>
      <x:c r="U1929" s="57" t="n">
        <x:v>203958.71563335948</x:v>
      </x:c>
      <x:c r="V1929" s="57" t="n">
        <x:v>0.7582647899427541</x:v>
      </x:c>
      <x:c r="W1929" t="n">
        <x:v>13</x:v>
      </x:c>
      <x:c r="X1929" t="n">
        <x:v>1</x:v>
      </x:c>
      <x:c r="Y1929" s="38" t="n">
        <x:v>0.6409090909090909</x:v>
      </x:c>
      <x:c r="Z1929" s="38" t="n">
        <x:v>0.7570259880761849</x:v>
      </x:c>
      <x:c r="AA1929"/>
    </x:row>
    <x:row r="1930">
      <x:c r="A1930" s="54" t="n">
        <x:v>45016</x:v>
      </x:c>
      <x:c r="B1930" t="n">
        <x:v>45016.624999988424</x:v>
      </x:c>
      <x:c r="C1930" t="str">
        <x:v>090430</x:v>
      </x:c>
      <x:c r="D1930" t="str">
        <x:v>아모레퍼시픽</x:v>
      </x:c>
      <x:c r="E1930" t="str">
        <x:v>KOSPI</x:v>
      </x:c>
      <x:c r="F1930" t="str">
        <x:v>LARGE</x:v>
      </x:c>
      <x:c r="G1930" t="str">
        <x:v>ELIGIBLE</x:v>
      </x:c>
      <x:c r="H1930"/>
      <x:c r="I1930" s="54" t="n">
        <x:v>45016</x:v>
      </x:c>
      <x:c r="J1930" s="55" t="n">
        <x:v>136800</x:v>
      </x:c>
      <x:c r="K1930" s="55" t="n">
        <x:v>8001809431200</x:v>
      </x:c>
      <x:c r="L1930" s="55" t="n">
        <x:v>58492759</x:v>
      </x:c>
      <x:c r="M1930" t="str">
        <x:v>20230309000802</x:v>
      </x:c>
      <x:c r="N1930" t="n">
        <x:v>44994.624999988424</x:v>
      </x:c>
      <x:c r="O1930" s="54" t="n">
        <x:v>44926</x:v>
      </x:c>
      <x:c r="P1930" t="str">
        <x:v>False</x:v>
      </x:c>
      <x:c r="Q1930" t="str">
        <x:v>d6b5343ded45a0ed3298fbb883de270c52464aa84e6334b3918e7aeca0ab6d2c</x:v>
      </x:c>
      <x:c r="R1930" t="str">
        <x:v>e168759bcf1a4f13c49c3a66ce21aa55fdb69f49dd3eb886f3afa090ca1b0a33</x:v>
      </x:c>
      <x:c r="S1930" t="n">
        <x:v>6</x:v>
      </x:c>
      <x:c r="T1930" t="str">
        <x:v>2018-12-31|2019-12-31|2020-12-31|2021-12-31|2022-12-31</x:v>
      </x:c>
      <x:c r="U1930" s="57" t="n">
        <x:v>31271.886517952382</x:v>
      </x:c>
      <x:c r="V1930" s="57" t="n">
        <x:v>-0.7714043383190615</x:v>
      </x:c>
      <x:c r="W1930" t="n">
        <x:v>61</x:v>
      </x:c>
      <x:c r="X1930" t="n">
        <x:v>5</x:v>
      </x:c>
      <x:c r="Y1930" s="38" t="n">
        <x:v>0.6409090909090909</x:v>
      </x:c>
      <x:c r="Z1930" s="38" t="n">
        <x:v>0.7230246318925964</x:v>
      </x:c>
      <x:c r="AA1930"/>
    </x:row>
    <x:row r="1931">
      <x:c r="A1931" s="54" t="n">
        <x:v>45016</x:v>
      </x:c>
      <x:c r="B1931" t="n">
        <x:v>45016.624999988424</x:v>
      </x:c>
      <x:c r="C1931" t="str">
        <x:v>278470</x:v>
      </x:c>
      <x:c r="D1931" t="str">
        <x:v>에이피알</x:v>
      </x:c>
      <x:c r="E1931" t="str">
        <x:v>KOSPI</x:v>
      </x:c>
      <x:c r="F1931" t="str">
        <x:v>LARGE</x:v>
      </x:c>
      <x:c r="G1931" t="str">
        <x:v>NOT_LISTED_OR_NO_PRICE</x:v>
      </x:c>
      <x:c r="H1931"/>
      <x:c r="I1931" s="54"/>
      <x:c r="J1931" s="55"/>
      <x:c r="K1931" s="55"/>
      <x:c r="L1931" s="55"/>
      <x:c r="M1931"/>
      <x:c r="N1931"/>
      <x:c r="O1931" s="54"/>
      <x:c r="P1931"/>
      <x:c r="Q1931"/>
      <x:c r="R1931"/>
      <x:c r="S1931"/>
      <x:c r="T1931"/>
      <x:c r="U1931" s="57"/>
      <x:c r="V1931" s="57"/>
      <x:c r="W1931"/>
      <x:c r="X1931"/>
      <x:c r="Y1931" s="38"/>
      <x:c r="Z1931" s="38"/>
      <x:c r="AA1931"/>
    </x:row>
    <x:row r="1932">
      <x:c r="A1932" s="54" t="n">
        <x:v>45016</x:v>
      </x:c>
      <x:c r="B1932" t="n">
        <x:v>45016.624999988424</x:v>
      </x:c>
      <x:c r="C1932" t="str">
        <x:v>006260</x:v>
      </x:c>
      <x:c r="D1932" t="str">
        <x:v>LS</x:v>
      </x:c>
      <x:c r="E1932" t="str">
        <x:v>KOSPI</x:v>
      </x:c>
      <x:c r="F1932" t="str">
        <x:v>LARGE</x:v>
      </x:c>
      <x:c r="G1932" t="str">
        <x:v>ELIGIBLE</x:v>
      </x:c>
      <x:c r="H1932"/>
      <x:c r="I1932" s="54" t="n">
        <x:v>45016</x:v>
      </x:c>
      <x:c r="J1932" s="55" t="n">
        <x:v>79600</x:v>
      </x:c>
      <x:c r="K1932" s="55" t="n">
        <x:v>2563120000000</x:v>
      </x:c>
      <x:c r="L1932" s="55" t="n">
        <x:v>32200000</x:v>
      </x:c>
      <x:c r="M1932" t="str">
        <x:v>20230328001040</x:v>
      </x:c>
      <x:c r="N1932" t="n">
        <x:v>45013.624999988424</x:v>
      </x:c>
      <x:c r="O1932" s="54" t="n">
        <x:v>44926</x:v>
      </x:c>
      <x:c r="P1932" t="str">
        <x:v>True</x:v>
      </x:c>
      <x:c r="Q1932" t="str">
        <x:v>2c4903a558903f24909349b79c110c56cce7532e60a36029b95b0778a9705d3d</x:v>
      </x:c>
      <x:c r="R1932" t="str">
        <x:v>a6c68d2073430c99706b76a0100fe777df594ac87daaf851aff9b27330b79c3e</x:v>
      </x:c>
      <x:c r="S1932" t="n">
        <x:v>6</x:v>
      </x:c>
      <x:c r="T1932" t="str">
        <x:v>2017-12-31|2018-12-31|2019-12-31|2020-12-31|2021-12-31|2022-12-31</x:v>
      </x:c>
      <x:c r="U1932" s="57" t="n">
        <x:v>49400.48191858793</x:v>
      </x:c>
      <x:c r="V1932" s="57" t="n">
        <x:v>-0.3793909306710059</x:v>
      </x:c>
      <x:c r="W1932" t="n">
        <x:v>36</x:v>
      </x:c>
      <x:c r="X1932" t="n">
        <x:v>3</x:v>
      </x:c>
      <x:c r="Y1932" s="38" t="n">
        <x:v>0.6409090909090909</x:v>
      </x:c>
      <x:c r="Z1932" s="38" t="n">
        <x:v>0.7624837205709267</x:v>
      </x:c>
      <x:c r="AA1932"/>
    </x:row>
    <x:row r="1933">
      <x:c r="A1933" s="54" t="n">
        <x:v>45016</x:v>
      </x:c>
      <x:c r="B1933" t="n">
        <x:v>45016.624999988424</x:v>
      </x:c>
      <x:c r="C1933" t="str">
        <x:v>454910</x:v>
      </x:c>
      <x:c r="D1933" t="str">
        <x:v>두산로보틱스</x:v>
      </x:c>
      <x:c r="E1933" t="str">
        <x:v>KOSPI</x:v>
      </x:c>
      <x:c r="F1933" t="str">
        <x:v>LARGE</x:v>
      </x:c>
      <x:c r="G1933" t="str">
        <x:v>NOT_LISTED_OR_NO_PRICE</x:v>
      </x:c>
      <x:c r="H1933"/>
      <x:c r="I1933" s="54"/>
      <x:c r="J1933" s="55"/>
      <x:c r="K1933" s="55"/>
      <x:c r="L1933" s="55"/>
      <x:c r="M1933"/>
      <x:c r="N1933"/>
      <x:c r="O1933" s="54"/>
      <x:c r="P1933"/>
      <x:c r="Q1933"/>
      <x:c r="R1933"/>
      <x:c r="S1933"/>
      <x:c r="T1933"/>
      <x:c r="U1933" s="57"/>
      <x:c r="V1933" s="57"/>
      <x:c r="W1933"/>
      <x:c r="X1933"/>
      <x:c r="Y1933" s="38"/>
      <x:c r="Z1933" s="38"/>
      <x:c r="AA1933"/>
    </x:row>
    <x:row r="1934">
      <x:c r="A1934" s="54" t="n">
        <x:v>45016</x:v>
      </x:c>
      <x:c r="B1934" t="n">
        <x:v>45016.624999988424</x:v>
      </x:c>
      <x:c r="C1934" t="str">
        <x:v>012750</x:v>
      </x:c>
      <x:c r="D1934" t="str">
        <x:v>에스원</x:v>
      </x:c>
      <x:c r="E1934" t="str">
        <x:v>KOSPI</x:v>
      </x:c>
      <x:c r="F1934" t="str">
        <x:v>LARGE</x:v>
      </x:c>
      <x:c r="G1934" t="str">
        <x:v>ELIGIBLE</x:v>
      </x:c>
      <x:c r="H1934"/>
      <x:c r="I1934" s="54" t="n">
        <x:v>45016</x:v>
      </x:c>
      <x:c r="J1934" s="55" t="n">
        <x:v>55300</x:v>
      </x:c>
      <x:c r="K1934" s="55" t="n">
        <x:v>2101354543400</x:v>
      </x:c>
      <x:c r="L1934" s="55" t="n">
        <x:v>37999178</x:v>
      </x:c>
      <x:c r="M1934" t="str">
        <x:v>20230307000691</x:v>
      </x:c>
      <x:c r="N1934" t="n">
        <x:v>44992.624999988424</x:v>
      </x:c>
      <x:c r="O1934" s="54" t="n">
        <x:v>44926</x:v>
      </x:c>
      <x:c r="P1934" t="str">
        <x:v>False</x:v>
      </x:c>
      <x:c r="Q1934" t="str">
        <x:v>692fe957e6126787948d2eba7f313adcccbc5912515ff301764369c6d68d027a</x:v>
      </x:c>
      <x:c r="R1934" t="str">
        <x:v>e45d058dc9691180d1bb7d7114ec52a51d42759bd68e49625f812715c828d7ff</x:v>
      </x:c>
      <x:c r="S1934" t="n">
        <x:v>6</x:v>
      </x:c>
      <x:c r="T1934" t="str">
        <x:v>2018-12-31|2019-12-31|2020-12-31|2021-12-31|2022-12-31</x:v>
      </x:c>
      <x:c r="U1934" s="57" t="n">
        <x:v>52495.34633590365</x:v>
      </x:c>
      <x:c r="V1934" s="57" t="n">
        <x:v>-0.050717064450205324</x:v>
      </x:c>
      <x:c r="W1934" t="n">
        <x:v>28</x:v>
      </x:c>
      <x:c r="X1934" t="n">
        <x:v>2</x:v>
      </x:c>
      <x:c r="Y1934" s="38" t="n">
        <x:v>0.6409090909090909</x:v>
      </x:c>
      <x:c r="Z1934" s="38" t="n">
        <x:v>0.7199494637119179</x:v>
      </x:c>
      <x:c r="AA1934"/>
    </x:row>
    <x:row r="1935">
      <x:c r="A1935" s="54" t="n">
        <x:v>45016</x:v>
      </x:c>
      <x:c r="B1935" t="n">
        <x:v>45016.624999988424</x:v>
      </x:c>
      <x:c r="C1935" t="str">
        <x:v>081660</x:v>
      </x:c>
      <x:c r="D1935" t="str">
        <x:v>미스토홀딩스</x:v>
      </x:c>
      <x:c r="E1935" t="str">
        <x:v>KOSPI</x:v>
      </x:c>
      <x:c r="F1935" t="str">
        <x:v>LARGE</x:v>
      </x:c>
      <x:c r="G1935" t="str">
        <x:v>EXCLUDED_ARCHETYPE</x:v>
      </x:c>
      <x:c r="H1935" t="str">
        <x:v>FCFF_NOT_COMPARABLE_FOR_FINANCE_OR_HOLDING_HINT</x:v>
      </x:c>
      <x:c r="I1935" s="54"/>
      <x:c r="J1935" s="55"/>
      <x:c r="K1935" s="55"/>
      <x:c r="L1935" s="55"/>
      <x:c r="M1935"/>
      <x:c r="N1935"/>
      <x:c r="O1935" s="54"/>
      <x:c r="P1935"/>
      <x:c r="Q1935"/>
      <x:c r="R1935"/>
      <x:c r="S1935"/>
      <x:c r="T1935"/>
      <x:c r="U1935" s="57"/>
      <x:c r="V1935" s="57"/>
      <x:c r="W1935"/>
      <x:c r="X1935"/>
      <x:c r="Y1935" s="38"/>
      <x:c r="Z1935" s="38"/>
      <x:c r="AA1935"/>
    </x:row>
    <x:row r="1936">
      <x:c r="A1936" s="54" t="n">
        <x:v>45016</x:v>
      </x:c>
      <x:c r="B1936" t="n">
        <x:v>45016.624999988424</x:v>
      </x:c>
      <x:c r="C1936" t="str">
        <x:v>282330</x:v>
      </x:c>
      <x:c r="D1936" t="str">
        <x:v>BGF리테일</x:v>
      </x:c>
      <x:c r="E1936" t="str">
        <x:v>KOSPI</x:v>
      </x:c>
      <x:c r="F1936" t="str">
        <x:v>LARGE</x:v>
      </x:c>
      <x:c r="G1936" t="str">
        <x:v>ELIGIBLE</x:v>
      </x:c>
      <x:c r="H1936"/>
      <x:c r="I1936" s="54" t="n">
        <x:v>45016</x:v>
      </x:c>
      <x:c r="J1936" s="55" t="n">
        <x:v>181700</x:v>
      </x:c>
      <x:c r="K1936" s="55" t="n">
        <x:v>3140485720200</x:v>
      </x:c>
      <x:c r="L1936" s="55" t="n">
        <x:v>17283906</x:v>
      </x:c>
      <x:c r="M1936" t="str">
        <x:v>20230320000886</x:v>
      </x:c>
      <x:c r="N1936" t="n">
        <x:v>45005.624999988424</x:v>
      </x:c>
      <x:c r="O1936" s="54" t="n">
        <x:v>44926</x:v>
      </x:c>
      <x:c r="P1936" t="str">
        <x:v>False</x:v>
      </x:c>
      <x:c r="Q1936" t="str">
        <x:v>92306acfdc30eed7e30ba47d2a8102d3b3e5a1df1837216303162f05ac868521</x:v>
      </x:c>
      <x:c r="R1936" t="str">
        <x:v>5d1419fc0c2ceb7a4ac8fbdc531e5d805f10edde74f547d123acd9092e75b90c</x:v>
      </x:c>
      <x:c r="S1936" t="n">
        <x:v>6</x:v>
      </x:c>
      <x:c r="T1936" t="str">
        <x:v>2018-12-31|2019-12-31|2020-12-31|2021-12-31|2022-12-31</x:v>
      </x:c>
      <x:c r="U1936" s="57" t="n">
        <x:v>123697.22461208185</x:v>
      </x:c>
      <x:c r="V1936" s="57" t="n">
        <x:v>-0.31922275942717754</x:v>
      </x:c>
      <x:c r="W1936" t="n">
        <x:v>31</x:v>
      </x:c>
      <x:c r="X1936" t="n">
        <x:v>3</x:v>
      </x:c>
      <x:c r="Y1936" s="38" t="n">
        <x:v>0.6409090909090909</x:v>
      </x:c>
      <x:c r="Z1936" s="38" t="n">
        <x:v>0.7049844647428032</x:v>
      </x:c>
      <x:c r="AA1936"/>
    </x:row>
    <x:row r="1937">
      <x:c r="A1937" s="54" t="n">
        <x:v>45016</x:v>
      </x:c>
      <x:c r="B1937" t="n">
        <x:v>45016.624999988424</x:v>
      </x:c>
      <x:c r="C1937" t="str">
        <x:v>023590</x:v>
      </x:c>
      <x:c r="D1937" t="str">
        <x:v>다우기술</x:v>
      </x:c>
      <x:c r="E1937" t="str">
        <x:v>KOSPI</x:v>
      </x:c>
      <x:c r="F1937" t="str">
        <x:v>LARGE</x:v>
      </x:c>
      <x:c r="G1937" t="str">
        <x:v>ELIGIBLE</x:v>
      </x:c>
      <x:c r="H1937"/>
      <x:c r="I1937" s="54" t="n">
        <x:v>45016</x:v>
      </x:c>
      <x:c r="J1937" s="55" t="n">
        <x:v>20900</x:v>
      </x:c>
      <x:c r="K1937" s="55" t="n">
        <x:v>937712295300</x:v>
      </x:c>
      <x:c r="L1937" s="55" t="n">
        <x:v>44866617</x:v>
      </x:c>
      <x:c r="M1937" t="str">
        <x:v>20230321001409</x:v>
      </x:c>
      <x:c r="N1937" t="n">
        <x:v>45006.624999988424</x:v>
      </x:c>
      <x:c r="O1937" s="54" t="n">
        <x:v>44926</x:v>
      </x:c>
      <x:c r="P1937" t="str">
        <x:v>False</x:v>
      </x:c>
      <x:c r="Q1937" t="str">
        <x:v>43f9011e13a6c1104f14f228418743de4a4f532e7fb65eb01013e548ec249b88</x:v>
      </x:c>
      <x:c r="R1937" t="str">
        <x:v>fd2c2d3ef3c201d1d36a6b87ac06dfad453770cb20a0e62775793f590facd783</x:v>
      </x:c>
      <x:c r="S1937" t="n">
        <x:v>7</x:v>
      </x:c>
      <x:c r="T1937" t="str">
        <x:v>2015-12-31|2016-12-31|2017-12-31|2018-12-31|2019-12-31|2020-12-31|2021-12-31|2022-12-31</x:v>
      </x:c>
      <x:c r="U1937" s="57" t="n">
        <x:v>159110.39953523592</x:v>
      </x:c>
      <x:c r="V1937" s="57" t="n">
        <x:v>6.612937776805546</x:v>
      </x:c>
      <x:c r="W1937" t="n">
        <x:v>3</x:v>
      </x:c>
      <x:c r="X1937" t="n">
        <x:v>1</x:v>
      </x:c>
      <x:c r="Y1937" s="38" t="n">
        <x:v>0.6409090909090909</x:v>
      </x:c>
      <x:c r="Z1937" s="38" t="n">
        <x:v>0.792819241127968</x:v>
      </x:c>
      <x:c r="AA1937"/>
    </x:row>
    <x:row r="1938">
      <x:c r="A1938" s="54" t="n">
        <x:v>45016</x:v>
      </x:c>
      <x:c r="B1938" t="n">
        <x:v>45016.624999988424</x:v>
      </x:c>
      <x:c r="C1938" t="str">
        <x:v>300720</x:v>
      </x:c>
      <x:c r="D1938" t="str">
        <x:v>한일시멘트</x:v>
      </x:c>
      <x:c r="E1938" t="str">
        <x:v>KOSPI</x:v>
      </x:c>
      <x:c r="F1938" t="str">
        <x:v>LARGE</x:v>
      </x:c>
      <x:c r="G1938" t="str">
        <x:v>ELIGIBLE</x:v>
      </x:c>
      <x:c r="H1938"/>
      <x:c r="I1938" s="54" t="n">
        <x:v>45016</x:v>
      </x:c>
      <x:c r="J1938" s="55" t="n">
        <x:v>12950</x:v>
      </x:c>
      <x:c r="K1938" s="55" t="n">
        <x:v>896936943000</x:v>
      </x:c>
      <x:c r="L1938" s="55" t="n">
        <x:v>69261540</x:v>
      </x:c>
      <x:c r="M1938" t="str">
        <x:v>20230317000994</x:v>
      </x:c>
      <x:c r="N1938" t="n">
        <x:v>45002.624999988424</x:v>
      </x:c>
      <x:c r="O1938" s="54" t="n">
        <x:v>44926</x:v>
      </x:c>
      <x:c r="P1938" t="str">
        <x:v>False</x:v>
      </x:c>
      <x:c r="Q1938" t="str">
        <x:v>6abc801668d3125de27188d6f1996b6de4fd33cf47871ff5d1e5999d43751c2b</x:v>
      </x:c>
      <x:c r="R1938" t="str">
        <x:v>d650e81aaea73c9bc1854d36faa62b92d9063f3dd9d2746db2e30d0ff1bf699d</x:v>
      </x:c>
      <x:c r="S1938" t="n">
        <x:v>6</x:v>
      </x:c>
      <x:c r="T1938" t="str">
        <x:v>2019-12-31|2020-12-31|2021-12-31|2022-12-31</x:v>
      </x:c>
      <x:c r="U1938" s="57" t="n">
        <x:v>17781.56488950039</x:v>
      </x:c>
      <x:c r="V1938" s="57" t="n">
        <x:v>0.37309381386103413</x:v>
      </x:c>
      <x:c r="W1938" t="n">
        <x:v>18</x:v>
      </x:c>
      <x:c r="X1938" t="n">
        <x:v>2</x:v>
      </x:c>
      <x:c r="Y1938" s="38" t="n">
        <x:v>0.6409090909090909</x:v>
      </x:c>
      <x:c r="Z1938" s="38" t="n">
        <x:v>0.7311050710300705</x:v>
      </x:c>
      <x:c r="AA1938"/>
    </x:row>
    <x:row r="1939">
      <x:c r="A1939" s="54" t="n">
        <x:v>45016</x:v>
      </x:c>
      <x:c r="B1939" t="n">
        <x:v>45016.624999988424</x:v>
      </x:c>
      <x:c r="C1939" t="str">
        <x:v>007070</x:v>
      </x:c>
      <x:c r="D1939" t="str">
        <x:v>GS리테일</x:v>
      </x:c>
      <x:c r="E1939" t="str">
        <x:v>KOSPI</x:v>
      </x:c>
      <x:c r="F1939" t="str">
        <x:v>LARGE</x:v>
      </x:c>
      <x:c r="G1939" t="str">
        <x:v>DCF_SCREENING_EXCLUSION</x:v>
      </x:c>
      <x:c r="H1939" t="str">
        <x:v>NON_POSITIVE_EQUITY_VALUE</x:v>
      </x:c>
      <x:c r="I1939" s="54" t="n">
        <x:v>45016</x:v>
      </x:c>
      <x:c r="J1939" s="55" t="n">
        <x:v>28350</x:v>
      </x:c>
      <x:c r="K1939" s="55" t="n">
        <x:v>2968753088700</x:v>
      </x:c>
      <x:c r="L1939" s="55" t="n">
        <x:v>104717922</x:v>
      </x:c>
      <x:c r="M1939" t="str">
        <x:v>20230315001215</x:v>
      </x:c>
      <x:c r="N1939" t="n">
        <x:v>45000.624999988424</x:v>
      </x:c>
      <x:c r="O1939" s="54" t="n">
        <x:v>44926</x:v>
      </x:c>
      <x:c r="P1939" t="str">
        <x:v>False</x:v>
      </x:c>
      <x:c r="Q1939" t="str">
        <x:v>2d7330d69501024633830936227f955a3c3dffcecc607f130145b446e60fe28b</x:v>
      </x:c>
      <x:c r="R1939" t="str">
        <x:v>0ea87851572f603449d33f189fa59967316ad8c41d2b2703c3aa0c2a1942827b</x:v>
      </x:c>
      <x:c r="S1939" t="n">
        <x:v>6</x:v>
      </x:c>
      <x:c r="T1939" t="str">
        <x:v>2018-12-31|2019-12-31|2020-12-31|2021-12-31|2022-12-31</x:v>
      </x:c>
      <x:c r="U1939" s="57" t="n">
        <x:v>-2540.8003151724643</x:v>
      </x:c>
      <x:c r="V1939" s="57" t="n">
        <x:v>-1.0896225860731028</x:v>
      </x:c>
      <x:c r="W1939"/>
      <x:c r="X1939"/>
      <x:c r="Y1939" s="38" t="n">
        <x:v>0.6409090909090909</x:v>
      </x:c>
      <x:c r="Z1939" s="38" t="n">
        <x:v>0.7067535791273925</x:v>
      </x:c>
      <x:c r="AA1939" t="str">
        <x:v>NON_POSITIVE_EQUITY_VALUE</x:v>
      </x:c>
    </x:row>
    <x:row r="1940">
      <x:c r="A1940" s="54" t="n">
        <x:v>45016</x:v>
      </x:c>
      <x:c r="B1940" t="n">
        <x:v>45016.624999988424</x:v>
      </x:c>
      <x:c r="C1940" t="str">
        <x:v>280360</x:v>
      </x:c>
      <x:c r="D1940" t="str">
        <x:v>롯데웰푸드</x:v>
      </x:c>
      <x:c r="E1940" t="str">
        <x:v>KOSPI</x:v>
      </x:c>
      <x:c r="F1940" t="str">
        <x:v>LARGE</x:v>
      </x:c>
      <x:c r="G1940" t="str">
        <x:v>DCF_SCREENING_EXCLUSION</x:v>
      </x:c>
      <x:c r="H1940" t="str">
        <x:v>UNRELIABLE_TERMINAL_VALUE_SHARE</x:v>
      </x:c>
      <x:c r="I1940" s="54" t="n">
        <x:v>45016</x:v>
      </x:c>
      <x:c r="J1940" s="55" t="n">
        <x:v>109400</x:v>
      </x:c>
      <x:c r="K1940" s="55" t="n">
        <x:v>1032142395600</x:v>
      </x:c>
      <x:c r="L1940" s="55" t="n">
        <x:v>9434574</x:v>
      </x:c>
      <x:c r="M1940" t="str">
        <x:v>20230315000646</x:v>
      </x:c>
      <x:c r="N1940" t="n">
        <x:v>45000.624999988424</x:v>
      </x:c>
      <x:c r="O1940" s="54" t="n">
        <x:v>44926</x:v>
      </x:c>
      <x:c r="P1940" t="str">
        <x:v>False</x:v>
      </x:c>
      <x:c r="Q1940" t="str">
        <x:v>10f30e62b31742bca727517f591556aaa9ec4be0a56450b7db79201b0ee4446a</x:v>
      </x:c>
      <x:c r="R1940" t="str">
        <x:v>879f7d72c889790a08f4bf20b1e1957bf79fb9c95911863ba6e8e9b8081eb7ee</x:v>
      </x:c>
      <x:c r="S1940" t="n">
        <x:v>4</x:v>
      </x:c>
      <x:c r="T1940" t="str">
        <x:v>2018-12-31|2019-12-31|2020-12-31|2021-12-31|2022-12-31</x:v>
      </x:c>
      <x:c r="U1940" s="57" t="n">
        <x:v>138556.21929962153</x:v>
      </x:c>
      <x:c r="V1940" s="57" t="n">
        <x:v>0.2665102312579666</x:v>
      </x:c>
      <x:c r="W1940"/>
      <x:c r="X1940"/>
      <x:c r="Y1940" s="38" t="n">
        <x:v>0.6409090909090909</x:v>
      </x:c>
      <x:c r="Z1940" s="38" t="n">
        <x:v>0.894990688431959</x:v>
      </x:c>
      <x:c r="AA1940" t="str">
        <x:v>UNRELIABLE_TERMINAL_VALUE_SHARE</x:v>
      </x:c>
    </x:row>
    <x:row r="1941">
      <x:c r="A1941" s="54" t="n">
        <x:v>45016</x:v>
      </x:c>
      <x:c r="B1941" t="n">
        <x:v>45016.624999988424</x:v>
      </x:c>
      <x:c r="C1941" t="str">
        <x:v>039130</x:v>
      </x:c>
      <x:c r="D1941" t="str">
        <x:v>하나투어</x:v>
      </x:c>
      <x:c r="E1941" t="str">
        <x:v>KOSPI</x:v>
      </x:c>
      <x:c r="F1941" t="str">
        <x:v>LARGE</x:v>
      </x:c>
      <x:c r="G1941" t="str">
        <x:v>DCF_SCREENING_EXCLUSION</x:v>
      </x:c>
      <x:c r="H1941" t="str">
        <x:v>NON_POSITIVE_ENTERPRISE_VALUE|NON_POSITIVE_EQUITY_VALUE|NON_POSITIVE_TERMINAL_FCF</x:v>
      </x:c>
      <x:c r="I1941" s="54" t="n">
        <x:v>45016</x:v>
      </x:c>
      <x:c r="J1941" s="55" t="n">
        <x:v>61000</x:v>
      </x:c>
      <x:c r="K1941" s="55" t="n">
        <x:v>978390285000</x:v>
      </x:c>
      <x:c r="L1941" s="55" t="n">
        <x:v>16039185</x:v>
      </x:c>
      <x:c r="M1941" t="str">
        <x:v>20230316001406</x:v>
      </x:c>
      <x:c r="N1941" t="n">
        <x:v>45001.624999988424</x:v>
      </x:c>
      <x:c r="O1941" s="54" t="n">
        <x:v>44926</x:v>
      </x:c>
      <x:c r="P1941" t="str">
        <x:v>True</x:v>
      </x:c>
      <x:c r="Q1941" t="str">
        <x:v>ee4faff7dacd9f73b520be6bf2ecd02b4a4ed5e29c63b6887801b9262a840d42</x:v>
      </x:c>
      <x:c r="R1941" t="str">
        <x:v>412374455c2cd4cf469871c2a375efe394741ea84a2c4406db919e8326fdca61</x:v>
      </x:c>
      <x:c r="S1941" t="n">
        <x:v>5</x:v>
      </x:c>
      <x:c r="T1941" t="str">
        <x:v>2018-12-31|2019-12-31|2020-12-31|2021-12-31|2022-12-31</x:v>
      </x:c>
      <x:c r="U1941" s="57" t="n">
        <x:v>-14375.31685533445</x:v>
      </x:c>
      <x:c r="V1941" s="57" t="n">
        <x:v>-1.2356609320546632</x:v>
      </x:c>
      <x:c r="W1941"/>
      <x:c r="X1941"/>
      <x:c r="Y1941" s="38" t="n">
        <x:v>0.6409090909090909</x:v>
      </x:c>
      <x:c r="Z1941" s="38" t="n">
        <x:v>0.6865240790654953</x:v>
      </x:c>
      <x:c r="AA1941" t="str">
        <x:v>NON_POSITIVE_ENTERPRISE_VALUE|NON_POSITIVE_EQUITY_VALUE|NON_POSITIVE_TERMINAL_FCF</x:v>
      </x:c>
    </x:row>
    <x:row r="1942">
      <x:c r="A1942" s="54" t="n">
        <x:v>45016</x:v>
      </x:c>
      <x:c r="B1942" t="n">
        <x:v>45016.624999988424</x:v>
      </x:c>
      <x:c r="C1942" t="str">
        <x:v>005690</x:v>
      </x:c>
      <x:c r="D1942" t="str">
        <x:v>파미셀</x:v>
      </x:c>
      <x:c r="E1942" t="str">
        <x:v>KOSPI</x:v>
      </x:c>
      <x:c r="F1942" t="str">
        <x:v>LARGE</x:v>
      </x:c>
      <x:c r="G1942" t="str">
        <x:v>ELIGIBLE</x:v>
      </x:c>
      <x:c r="H1942"/>
      <x:c r="I1942" s="54" t="n">
        <x:v>45016</x:v>
      </x:c>
      <x:c r="J1942" s="55" t="n">
        <x:v>9130</x:v>
      </x:c>
      <x:c r="K1942" s="55" t="n">
        <x:v>547954881320</x:v>
      </x:c>
      <x:c r="L1942" s="55" t="n">
        <x:v>60016964</x:v>
      </x:c>
      <x:c r="M1942" t="str">
        <x:v>20230314000892</x:v>
      </x:c>
      <x:c r="N1942" t="n">
        <x:v>44999.624999988424</x:v>
      </x:c>
      <x:c r="O1942" s="54" t="n">
        <x:v>44926</x:v>
      </x:c>
      <x:c r="P1942" t="str">
        <x:v>False</x:v>
      </x:c>
      <x:c r="Q1942" t="str">
        <x:v>98492915788ab7195a6c88bcda45ea3f1fdbc07964a29cdabf73f0d90b082955</x:v>
      </x:c>
      <x:c r="R1942" t="str">
        <x:v>184cd24b6e7c5654a2fd5bb26690df637710c3f69810be0a044cc23da1ece73f</x:v>
      </x:c>
      <x:c r="S1942" t="n">
        <x:v>6</x:v>
      </x:c>
      <x:c r="T1942" t="str">
        <x:v>2018-12-31|2019-12-31|2020-12-31|2021-12-31|2022-12-31</x:v>
      </x:c>
      <x:c r="U1942" s="57" t="n">
        <x:v>1298.8740338899447</x:v>
      </x:c>
      <x:c r="V1942" s="57" t="n">
        <x:v>-0.8577355932212547</x:v>
      </x:c>
      <x:c r="W1942" t="n">
        <x:v>66</x:v>
      </x:c>
      <x:c r="X1942" t="n">
        <x:v>5</x:v>
      </x:c>
      <x:c r="Y1942" s="38" t="n">
        <x:v>0.6409090909090909</x:v>
      </x:c>
      <x:c r="Z1942" s="38" t="n">
        <x:v>0.7713774959621981</x:v>
      </x:c>
      <x:c r="AA1942"/>
    </x:row>
    <x:row r="1943">
      <x:c r="A1943" s="54" t="n">
        <x:v>45016</x:v>
      </x:c>
      <x:c r="B1943" t="n">
        <x:v>45016.624999988424</x:v>
      </x:c>
      <x:c r="C1943" t="str">
        <x:v>002030</x:v>
      </x:c>
      <x:c r="D1943" t="str">
        <x:v>아세아</x:v>
      </x:c>
      <x:c r="E1943" t="str">
        <x:v>KOSPI</x:v>
      </x:c>
      <x:c r="F1943" t="str">
        <x:v>LARGE</x:v>
      </x:c>
      <x:c r="G1943" t="str">
        <x:v>ELIGIBLE</x:v>
      </x:c>
      <x:c r="H1943"/>
      <x:c r="I1943" s="54" t="n">
        <x:v>45016</x:v>
      </x:c>
      <x:c r="J1943" s="55" t="n">
        <x:v>142900</x:v>
      </x:c>
      <x:c r="K1943" s="55" t="n">
        <x:v>313097329600</x:v>
      </x:c>
      <x:c r="L1943" s="55" t="n">
        <x:v>2191024</x:v>
      </x:c>
      <x:c r="M1943" t="str">
        <x:v>20230315001365</x:v>
      </x:c>
      <x:c r="N1943" t="n">
        <x:v>45000.624999988424</x:v>
      </x:c>
      <x:c r="O1943" s="54" t="n">
        <x:v>44926</x:v>
      </x:c>
      <x:c r="P1943" t="str">
        <x:v>False</x:v>
      </x:c>
      <x:c r="Q1943" t="str">
        <x:v>e0890f2d2e6dfb7c22d319ae58a87dc100e309f6526cc4192f20ff9113fa3363</x:v>
      </x:c>
      <x:c r="R1943" t="str">
        <x:v>119fac793ff8d6dff4b5d7360cdc3c80191e9fb62fec01ffc60009ea7d05d450</x:v>
      </x:c>
      <x:c r="S1943" t="n">
        <x:v>6</x:v>
      </x:c>
      <x:c r="T1943" t="str">
        <x:v>2018-12-31|2019-12-31|2020-12-31|2021-12-31|2022-12-31</x:v>
      </x:c>
      <x:c r="U1943" s="57" t="n">
        <x:v>850938.8255208647</x:v>
      </x:c>
      <x:c r="V1943" s="57" t="n">
        <x:v>4.95478534304314</x:v>
      </x:c>
      <x:c r="W1943" t="n">
        <x:v>4</x:v>
      </x:c>
      <x:c r="X1943" t="n">
        <x:v>1</x:v>
      </x:c>
      <x:c r="Y1943" s="38" t="n">
        <x:v>0.6409090909090909</x:v>
      </x:c>
      <x:c r="Z1943" s="38" t="n">
        <x:v>0.7121292748012337</x:v>
      </x:c>
      <x:c r="AA1943"/>
    </x:row>
    <x:row r="1944">
      <x:c r="A1944" s="54" t="n">
        <x:v>45016</x:v>
      </x:c>
      <x:c r="B1944" t="n">
        <x:v>45016.624999988424</x:v>
      </x:c>
      <x:c r="C1944" t="str">
        <x:v>009410</x:v>
      </x:c>
      <x:c r="D1944" t="str">
        <x:v>태영건설</x:v>
      </x:c>
      <x:c r="E1944" t="str">
        <x:v>KOSPI</x:v>
      </x:c>
      <x:c r="F1944" t="str">
        <x:v>LARGE</x:v>
      </x:c>
      <x:c r="G1944" t="str">
        <x:v>ELIGIBLE</x:v>
      </x:c>
      <x:c r="H1944"/>
      <x:c r="I1944" s="54" t="n">
        <x:v>45016</x:v>
      </x:c>
      <x:c r="J1944" s="55" t="n">
        <x:v>3610</x:v>
      </x:c>
      <x:c r="K1944" s="55" t="n">
        <x:v>140425743780</x:v>
      </x:c>
      <x:c r="L1944" s="55" t="n">
        <x:v>38899098</x:v>
      </x:c>
      <x:c r="M1944" t="str">
        <x:v>20230317000233</x:v>
      </x:c>
      <x:c r="N1944" t="n">
        <x:v>45002.624999988424</x:v>
      </x:c>
      <x:c r="O1944" s="54" t="n">
        <x:v>44926</x:v>
      </x:c>
      <x:c r="P1944" t="str">
        <x:v>True</x:v>
      </x:c>
      <x:c r="Q1944" t="str">
        <x:v>103b596db89b21c273649a92bfc0bb7a51688640f038c4797332fb64665a2707</x:v>
      </x:c>
      <x:c r="R1944" t="str">
        <x:v>101aa4769133f6baf604eeb702cd027fc6b437e7459d39cb1d8f0d6a0888bba3</x:v>
      </x:c>
      <x:c r="S1944" t="n">
        <x:v>6</x:v>
      </x:c>
      <x:c r="T1944" t="str">
        <x:v>2018-12-31|2019-12-31|2020-12-31|2021-12-31|2022-12-31</x:v>
      </x:c>
      <x:c r="U1944" s="57" t="n">
        <x:v>31140.589691674773</x:v>
      </x:c>
      <x:c r="V1944" s="57" t="n">
        <x:v>7.626202130657832</x:v>
      </x:c>
      <x:c r="W1944" t="n">
        <x:v>1</x:v>
      </x:c>
      <x:c r="X1944" t="n">
        <x:v>1</x:v>
      </x:c>
      <x:c r="Y1944" s="38" t="n">
        <x:v>0.6409090909090909</x:v>
      </x:c>
      <x:c r="Z1944" s="38" t="n">
        <x:v>0.7740306072639747</x:v>
      </x:c>
      <x:c r="AA1944"/>
    </x:row>
    <x:row r="1945">
      <x:c r="A1945" s="54" t="n">
        <x:v>45016</x:v>
      </x:c>
      <x:c r="B1945" t="n">
        <x:v>45016.624999988424</x:v>
      </x:c>
      <x:c r="C1945" t="str">
        <x:v>010780</x:v>
      </x:c>
      <x:c r="D1945" t="str">
        <x:v>아이에스동서</x:v>
      </x:c>
      <x:c r="E1945" t="str">
        <x:v>KOSPI</x:v>
      </x:c>
      <x:c r="F1945" t="str">
        <x:v>LARGE</x:v>
      </x:c>
      <x:c r="G1945" t="str">
        <x:v>ELIGIBLE</x:v>
      </x:c>
      <x:c r="H1945"/>
      <x:c r="I1945" s="54" t="n">
        <x:v>45016</x:v>
      </x:c>
      <x:c r="J1945" s="55" t="n">
        <x:v>40750</x:v>
      </x:c>
      <x:c r="K1945" s="55" t="n">
        <x:v>1258873694500</x:v>
      </x:c>
      <x:c r="L1945" s="55" t="n">
        <x:v>30892606</x:v>
      </x:c>
      <x:c r="M1945" t="str">
        <x:v>20230323001296</x:v>
      </x:c>
      <x:c r="N1945" t="n">
        <x:v>45008.624999988424</x:v>
      </x:c>
      <x:c r="O1945" s="54" t="n">
        <x:v>44926</x:v>
      </x:c>
      <x:c r="P1945" t="str">
        <x:v>False</x:v>
      </x:c>
      <x:c r="Q1945" t="str">
        <x:v>7d114b7511c1b3638091e578e145b06fadfb0fdf027a432a55155199fe3f629a</x:v>
      </x:c>
      <x:c r="R1945" t="str">
        <x:v>b5f936b28ba5d7800af28fa97aba41ecf08e13c3dae468cb39e72c8796dbfb36</x:v>
      </x:c>
      <x:c r="S1945" t="n">
        <x:v>6</x:v>
      </x:c>
      <x:c r="T1945" t="str">
        <x:v>2018-12-31|2019-12-31|2020-12-31|2021-12-31|2022-12-31</x:v>
      </x:c>
      <x:c r="U1945" s="57" t="n">
        <x:v>125413.3451544752</x:v>
      </x:c>
      <x:c r="V1945" s="57" t="n">
        <x:v>2.0776281019503116</x:v>
      </x:c>
      <x:c r="W1945" t="n">
        <x:v>7</x:v>
      </x:c>
      <x:c r="X1945" t="n">
        <x:v>1</x:v>
      </x:c>
      <x:c r="Y1945" s="38" t="n">
        <x:v>0.6409090909090909</x:v>
      </x:c>
      <x:c r="Z1945" s="38" t="n">
        <x:v>0.76949860650151</x:v>
      </x:c>
      <x:c r="AA1945"/>
    </x:row>
    <x:row r="1946">
      <x:c r="A1946" s="54" t="n">
        <x:v>45016</x:v>
      </x:c>
      <x:c r="B1946" t="n">
        <x:v>45016.624999988424</x:v>
      </x:c>
      <x:c r="C1946" t="str">
        <x:v>453340</x:v>
      </x:c>
      <x:c r="D1946" t="str">
        <x:v>현대그린푸드</x:v>
      </x:c>
      <x:c r="E1946" t="str">
        <x:v>KOSPI</x:v>
      </x:c>
      <x:c r="F1946" t="str">
        <x:v>LARGE</x:v>
      </x:c>
      <x:c r="G1946" t="str">
        <x:v>NOT_LISTED_OR_NO_PRICE</x:v>
      </x:c>
      <x:c r="H1946"/>
      <x:c r="I1946" s="54"/>
      <x:c r="J1946" s="55"/>
      <x:c r="K1946" s="55"/>
      <x:c r="L1946" s="55"/>
      <x:c r="M1946"/>
      <x:c r="N1946"/>
      <x:c r="O1946" s="54"/>
      <x:c r="P1946"/>
      <x:c r="Q1946"/>
      <x:c r="R1946"/>
      <x:c r="S1946"/>
      <x:c r="T1946"/>
      <x:c r="U1946" s="57"/>
      <x:c r="V1946" s="57"/>
      <x:c r="W1946"/>
      <x:c r="X1946"/>
      <x:c r="Y1946" s="38"/>
      <x:c r="Z1946" s="38"/>
      <x:c r="AA1946"/>
    </x:row>
    <x:row r="1947">
      <x:c r="A1947" s="54" t="n">
        <x:v>45016</x:v>
      </x:c>
      <x:c r="B1947" t="n">
        <x:v>45016.624999988424</x:v>
      </x:c>
      <x:c r="C1947" t="str">
        <x:v>006220</x:v>
      </x:c>
      <x:c r="D1947" t="str">
        <x:v>제주은행</x:v>
      </x:c>
      <x:c r="E1947" t="str">
        <x:v>KOSPI</x:v>
      </x:c>
      <x:c r="F1947" t="str">
        <x:v>LARGE</x:v>
      </x:c>
      <x:c r="G1947" t="str">
        <x:v>EXCLUDED_ARCHETYPE</x:v>
      </x:c>
      <x:c r="H1947" t="str">
        <x:v>FCFF_NOT_COMPARABLE_FOR_FINANCE_OR_HOLDING_HINT</x:v>
      </x:c>
      <x:c r="I1947" s="54"/>
      <x:c r="J1947" s="55"/>
      <x:c r="K1947" s="55"/>
      <x:c r="L1947" s="55"/>
      <x:c r="M1947"/>
      <x:c r="N1947"/>
      <x:c r="O1947" s="54"/>
      <x:c r="P1947"/>
      <x:c r="Q1947"/>
      <x:c r="R1947"/>
      <x:c r="S1947"/>
      <x:c r="T1947"/>
      <x:c r="U1947" s="57"/>
      <x:c r="V1947" s="57"/>
      <x:c r="W1947"/>
      <x:c r="X1947"/>
      <x:c r="Y1947" s="38"/>
      <x:c r="Z1947" s="38"/>
      <x:c r="AA1947"/>
    </x:row>
    <x:row r="1948">
      <x:c r="A1948" s="54" t="n">
        <x:v>45016</x:v>
      </x:c>
      <x:c r="B1948" t="n">
        <x:v>45016.624999988424</x:v>
      </x:c>
      <x:c r="C1948" t="str">
        <x:v>094800</x:v>
      </x:c>
      <x:c r="D1948" t="str">
        <x:v>맵스리얼티1</x:v>
      </x:c>
      <x:c r="E1948" t="str">
        <x:v>KOSPI</x:v>
      </x:c>
      <x:c r="F1948" t="str">
        <x:v>LARGE</x:v>
      </x:c>
      <x:c r="G1948" t="str">
        <x:v>NO_PIT_FINANCIALS</x:v>
      </x:c>
      <x:c r="H1948"/>
      <x:c r="I1948" s="54" t="n">
        <x:v>45016</x:v>
      </x:c>
      <x:c r="J1948" s="55" t="n">
        <x:v>4130</x:v>
      </x:c>
      <x:c r="K1948" s="55" t="n">
        <x:v>383405787030</x:v>
      </x:c>
      <x:c r="L1948" s="55" t="n">
        <x:v>92834331</x:v>
      </x:c>
      <x:c r="M1948"/>
      <x:c r="N1948"/>
      <x:c r="O1948" s="54"/>
      <x:c r="P1948"/>
      <x:c r="Q1948"/>
      <x:c r="R1948"/>
      <x:c r="S1948"/>
      <x:c r="T1948"/>
      <x:c r="U1948" s="57"/>
      <x:c r="V1948" s="57"/>
      <x:c r="W1948"/>
      <x:c r="X1948"/>
      <x:c r="Y1948" s="38"/>
      <x:c r="Z1948" s="38"/>
      <x:c r="AA1948"/>
    </x:row>
    <x:row r="1949">
      <x:c r="A1949" s="54" t="n">
        <x:v>45016</x:v>
      </x:c>
      <x:c r="B1949" t="n">
        <x:v>45016.624999988424</x:v>
      </x:c>
      <x:c r="C1949" t="str">
        <x:v>003160</x:v>
      </x:c>
      <x:c r="D1949" t="str">
        <x:v>디아이</x:v>
      </x:c>
      <x:c r="E1949" t="str">
        <x:v>KOSPI</x:v>
      </x:c>
      <x:c r="F1949" t="str">
        <x:v>LARGE</x:v>
      </x:c>
      <x:c r="G1949" t="str">
        <x:v>DCF_SCREENING_EXCLUSION</x:v>
      </x:c>
      <x:c r="H1949" t="str">
        <x:v>UNRELIABLE_TERMINAL_VALUE_SHARE</x:v>
      </x:c>
      <x:c r="I1949" s="54" t="n">
        <x:v>45016</x:v>
      </x:c>
      <x:c r="J1949" s="55" t="n">
        <x:v>6030</x:v>
      </x:c>
      <x:c r="K1949" s="55" t="n">
        <x:v>170649000000</x:v>
      </x:c>
      <x:c r="L1949" s="55" t="n">
        <x:v>28300000</x:v>
      </x:c>
      <x:c r="M1949" t="str">
        <x:v>20230316001051</x:v>
      </x:c>
      <x:c r="N1949" t="n">
        <x:v>45001.624999988424</x:v>
      </x:c>
      <x:c r="O1949" s="54" t="n">
        <x:v>44926</x:v>
      </x:c>
      <x:c r="P1949" t="str">
        <x:v>False</x:v>
      </x:c>
      <x:c r="Q1949" t="str">
        <x:v>c3314c782bd213bf0f690a4a153322df04993fdf6ba5a7e070a25e69e89fa233</x:v>
      </x:c>
      <x:c r="R1949" t="str">
        <x:v>56ec92b454b2728efa9deb96b014030a62a4ff515bac9deeec6482afbb35e210</x:v>
      </x:c>
      <x:c r="S1949" t="n">
        <x:v>6</x:v>
      </x:c>
      <x:c r="T1949" t="str">
        <x:v>2013-12-31|2014-12-31|2015-12-31|2016-12-31|2017-12-31|2018-12-31|2019-12-31|2020-12-31|2021-12-31|2022-12-31</x:v>
      </x:c>
      <x:c r="U1949" s="57" t="n">
        <x:v>2116.9630922186993</x:v>
      </x:c>
      <x:c r="V1949" s="57" t="n">
        <x:v>-0.6489281770781593</x:v>
      </x:c>
      <x:c r="W1949"/>
      <x:c r="X1949"/>
      <x:c r="Y1949" s="38" t="n">
        <x:v>0.6409090909090909</x:v>
      </x:c>
      <x:c r="Z1949" s="38" t="n">
        <x:v>0.9176728578066332</x:v>
      </x:c>
      <x:c r="AA1949" t="str">
        <x:v>UNRELIABLE_TERMINAL_VALUE_SHARE</x:v>
      </x:c>
    </x:row>
    <x:row r="1950">
      <x:c r="A1950" s="54" t="n">
        <x:v>45016</x:v>
      </x:c>
      <x:c r="B1950" t="n">
        <x:v>45016.624999988424</x:v>
      </x:c>
      <x:c r="C1950" t="str">
        <x:v>001940</x:v>
      </x:c>
      <x:c r="D1950" t="str">
        <x:v>KISCO홀딩스</x:v>
      </x:c>
      <x:c r="E1950" t="str">
        <x:v>KOSPI</x:v>
      </x:c>
      <x:c r="F1950" t="str">
        <x:v>LARGE</x:v>
      </x:c>
      <x:c r="G1950" t="str">
        <x:v>EXCLUDED_ARCHETYPE</x:v>
      </x:c>
      <x:c r="H1950" t="str">
        <x:v>FCFF_NOT_COMPARABLE_FOR_FINANCE_OR_HOLDING_HINT</x:v>
      </x:c>
      <x:c r="I1950" s="54"/>
      <x:c r="J1950" s="55"/>
      <x:c r="K1950" s="55"/>
      <x:c r="L1950" s="55"/>
      <x:c r="M1950"/>
      <x:c r="N1950"/>
      <x:c r="O1950" s="54"/>
      <x:c r="P1950"/>
      <x:c r="Q1950"/>
      <x:c r="R1950"/>
      <x:c r="S1950"/>
      <x:c r="T1950"/>
      <x:c r="U1950" s="57"/>
      <x:c r="V1950" s="57"/>
      <x:c r="W1950"/>
      <x:c r="X1950"/>
      <x:c r="Y1950" s="38"/>
      <x:c r="Z1950" s="38"/>
      <x:c r="AA1950"/>
    </x:row>
    <x:row r="1951">
      <x:c r="A1951" s="54" t="n">
        <x:v>45016</x:v>
      </x:c>
      <x:c r="B1951" t="n">
        <x:v>45016.624999988424</x:v>
      </x:c>
      <x:c r="C1951" t="str">
        <x:v>009290</x:v>
      </x:c>
      <x:c r="D1951" t="str">
        <x:v>광동제약</x:v>
      </x:c>
      <x:c r="E1951" t="str">
        <x:v>KOSPI</x:v>
      </x:c>
      <x:c r="F1951" t="str">
        <x:v>LARGE</x:v>
      </x:c>
      <x:c r="G1951" t="str">
        <x:v>ELIGIBLE</x:v>
      </x:c>
      <x:c r="H1951"/>
      <x:c r="I1951" s="54" t="n">
        <x:v>45016</x:v>
      </x:c>
      <x:c r="J1951" s="55" t="n">
        <x:v>5520</x:v>
      </x:c>
      <x:c r="K1951" s="55" t="n">
        <x:v>289363097520</x:v>
      </x:c>
      <x:c r="L1951" s="55" t="n">
        <x:v>52420851</x:v>
      </x:c>
      <x:c r="M1951" t="str">
        <x:v>20230321001353</x:v>
      </x:c>
      <x:c r="N1951" t="n">
        <x:v>45006.624999988424</x:v>
      </x:c>
      <x:c r="O1951" s="54" t="n">
        <x:v>44926</x:v>
      </x:c>
      <x:c r="P1951" t="str">
        <x:v>True</x:v>
      </x:c>
      <x:c r="Q1951" t="str">
        <x:v>5e14db92215cd2259f3a8da0057c2250df7271ff3eb90199fc22396cb3aef981</x:v>
      </x:c>
      <x:c r="R1951" t="str">
        <x:v>120369bfc0391fc9f998718d7c824a6f35ff609faa8c3fa784c72180748501b8</x:v>
      </x:c>
      <x:c r="S1951" t="n">
        <x:v>6</x:v>
      </x:c>
      <x:c r="T1951" t="str">
        <x:v>2018-12-31|2019-12-31|2020-12-31|2021-12-31|2022-12-31</x:v>
      </x:c>
      <x:c r="U1951" s="57" t="n">
        <x:v>6588.062294286922</x:v>
      </x:c>
      <x:c r="V1951" s="57" t="n">
        <x:v>0.19348954606647145</x:v>
      </x:c>
      <x:c r="W1951" t="n">
        <x:v>19</x:v>
      </x:c>
      <x:c r="X1951" t="n">
        <x:v>2</x:v>
      </x:c>
      <x:c r="Y1951" s="38" t="n">
        <x:v>0.6409090909090909</x:v>
      </x:c>
      <x:c r="Z1951" s="38" t="n">
        <x:v>0.7695546290256253</x:v>
      </x:c>
      <x:c r="AA1951"/>
    </x:row>
    <x:row r="1952">
      <x:c r="A1952" s="54" t="n">
        <x:v>45107</x:v>
      </x:c>
      <x:c r="B1952" t="n">
        <x:v>45107.624999988424</x:v>
      </x:c>
      <x:c r="C1952" t="str">
        <x:v>168330</x:v>
      </x:c>
      <x:c r="D1952" t="str">
        <x:v>내츄럴엔도텍</x:v>
      </x:c>
      <x:c r="E1952" t="str">
        <x:v>KOSDAQ</x:v>
      </x:c>
      <x:c r="F1952" t="str">
        <x:v>SMALL</x:v>
      </x:c>
      <x:c r="G1952" t="str">
        <x:v>DCF_SCREENING_EXCLUSION</x:v>
      </x:c>
      <x:c r="H1952" t="str">
        <x:v>NON_POSITIVE_ENTERPRISE_VALUE|NON_POSITIVE_EQUITY_VALUE|NON_POSITIVE_TERMINAL_FCF</x:v>
      </x:c>
      <x:c r="I1952" s="54" t="n">
        <x:v>45107</x:v>
      </x:c>
      <x:c r="J1952" s="55" t="n">
        <x:v>2465</x:v>
      </x:c>
      <x:c r="K1952" s="55" t="n">
        <x:v>78275828500</x:v>
      </x:c>
      <x:c r="L1952" s="55" t="n">
        <x:v>31754900</x:v>
      </x:c>
      <x:c r="M1952" t="str">
        <x:v>20230321001074</x:v>
      </x:c>
      <x:c r="N1952" t="n">
        <x:v>45006.624999988424</x:v>
      </x:c>
      <x:c r="O1952" s="54" t="n">
        <x:v>44926</x:v>
      </x:c>
      <x:c r="P1952" t="str">
        <x:v>True</x:v>
      </x:c>
      <x:c r="Q1952" t="str">
        <x:v>8b7b63b2e9d87ee2b8cb2a101f790a8fe4a1ba8733d715f2813a48ef21a9d0d7</x:v>
      </x:c>
      <x:c r="R1952" t="str">
        <x:v>7362824419076d995f4260deca5f7ac7990f333cf0cb4a5e3565afeb34b0ce55</x:v>
      </x:c>
      <x:c r="S1952" t="n">
        <x:v>6</x:v>
      </x:c>
      <x:c r="T1952" t="str">
        <x:v>2018-12-31|2019-12-31|2020-12-31|2021-12-31|2022-12-31</x:v>
      </x:c>
      <x:c r="U1952" s="57" t="n">
        <x:v>-809.6155189523597</x:v>
      </x:c>
      <x:c r="V1952" s="57" t="n">
        <x:v>-1.3284444295952778</x:v>
      </x:c>
      <x:c r="W1952"/>
      <x:c r="X1952"/>
      <x:c r="Y1952" s="38" t="n">
        <x:v>0.6409090909090909</x:v>
      </x:c>
      <x:c r="Z1952" s="38" t="n">
        <x:v>0.6263033331985346</x:v>
      </x:c>
      <x:c r="AA1952" t="str">
        <x:v>NON_POSITIVE_ENTERPRISE_VALUE|NON_POSITIVE_EQUITY_VALUE|NON_POSITIVE_TERMINAL_FCF</x:v>
      </x:c>
    </x:row>
    <x:row r="1953">
      <x:c r="A1953" s="54" t="n">
        <x:v>45107</x:v>
      </x:c>
      <x:c r="B1953" t="n">
        <x:v>45107.624999988424</x:v>
      </x:c>
      <x:c r="C1953" t="str">
        <x:v>120240</x:v>
      </x:c>
      <x:c r="D1953" t="str">
        <x:v>대정화금</x:v>
      </x:c>
      <x:c r="E1953" t="str">
        <x:v>KOSDAQ</x:v>
      </x:c>
      <x:c r="F1953" t="str">
        <x:v>SMALL</x:v>
      </x:c>
      <x:c r="G1953" t="str">
        <x:v>ELIGIBLE</x:v>
      </x:c>
      <x:c r="H1953"/>
      <x:c r="I1953" s="54" t="n">
        <x:v>45107</x:v>
      </x:c>
      <x:c r="J1953" s="55" t="n">
        <x:v>17880</x:v>
      </x:c>
      <x:c r="K1953" s="55" t="n">
        <x:v>128564191080</x:v>
      </x:c>
      <x:c r="L1953" s="55" t="n">
        <x:v>7190391</x:v>
      </x:c>
      <x:c r="M1953" t="str">
        <x:v>20230315000243</x:v>
      </x:c>
      <x:c r="N1953" t="n">
        <x:v>45000.624999988424</x:v>
      </x:c>
      <x:c r="O1953" s="54" t="n">
        <x:v>44926</x:v>
      </x:c>
      <x:c r="P1953" t="str">
        <x:v>False</x:v>
      </x:c>
      <x:c r="Q1953" t="str">
        <x:v>68db51702cbb66e1932f1b7fabf608e23517a3348d4093addeb79e2dc6330ca0</x:v>
      </x:c>
      <x:c r="R1953" t="str">
        <x:v>7398d2eee8f80021d748a5c944d2b143c5a1316ab9edb5c3a9329eeba433e245</x:v>
      </x:c>
      <x:c r="S1953" t="n">
        <x:v>7</x:v>
      </x:c>
      <x:c r="T1953" t="str">
        <x:v>2018-12-31|2019-12-31|2020-12-31|2021-12-31|2022-12-31</x:v>
      </x:c>
      <x:c r="U1953" s="57" t="n">
        <x:v>5621.2189273541435</x:v>
      </x:c>
      <x:c r="V1953" s="57" t="n">
        <x:v>-0.6856141539511106</x:v>
      </x:c>
      <x:c r="W1953" t="n">
        <x:v>54</x:v>
      </x:c>
      <x:c r="X1953" t="n">
        <x:v>4</x:v>
      </x:c>
      <x:c r="Y1953" s="38" t="n">
        <x:v>0.6409090909090909</x:v>
      </x:c>
      <x:c r="Z1953" s="38" t="n">
        <x:v>0.6742906559018058</x:v>
      </x:c>
      <x:c r="AA1953"/>
    </x:row>
    <x:row r="1954">
      <x:c r="A1954" s="54" t="n">
        <x:v>45107</x:v>
      </x:c>
      <x:c r="B1954" t="n">
        <x:v>45107.624999988424</x:v>
      </x:c>
      <x:c r="C1954" t="str">
        <x:v>348350</x:v>
      </x:c>
      <x:c r="D1954" t="str">
        <x:v>위드텍</x:v>
      </x:c>
      <x:c r="E1954" t="str">
        <x:v>KOSDAQ</x:v>
      </x:c>
      <x:c r="F1954" t="str">
        <x:v>SMALL</x:v>
      </x:c>
      <x:c r="G1954" t="str">
        <x:v>ELIGIBLE</x:v>
      </x:c>
      <x:c r="H1954"/>
      <x:c r="I1954" s="54" t="n">
        <x:v>45107</x:v>
      </x:c>
      <x:c r="J1954" s="55" t="n">
        <x:v>16850</x:v>
      </x:c>
      <x:c r="K1954" s="55" t="n">
        <x:v>171593660000</x:v>
      </x:c>
      <x:c r="L1954" s="55" t="n">
        <x:v>10183600</x:v>
      </x:c>
      <x:c r="M1954" t="str">
        <x:v>20230315001322</x:v>
      </x:c>
      <x:c r="N1954" t="n">
        <x:v>45000.624999988424</x:v>
      </x:c>
      <x:c r="O1954" s="54" t="n">
        <x:v>44926</x:v>
      </x:c>
      <x:c r="P1954" t="str">
        <x:v>False</x:v>
      </x:c>
      <x:c r="Q1954" t="str">
        <x:v>5a6323619d7ad35f7de29006ad26b51d53afa3f1b5ef1e1bafd08da40b7fc115</x:v>
      </x:c>
      <x:c r="R1954" t="str">
        <x:v>579dfd7d0e61d41b5d29bb6598c374909b901fe4a1cbfa2870ace192e3cae039</x:v>
      </x:c>
      <x:c r="S1954" t="n">
        <x:v>5</x:v>
      </x:c>
      <x:c r="T1954" t="str">
        <x:v>2020-12-31|2021-12-31|2022-12-31</x:v>
      </x:c>
      <x:c r="U1954" s="57" t="n">
        <x:v>14309.903984827863</x:v>
      </x:c>
      <x:c r="V1954" s="57" t="n">
        <x:v>-0.1507475379924117</x:v>
      </x:c>
      <x:c r="W1954" t="n">
        <x:v>27</x:v>
      </x:c>
      <x:c r="X1954" t="n">
        <x:v>2</x:v>
      </x:c>
      <x:c r="Y1954" s="38" t="n">
        <x:v>0.6409090909090909</x:v>
      </x:c>
      <x:c r="Z1954" s="38" t="n">
        <x:v>0.6261496378896817</x:v>
      </x:c>
      <x:c r="AA1954"/>
    </x:row>
    <x:row r="1955">
      <x:c r="A1955" s="54" t="n">
        <x:v>45107</x:v>
      </x:c>
      <x:c r="B1955" t="n">
        <x:v>45107.624999988424</x:v>
      </x:c>
      <x:c r="C1955" t="str">
        <x:v>226330</x:v>
      </x:c>
      <x:c r="D1955" t="str">
        <x:v>신테카바이오</x:v>
      </x:c>
      <x:c r="E1955" t="str">
        <x:v>KOSDAQ</x:v>
      </x:c>
      <x:c r="F1955" t="str">
        <x:v>SMALL</x:v>
      </x:c>
      <x:c r="G1955" t="str">
        <x:v>DCF_SCREENING_EXCLUSION</x:v>
      </x:c>
      <x:c r="H1955" t="str">
        <x:v>NON_POSITIVE_ENTERPRISE_VALUE|NON_POSITIVE_TERMINAL_FCF</x:v>
      </x:c>
      <x:c r="I1955" s="54" t="n">
        <x:v>45107</x:v>
      </x:c>
      <x:c r="J1955" s="55" t="n">
        <x:v>12560</x:v>
      </x:c>
      <x:c r="K1955" s="55" t="n">
        <x:v>169832752960</x:v>
      </x:c>
      <x:c r="L1955" s="55" t="n">
        <x:v>13521716</x:v>
      </x:c>
      <x:c r="M1955" t="str">
        <x:v>20230323000653</x:v>
      </x:c>
      <x:c r="N1955" t="n">
        <x:v>45008.624999988424</x:v>
      </x:c>
      <x:c r="O1955" s="54" t="n">
        <x:v>44926</x:v>
      </x:c>
      <x:c r="P1955" t="str">
        <x:v>False</x:v>
      </x:c>
      <x:c r="Q1955" t="str">
        <x:v>3f0afb59cfe07770c1283a502c76f24874ee173ff49359e807bfb2d2d4a2e6c6</x:v>
      </x:c>
      <x:c r="R1955" t="str">
        <x:v>e20c085f47adc6aba0b57bd8ba5a40bae1d01c8d84ef9521ecf3f82c9b87e1ca</x:v>
      </x:c>
      <x:c r="S1955" t="n">
        <x:v>5</x:v>
      </x:c>
      <x:c r="T1955" t="str">
        <x:v>2019-12-31|2020-12-31|2021-12-31|2022-12-31</x:v>
      </x:c>
      <x:c r="U1955" s="57" t="n">
        <x:v>1813.2355496873936</x:v>
      </x:c>
      <x:c r="V1955" s="57" t="n">
        <x:v>-0.8556341122860356</x:v>
      </x:c>
      <x:c r="W1955"/>
      <x:c r="X1955"/>
      <x:c r="Y1955" s="38" t="n">
        <x:v>0.6409090909090909</x:v>
      </x:c>
      <x:c r="Z1955" s="38" t="n">
        <x:v>0.6095054406520231</x:v>
      </x:c>
      <x:c r="AA1955" t="str">
        <x:v>NON_POSITIVE_ENTERPRISE_VALUE|NON_POSITIVE_TERMINAL_FCF</x:v>
      </x:c>
    </x:row>
    <x:row r="1956">
      <x:c r="A1956" s="54" t="n">
        <x:v>45107</x:v>
      </x:c>
      <x:c r="B1956" t="n">
        <x:v>45107.624999988424</x:v>
      </x:c>
      <x:c r="C1956" t="str">
        <x:v>215090</x:v>
      </x:c>
      <x:c r="D1956" t="str">
        <x:v>솔디펜스</x:v>
      </x:c>
      <x:c r="E1956" t="str">
        <x:v>KOSDAQ</x:v>
      </x:c>
      <x:c r="F1956" t="str">
        <x:v>SMALL</x:v>
      </x:c>
      <x:c r="G1956" t="str">
        <x:v>DCF_SCREENING_EXCLUSION</x:v>
      </x:c>
      <x:c r="H1956" t="str">
        <x:v>NON_POSITIVE_ENTERPRISE_VALUE|NON_POSITIVE_EQUITY_VALUE|NON_POSITIVE_TERMINAL_FCF</x:v>
      </x:c>
      <x:c r="I1956" s="54" t="n">
        <x:v>45107</x:v>
      </x:c>
      <x:c r="J1956" s="55" t="n">
        <x:v>1505</x:v>
      </x:c>
      <x:c r="K1956" s="55" t="n">
        <x:v>120843123170</x:v>
      </x:c>
      <x:c r="L1956" s="55" t="n">
        <x:v>80294434</x:v>
      </x:c>
      <x:c r="M1956" t="str">
        <x:v>20230323001577</x:v>
      </x:c>
      <x:c r="N1956" t="n">
        <x:v>45008.624999988424</x:v>
      </x:c>
      <x:c r="O1956" s="54" t="n">
        <x:v>44926</x:v>
      </x:c>
      <x:c r="P1956" t="str">
        <x:v>False</x:v>
      </x:c>
      <x:c r="Q1956" t="str">
        <x:v>7caf8e5770f0f99647694caf6dbeba6534a3bd010589c7d3bdecb6aae1454841</x:v>
      </x:c>
      <x:c r="R1956" t="str">
        <x:v>6ef87ee89f8fde8836ec1a22fd939a16690e271c6e7f00f8e72df3d9fc4f0328</x:v>
      </x:c>
      <x:c r="S1956" t="n">
        <x:v>5</x:v>
      </x:c>
      <x:c r="T1956" t="str">
        <x:v>2018-12-31|2019-12-31|2020-12-31|2021-12-31|2022-12-31</x:v>
      </x:c>
      <x:c r="U1956" s="57" t="n">
        <x:v>-240.7289902578976</x:v>
      </x:c>
      <x:c r="V1956" s="57" t="n">
        <x:v>-1.159952817447108</x:v>
      </x:c>
      <x:c r="W1956"/>
      <x:c r="X1956"/>
      <x:c r="Y1956" s="38" t="n">
        <x:v>0.6409090909090909</x:v>
      </x:c>
      <x:c r="Z1956" s="38" t="n">
        <x:v>0.6280679398713767</x:v>
      </x:c>
      <x:c r="AA1956" t="str">
        <x:v>NON_POSITIVE_ENTERPRISE_VALUE|NON_POSITIVE_EQUITY_VALUE|NON_POSITIVE_TERMINAL_FCF</x:v>
      </x:c>
    </x:row>
    <x:row r="1957">
      <x:c r="A1957" s="54" t="n">
        <x:v>45107</x:v>
      </x:c>
      <x:c r="B1957" t="n">
        <x:v>45107.624999988424</x:v>
      </x:c>
      <x:c r="C1957" t="str">
        <x:v>185490</x:v>
      </x:c>
      <x:c r="D1957" t="str">
        <x:v>아이진</x:v>
      </x:c>
      <x:c r="E1957" t="str">
        <x:v>KOSDAQ</x:v>
      </x:c>
      <x:c r="F1957" t="str">
        <x:v>SMALL</x:v>
      </x:c>
      <x:c r="G1957" t="str">
        <x:v>DCF_SCREENING_EXCLUSION</x:v>
      </x:c>
      <x:c r="H1957" t="str">
        <x:v>NON_POSITIVE_ENTERPRISE_VALUE|NON_POSITIVE_EQUITY_VALUE|NON_POSITIVE_TERMINAL_FCF</x:v>
      </x:c>
      <x:c r="I1957" s="54" t="n">
        <x:v>45107</x:v>
      </x:c>
      <x:c r="J1957" s="55" t="n">
        <x:v>4040</x:v>
      </x:c>
      <x:c r="K1957" s="55" t="n">
        <x:v>86772493600</x:v>
      </x:c>
      <x:c r="L1957" s="55" t="n">
        <x:v>21478340</x:v>
      </x:c>
      <x:c r="M1957" t="str">
        <x:v>20230315001401</x:v>
      </x:c>
      <x:c r="N1957" t="n">
        <x:v>45000.624999988424</x:v>
      </x:c>
      <x:c r="O1957" s="54" t="n">
        <x:v>44926</x:v>
      </x:c>
      <x:c r="P1957" t="str">
        <x:v>False</x:v>
      </x:c>
      <x:c r="Q1957" t="str">
        <x:v>c397debbd0091ddd6bf16e6dad441fccd47f73cbda2a1ac5840236e1bac6e11e</x:v>
      </x:c>
      <x:c r="R1957" t="str">
        <x:v>0c1ac31c89c8343ee44ab9a488672232a714c97ffe3c101f7ff030a79b21b038</x:v>
      </x:c>
      <x:c r="S1957" t="n">
        <x:v>5</x:v>
      </x:c>
      <x:c r="T1957" t="str">
        <x:v>2018-12-31|2019-12-31|2020-12-31|2021-12-31|2022-12-31</x:v>
      </x:c>
      <x:c r="U1957" s="57" t="n">
        <x:v>-486.7578203776162</x:v>
      </x:c>
      <x:c r="V1957" s="57" t="n">
        <x:v>-1.1204846090043605</x:v>
      </x:c>
      <x:c r="W1957"/>
      <x:c r="X1957"/>
      <x:c r="Y1957" s="38" t="n">
        <x:v>0.6409090909090909</x:v>
      </x:c>
      <x:c r="Z1957" s="38" t="n">
        <x:v>0.6422566574366064</x:v>
      </x:c>
      <x:c r="AA1957" t="str">
        <x:v>NON_POSITIVE_ENTERPRISE_VALUE|NON_POSITIVE_EQUITY_VALUE|NON_POSITIVE_TERMINAL_FCF</x:v>
      </x:c>
    </x:row>
    <x:row r="1958">
      <x:c r="A1958" s="54" t="n">
        <x:v>45107</x:v>
      </x:c>
      <x:c r="B1958" t="n">
        <x:v>45107.624999988424</x:v>
      </x:c>
      <x:c r="C1958" t="str">
        <x:v>333620</x:v>
      </x:c>
      <x:c r="D1958" t="str">
        <x:v>엔시스</x:v>
      </x:c>
      <x:c r="E1958" t="str">
        <x:v>KOSDAQ</x:v>
      </x:c>
      <x:c r="F1958" t="str">
        <x:v>SMALL</x:v>
      </x:c>
      <x:c r="G1958" t="str">
        <x:v>ELIGIBLE</x:v>
      </x:c>
      <x:c r="H1958"/>
      <x:c r="I1958" s="54" t="n">
        <x:v>45107</x:v>
      </x:c>
      <x:c r="J1958" s="55" t="n">
        <x:v>13540</x:v>
      </x:c>
      <x:c r="K1958" s="55" t="n">
        <x:v>142932897760</x:v>
      </x:c>
      <x:c r="L1958" s="55" t="n">
        <x:v>10556344</x:v>
      </x:c>
      <x:c r="M1958" t="str">
        <x:v>20230321000024</x:v>
      </x:c>
      <x:c r="N1958" t="n">
        <x:v>45006.624999988424</x:v>
      </x:c>
      <x:c r="O1958" s="54" t="n">
        <x:v>44926</x:v>
      </x:c>
      <x:c r="P1958" t="str">
        <x:v>False</x:v>
      </x:c>
      <x:c r="Q1958" t="str">
        <x:v>31dbb21ddcad5b2ad28ed0a4aae3e0ceb52e21841557c50d5019d74a8dfa12f3</x:v>
      </x:c>
      <x:c r="R1958" t="str">
        <x:v>fb45111f1e452f88a6c98d51a0b0da00a152d33af3a5e75b5b7a9b9e7df64078</x:v>
      </x:c>
      <x:c r="S1958" t="n">
        <x:v>6</x:v>
      </x:c>
      <x:c r="T1958" t="str">
        <x:v>2020-12-31|2021-12-31|2022-12-31</x:v>
      </x:c>
      <x:c r="U1958" s="57" t="n">
        <x:v>3754.6810911879898</x:v>
      </x:c>
      <x:c r="V1958" s="57" t="n">
        <x:v>-0.7226971129107836</x:v>
      </x:c>
      <x:c r="W1958" t="n">
        <x:v>59</x:v>
      </x:c>
      <x:c r="X1958" t="n">
        <x:v>5</x:v>
      </x:c>
      <x:c r="Y1958" s="38" t="n">
        <x:v>0.6409090909090909</x:v>
      </x:c>
      <x:c r="Z1958" s="38" t="n">
        <x:v>0.7689778383906659</x:v>
      </x:c>
      <x:c r="AA1958"/>
    </x:row>
    <x:row r="1959">
      <x:c r="A1959" s="54" t="n">
        <x:v>45107</x:v>
      </x:c>
      <x:c r="B1959" t="n">
        <x:v>45107.624999988424</x:v>
      </x:c>
      <x:c r="C1959" t="str">
        <x:v>036710</x:v>
      </x:c>
      <x:c r="D1959" t="str">
        <x:v>심텍홀딩스</x:v>
      </x:c>
      <x:c r="E1959" t="str">
        <x:v>KOSDAQ</x:v>
      </x:c>
      <x:c r="F1959" t="str">
        <x:v>SMALL</x:v>
      </x:c>
      <x:c r="G1959" t="str">
        <x:v>EXCLUDED_ARCHETYPE</x:v>
      </x:c>
      <x:c r="H1959" t="str">
        <x:v>FCFF_NOT_COMPARABLE_FOR_FINANCE_OR_HOLDING_HINT</x:v>
      </x:c>
      <x:c r="I1959" s="54"/>
      <x:c r="J1959" s="55"/>
      <x:c r="K1959" s="55"/>
      <x:c r="L1959" s="55"/>
      <x:c r="M1959"/>
      <x:c r="N1959"/>
      <x:c r="O1959" s="54"/>
      <x:c r="P1959"/>
      <x:c r="Q1959"/>
      <x:c r="R1959"/>
      <x:c r="S1959"/>
      <x:c r="T1959"/>
      <x:c r="U1959" s="57"/>
      <x:c r="V1959" s="57"/>
      <x:c r="W1959"/>
      <x:c r="X1959"/>
      <x:c r="Y1959" s="38"/>
      <x:c r="Z1959" s="38"/>
      <x:c r="AA1959"/>
    </x:row>
    <x:row r="1960">
      <x:c r="A1960" s="54" t="n">
        <x:v>45107</x:v>
      </x:c>
      <x:c r="B1960" t="n">
        <x:v>45107.624999988424</x:v>
      </x:c>
      <x:c r="C1960" t="str">
        <x:v>049480</x:v>
      </x:c>
      <x:c r="D1960" t="str">
        <x:v>오픈베이스</x:v>
      </x:c>
      <x:c r="E1960" t="str">
        <x:v>KOSDAQ</x:v>
      </x:c>
      <x:c r="F1960" t="str">
        <x:v>SMALL</x:v>
      </x:c>
      <x:c r="G1960" t="str">
        <x:v>ELIGIBLE</x:v>
      </x:c>
      <x:c r="H1960"/>
      <x:c r="I1960" s="54" t="n">
        <x:v>45107</x:v>
      </x:c>
      <x:c r="J1960" s="55" t="n">
        <x:v>2750</x:v>
      </x:c>
      <x:c r="K1960" s="55" t="n">
        <x:v>86411553250</x:v>
      </x:c>
      <x:c r="L1960" s="55" t="n">
        <x:v>31422383</x:v>
      </x:c>
      <x:c r="M1960" t="str">
        <x:v>20230327000282</x:v>
      </x:c>
      <x:c r="N1960" t="n">
        <x:v>45012.624999988424</x:v>
      </x:c>
      <x:c r="O1960" s="54" t="n">
        <x:v>44926</x:v>
      </x:c>
      <x:c r="P1960" t="str">
        <x:v>True</x:v>
      </x:c>
      <x:c r="Q1960" t="str">
        <x:v>42ea968732c68af704538b6a96069c24f471922e6900275570ae4010b40edc5d</x:v>
      </x:c>
      <x:c r="R1960" t="str">
        <x:v>ab09784fda9d75cc8b97f3d5bb38041a05710bed737db030285a8ac9556f54a0</x:v>
      </x:c>
      <x:c r="S1960" t="n">
        <x:v>6</x:v>
      </x:c>
      <x:c r="T1960" t="str">
        <x:v>2018-12-31|2019-12-31|2020-12-31|2021-12-31|2022-12-31</x:v>
      </x:c>
      <x:c r="U1960" s="57" t="n">
        <x:v>1803.8821154458892</x:v>
      </x:c>
      <x:c r="V1960" s="57" t="n">
        <x:v>-0.34404286711058574</x:v>
      </x:c>
      <x:c r="W1960" t="n">
        <x:v>31</x:v>
      </x:c>
      <x:c r="X1960" t="n">
        <x:v>3</x:v>
      </x:c>
      <x:c r="Y1960" s="38" t="n">
        <x:v>0.6409090909090909</x:v>
      </x:c>
      <x:c r="Z1960" s="38" t="n">
        <x:v>0.5306461642500262</x:v>
      </x:c>
      <x:c r="AA1960"/>
    </x:row>
    <x:row r="1961">
      <x:c r="A1961" s="54" t="n">
        <x:v>45107</x:v>
      </x:c>
      <x:c r="B1961" t="n">
        <x:v>45107.624999988424</x:v>
      </x:c>
      <x:c r="C1961" t="str">
        <x:v>302430</x:v>
      </x:c>
      <x:c r="D1961" t="str">
        <x:v>이노메트리</x:v>
      </x:c>
      <x:c r="E1961" t="str">
        <x:v>KOSDAQ</x:v>
      </x:c>
      <x:c r="F1961" t="str">
        <x:v>SMALL</x:v>
      </x:c>
      <x:c r="G1961" t="str">
        <x:v>ELIGIBLE</x:v>
      </x:c>
      <x:c r="H1961"/>
      <x:c r="I1961" s="54" t="n">
        <x:v>45107</x:v>
      </x:c>
      <x:c r="J1961" s="55" t="n">
        <x:v>15600</x:v>
      </x:c>
      <x:c r="K1961" s="55" t="n">
        <x:v>153398044800</x:v>
      </x:c>
      <x:c r="L1961" s="55" t="n">
        <x:v>9833208</x:v>
      </x:c>
      <x:c r="M1961" t="str">
        <x:v>20230317000534</x:v>
      </x:c>
      <x:c r="N1961" t="n">
        <x:v>45002.624999988424</x:v>
      </x:c>
      <x:c r="O1961" s="54" t="n">
        <x:v>44926</x:v>
      </x:c>
      <x:c r="P1961" t="str">
        <x:v>False</x:v>
      </x:c>
      <x:c r="Q1961" t="str">
        <x:v>de9546fda28c65a23fad6628de7853535b6651560757ff0fe1a52b30730cfc03</x:v>
      </x:c>
      <x:c r="R1961" t="str">
        <x:v>8a26ebe85de001e6143797cb929271694b60af9589b3044f81aa89f0fdecc7a9</x:v>
      </x:c>
      <x:c r="S1961" t="n">
        <x:v>6</x:v>
      </x:c>
      <x:c r="T1961" t="str">
        <x:v>2018-12-31|2019-12-31|2020-12-31|2021-12-31|2022-12-31</x:v>
      </x:c>
      <x:c r="U1961" s="57" t="n">
        <x:v>2561.2579654535784</x:v>
      </x:c>
      <x:c r="V1961" s="57" t="n">
        <x:v>-0.8358167970863091</x:v>
      </x:c>
      <x:c r="W1961" t="n">
        <x:v>65</x:v>
      </x:c>
      <x:c r="X1961" t="n">
        <x:v>5</x:v>
      </x:c>
      <x:c r="Y1961" s="38" t="n">
        <x:v>0.6409090909090909</x:v>
      </x:c>
      <x:c r="Z1961" s="38" t="n">
        <x:v>0.6743683677875997</x:v>
      </x:c>
      <x:c r="AA1961"/>
    </x:row>
    <x:row r="1962">
      <x:c r="A1962" s="54" t="n">
        <x:v>45107</x:v>
      </x:c>
      <x:c r="B1962" t="n">
        <x:v>45107.624999988424</x:v>
      </x:c>
      <x:c r="C1962" t="str">
        <x:v>288620</x:v>
      </x:c>
      <x:c r="D1962" t="str">
        <x:v>에스퓨얼셀</x:v>
      </x:c>
      <x:c r="E1962" t="str">
        <x:v>KOSDAQ</x:v>
      </x:c>
      <x:c r="F1962" t="str">
        <x:v>SMALL</x:v>
      </x:c>
      <x:c r="G1962" t="str">
        <x:v>DCF_SCREENING_EXCLUSION</x:v>
      </x:c>
      <x:c r="H1962" t="str">
        <x:v>NON_POSITIVE_EQUITY_VALUE|UNRELIABLE_TERMINAL_VALUE_SHARE</x:v>
      </x:c>
      <x:c r="I1962" s="54" t="n">
        <x:v>45107</x:v>
      </x:c>
      <x:c r="J1962" s="55" t="n">
        <x:v>18610</x:v>
      </x:c>
      <x:c r="K1962" s="55" t="n">
        <x:v>129885070760</x:v>
      </x:c>
      <x:c r="L1962" s="55" t="n">
        <x:v>6979316</x:v>
      </x:c>
      <x:c r="M1962" t="str">
        <x:v>20230316001373</x:v>
      </x:c>
      <x:c r="N1962" t="n">
        <x:v>45001.624999988424</x:v>
      </x:c>
      <x:c r="O1962" s="54" t="n">
        <x:v>44926</x:v>
      </x:c>
      <x:c r="P1962" t="str">
        <x:v>False</x:v>
      </x:c>
      <x:c r="Q1962" t="str">
        <x:v>a0f73bf5abd07b28ebfb12fc1090d5d41c37644288eda61745064e3c381d57bf</x:v>
      </x:c>
      <x:c r="R1962" t="str">
        <x:v>26d9f4961fa261b2f033fa38cfe5ebffffd8a8571e51064c9347559a92b11917</x:v>
      </x:c>
      <x:c r="S1962" t="n">
        <x:v>6</x:v>
      </x:c>
      <x:c r="T1962" t="str">
        <x:v>2018-12-31|2019-12-31|2020-12-31|2021-12-31|2022-12-31</x:v>
      </x:c>
      <x:c r="U1962" s="57" t="n">
        <x:v>-4375.150495693731</x:v>
      </x:c>
      <x:c r="V1962" s="57" t="n">
        <x:v>-1.2350967488282498</x:v>
      </x:c>
      <x:c r="W1962"/>
      <x:c r="X1962"/>
      <x:c r="Y1962" s="38" t="n">
        <x:v>0.6409090909090909</x:v>
      </x:c>
      <x:c r="Z1962" s="38" t="n">
        <x:v>2.269399089417067</x:v>
      </x:c>
      <x:c r="AA1962" t="str">
        <x:v>NON_POSITIVE_EQUITY_VALUE|UNRELIABLE_TERMINAL_VALUE_SHARE</x:v>
      </x:c>
    </x:row>
    <x:row r="1963">
      <x:c r="A1963" s="54" t="n">
        <x:v>45107</x:v>
      </x:c>
      <x:c r="B1963" t="n">
        <x:v>45107.624999988424</x:v>
      </x:c>
      <x:c r="C1963" t="str">
        <x:v>094840</x:v>
      </x:c>
      <x:c r="D1963" t="str">
        <x:v>슈프리마에이치큐</x:v>
      </x:c>
      <x:c r="E1963" t="str">
        <x:v>KOSDAQ</x:v>
      </x:c>
      <x:c r="F1963" t="str">
        <x:v>SMALL</x:v>
      </x:c>
      <x:c r="G1963" t="str">
        <x:v>ELIGIBLE</x:v>
      </x:c>
      <x:c r="H1963"/>
      <x:c r="I1963" s="54" t="n">
        <x:v>45107</x:v>
      </x:c>
      <x:c r="J1963" s="55" t="n">
        <x:v>7670</x:v>
      </x:c>
      <x:c r="K1963" s="55" t="n">
        <x:v>80319012800</x:v>
      </x:c>
      <x:c r="L1963" s="55" t="n">
        <x:v>10471840</x:v>
      </x:c>
      <x:c r="M1963" t="str">
        <x:v>20230314001299</x:v>
      </x:c>
      <x:c r="N1963" t="n">
        <x:v>45000.624999988424</x:v>
      </x:c>
      <x:c r="O1963" s="54" t="n">
        <x:v>44926</x:v>
      </x:c>
      <x:c r="P1963" t="str">
        <x:v>False</x:v>
      </x:c>
      <x:c r="Q1963" t="str">
        <x:v>68dfd4440b2c2afb80c1e44c2b622c1d51d9f1ed97fd061ad39acf1a13ff5528</x:v>
      </x:c>
      <x:c r="R1963" t="str">
        <x:v>401bf4b2f3290e8a8fc1738434ddb00df3d9594339b6b1eadcd9cc44f8c9e7ea</x:v>
      </x:c>
      <x:c r="S1963" t="n">
        <x:v>6</x:v>
      </x:c>
      <x:c r="T1963" t="str">
        <x:v>2018-12-31|2019-12-31|2020-12-31|2021-12-31|2022-12-31</x:v>
      </x:c>
      <x:c r="U1963" s="57" t="n">
        <x:v>6313.964112199713</x:v>
      </x:c>
      <x:c r="V1963" s="57" t="n">
        <x:v>-0.17679737780968535</x:v>
      </x:c>
      <x:c r="W1963" t="n">
        <x:v>28</x:v>
      </x:c>
      <x:c r="X1963" t="n">
        <x:v>2</x:v>
      </x:c>
      <x:c r="Y1963" s="38" t="n">
        <x:v>0.6409090909090909</x:v>
      </x:c>
      <x:c r="Z1963" s="38" t="n">
        <x:v>0.628344919435413</x:v>
      </x:c>
      <x:c r="AA1963"/>
    </x:row>
    <x:row r="1964">
      <x:c r="A1964" s="54" t="n">
        <x:v>45107</x:v>
      </x:c>
      <x:c r="B1964" t="n">
        <x:v>45107.624999988424</x:v>
      </x:c>
      <x:c r="C1964" t="str">
        <x:v>019990</x:v>
      </x:c>
      <x:c r="D1964" t="str">
        <x:v>에너토크</x:v>
      </x:c>
      <x:c r="E1964" t="str">
        <x:v>KOSDAQ</x:v>
      </x:c>
      <x:c r="F1964" t="str">
        <x:v>SMALL</x:v>
      </x:c>
      <x:c r="G1964" t="str">
        <x:v>DCF_SCREENING_EXCLUSION</x:v>
      </x:c>
      <x:c r="H1964" t="str">
        <x:v>NON_POSITIVE_ENTERPRISE_VALUE|NON_POSITIVE_EQUITY_VALUE|NON_POSITIVE_TERMINAL_FCF</x:v>
      </x:c>
      <x:c r="I1964" s="54" t="n">
        <x:v>45107</x:v>
      </x:c>
      <x:c r="J1964" s="55" t="n">
        <x:v>8180</x:v>
      </x:c>
      <x:c r="K1964" s="55" t="n">
        <x:v>79804799840</x:v>
      </x:c>
      <x:c r="L1964" s="55" t="n">
        <x:v>9756088</x:v>
      </x:c>
      <x:c r="M1964" t="str">
        <x:v>20230316001528</x:v>
      </x:c>
      <x:c r="N1964" t="n">
        <x:v>45001.624999988424</x:v>
      </x:c>
      <x:c r="O1964" s="54" t="n">
        <x:v>44926</x:v>
      </x:c>
      <x:c r="P1964" t="str">
        <x:v>False</x:v>
      </x:c>
      <x:c r="Q1964" t="str">
        <x:v>356862a864c2f3ffb6ca902df021f84b186b7c85c77a19c2ad6191de38eaafb4</x:v>
      </x:c>
      <x:c r="R1964" t="str">
        <x:v>7637dddb3a954b6add6c7848290a7d97e844c67b392b0325bf98adcb6b1393bf</x:v>
      </x:c>
      <x:c r="S1964" t="n">
        <x:v>7</x:v>
      </x:c>
      <x:c r="T1964" t="str">
        <x:v>2018-12-31|2019-12-31|2020-12-31|2021-12-31|2022-12-31</x:v>
      </x:c>
      <x:c r="U1964" s="57" t="n">
        <x:v>-384.5998941714026</x:v>
      </x:c>
      <x:c r="V1964" s="57" t="n">
        <x:v>-1.047017101976944</x:v>
      </x:c>
      <x:c r="W1964"/>
      <x:c r="X1964"/>
      <x:c r="Y1964" s="38" t="n">
        <x:v>0.6409090909090909</x:v>
      </x:c>
      <x:c r="Z1964" s="38" t="n">
        <x:v>0.6560443368251093</x:v>
      </x:c>
      <x:c r="AA1964" t="str">
        <x:v>NON_POSITIVE_ENTERPRISE_VALUE|NON_POSITIVE_EQUITY_VALUE|NON_POSITIVE_TERMINAL_FCF</x:v>
      </x:c>
    </x:row>
    <x:row r="1965">
      <x:c r="A1965" s="54" t="n">
        <x:v>45107</x:v>
      </x:c>
      <x:c r="B1965" t="n">
        <x:v>45107.624999988424</x:v>
      </x:c>
      <x:c r="C1965" t="str">
        <x:v>024740</x:v>
      </x:c>
      <x:c r="D1965" t="str">
        <x:v>한일단조</x:v>
      </x:c>
      <x:c r="E1965" t="str">
        <x:v>KOSDAQ</x:v>
      </x:c>
      <x:c r="F1965" t="str">
        <x:v>SMALL</x:v>
      </x:c>
      <x:c r="G1965" t="str">
        <x:v>DCF_SCREENING_EXCLUSION</x:v>
      </x:c>
      <x:c r="H1965" t="str">
        <x:v>NON_POSITIVE_ENTERPRISE_VALUE|NON_POSITIVE_EQUITY_VALUE|NON_POSITIVE_TERMINAL_FCF|UNRELIABLE_TERMINAL_VALUE_SHARE</x:v>
      </x:c>
      <x:c r="I1965" s="54" t="n">
        <x:v>45107</x:v>
      </x:c>
      <x:c r="J1965" s="55" t="n">
        <x:v>2765</x:v>
      </x:c>
      <x:c r="K1965" s="55" t="n">
        <x:v>87081957935</x:v>
      </x:c>
      <x:c r="L1965" s="55" t="n">
        <x:v>31494379</x:v>
      </x:c>
      <x:c r="M1965" t="str">
        <x:v>20230321000435</x:v>
      </x:c>
      <x:c r="N1965" t="n">
        <x:v>45006.624999988424</x:v>
      </x:c>
      <x:c r="O1965" s="54" t="n">
        <x:v>44926</x:v>
      </x:c>
      <x:c r="P1965" t="str">
        <x:v>False</x:v>
      </x:c>
      <x:c r="Q1965" t="str">
        <x:v>97953ed9acfd97d0245326a28cf1ae40c3d9a06af7da7dfeb127ad1c8bbeff11</x:v>
      </x:c>
      <x:c r="R1965" t="str">
        <x:v>ae141a7e675b2d9a9bd9222cc2215d2d08b187aedad3f8881d7275d4ad8cb8d5</x:v>
      </x:c>
      <x:c r="S1965" t="n">
        <x:v>7</x:v>
      </x:c>
      <x:c r="T1965" t="str">
        <x:v>2018-12-31|2019-12-31|2020-12-31|2021-12-31|2022-12-31</x:v>
      </x:c>
      <x:c r="U1965" s="57" t="n">
        <x:v>-2515.3971207009004</x:v>
      </x:c>
      <x:c r="V1965" s="57" t="n">
        <x:v>-1.9097277109225679</x:v>
      </x:c>
      <x:c r="W1965"/>
      <x:c r="X1965"/>
      <x:c r="Y1965" s="38" t="n">
        <x:v>0.6409090909090909</x:v>
      </x:c>
      <x:c r="Z1965" s="38" t="n">
        <x:v>2.0506706664207273</x:v>
      </x:c>
      <x:c r="AA1965" t="str">
        <x:v>NON_POSITIVE_ENTERPRISE_VALUE|NON_POSITIVE_EQUITY_VALUE|NON_POSITIVE_TERMINAL_FCF|UNRELIABLE_TERMINAL_VALUE_SHARE</x:v>
      </x:c>
    </x:row>
    <x:row r="1966">
      <x:c r="A1966" s="54" t="n">
        <x:v>45107</x:v>
      </x:c>
      <x:c r="B1966" t="n">
        <x:v>45107.624999988424</x:v>
      </x:c>
      <x:c r="C1966" t="str">
        <x:v>340930</x:v>
      </x:c>
      <x:c r="D1966" t="str">
        <x:v>유일에너테크</x:v>
      </x:c>
      <x:c r="E1966" t="str">
        <x:v>KOSDAQ</x:v>
      </x:c>
      <x:c r="F1966" t="str">
        <x:v>SMALL</x:v>
      </x:c>
      <x:c r="G1966" t="str">
        <x:v>DCF_SCREENING_EXCLUSION</x:v>
      </x:c>
      <x:c r="H1966" t="str">
        <x:v>NON_POSITIVE_ENTERPRISE_VALUE|NON_POSITIVE_EQUITY_VALUE|NON_POSITIVE_TERMINAL_FCF</x:v>
      </x:c>
      <x:c r="I1966" s="54" t="n">
        <x:v>45107</x:v>
      </x:c>
      <x:c r="J1966" s="55" t="n">
        <x:v>17010</x:v>
      </x:c>
      <x:c r="K1966" s="55" t="n">
        <x:v>195073231500</x:v>
      </x:c>
      <x:c r="L1966" s="55" t="n">
        <x:v>11468150</x:v>
      </x:c>
      <x:c r="M1966" t="str">
        <x:v>20230321001157</x:v>
      </x:c>
      <x:c r="N1966" t="n">
        <x:v>45006.624999988424</x:v>
      </x:c>
      <x:c r="O1966" s="54" t="n">
        <x:v>44926</x:v>
      </x:c>
      <x:c r="P1966" t="str">
        <x:v>False</x:v>
      </x:c>
      <x:c r="Q1966" t="str">
        <x:v>694821b65736458c9ba9eb4b0bfaf285b605aa8bb0dcf365ada2c05fd062ab72</x:v>
      </x:c>
      <x:c r="R1966" t="str">
        <x:v>9092e74c99bf086ca39546a47f078925499af3135f3dd3b666eb787a56519eca</x:v>
      </x:c>
      <x:c r="S1966" t="n">
        <x:v>7</x:v>
      </x:c>
      <x:c r="T1966" t="str">
        <x:v>2020-12-31|2021-12-31|2022-12-31</x:v>
      </x:c>
      <x:c r="U1966" s="57" t="n">
        <x:v>-12105.273678070636</x:v>
      </x:c>
      <x:c r="V1966" s="57" t="n">
        <x:v>-1.7116563008859869</x:v>
      </x:c>
      <x:c r="W1966"/>
      <x:c r="X1966"/>
      <x:c r="Y1966" s="38" t="n">
        <x:v>0.6409090909090909</x:v>
      </x:c>
      <x:c r="Z1966" s="38" t="n">
        <x:v>0.6236446277888583</x:v>
      </x:c>
      <x:c r="AA1966" t="str">
        <x:v>NON_POSITIVE_ENTERPRISE_VALUE|NON_POSITIVE_EQUITY_VALUE|NON_POSITIVE_TERMINAL_FCF</x:v>
      </x:c>
    </x:row>
    <x:row r="1967">
      <x:c r="A1967" s="54" t="n">
        <x:v>45107</x:v>
      </x:c>
      <x:c r="B1967" t="n">
        <x:v>45107.624999988424</x:v>
      </x:c>
      <x:c r="C1967" t="str">
        <x:v>057030</x:v>
      </x:c>
      <x:c r="D1967" t="str">
        <x:v>YBM넷</x:v>
      </x:c>
      <x:c r="E1967" t="str">
        <x:v>KOSDAQ</x:v>
      </x:c>
      <x:c r="F1967" t="str">
        <x:v>SMALL</x:v>
      </x:c>
      <x:c r="G1967" t="str">
        <x:v>ELIGIBLE</x:v>
      </x:c>
      <x:c r="H1967"/>
      <x:c r="I1967" s="54" t="n">
        <x:v>45107</x:v>
      </x:c>
      <x:c r="J1967" s="55" t="n">
        <x:v>4090</x:v>
      </x:c>
      <x:c r="K1967" s="55" t="n">
        <x:v>66718930730</x:v>
      </x:c>
      <x:c r="L1967" s="55" t="n">
        <x:v>16312697</x:v>
      </x:c>
      <x:c r="M1967" t="str">
        <x:v>20230323001037</x:v>
      </x:c>
      <x:c r="N1967" t="n">
        <x:v>45008.624999988424</x:v>
      </x:c>
      <x:c r="O1967" s="54" t="n">
        <x:v>44926</x:v>
      </x:c>
      <x:c r="P1967" t="str">
        <x:v>False</x:v>
      </x:c>
      <x:c r="Q1967" t="str">
        <x:v>ce091b9f145ad6c6d09491c04337fb3f75aca3e033aa3e1a266a4e850f7cdc36</x:v>
      </x:c>
      <x:c r="R1967" t="str">
        <x:v>67422e9dc9ea5c57476b7fc88ec0cf9d433812df4f02cd3668c9ef4832958748</x:v>
      </x:c>
      <x:c r="S1967" t="n">
        <x:v>6</x:v>
      </x:c>
      <x:c r="T1967" t="str">
        <x:v>2018-12-31|2019-12-31|2020-12-31|2021-12-31|2022-12-31</x:v>
      </x:c>
      <x:c r="U1967" s="57" t="n">
        <x:v>1779.8615662370728</x:v>
      </x:c>
      <x:c r="V1967" s="57" t="n">
        <x:v>-0.564826022924921</x:v>
      </x:c>
      <x:c r="W1967" t="n">
        <x:v>48</x:v>
      </x:c>
      <x:c r="X1967" t="n">
        <x:v>4</x:v>
      </x:c>
      <x:c r="Y1967" s="38" t="n">
        <x:v>0.6409090909090909</x:v>
      </x:c>
      <x:c r="Z1967" s="38" t="n">
        <x:v>0.5218083711789233</x:v>
      </x:c>
      <x:c r="AA1967"/>
    </x:row>
    <x:row r="1968">
      <x:c r="A1968" s="54" t="n">
        <x:v>45107</x:v>
      </x:c>
      <x:c r="B1968" t="n">
        <x:v>45107.624999988424</x:v>
      </x:c>
      <x:c r="C1968" t="str">
        <x:v>053160</x:v>
      </x:c>
      <x:c r="D1968" t="str">
        <x:v>프리엠스</x:v>
      </x:c>
      <x:c r="E1968" t="str">
        <x:v>KOSDAQ</x:v>
      </x:c>
      <x:c r="F1968" t="str">
        <x:v>SMALL</x:v>
      </x:c>
      <x:c r="G1968" t="str">
        <x:v>ELIGIBLE</x:v>
      </x:c>
      <x:c r="H1968"/>
      <x:c r="I1968" s="54" t="n">
        <x:v>45107</x:v>
      </x:c>
      <x:c r="J1968" s="55" t="n">
        <x:v>9600</x:v>
      </x:c>
      <x:c r="K1968" s="55" t="n">
        <x:v>57600000000</x:v>
      </x:c>
      <x:c r="L1968" s="55" t="n">
        <x:v>6000000</x:v>
      </x:c>
      <x:c r="M1968" t="str">
        <x:v>20230321001115</x:v>
      </x:c>
      <x:c r="N1968" t="n">
        <x:v>45006.624999988424</x:v>
      </x:c>
      <x:c r="O1968" s="54" t="n">
        <x:v>44926</x:v>
      </x:c>
      <x:c r="P1968" t="str">
        <x:v>False</x:v>
      </x:c>
      <x:c r="Q1968" t="str">
        <x:v>b2dfcc79e91edc63e13d4186a98f21a42f353eaf6fe6d9e9374e73be3bee3fb7</x:v>
      </x:c>
      <x:c r="R1968" t="str">
        <x:v>1acade6ca6b6edeb5442d561dd223ff598601b026acd351edc13c8a5e7da331c</x:v>
      </x:c>
      <x:c r="S1968" t="n">
        <x:v>7</x:v>
      </x:c>
      <x:c r="T1968" t="str">
        <x:v>2018-12-31|2019-12-31|2020-12-31|2021-12-31|2022-12-31</x:v>
      </x:c>
      <x:c r="U1968" s="57" t="n">
        <x:v>1821.8855425061884</x:v>
      </x:c>
      <x:c r="V1968" s="57" t="n">
        <x:v>-0.8102202559889387</x:v>
      </x:c>
      <x:c r="W1968" t="n">
        <x:v>63</x:v>
      </x:c>
      <x:c r="X1968" t="n">
        <x:v>5</x:v>
      </x:c>
      <x:c r="Y1968" s="38" t="n">
        <x:v>0.6409090909090909</x:v>
      </x:c>
      <x:c r="Z1968" s="38" t="n">
        <x:v>0.8440169237053482</x:v>
      </x:c>
      <x:c r="AA1968"/>
    </x:row>
    <x:row r="1969">
      <x:c r="A1969" s="54" t="n">
        <x:v>45107</x:v>
      </x:c>
      <x:c r="B1969" t="n">
        <x:v>45107.624999988424</x:v>
      </x:c>
      <x:c r="C1969" t="str">
        <x:v>038620</x:v>
      </x:c>
      <x:c r="D1969" t="str">
        <x:v>위즈코프</x:v>
      </x:c>
      <x:c r="E1969" t="str">
        <x:v>KOSDAQ</x:v>
      </x:c>
      <x:c r="F1969" t="str">
        <x:v>SMALL</x:v>
      </x:c>
      <x:c r="G1969" t="str">
        <x:v>ELIGIBLE</x:v>
      </x:c>
      <x:c r="H1969"/>
      <x:c r="I1969" s="54" t="n">
        <x:v>45107</x:v>
      </x:c>
      <x:c r="J1969" s="55" t="n">
        <x:v>934</x:v>
      </x:c>
      <x:c r="K1969" s="55" t="n">
        <x:v>62154398310</x:v>
      </x:c>
      <x:c r="L1969" s="55" t="n">
        <x:v>66546465</x:v>
      </x:c>
      <x:c r="M1969" t="str">
        <x:v>20230321000864</x:v>
      </x:c>
      <x:c r="N1969" t="n">
        <x:v>45006.624999988424</x:v>
      </x:c>
      <x:c r="O1969" s="54" t="n">
        <x:v>44926</x:v>
      </x:c>
      <x:c r="P1969" t="str">
        <x:v>False</x:v>
      </x:c>
      <x:c r="Q1969" t="str">
        <x:v>edc3b8b29e0450380a4e6806abcf4d131c8abb0ceaf857f4a1dba04e7d7fe600</x:v>
      </x:c>
      <x:c r="R1969" t="str">
        <x:v>527fff5308032f95072aa08fff750482a4ecde95deb4fe00b46c48e06427242e</x:v>
      </x:c>
      <x:c r="S1969" t="n">
        <x:v>5</x:v>
      </x:c>
      <x:c r="T1969" t="str">
        <x:v>2018-12-31|2019-12-31|2020-12-31|2021-12-31|2022-12-31</x:v>
      </x:c>
      <x:c r="U1969" s="57" t="n">
        <x:v>426.0114082458841</x:v>
      </x:c>
      <x:c r="V1969" s="57" t="n">
        <x:v>-0.5438850018780684</x:v>
      </x:c>
      <x:c r="W1969" t="n">
        <x:v>47</x:v>
      </x:c>
      <x:c r="X1969" t="n">
        <x:v>4</x:v>
      </x:c>
      <x:c r="Y1969" s="38" t="n">
        <x:v>0.6409090909090909</x:v>
      </x:c>
      <x:c r="Z1969" s="38" t="n">
        <x:v>0.5889916216817043</x:v>
      </x:c>
      <x:c r="AA1969"/>
    </x:row>
    <x:row r="1970">
      <x:c r="A1970" s="54" t="n">
        <x:v>45107</x:v>
      </x:c>
      <x:c r="B1970" t="n">
        <x:v>45107.624999988424</x:v>
      </x:c>
      <x:c r="C1970" t="str">
        <x:v>313760</x:v>
      </x:c>
      <x:c r="D1970" t="str">
        <x:v>캐리</x:v>
      </x:c>
      <x:c r="E1970" t="str">
        <x:v>KOSDAQ</x:v>
      </x:c>
      <x:c r="F1970" t="str">
        <x:v>SMALL</x:v>
      </x:c>
      <x:c r="G1970" t="str">
        <x:v>DCF_SCREENING_EXCLUSION</x:v>
      </x:c>
      <x:c r="H1970" t="str">
        <x:v>NON_POSITIVE_ENTERPRISE_VALUE|NON_POSITIVE_EQUITY_VALUE|NON_POSITIVE_TERMINAL_FCF</x:v>
      </x:c>
      <x:c r="I1970" s="54" t="n">
        <x:v>45107</x:v>
      </x:c>
      <x:c r="J1970" s="55" t="n">
        <x:v>11310</x:v>
      </x:c>
      <x:c r="K1970" s="55" t="n">
        <x:v>64327513770</x:v>
      </x:c>
      <x:c r="L1970" s="55" t="n">
        <x:v>5687667</x:v>
      </x:c>
      <x:c r="M1970" t="str">
        <x:v>20230321000948</x:v>
      </x:c>
      <x:c r="N1970" t="n">
        <x:v>45006.624999988424</x:v>
      </x:c>
      <x:c r="O1970" s="54" t="n">
        <x:v>44926</x:v>
      </x:c>
      <x:c r="P1970" t="str">
        <x:v>False</x:v>
      </x:c>
      <x:c r="Q1970" t="str">
        <x:v>595323229b13489978ad4695c5237b7f5b3f6201d10d45817b31f37dc9cc8bac</x:v>
      </x:c>
      <x:c r="R1970" t="str">
        <x:v>a2763f65b03f79411deae2a2854479094bd17f0dcf7a465bc22005586391f34c</x:v>
      </x:c>
      <x:c r="S1970" t="n">
        <x:v>6</x:v>
      </x:c>
      <x:c r="T1970" t="str">
        <x:v>2019-12-31|2020-12-31|2021-12-31|2022-12-31</x:v>
      </x:c>
      <x:c r="U1970" s="57" t="n">
        <x:v>-6805.954179574858</x:v>
      </x:c>
      <x:c r="V1970" s="57" t="n">
        <x:v>-1.6017642952762916</x:v>
      </x:c>
      <x:c r="W1970"/>
      <x:c r="X1970"/>
      <x:c r="Y1970" s="38" t="n">
        <x:v>0.6409090909090909</x:v>
      </x:c>
      <x:c r="Z1970" s="38" t="n">
        <x:v>0.26717094415135195</x:v>
      </x:c>
      <x:c r="AA1970" t="str">
        <x:v>NON_POSITIVE_ENTERPRISE_VALUE|NON_POSITIVE_EQUITY_VALUE|NON_POSITIVE_TERMINAL_FCF</x:v>
      </x:c>
    </x:row>
    <x:row r="1971">
      <x:c r="A1971" s="54" t="n">
        <x:v>45107</x:v>
      </x:c>
      <x:c r="B1971" t="n">
        <x:v>45107.624999988424</x:v>
      </x:c>
      <x:c r="C1971" t="str">
        <x:v>372800</x:v>
      </x:c>
      <x:c r="D1971" t="str">
        <x:v>아이티아이즈</x:v>
      </x:c>
      <x:c r="E1971" t="str">
        <x:v>KOSDAQ</x:v>
      </x:c>
      <x:c r="F1971" t="str">
        <x:v>SMALL</x:v>
      </x:c>
      <x:c r="G1971" t="str">
        <x:v>DCF_SCREENING_EXCLUSION</x:v>
      </x:c>
      <x:c r="H1971" t="str">
        <x:v>NON_POSITIVE_ENTERPRISE_VALUE|NON_POSITIVE_EQUITY_VALUE|NON_POSITIVE_TERMINAL_FCF</x:v>
      </x:c>
      <x:c r="I1971" s="54" t="n">
        <x:v>45107</x:v>
      </x:c>
      <x:c r="J1971" s="55" t="n">
        <x:v>9370</x:v>
      </x:c>
      <x:c r="K1971" s="55" t="n">
        <x:v>56004396300</x:v>
      </x:c>
      <x:c r="L1971" s="55" t="n">
        <x:v>5976990</x:v>
      </x:c>
      <x:c r="M1971" t="str">
        <x:v>20230321000514</x:v>
      </x:c>
      <x:c r="N1971" t="n">
        <x:v>45006.624999988424</x:v>
      </x:c>
      <x:c r="O1971" s="54" t="n">
        <x:v>44926</x:v>
      </x:c>
      <x:c r="P1971" t="str">
        <x:v>False</x:v>
      </x:c>
      <x:c r="Q1971" t="str">
        <x:v>e6c8afdaa7ba3e8f4e0b2a03fdb12d918a90bdc567c2e105c08df9fb5ea1d246</x:v>
      </x:c>
      <x:c r="R1971" t="str">
        <x:v>b3e952c30ffe3cdce6a5172f4a452b9dcbd4a8f83f6dafb3e9f03a65129ec534</x:v>
      </x:c>
      <x:c r="S1971" t="n">
        <x:v>7</x:v>
      </x:c>
      <x:c r="T1971" t="str">
        <x:v>2021-12-31|2022-12-31</x:v>
      </x:c>
      <x:c r="U1971" s="57" t="n">
        <x:v>-6779.840730163857</x:v>
      </x:c>
      <x:c r="V1971" s="57" t="n">
        <x:v>-1.7235689146386186</x:v>
      </x:c>
      <x:c r="W1971"/>
      <x:c r="X1971"/>
      <x:c r="Y1971" s="38" t="n">
        <x:v>0.6409090909090909</x:v>
      </x:c>
      <x:c r="Z1971" s="38" t="n">
        <x:v>0.5378744047405174</x:v>
      </x:c>
      <x:c r="AA1971" t="str">
        <x:v>NON_POSITIVE_ENTERPRISE_VALUE|NON_POSITIVE_EQUITY_VALUE|NON_POSITIVE_TERMINAL_FCF</x:v>
      </x:c>
    </x:row>
    <x:row r="1972">
      <x:c r="A1972" s="54" t="n">
        <x:v>45107</x:v>
      </x:c>
      <x:c r="B1972" t="n">
        <x:v>45107.624999988424</x:v>
      </x:c>
      <x:c r="C1972" t="str">
        <x:v>332290</x:v>
      </x:c>
      <x:c r="D1972" t="str">
        <x:v>누보</x:v>
      </x:c>
      <x:c r="E1972" t="str">
        <x:v>KOSDAQ</x:v>
      </x:c>
      <x:c r="F1972" t="str">
        <x:v>SMALL</x:v>
      </x:c>
      <x:c r="G1972" t="str">
        <x:v>DCF_SCREENING_EXCLUSION</x:v>
      </x:c>
      <x:c r="H1972" t="str">
        <x:v>NON_POSITIVE_ENTERPRISE_VALUE|NON_POSITIVE_EQUITY_VALUE|NON_POSITIVE_TERMINAL_FCF</x:v>
      </x:c>
      <x:c r="I1972" s="54" t="n">
        <x:v>45107</x:v>
      </x:c>
      <x:c r="J1972" s="55" t="n">
        <x:v>2410</x:v>
      </x:c>
      <x:c r="K1972" s="55" t="n">
        <x:v>79725988430</x:v>
      </x:c>
      <x:c r="L1972" s="55" t="n">
        <x:v>33081323</x:v>
      </x:c>
      <x:c r="M1972" t="str">
        <x:v>20230323001024</x:v>
      </x:c>
      <x:c r="N1972" t="n">
        <x:v>45008.624999988424</x:v>
      </x:c>
      <x:c r="O1972" s="54" t="n">
        <x:v>44926</x:v>
      </x:c>
      <x:c r="P1972" t="str">
        <x:v>False</x:v>
      </x:c>
      <x:c r="Q1972" t="str">
        <x:v>385f93186157285492b9794e4f0eb20047901a652d87b6dbf5ccecd8e3ac3b00</x:v>
      </x:c>
      <x:c r="R1972" t="str">
        <x:v>0e0eb4e08fe9a44424274a4b1602731333300bf9f71614cab6033f19692a533c</x:v>
      </x:c>
      <x:c r="S1972" t="n">
        <x:v>6</x:v>
      </x:c>
      <x:c r="T1972" t="str">
        <x:v>2022-12-31</x:v>
      </x:c>
      <x:c r="U1972" s="57" t="n">
        <x:v>-1745.2559057713622</x:v>
      </x:c>
      <x:c r="V1972" s="57" t="n">
        <x:v>-1.7241725750088641</x:v>
      </x:c>
      <x:c r="W1972"/>
      <x:c r="X1972"/>
      <x:c r="Y1972" s="38" t="n">
        <x:v>0.6409090909090909</x:v>
      </x:c>
      <x:c r="Z1972" s="38" t="n">
        <x:v>0.6264850986190418</x:v>
      </x:c>
      <x:c r="AA1972" t="str">
        <x:v>NON_POSITIVE_ENTERPRISE_VALUE|NON_POSITIVE_EQUITY_VALUE|NON_POSITIVE_TERMINAL_FCF</x:v>
      </x:c>
    </x:row>
    <x:row r="1973">
      <x:c r="A1973" s="54" t="n">
        <x:v>45107</x:v>
      </x:c>
      <x:c r="B1973" t="n">
        <x:v>45107.624999988424</x:v>
      </x:c>
      <x:c r="C1973" t="str">
        <x:v>059100</x:v>
      </x:c>
      <x:c r="D1973" t="str">
        <x:v>아이컴포넌트</x:v>
      </x:c>
      <x:c r="E1973" t="str">
        <x:v>KOSDAQ</x:v>
      </x:c>
      <x:c r="F1973" t="str">
        <x:v>SMALL</x:v>
      </x:c>
      <x:c r="G1973" t="str">
        <x:v>ELIGIBLE</x:v>
      </x:c>
      <x:c r="H1973"/>
      <x:c r="I1973" s="54" t="n">
        <x:v>45107</x:v>
      </x:c>
      <x:c r="J1973" s="55" t="n">
        <x:v>7050</x:v>
      </x:c>
      <x:c r="K1973" s="55" t="n">
        <x:v>49849563000</x:v>
      </x:c>
      <x:c r="L1973" s="55" t="n">
        <x:v>7070860</x:v>
      </x:c>
      <x:c r="M1973" t="str">
        <x:v>20230315000496</x:v>
      </x:c>
      <x:c r="N1973" t="n">
        <x:v>45000.624999988424</x:v>
      </x:c>
      <x:c r="O1973" s="54" t="n">
        <x:v>44926</x:v>
      </x:c>
      <x:c r="P1973" t="str">
        <x:v>False</x:v>
      </x:c>
      <x:c r="Q1973" t="str">
        <x:v>590760555b24b8ca83f46bb6f947be08fef7998df137b8ee3a688eedd86cdad4</x:v>
      </x:c>
      <x:c r="R1973" t="str">
        <x:v>affd50f0a869764aadd98c32bf33a9c4839fc0d058b1aa9f359eb7a44a16139d</x:v>
      </x:c>
      <x:c r="S1973" t="n">
        <x:v>7</x:v>
      </x:c>
      <x:c r="T1973" t="str">
        <x:v>2018-12-31|2019-12-31|2020-12-31|2021-12-31|2022-12-31</x:v>
      </x:c>
      <x:c r="U1973" s="57" t="n">
        <x:v>1975.0427853653218</x:v>
      </x:c>
      <x:c r="V1973" s="57" t="n">
        <x:v>-0.7198520871822238</x:v>
      </x:c>
      <x:c r="W1973" t="n">
        <x:v>58</x:v>
      </x:c>
      <x:c r="X1973" t="n">
        <x:v>5</x:v>
      </x:c>
      <x:c r="Y1973" s="38" t="n">
        <x:v>0.6409090909090909</x:v>
      </x:c>
      <x:c r="Z1973" s="38" t="n">
        <x:v>0.6108028309188008</x:v>
      </x:c>
      <x:c r="AA1973"/>
    </x:row>
    <x:row r="1974">
      <x:c r="A1974" s="54" t="n">
        <x:v>45107</x:v>
      </x:c>
      <x:c r="B1974" t="n">
        <x:v>45107.624999988424</x:v>
      </x:c>
      <x:c r="C1974" t="str">
        <x:v>060900</x:v>
      </x:c>
      <x:c r="D1974" t="str">
        <x:v>DGP</x:v>
      </x:c>
      <x:c r="E1974" t="str">
        <x:v>KOSDAQ</x:v>
      </x:c>
      <x:c r="F1974" t="str">
        <x:v>SMALL</x:v>
      </x:c>
      <x:c r="G1974" t="str">
        <x:v>DCF_SCREENING_EXCLUSION</x:v>
      </x:c>
      <x:c r="H1974" t="str">
        <x:v>NON_POSITIVE_ENTERPRISE_VALUE|NON_POSITIVE_EQUITY_VALUE|NON_POSITIVE_TERMINAL_FCF</x:v>
      </x:c>
      <x:c r="I1974" s="54" t="n">
        <x:v>45107</x:v>
      </x:c>
      <x:c r="J1974" s="55" t="n">
        <x:v>5820</x:v>
      </x:c>
      <x:c r="K1974" s="55" t="n">
        <x:v>132298191360</x:v>
      </x:c>
      <x:c r="L1974" s="55" t="n">
        <x:v>22731648</x:v>
      </x:c>
      <x:c r="M1974" t="str">
        <x:v>20230321000921</x:v>
      </x:c>
      <x:c r="N1974" t="n">
        <x:v>45006.624999988424</x:v>
      </x:c>
      <x:c r="O1974" s="54" t="n">
        <x:v>44926</x:v>
      </x:c>
      <x:c r="P1974" t="str">
        <x:v>False</x:v>
      </x:c>
      <x:c r="Q1974" t="str">
        <x:v>a3a7b5a2b435fd1ddeaa245339b854f9c1ad877a4376efd00b89c8f1bfcede34</x:v>
      </x:c>
      <x:c r="R1974" t="str">
        <x:v>a2f71697d0cc88f729c4125813229441d6c19f22d3cf2ce257be7b61e0f35e7d</x:v>
      </x:c>
      <x:c r="S1974" t="n">
        <x:v>5</x:v>
      </x:c>
      <x:c r="T1974" t="str">
        <x:v>2018-12-31|2019-12-31|2021-12-31|2022-12-31</x:v>
      </x:c>
      <x:c r="U1974" s="57" t="n">
        <x:v>-3067.5212511669943</x:v>
      </x:c>
      <x:c r="V1974" s="57" t="n">
        <x:v>-1.5270655070733667</x:v>
      </x:c>
      <x:c r="W1974"/>
      <x:c r="X1974"/>
      <x:c r="Y1974" s="38" t="n">
        <x:v>0.6409090909090909</x:v>
      </x:c>
      <x:c r="Z1974" s="38" t="n">
        <x:v>0.6877366627079367</x:v>
      </x:c>
      <x:c r="AA1974" t="str">
        <x:v>NON_POSITIVE_ENTERPRISE_VALUE|NON_POSITIVE_EQUITY_VALUE|NON_POSITIVE_TERMINAL_FCF</x:v>
      </x:c>
    </x:row>
    <x:row r="1975">
      <x:c r="A1975" s="54" t="n">
        <x:v>45107</x:v>
      </x:c>
      <x:c r="B1975" t="n">
        <x:v>45107.624999988424</x:v>
      </x:c>
      <x:c r="C1975" t="str">
        <x:v>232830</x:v>
      </x:c>
      <x:c r="D1975" t="str">
        <x:v>아이티센피엔에스</x:v>
      </x:c>
      <x:c r="E1975" t="str">
        <x:v>KOSDAQ</x:v>
      </x:c>
      <x:c r="F1975" t="str">
        <x:v>SMALL</x:v>
      </x:c>
      <x:c r="G1975" t="str">
        <x:v>NO_PIT_FINANCIALS</x:v>
      </x:c>
      <x:c r="H1975"/>
      <x:c r="I1975" s="54" t="n">
        <x:v>45107</x:v>
      </x:c>
      <x:c r="J1975" s="55" t="n">
        <x:v>7720</x:v>
      </x:c>
      <x:c r="K1975" s="55" t="n">
        <x:v>88899443840</x:v>
      </x:c>
      <x:c r="L1975" s="55" t="n">
        <x:v>11515472</x:v>
      </x:c>
      <x:c r="M1975"/>
      <x:c r="N1975"/>
      <x:c r="O1975" s="54"/>
      <x:c r="P1975"/>
      <x:c r="Q1975"/>
      <x:c r="R1975"/>
      <x:c r="S1975"/>
      <x:c r="T1975"/>
      <x:c r="U1975" s="57"/>
      <x:c r="V1975" s="57"/>
      <x:c r="W1975"/>
      <x:c r="X1975"/>
      <x:c r="Y1975" s="38"/>
      <x:c r="Z1975" s="38"/>
      <x:c r="AA1975"/>
    </x:row>
    <x:row r="1976">
      <x:c r="A1976" s="54" t="n">
        <x:v>45107</x:v>
      </x:c>
      <x:c r="B1976" t="n">
        <x:v>45107.624999988424</x:v>
      </x:c>
      <x:c r="C1976" t="str">
        <x:v>070590</x:v>
      </x:c>
      <x:c r="D1976" t="str">
        <x:v>한솔인티큐브</x:v>
      </x:c>
      <x:c r="E1976" t="str">
        <x:v>KOSDAQ</x:v>
      </x:c>
      <x:c r="F1976" t="str">
        <x:v>SMALL</x:v>
      </x:c>
      <x:c r="G1976" t="str">
        <x:v>DCF_SCREENING_EXCLUSION</x:v>
      </x:c>
      <x:c r="H1976" t="str">
        <x:v>NON_POSITIVE_ENTERPRISE_VALUE|NON_POSITIVE_EQUITY_VALUE|NON_POSITIVE_TERMINAL_FCF</x:v>
      </x:c>
      <x:c r="I1976" s="54" t="n">
        <x:v>45107</x:v>
      </x:c>
      <x:c r="J1976" s="55" t="n">
        <x:v>1712</x:v>
      </x:c>
      <x:c r="K1976" s="55" t="n">
        <x:v>23761739952</x:v>
      </x:c>
      <x:c r="L1976" s="55" t="n">
        <x:v>13879521</x:v>
      </x:c>
      <x:c r="M1976" t="str">
        <x:v>20230314001266</x:v>
      </x:c>
      <x:c r="N1976" t="n">
        <x:v>44999.624999988424</x:v>
      </x:c>
      <x:c r="O1976" s="54" t="n">
        <x:v>44926</x:v>
      </x:c>
      <x:c r="P1976" t="str">
        <x:v>False</x:v>
      </x:c>
      <x:c r="Q1976" t="str">
        <x:v>899914e2e79c458a718c1a2ff51257f7afda365621d0d454aaddec82cdcec43f</x:v>
      </x:c>
      <x:c r="R1976" t="str">
        <x:v>dcc64751a501c29d71ad971f9b229a75ea1a75dc19a4c00fab50c0d5b2a20898</x:v>
      </x:c>
      <x:c r="S1976" t="n">
        <x:v>6</x:v>
      </x:c>
      <x:c r="T1976" t="str">
        <x:v>2018-12-31|2019-12-31|2020-12-31|2021-12-31|2022-12-31</x:v>
      </x:c>
      <x:c r="U1976" s="57" t="n">
        <x:v>-854.2895297456943</x:v>
      </x:c>
      <x:c r="V1976" s="57" t="n">
        <x:v>-1.4990008935430457</x:v>
      </x:c>
      <x:c r="W1976"/>
      <x:c r="X1976"/>
      <x:c r="Y1976" s="38" t="n">
        <x:v>0.6409090909090909</x:v>
      </x:c>
      <x:c r="Z1976" s="38" t="n">
        <x:v>0.46660484779054157</x:v>
      </x:c>
      <x:c r="AA1976" t="str">
        <x:v>NON_POSITIVE_ENTERPRISE_VALUE|NON_POSITIVE_EQUITY_VALUE|NON_POSITIVE_TERMINAL_FCF</x:v>
      </x:c>
    </x:row>
    <x:row r="1977">
      <x:c r="A1977" s="54" t="n">
        <x:v>45107</x:v>
      </x:c>
      <x:c r="B1977" t="n">
        <x:v>45107.624999988424</x:v>
      </x:c>
      <x:c r="C1977" t="str">
        <x:v>163560</x:v>
      </x:c>
      <x:c r="D1977" t="str">
        <x:v>동일고무벨트</x:v>
      </x:c>
      <x:c r="E1977" t="str">
        <x:v>KOSPI</x:v>
      </x:c>
      <x:c r="F1977" t="str">
        <x:v>SMALL</x:v>
      </x:c>
      <x:c r="G1977" t="str">
        <x:v>ELIGIBLE</x:v>
      </x:c>
      <x:c r="H1977"/>
      <x:c r="I1977" s="54" t="n">
        <x:v>45107</x:v>
      </x:c>
      <x:c r="J1977" s="55" t="n">
        <x:v>7000</x:v>
      </x:c>
      <x:c r="K1977" s="55" t="n">
        <x:v>97300000000</x:v>
      </x:c>
      <x:c r="L1977" s="55" t="n">
        <x:v>13900000</x:v>
      </x:c>
      <x:c r="M1977" t="str">
        <x:v>20230314000884</x:v>
      </x:c>
      <x:c r="N1977" t="n">
        <x:v>44999.624999988424</x:v>
      </x:c>
      <x:c r="O1977" s="54" t="n">
        <x:v>44926</x:v>
      </x:c>
      <x:c r="P1977" t="str">
        <x:v>False</x:v>
      </x:c>
      <x:c r="Q1977" t="str">
        <x:v>e1af9e07f54b08b31e6319135c3557d45c47b7108d497a5ebef5a4c34391d077</x:v>
      </x:c>
      <x:c r="R1977" t="str">
        <x:v>d66a2a512ef36e9a8c618d56a66759390209677074b942d530d3e7ed873093fc</x:v>
      </x:c>
      <x:c r="S1977" t="n">
        <x:v>5</x:v>
      </x:c>
      <x:c r="T1977" t="str">
        <x:v>2018-12-31|2019-12-31|2020-12-31|2021-12-31|2022-12-31</x:v>
      </x:c>
      <x:c r="U1977" s="57" t="n">
        <x:v>3977.580104654106</x:v>
      </x:c>
      <x:c r="V1977" s="57" t="n">
        <x:v>-0.4317742707636992</x:v>
      </x:c>
      <x:c r="W1977" t="n">
        <x:v>37</x:v>
      </x:c>
      <x:c r="X1977" t="n">
        <x:v>3</x:v>
      </x:c>
      <x:c r="Y1977" s="38" t="n">
        <x:v>0.6409090909090909</x:v>
      </x:c>
      <x:c r="Z1977" s="38" t="n">
        <x:v>0.7515064542839399</x:v>
      </x:c>
      <x:c r="AA1977"/>
    </x:row>
    <x:row r="1978">
      <x:c r="A1978" s="54" t="n">
        <x:v>45107</x:v>
      </x:c>
      <x:c r="B1978" t="n">
        <x:v>45107.624999988424</x:v>
      </x:c>
      <x:c r="C1978" t="str">
        <x:v>004830</x:v>
      </x:c>
      <x:c r="D1978" t="str">
        <x:v>덕성</x:v>
      </x:c>
      <x:c r="E1978" t="str">
        <x:v>KOSPI</x:v>
      </x:c>
      <x:c r="F1978" t="str">
        <x:v>SMALL</x:v>
      </x:c>
      <x:c r="G1978" t="str">
        <x:v>ELIGIBLE</x:v>
      </x:c>
      <x:c r="H1978"/>
      <x:c r="I1978" s="54" t="n">
        <x:v>45107</x:v>
      </x:c>
      <x:c r="J1978" s="55" t="n">
        <x:v>4440</x:v>
      </x:c>
      <x:c r="K1978" s="55" t="n">
        <x:v>69619200000</x:v>
      </x:c>
      <x:c r="L1978" s="55" t="n">
        <x:v>15680000</x:v>
      </x:c>
      <x:c r="M1978" t="str">
        <x:v>20230317000725</x:v>
      </x:c>
      <x:c r="N1978" t="n">
        <x:v>45002.624999988424</x:v>
      </x:c>
      <x:c r="O1978" s="54" t="n">
        <x:v>44926</x:v>
      </x:c>
      <x:c r="P1978" t="str">
        <x:v>False</x:v>
      </x:c>
      <x:c r="Q1978" t="str">
        <x:v>f050cbf10b3afeec85fa14f52a00c27e024f1d4a8ba6e536874a3fbba610a8a9</x:v>
      </x:c>
      <x:c r="R1978" t="str">
        <x:v>97435f046c63b71b1e391f1bc6352312bbdaa33ab8ef3b6e2b3e3762477304d6</x:v>
      </x:c>
      <x:c r="S1978" t="n">
        <x:v>7</x:v>
      </x:c>
      <x:c r="T1978" t="str">
        <x:v>2018-12-31|2019-12-31|2020-12-31|2021-12-31|2022-12-31</x:v>
      </x:c>
      <x:c r="U1978" s="57" t="n">
        <x:v>2778.8065618787664</x:v>
      </x:c>
      <x:c r="V1978" s="57" t="n">
        <x:v>-0.3741426662435211</x:v>
      </x:c>
      <x:c r="W1978" t="n">
        <x:v>33</x:v>
      </x:c>
      <x:c r="X1978" t="n">
        <x:v>3</x:v>
      </x:c>
      <x:c r="Y1978" s="38" t="n">
        <x:v>0.6409090909090909</x:v>
      </x:c>
      <x:c r="Z1978" s="38" t="n">
        <x:v>0.6705959802185688</x:v>
      </x:c>
      <x:c r="AA1978"/>
    </x:row>
    <x:row r="1979">
      <x:c r="A1979" s="54" t="n">
        <x:v>45107</x:v>
      </x:c>
      <x:c r="B1979" t="n">
        <x:v>45107.624999988424</x:v>
      </x:c>
      <x:c r="C1979" t="str">
        <x:v>014440</x:v>
      </x:c>
      <x:c r="D1979" t="str">
        <x:v>영보화학</x:v>
      </x:c>
      <x:c r="E1979" t="str">
        <x:v>KOSPI</x:v>
      </x:c>
      <x:c r="F1979" t="str">
        <x:v>SMALL</x:v>
      </x:c>
      <x:c r="G1979" t="str">
        <x:v>ELIGIBLE</x:v>
      </x:c>
      <x:c r="H1979"/>
      <x:c r="I1979" s="54" t="n">
        <x:v>45107</x:v>
      </x:c>
      <x:c r="J1979" s="55" t="n">
        <x:v>3920</x:v>
      </x:c>
      <x:c r="K1979" s="55" t="n">
        <x:v>78400000000</x:v>
      </x:c>
      <x:c r="L1979" s="55" t="n">
        <x:v>20000000</x:v>
      </x:c>
      <x:c r="M1979" t="str">
        <x:v>20230315000345</x:v>
      </x:c>
      <x:c r="N1979" t="n">
        <x:v>45000.624999988424</x:v>
      </x:c>
      <x:c r="O1979" s="54" t="n">
        <x:v>44926</x:v>
      </x:c>
      <x:c r="P1979" t="str">
        <x:v>False</x:v>
      </x:c>
      <x:c r="Q1979" t="str">
        <x:v>d63d9fa8510e2308020934e7c0b199c248549e13d003ee246c6e1fc306e90076</x:v>
      </x:c>
      <x:c r="R1979" t="str">
        <x:v>81922ca1b6399cabf576ee59c1173b5c4ee55c697accad85ffeaa4a8ed2e7733</x:v>
      </x:c>
      <x:c r="S1979" t="n">
        <x:v>6</x:v>
      </x:c>
      <x:c r="T1979" t="str">
        <x:v>2018-12-31|2019-12-31|2020-12-31|2021-12-31|2022-12-31</x:v>
      </x:c>
      <x:c r="U1979" s="57" t="n">
        <x:v>2130.6598994347996</x:v>
      </x:c>
      <x:c r="V1979" s="57" t="n">
        <x:v>-0.4564643113686736</x:v>
      </x:c>
      <x:c r="W1979" t="n">
        <x:v>40</x:v>
      </x:c>
      <x:c r="X1979" t="n">
        <x:v>3</x:v>
      </x:c>
      <x:c r="Y1979" s="38" t="n">
        <x:v>0.6409090909090909</x:v>
      </x:c>
      <x:c r="Z1979" s="38" t="n">
        <x:v>0.36468053982794346</x:v>
      </x:c>
      <x:c r="AA1979"/>
    </x:row>
    <x:row r="1980">
      <x:c r="A1980" s="54" t="n">
        <x:v>45107</x:v>
      </x:c>
      <x:c r="B1980" t="n">
        <x:v>45107.624999988424</x:v>
      </x:c>
      <x:c r="C1980" t="str">
        <x:v>009180</x:v>
      </x:c>
      <x:c r="D1980" t="str">
        <x:v>한솔로지스틱스</x:v>
      </x:c>
      <x:c r="E1980" t="str">
        <x:v>KOSPI</x:v>
      </x:c>
      <x:c r="F1980" t="str">
        <x:v>SMALL</x:v>
      </x:c>
      <x:c r="G1980" t="str">
        <x:v>ELIGIBLE</x:v>
      </x:c>
      <x:c r="H1980"/>
      <x:c r="I1980" s="54" t="n">
        <x:v>45107</x:v>
      </x:c>
      <x:c r="J1980" s="55" t="n">
        <x:v>2735</x:v>
      </x:c>
      <x:c r="K1980" s="55" t="n">
        <x:v>75150757375</x:v>
      </x:c>
      <x:c r="L1980" s="55" t="n">
        <x:v>27477425</x:v>
      </x:c>
      <x:c r="M1980" t="str">
        <x:v>20230314000521</x:v>
      </x:c>
      <x:c r="N1980" t="n">
        <x:v>44999.624999988424</x:v>
      </x:c>
      <x:c r="O1980" s="54" t="n">
        <x:v>44926</x:v>
      </x:c>
      <x:c r="P1980" t="str">
        <x:v>False</x:v>
      </x:c>
      <x:c r="Q1980" t="str">
        <x:v>eda31c52b16b96a3d3e2e56f195008d48a51f3f4d471e61b08ff4bd7c3dc42d6</x:v>
      </x:c>
      <x:c r="R1980" t="str">
        <x:v>ce8fec0bf919a35953ce5bc0f7cbbdc0092795f1f90e71b58e263f9e988693d0</x:v>
      </x:c>
      <x:c r="S1980" t="n">
        <x:v>6</x:v>
      </x:c>
      <x:c r="T1980" t="str">
        <x:v>2018-12-31|2019-12-31|2020-12-31|2021-12-31|2022-12-31</x:v>
      </x:c>
      <x:c r="U1980" s="57" t="n">
        <x:v>7285.250974816553</x:v>
      </x:c>
      <x:c r="V1980" s="57" t="n">
        <x:v>1.663711508159617</x:v>
      </x:c>
      <x:c r="W1980" t="n">
        <x:v>10</x:v>
      </x:c>
      <x:c r="X1980" t="n">
        <x:v>1</x:v>
      </x:c>
      <x:c r="Y1980" s="38" t="n">
        <x:v>0.6409090909090909</x:v>
      </x:c>
      <x:c r="Z1980" s="38" t="n">
        <x:v>0.6119376603889574</x:v>
      </x:c>
      <x:c r="AA1980"/>
    </x:row>
    <x:row r="1981">
      <x:c r="A1981" s="54" t="n">
        <x:v>45107</x:v>
      </x:c>
      <x:c r="B1981" t="n">
        <x:v>45107.624999988424</x:v>
      </x:c>
      <x:c r="C1981" t="str">
        <x:v>004910</x:v>
      </x:c>
      <x:c r="D1981" t="str">
        <x:v>조광페인트</x:v>
      </x:c>
      <x:c r="E1981" t="str">
        <x:v>KOSPI</x:v>
      </x:c>
      <x:c r="F1981" t="str">
        <x:v>SMALL</x:v>
      </x:c>
      <x:c r="G1981" t="str">
        <x:v>DCF_SCREENING_EXCLUSION</x:v>
      </x:c>
      <x:c r="H1981" t="str">
        <x:v>NON_POSITIVE_ENTERPRISE_VALUE|NON_POSITIVE_EQUITY_VALUE|NON_POSITIVE_TERMINAL_FCF</x:v>
      </x:c>
      <x:c r="I1981" s="54" t="n">
        <x:v>45107</x:v>
      </x:c>
      <x:c r="J1981" s="55" t="n">
        <x:v>6770</x:v>
      </x:c>
      <x:c r="K1981" s="55" t="n">
        <x:v>86656000000</x:v>
      </x:c>
      <x:c r="L1981" s="55" t="n">
        <x:v>12800000</x:v>
      </x:c>
      <x:c r="M1981" t="str">
        <x:v>20230327000842</x:v>
      </x:c>
      <x:c r="N1981" t="n">
        <x:v>45012.624999988424</x:v>
      </x:c>
      <x:c r="O1981" s="54" t="n">
        <x:v>44926</x:v>
      </x:c>
      <x:c r="P1981" t="str">
        <x:v>True</x:v>
      </x:c>
      <x:c r="Q1981" t="str">
        <x:v>8502d6910c586d5bf2e3d05259b684f052a56334a5f78b3f50d899c463b910f1</x:v>
      </x:c>
      <x:c r="R1981" t="str">
        <x:v>1dd640a4399a83979d430ab8be09bcabb8ade99f67af583be6f90c51d46827ba</x:v>
      </x:c>
      <x:c r="S1981" t="n">
        <x:v>6</x:v>
      </x:c>
      <x:c r="T1981" t="str">
        <x:v>2018-12-31|2019-12-31|2020-12-31|2021-12-31|2022-12-31</x:v>
      </x:c>
      <x:c r="U1981" s="57" t="n">
        <x:v>-10700.587748293754</x:v>
      </x:c>
      <x:c r="V1981" s="57" t="n">
        <x:v>-2.580589032244277</x:v>
      </x:c>
      <x:c r="W1981"/>
      <x:c r="X1981"/>
      <x:c r="Y1981" s="38" t="n">
        <x:v>0.6409090909090909</x:v>
      </x:c>
      <x:c r="Z1981" s="38" t="n">
        <x:v>0.621631928643766</x:v>
      </x:c>
      <x:c r="AA1981" t="str">
        <x:v>NON_POSITIVE_ENTERPRISE_VALUE|NON_POSITIVE_EQUITY_VALUE|NON_POSITIVE_TERMINAL_FCF</x:v>
      </x:c>
    </x:row>
    <x:row r="1982">
      <x:c r="A1982" s="54" t="n">
        <x:v>45107</x:v>
      </x:c>
      <x:c r="B1982" t="n">
        <x:v>45107.624999988424</x:v>
      </x:c>
      <x:c r="C1982" t="str">
        <x:v>004870</x:v>
      </x:c>
      <x:c r="D1982" t="str">
        <x:v>티웨이홀딩스</x:v>
      </x:c>
      <x:c r="E1982" t="str">
        <x:v>KOSPI</x:v>
      </x:c>
      <x:c r="F1982" t="str">
        <x:v>SMALL</x:v>
      </x:c>
      <x:c r="G1982" t="str">
        <x:v>EXCLUDED_ARCHETYPE</x:v>
      </x:c>
      <x:c r="H1982" t="str">
        <x:v>FCFF_NOT_COMPARABLE_FOR_FINANCE_OR_HOLDING_HINT</x:v>
      </x:c>
      <x:c r="I1982" s="54"/>
      <x:c r="J1982" s="55"/>
      <x:c r="K1982" s="55"/>
      <x:c r="L1982" s="55"/>
      <x:c r="M1982"/>
      <x:c r="N1982"/>
      <x:c r="O1982" s="54"/>
      <x:c r="P1982"/>
      <x:c r="Q1982"/>
      <x:c r="R1982"/>
      <x:c r="S1982"/>
      <x:c r="T1982"/>
      <x:c r="U1982" s="57"/>
      <x:c r="V1982" s="57"/>
      <x:c r="W1982"/>
      <x:c r="X1982"/>
      <x:c r="Y1982" s="38"/>
      <x:c r="Z1982" s="38"/>
      <x:c r="AA1982"/>
    </x:row>
    <x:row r="1983">
      <x:c r="A1983" s="54" t="n">
        <x:v>45107</x:v>
      </x:c>
      <x:c r="B1983" t="n">
        <x:v>45107.624999988424</x:v>
      </x:c>
      <x:c r="C1983" t="str">
        <x:v>010770</x:v>
      </x:c>
      <x:c r="D1983" t="str">
        <x:v>평화홀딩스</x:v>
      </x:c>
      <x:c r="E1983" t="str">
        <x:v>KOSPI</x:v>
      </x:c>
      <x:c r="F1983" t="str">
        <x:v>SMALL</x:v>
      </x:c>
      <x:c r="G1983" t="str">
        <x:v>EXCLUDED_ARCHETYPE</x:v>
      </x:c>
      <x:c r="H1983" t="str">
        <x:v>FCFF_NOT_COMPARABLE_FOR_FINANCE_OR_HOLDING_HINT</x:v>
      </x:c>
      <x:c r="I1983" s="54"/>
      <x:c r="J1983" s="55"/>
      <x:c r="K1983" s="55"/>
      <x:c r="L1983" s="55"/>
      <x:c r="M1983"/>
      <x:c r="N1983"/>
      <x:c r="O1983" s="54"/>
      <x:c r="P1983"/>
      <x:c r="Q1983"/>
      <x:c r="R1983"/>
      <x:c r="S1983"/>
      <x:c r="T1983"/>
      <x:c r="U1983" s="57"/>
      <x:c r="V1983" s="57"/>
      <x:c r="W1983"/>
      <x:c r="X1983"/>
      <x:c r="Y1983" s="38"/>
      <x:c r="Z1983" s="38"/>
      <x:c r="AA1983"/>
    </x:row>
    <x:row r="1984">
      <x:c r="A1984" s="54" t="n">
        <x:v>45107</x:v>
      </x:c>
      <x:c r="B1984" t="n">
        <x:v>45107.624999988424</x:v>
      </x:c>
      <x:c r="C1984" t="str">
        <x:v>001290</x:v>
      </x:c>
      <x:c r="D1984" t="str">
        <x:v>상상인증권</x:v>
      </x:c>
      <x:c r="E1984" t="str">
        <x:v>KOSPI</x:v>
      </x:c>
      <x:c r="F1984" t="str">
        <x:v>SMALL</x:v>
      </x:c>
      <x:c r="G1984" t="str">
        <x:v>EXCLUDED_ARCHETYPE</x:v>
      </x:c>
      <x:c r="H1984" t="str">
        <x:v>FCFF_NOT_COMPARABLE_FOR_FINANCE_OR_HOLDING_HINT</x:v>
      </x:c>
      <x:c r="I1984" s="54"/>
      <x:c r="J1984" s="55"/>
      <x:c r="K1984" s="55"/>
      <x:c r="L1984" s="55"/>
      <x:c r="M1984"/>
      <x:c r="N1984"/>
      <x:c r="O1984" s="54"/>
      <x:c r="P1984"/>
      <x:c r="Q1984"/>
      <x:c r="R1984"/>
      <x:c r="S1984"/>
      <x:c r="T1984"/>
      <x:c r="U1984" s="57"/>
      <x:c r="V1984" s="57"/>
      <x:c r="W1984"/>
      <x:c r="X1984"/>
      <x:c r="Y1984" s="38"/>
      <x:c r="Z1984" s="38"/>
      <x:c r="AA1984"/>
    </x:row>
    <x:row r="1985">
      <x:c r="A1985" s="54" t="n">
        <x:v>45107</x:v>
      </x:c>
      <x:c r="B1985" t="n">
        <x:v>45107.624999988424</x:v>
      </x:c>
      <x:c r="C1985" t="str">
        <x:v>047400</x:v>
      </x:c>
      <x:c r="D1985" t="str">
        <x:v>유니온머티리얼</x:v>
      </x:c>
      <x:c r="E1985" t="str">
        <x:v>KOSPI</x:v>
      </x:c>
      <x:c r="F1985" t="str">
        <x:v>SMALL</x:v>
      </x:c>
      <x:c r="G1985" t="str">
        <x:v>DCF_SCREENING_EXCLUSION</x:v>
      </x:c>
      <x:c r="H1985" t="str">
        <x:v>NON_POSITIVE_ENTERPRISE_VALUE|NON_POSITIVE_EQUITY_VALUE|NON_POSITIVE_TERMINAL_FCF</x:v>
      </x:c>
      <x:c r="I1985" s="54" t="n">
        <x:v>45107</x:v>
      </x:c>
      <x:c r="J1985" s="55" t="n">
        <x:v>3815</x:v>
      </x:c>
      <x:c r="K1985" s="55" t="n">
        <x:v>160230000000</x:v>
      </x:c>
      <x:c r="L1985" s="55" t="n">
        <x:v>42000000</x:v>
      </x:c>
      <x:c r="M1985" t="str">
        <x:v>20230324001267</x:v>
      </x:c>
      <x:c r="N1985" t="n">
        <x:v>45009.624999988424</x:v>
      </x:c>
      <x:c r="O1985" s="54" t="n">
        <x:v>44926</x:v>
      </x:c>
      <x:c r="P1985" t="str">
        <x:v>True</x:v>
      </x:c>
      <x:c r="Q1985" t="str">
        <x:v>2fe21c6c793277208fdb903e1ac031307cc7fd58266bbcbfa97d286a2543249a</x:v>
      </x:c>
      <x:c r="R1985" t="str">
        <x:v>7a51fb1b984cedb138d1b7687c971f44dda3a8afbc9b997862ad42c11ce28bea</x:v>
      </x:c>
      <x:c r="S1985" t="n">
        <x:v>7</x:v>
      </x:c>
      <x:c r="T1985" t="str">
        <x:v>2018-12-31|2019-12-31|2020-12-31|2021-12-31|2022-12-31</x:v>
      </x:c>
      <x:c r="U1985" s="57" t="n">
        <x:v>-3742.3773333717227</x:v>
      </x:c>
      <x:c r="V1985" s="57" t="n">
        <x:v>-1.9809639143831514</x:v>
      </x:c>
      <x:c r="W1985"/>
      <x:c r="X1985"/>
      <x:c r="Y1985" s="38" t="n">
        <x:v>0.6409090909090909</x:v>
      </x:c>
      <x:c r="Z1985" s="38" t="n">
        <x:v>0.6301308421759896</x:v>
      </x:c>
      <x:c r="AA1985" t="str">
        <x:v>NON_POSITIVE_ENTERPRISE_VALUE|NON_POSITIVE_EQUITY_VALUE|NON_POSITIVE_TERMINAL_FCF</x:v>
      </x:c>
    </x:row>
    <x:row r="1986">
      <x:c r="A1986" s="54" t="n">
        <x:v>45107</x:v>
      </x:c>
      <x:c r="B1986" t="n">
        <x:v>45107.624999988424</x:v>
      </x:c>
      <x:c r="C1986" t="str">
        <x:v>011300</x:v>
      </x:c>
      <x:c r="D1986" t="str">
        <x:v>성안머티리얼스</x:v>
      </x:c>
      <x:c r="E1986" t="str">
        <x:v>KOSPI</x:v>
      </x:c>
      <x:c r="F1986" t="str">
        <x:v>SMALL</x:v>
      </x:c>
      <x:c r="G1986" t="str">
        <x:v>DCF_SCREENING_EXCLUSION</x:v>
      </x:c>
      <x:c r="H1986" t="str">
        <x:v>NON_POSITIVE_ENTERPRISE_VALUE|NON_POSITIVE_EQUITY_VALUE|NON_POSITIVE_TERMINAL_FCF|UNRELIABLE_TERMINAL_VALUE_SHARE</x:v>
      </x:c>
      <x:c r="I1986" s="54" t="n">
        <x:v>45107</x:v>
      </x:c>
      <x:c r="J1986" s="55" t="n">
        <x:v>2175</x:v>
      </x:c>
      <x:c r="K1986" s="55" t="n">
        <x:v>146488527225</x:v>
      </x:c>
      <x:c r="L1986" s="55" t="n">
        <x:v>67351047</x:v>
      </x:c>
      <x:c r="M1986" t="str">
        <x:v>20230322000752</x:v>
      </x:c>
      <x:c r="N1986" t="n">
        <x:v>45007.624999988424</x:v>
      </x:c>
      <x:c r="O1986" s="54" t="n">
        <x:v>44926</x:v>
      </x:c>
      <x:c r="P1986" t="str">
        <x:v>False</x:v>
      </x:c>
      <x:c r="Q1986" t="str">
        <x:v>f2b859668663c8feee6c9246f1b1aa5864a20a9088ea52451a4aacadd065dffc</x:v>
      </x:c>
      <x:c r="R1986" t="str">
        <x:v>77774899877e09c0656baeff358971b9e241494b9ecd3a7c7ab5c9b79ae07b96</x:v>
      </x:c>
      <x:c r="S1986" t="n">
        <x:v>7</x:v>
      </x:c>
      <x:c r="T1986" t="str">
        <x:v>2018-12-31|2019-12-31|2020-12-31|2021-12-31|2022-12-31</x:v>
      </x:c>
      <x:c r="U1986" s="57" t="n">
        <x:v>-421.8011039518651</x:v>
      </x:c>
      <x:c r="V1986" s="57" t="n">
        <x:v>-1.1939315420468346</x:v>
      </x:c>
      <x:c r="W1986"/>
      <x:c r="X1986"/>
      <x:c r="Y1986" s="38" t="n">
        <x:v>0.6409090909090909</x:v>
      </x:c>
      <x:c r="Z1986" s="38" t="n">
        <x:v>0.8570330924845574</x:v>
      </x:c>
      <x:c r="AA1986" t="str">
        <x:v>NON_POSITIVE_ENTERPRISE_VALUE|NON_POSITIVE_EQUITY_VALUE|NON_POSITIVE_TERMINAL_FCF|UNRELIABLE_TERMINAL_VALUE_SHARE</x:v>
      </x:c>
    </x:row>
    <x:row r="1987">
      <x:c r="A1987" s="54" t="n">
        <x:v>45107</x:v>
      </x:c>
      <x:c r="B1987" t="n">
        <x:v>45107.624999988424</x:v>
      </x:c>
      <x:c r="C1987" t="str">
        <x:v>018500</x:v>
      </x:c>
      <x:c r="D1987" t="str">
        <x:v>동원금속</x:v>
      </x:c>
      <x:c r="E1987" t="str">
        <x:v>KOSPI</x:v>
      </x:c>
      <x:c r="F1987" t="str">
        <x:v>SMALL</x:v>
      </x:c>
      <x:c r="G1987" t="str">
        <x:v>DCF_SCREENING_EXCLUSION</x:v>
      </x:c>
      <x:c r="H1987" t="str">
        <x:v>NON_POSITIVE_ENTERPRISE_VALUE|NON_POSITIVE_EQUITY_VALUE|NON_POSITIVE_TERMINAL_FCF|UNRELIABLE_TERMINAL_VALUE_SHARE</x:v>
      </x:c>
      <x:c r="I1987" s="54" t="n">
        <x:v>45107</x:v>
      </x:c>
      <x:c r="J1987" s="55" t="n">
        <x:v>2745</x:v>
      </x:c>
      <x:c r="K1987" s="55" t="n">
        <x:v>128342291085</x:v>
      </x:c>
      <x:c r="L1987" s="55" t="n">
        <x:v>46754933</x:v>
      </x:c>
      <x:c r="M1987" t="str">
        <x:v>20230620000249</x:v>
      </x:c>
      <x:c r="N1987" t="n">
        <x:v>45097.624999988424</x:v>
      </x:c>
      <x:c r="O1987" s="54" t="n">
        <x:v>45016</x:v>
      </x:c>
      <x:c r="P1987" t="str">
        <x:v>False</x:v>
      </x:c>
      <x:c r="Q1987" t="str">
        <x:v>f1862c7baa29ecebf9f6df1b59409dbe47c0abda6c18f53beea55fe21b2b9d5b</x:v>
      </x:c>
      <x:c r="R1987" t="str">
        <x:v>d1fa046b7d256a0b8d7f4944a0565f94f6ebfef213ee9bec3fb5f8ef8c529f7c</x:v>
      </x:c>
      <x:c r="S1987" t="n">
        <x:v>6</x:v>
      </x:c>
      <x:c r="T1987" t="str">
        <x:v>2019-03-31|2020-03-31|2021-03-31|2022-03-31|2023-03-31</x:v>
      </x:c>
      <x:c r="U1987" s="57" t="n">
        <x:v>-3365.698917189611</x:v>
      </x:c>
      <x:c r="V1987" s="57" t="n">
        <x:v>-2.226119824112791</x:v>
      </x:c>
      <x:c r="W1987"/>
      <x:c r="X1987"/>
      <x:c r="Y1987" s="38" t="n">
        <x:v>0.6409090909090909</x:v>
      </x:c>
      <x:c r="Z1987" s="38" t="n">
        <x:v>2.772612621643133</x:v>
      </x:c>
      <x:c r="AA1987" t="str">
        <x:v>NON_POSITIVE_ENTERPRISE_VALUE|NON_POSITIVE_EQUITY_VALUE|NON_POSITIVE_TERMINAL_FCF|UNRELIABLE_TERMINAL_VALUE_SHARE</x:v>
      </x:c>
    </x:row>
    <x:row r="1988">
      <x:c r="A1988" s="54" t="n">
        <x:v>45107</x:v>
      </x:c>
      <x:c r="B1988" t="n">
        <x:v>45107.624999988424</x:v>
      </x:c>
      <x:c r="C1988" t="str">
        <x:v>004770</x:v>
      </x:c>
      <x:c r="D1988" t="str">
        <x:v>써니전자</x:v>
      </x:c>
      <x:c r="E1988" t="str">
        <x:v>KOSPI</x:v>
      </x:c>
      <x:c r="F1988" t="str">
        <x:v>SMALL</x:v>
      </x:c>
      <x:c r="G1988" t="str">
        <x:v>ELIGIBLE</x:v>
      </x:c>
      <x:c r="H1988"/>
      <x:c r="I1988" s="54" t="n">
        <x:v>45107</x:v>
      </x:c>
      <x:c r="J1988" s="55" t="n">
        <x:v>2335</x:v>
      </x:c>
      <x:c r="K1988" s="55" t="n">
        <x:v>81363100685</x:v>
      </x:c>
      <x:c r="L1988" s="55" t="n">
        <x:v>34845011</x:v>
      </x:c>
      <x:c r="M1988" t="str">
        <x:v>20230317001042</x:v>
      </x:c>
      <x:c r="N1988" t="n">
        <x:v>45002.624999988424</x:v>
      </x:c>
      <x:c r="O1988" s="54" t="n">
        <x:v>44926</x:v>
      </x:c>
      <x:c r="P1988" t="str">
        <x:v>False</x:v>
      </x:c>
      <x:c r="Q1988" t="str">
        <x:v>cc9e18e07201573391b9e0b596098d83df19d635decd3634aaca4e044673cc53</x:v>
      </x:c>
      <x:c r="R1988" t="str">
        <x:v>c4c3ad3e6350fc26daab1924af6861fbb1b5d3a130f4f366730dada5ee778d80</x:v>
      </x:c>
      <x:c r="S1988" t="n">
        <x:v>6</x:v>
      </x:c>
      <x:c r="T1988" t="str">
        <x:v>2018-12-31|2019-12-31|2020-12-31|2021-12-31|2022-12-31</x:v>
      </x:c>
      <x:c r="U1988" s="57" t="n">
        <x:v>478.2864764367982</x:v>
      </x:c>
      <x:c r="V1988" s="57" t="n">
        <x:v>-0.7951663912476239</x:v>
      </x:c>
      <x:c r="W1988" t="n">
        <x:v>62</x:v>
      </x:c>
      <x:c r="X1988" t="n">
        <x:v>5</x:v>
      </x:c>
      <x:c r="Y1988" s="38" t="n">
        <x:v>0.6409090909090909</x:v>
      </x:c>
      <x:c r="Z1988" s="38" t="n">
        <x:v>0.6315063926884522</x:v>
      </x:c>
      <x:c r="AA1988"/>
    </x:row>
    <x:row r="1989">
      <x:c r="A1989" s="54" t="n">
        <x:v>45107</x:v>
      </x:c>
      <x:c r="B1989" t="n">
        <x:v>45107.624999988424</x:v>
      </x:c>
      <x:c r="C1989" t="str">
        <x:v>000890</x:v>
      </x:c>
      <x:c r="D1989" t="str">
        <x:v>보해양조</x:v>
      </x:c>
      <x:c r="E1989" t="str">
        <x:v>KOSPI</x:v>
      </x:c>
      <x:c r="F1989" t="str">
        <x:v>SMALL</x:v>
      </x:c>
      <x:c r="G1989" t="str">
        <x:v>DCF_SCREENING_EXCLUSION</x:v>
      </x:c>
      <x:c r="H1989" t="str">
        <x:v>NON_POSITIVE_ENTERPRISE_VALUE|NON_POSITIVE_EQUITY_VALUE|NON_POSITIVE_TERMINAL_FCF</x:v>
      </x:c>
      <x:c r="I1989" s="54" t="n">
        <x:v>45107</x:v>
      </x:c>
      <x:c r="J1989" s="55" t="n">
        <x:v>605</x:v>
      </x:c>
      <x:c r="K1989" s="55" t="n">
        <x:v>84167678045</x:v>
      </x:c>
      <x:c r="L1989" s="55" t="n">
        <x:v>139120129</x:v>
      </x:c>
      <x:c r="M1989" t="str">
        <x:v>20230321001480</x:v>
      </x:c>
      <x:c r="N1989" t="n">
        <x:v>45006.624999988424</x:v>
      </x:c>
      <x:c r="O1989" s="54" t="n">
        <x:v>44926</x:v>
      </x:c>
      <x:c r="P1989" t="str">
        <x:v>False</x:v>
      </x:c>
      <x:c r="Q1989" t="str">
        <x:v>139d1d577ce9fe237dde0faae0b9a2fa06044da3bca94cf24b02b00bfdd1d3e9</x:v>
      </x:c>
      <x:c r="R1989" t="str">
        <x:v>09575fe14abe819fb5a535e55c31e0ef8a1afa13684e489b978f22528599458c</x:v>
      </x:c>
      <x:c r="S1989" t="n">
        <x:v>6</x:v>
      </x:c>
      <x:c r="T1989" t="str">
        <x:v>2018-12-31|2019-12-31|2020-12-31|2021-12-31|2022-12-31</x:v>
      </x:c>
      <x:c r="U1989" s="57" t="n">
        <x:v>-171.03486766784357</x:v>
      </x:c>
      <x:c r="V1989" s="57" t="n">
        <x:v>-1.2827022606080059</x:v>
      </x:c>
      <x:c r="W1989"/>
      <x:c r="X1989"/>
      <x:c r="Y1989" s="38" t="n">
        <x:v>0.6409090909090909</x:v>
      </x:c>
      <x:c r="Z1989" s="38" t="n">
        <x:v>0.6078481490190666</x:v>
      </x:c>
      <x:c r="AA1989" t="str">
        <x:v>NON_POSITIVE_ENTERPRISE_VALUE|NON_POSITIVE_EQUITY_VALUE|NON_POSITIVE_TERMINAL_FCF</x:v>
      </x:c>
    </x:row>
    <x:row r="1990">
      <x:c r="A1990" s="54" t="n">
        <x:v>45107</x:v>
      </x:c>
      <x:c r="B1990" t="n">
        <x:v>45107.624999988424</x:v>
      </x:c>
      <x:c r="C1990" t="str">
        <x:v>021050</x:v>
      </x:c>
      <x:c r="D1990" t="str">
        <x:v>서원</x:v>
      </x:c>
      <x:c r="E1990" t="str">
        <x:v>KOSPI</x:v>
      </x:c>
      <x:c r="F1990" t="str">
        <x:v>SMALL</x:v>
      </x:c>
      <x:c r="G1990" t="str">
        <x:v>DCF_SCREENING_EXCLUSION</x:v>
      </x:c>
      <x:c r="H1990" t="str">
        <x:v>NON_POSITIVE_EQUITY_VALUE|UNRELIABLE_TERMINAL_VALUE_SHARE</x:v>
      </x:c>
      <x:c r="I1990" s="54" t="n">
        <x:v>45107</x:v>
      </x:c>
      <x:c r="J1990" s="55" t="n">
        <x:v>1427</x:v>
      </x:c>
      <x:c r="K1990" s="55" t="n">
        <x:v>67746239930</x:v>
      </x:c>
      <x:c r="L1990" s="55" t="n">
        <x:v>47474590</x:v>
      </x:c>
      <x:c r="M1990" t="str">
        <x:v>20230323000835</x:v>
      </x:c>
      <x:c r="N1990" t="n">
        <x:v>45008.624999988424</x:v>
      </x:c>
      <x:c r="O1990" s="54" t="n">
        <x:v>44926</x:v>
      </x:c>
      <x:c r="P1990" t="str">
        <x:v>False</x:v>
      </x:c>
      <x:c r="Q1990" t="str">
        <x:v>a9cc558dee1f1305ae3ff0663d41defa1f6c94547971900ba1a7e0ad20fc702e</x:v>
      </x:c>
      <x:c r="R1990" t="str">
        <x:v>b466aa7ddb7ebf232b058aab9a5d041f6a13b1b5d8600109ff915ec56721faea</x:v>
      </x:c>
      <x:c r="S1990" t="n">
        <x:v>6</x:v>
      </x:c>
      <x:c r="T1990" t="str">
        <x:v>2018-12-31|2019-12-31|2020-12-31|2021-12-31|2022-12-31</x:v>
      </x:c>
      <x:c r="U1990" s="57" t="n">
        <x:v>-950.9042094502876</x:v>
      </x:c>
      <x:c r="V1990" s="57" t="n">
        <x:v>-1.6663659491592764</x:v>
      </x:c>
      <x:c r="W1990"/>
      <x:c r="X1990"/>
      <x:c r="Y1990" s="38" t="n">
        <x:v>0.6409090909090909</x:v>
      </x:c>
      <x:c r="Z1990" s="38" t="n">
        <x:v>0.9131362731117916</x:v>
      </x:c>
      <x:c r="AA1990" t="str">
        <x:v>NON_POSITIVE_EQUITY_VALUE|UNRELIABLE_TERMINAL_VALUE_SHARE</x:v>
      </x:c>
    </x:row>
    <x:row r="1991">
      <x:c r="A1991" s="54" t="n">
        <x:v>45107</x:v>
      </x:c>
      <x:c r="B1991" t="n">
        <x:v>45107.624999988424</x:v>
      </x:c>
      <x:c r="C1991" t="str">
        <x:v>134790</x:v>
      </x:c>
      <x:c r="D1991" t="str">
        <x:v>시디즈</x:v>
      </x:c>
      <x:c r="E1991" t="str">
        <x:v>KOSPI</x:v>
      </x:c>
      <x:c r="F1991" t="str">
        <x:v>SMALL</x:v>
      </x:c>
      <x:c r="G1991" t="str">
        <x:v>DCF_SCREENING_EXCLUSION</x:v>
      </x:c>
      <x:c r="H1991" t="str">
        <x:v>UNRELIABLE_TERMINAL_VALUE_SHARE</x:v>
      </x:c>
      <x:c r="I1991" s="54" t="n">
        <x:v>45107</x:v>
      </x:c>
      <x:c r="J1991" s="55" t="n">
        <x:v>37400</x:v>
      </x:c>
      <x:c r="K1991" s="55" t="n">
        <x:v>74800000000</x:v>
      </x:c>
      <x:c r="L1991" s="55" t="n">
        <x:v>2000000</x:v>
      </x:c>
      <x:c r="M1991" t="str">
        <x:v>20230316001196</x:v>
      </x:c>
      <x:c r="N1991" t="n">
        <x:v>45001.624999988424</x:v>
      </x:c>
      <x:c r="O1991" s="54" t="n">
        <x:v>44926</x:v>
      </x:c>
      <x:c r="P1991" t="str">
        <x:v>False</x:v>
      </x:c>
      <x:c r="Q1991" t="str">
        <x:v>24bdedb0d2af1bd974749f3ba26d6be1909c02eec1bbc671d567d6cdcfd329fe</x:v>
      </x:c>
      <x:c r="R1991" t="str">
        <x:v>c16e31fd1b5ca96ef0b56ac9b587438cec86a4439b9c1d1443e546566374f176</x:v>
      </x:c>
      <x:c r="S1991" t="n">
        <x:v>6</x:v>
      </x:c>
      <x:c r="T1991" t="str">
        <x:v>2018-12-31|2019-12-31|2020-12-31|2021-12-31|2022-12-31</x:v>
      </x:c>
      <x:c r="U1991" s="57" t="n">
        <x:v>37714.33973836483</x:v>
      </x:c>
      <x:c r="V1991" s="57" t="n">
        <x:v>0.008404805838631972</x:v>
      </x:c>
      <x:c r="W1991"/>
      <x:c r="X1991"/>
      <x:c r="Y1991" s="38" t="n">
        <x:v>0.6409090909090909</x:v>
      </x:c>
      <x:c r="Z1991" s="38" t="n">
        <x:v>0.8882535263746824</x:v>
      </x:c>
      <x:c r="AA1991" t="str">
        <x:v>UNRELIABLE_TERMINAL_VALUE_SHARE</x:v>
      </x:c>
    </x:row>
    <x:row r="1992">
      <x:c r="A1992" s="54" t="n">
        <x:v>45107</x:v>
      </x:c>
      <x:c r="B1992" t="n">
        <x:v>45107.624999988424</x:v>
      </x:c>
      <x:c r="C1992" t="str">
        <x:v>004920</x:v>
      </x:c>
      <x:c r="D1992" t="str">
        <x:v>씨아이테크</x:v>
      </x:c>
      <x:c r="E1992" t="str">
        <x:v>KOSPI</x:v>
      </x:c>
      <x:c r="F1992" t="str">
        <x:v>SMALL</x:v>
      </x:c>
      <x:c r="G1992" t="str">
        <x:v>DCF_SCREENING_EXCLUSION</x:v>
      </x:c>
      <x:c r="H1992" t="str">
        <x:v>NON_POSITIVE_ENTERPRISE_VALUE|NON_POSITIVE_EQUITY_VALUE|NON_POSITIVE_TERMINAL_FCF</x:v>
      </x:c>
      <x:c r="I1992" s="54" t="n">
        <x:v>45107</x:v>
      </x:c>
      <x:c r="J1992" s="55" t="n">
        <x:v>2340</x:v>
      </x:c>
      <x:c r="K1992" s="55" t="n">
        <x:v>115584606540</x:v>
      </x:c>
      <x:c r="L1992" s="55" t="n">
        <x:v>49395131</x:v>
      </x:c>
      <x:c r="M1992" t="str">
        <x:v>20230320000388</x:v>
      </x:c>
      <x:c r="N1992" t="n">
        <x:v>45005.624999988424</x:v>
      </x:c>
      <x:c r="O1992" s="54" t="n">
        <x:v>44926</x:v>
      </x:c>
      <x:c r="P1992" t="str">
        <x:v>False</x:v>
      </x:c>
      <x:c r="Q1992" t="str">
        <x:v>9d171d492d7f298cc2edf609b66dec5acde94c9a7fd778fd9b9fdec668887cd8</x:v>
      </x:c>
      <x:c r="R1992" t="str">
        <x:v>9302036e2699fc3141df99cf16ef66f975b5f1d676b5bebd06e6278c021f59d3</x:v>
      </x:c>
      <x:c r="S1992" t="n">
        <x:v>6</x:v>
      </x:c>
      <x:c r="T1992" t="str">
        <x:v>2018-12-31|2019-12-31|2020-12-31|2021-12-31|2022-12-31</x:v>
      </x:c>
      <x:c r="U1992" s="57" t="n">
        <x:v>-1054.174530710207</x:v>
      </x:c>
      <x:c r="V1992" s="57" t="n">
        <x:v>-1.4505019362009433</x:v>
      </x:c>
      <x:c r="W1992"/>
      <x:c r="X1992"/>
      <x:c r="Y1992" s="38" t="n">
        <x:v>0.6409090909090909</x:v>
      </x:c>
      <x:c r="Z1992" s="38" t="n">
        <x:v>0.6703860416593708</x:v>
      </x:c>
      <x:c r="AA1992" t="str">
        <x:v>NON_POSITIVE_ENTERPRISE_VALUE|NON_POSITIVE_EQUITY_VALUE|NON_POSITIVE_TERMINAL_FCF</x:v>
      </x:c>
    </x:row>
    <x:row r="1993">
      <x:c r="A1993" s="54" t="n">
        <x:v>45107</x:v>
      </x:c>
      <x:c r="B1993" t="n">
        <x:v>45107.624999988424</x:v>
      </x:c>
      <x:c r="C1993" t="str">
        <x:v>058730</x:v>
      </x:c>
      <x:c r="D1993" t="str">
        <x:v>다스코</x:v>
      </x:c>
      <x:c r="E1993" t="str">
        <x:v>KOSPI</x:v>
      </x:c>
      <x:c r="F1993" t="str">
        <x:v>SMALL</x:v>
      </x:c>
      <x:c r="G1993" t="str">
        <x:v>DCF_SCREENING_EXCLUSION</x:v>
      </x:c>
      <x:c r="H1993" t="str">
        <x:v>NON_POSITIVE_ENTERPRISE_VALUE|NON_POSITIVE_EQUITY_VALUE|NON_POSITIVE_TERMINAL_FCF</x:v>
      </x:c>
      <x:c r="I1993" s="54" t="n">
        <x:v>45107</x:v>
      </x:c>
      <x:c r="J1993" s="55" t="n">
        <x:v>4840</x:v>
      </x:c>
      <x:c r="K1993" s="55" t="n">
        <x:v>93881194440</x:v>
      </x:c>
      <x:c r="L1993" s="55" t="n">
        <x:v>19396941</x:v>
      </x:c>
      <x:c r="M1993" t="str">
        <x:v>20230321001293</x:v>
      </x:c>
      <x:c r="N1993" t="n">
        <x:v>45006.624999988424</x:v>
      </x:c>
      <x:c r="O1993" s="54" t="n">
        <x:v>44926</x:v>
      </x:c>
      <x:c r="P1993" t="str">
        <x:v>False</x:v>
      </x:c>
      <x:c r="Q1993" t="str">
        <x:v>a93853e5b96927c3c21ed5c838b1026b278911aeef0d4c2f05f47251dc97e9fc</x:v>
      </x:c>
      <x:c r="R1993" t="str">
        <x:v>2e4d57025ded24437f0e3d40c2f540317ac0eca5a5741d1d78ea98501347bc29</x:v>
      </x:c>
      <x:c r="S1993" t="n">
        <x:v>7</x:v>
      </x:c>
      <x:c r="T1993" t="str">
        <x:v>2019-12-31|2020-12-31|2021-12-31|2022-12-31</x:v>
      </x:c>
      <x:c r="U1993" s="57" t="n">
        <x:v>-3657.238297158266</x:v>
      </x:c>
      <x:c r="V1993" s="57" t="n">
        <x:v>-1.7556277473467492</x:v>
      </x:c>
      <x:c r="W1993"/>
      <x:c r="X1993"/>
      <x:c r="Y1993" s="38" t="n">
        <x:v>0.6409090909090909</x:v>
      </x:c>
      <x:c r="Z1993" s="38" t="n">
        <x:v>0.7137548445491458</x:v>
      </x:c>
      <x:c r="AA1993" t="str">
        <x:v>NON_POSITIVE_ENTERPRISE_VALUE|NON_POSITIVE_EQUITY_VALUE|NON_POSITIVE_TERMINAL_FCF</x:v>
      </x:c>
    </x:row>
    <x:row r="1994">
      <x:c r="A1994" s="54" t="n">
        <x:v>45107</x:v>
      </x:c>
      <x:c r="B1994" t="n">
        <x:v>45107.624999988424</x:v>
      </x:c>
      <x:c r="C1994" t="str">
        <x:v>465770</x:v>
      </x:c>
      <x:c r="D1994" t="str">
        <x:v>STX그린로지스</x:v>
      </x:c>
      <x:c r="E1994" t="str">
        <x:v>KOSPI</x:v>
      </x:c>
      <x:c r="F1994" t="str">
        <x:v>SMALL</x:v>
      </x:c>
      <x:c r="G1994" t="str">
        <x:v>NOT_LISTED_OR_NO_PRICE</x:v>
      </x:c>
      <x:c r="H1994"/>
      <x:c r="I1994" s="54"/>
      <x:c r="J1994" s="55"/>
      <x:c r="K1994" s="55"/>
      <x:c r="L1994" s="55"/>
      <x:c r="M1994"/>
      <x:c r="N1994"/>
      <x:c r="O1994" s="54"/>
      <x:c r="P1994"/>
      <x:c r="Q1994"/>
      <x:c r="R1994"/>
      <x:c r="S1994"/>
      <x:c r="T1994"/>
      <x:c r="U1994" s="57"/>
      <x:c r="V1994" s="57"/>
      <x:c r="W1994"/>
      <x:c r="X1994"/>
      <x:c r="Y1994" s="38"/>
      <x:c r="Z1994" s="38"/>
      <x:c r="AA1994"/>
    </x:row>
    <x:row r="1995">
      <x:c r="A1995" s="54" t="n">
        <x:v>45107</x:v>
      </x:c>
      <x:c r="B1995" t="n">
        <x:v>45107.624999988424</x:v>
      </x:c>
      <x:c r="C1995" t="str">
        <x:v>000950</x:v>
      </x:c>
      <x:c r="D1995" t="str">
        <x:v>전방</x:v>
      </x:c>
      <x:c r="E1995" t="str">
        <x:v>KOSPI</x:v>
      </x:c>
      <x:c r="F1995" t="str">
        <x:v>SMALL</x:v>
      </x:c>
      <x:c r="G1995" t="str">
        <x:v>DCF_SCREENING_EXCLUSION</x:v>
      </x:c>
      <x:c r="H1995" t="str">
        <x:v>NON_POSITIVE_ENTERPRISE_VALUE|NON_POSITIVE_EQUITY_VALUE|NON_POSITIVE_TERMINAL_FCF</x:v>
      </x:c>
      <x:c r="I1995" s="54" t="n">
        <x:v>45107</x:v>
      </x:c>
      <x:c r="J1995" s="55" t="n">
        <x:v>27700</x:v>
      </x:c>
      <x:c r="K1995" s="55" t="n">
        <x:v>46536000000</x:v>
      </x:c>
      <x:c r="L1995" s="55" t="n">
        <x:v>1680000</x:v>
      </x:c>
      <x:c r="M1995" t="str">
        <x:v>20230317000870</x:v>
      </x:c>
      <x:c r="N1995" t="n">
        <x:v>45002.624999988424</x:v>
      </x:c>
      <x:c r="O1995" s="54" t="n">
        <x:v>44926</x:v>
      </x:c>
      <x:c r="P1995" t="str">
        <x:v>True</x:v>
      </x:c>
      <x:c r="Q1995" t="str">
        <x:v>0b962c0c6cdda1197c02ba0db4078a2f1853e6554a552e65f4d3aa08ed4c6df3</x:v>
      </x:c>
      <x:c r="R1995" t="str">
        <x:v>f9d2b2d3a4b1e69b7b0ae12db8b6dff6cd81f70cf146e86a1503071e1d5bc3a1</x:v>
      </x:c>
      <x:c r="S1995" t="n">
        <x:v>6</x:v>
      </x:c>
      <x:c r="T1995" t="str">
        <x:v>2018-12-31|2019-12-31|2020-12-31|2021-12-31|2022-12-31</x:v>
      </x:c>
      <x:c r="U1995" s="57" t="n">
        <x:v>-103939.18003410507</x:v>
      </x:c>
      <x:c r="V1995" s="57" t="n">
        <x:v>-4.752316968740255</x:v>
      </x:c>
      <x:c r="W1995"/>
      <x:c r="X1995"/>
      <x:c r="Y1995" s="38" t="n">
        <x:v>0.6409090909090909</x:v>
      </x:c>
      <x:c r="Z1995" s="38" t="n">
        <x:v>0.6246941382663442</x:v>
      </x:c>
      <x:c r="AA1995" t="str">
        <x:v>NON_POSITIVE_ENTERPRISE_VALUE|NON_POSITIVE_EQUITY_VALUE|NON_POSITIVE_TERMINAL_FCF</x:v>
      </x:c>
    </x:row>
    <x:row r="1996">
      <x:c r="A1996" s="54" t="n">
        <x:v>45107</x:v>
      </x:c>
      <x:c r="B1996" t="n">
        <x:v>45107.624999988424</x:v>
      </x:c>
      <x:c r="C1996" t="str">
        <x:v>019180</x:v>
      </x:c>
      <x:c r="D1996" t="str">
        <x:v>티에이치엔</x:v>
      </x:c>
      <x:c r="E1996" t="str">
        <x:v>KOSPI</x:v>
      </x:c>
      <x:c r="F1996" t="str">
        <x:v>SMALL</x:v>
      </x:c>
      <x:c r="G1996" t="str">
        <x:v>DCF_SCREENING_EXCLUSION</x:v>
      </x:c>
      <x:c r="H1996" t="str">
        <x:v>NON_POSITIVE_EQUITY_VALUE|UNRELIABLE_TERMINAL_VALUE_SHARE</x:v>
      </x:c>
      <x:c r="I1996" s="54" t="n">
        <x:v>45107</x:v>
      </x:c>
      <x:c r="J1996" s="55" t="n">
        <x:v>3730</x:v>
      </x:c>
      <x:c r="K1996" s="55" t="n">
        <x:v>67140000000</x:v>
      </x:c>
      <x:c r="L1996" s="55" t="n">
        <x:v>18000000</x:v>
      </x:c>
      <x:c r="M1996" t="str">
        <x:v>20230322000844</x:v>
      </x:c>
      <x:c r="N1996" t="n">
        <x:v>45007.624999988424</x:v>
      </x:c>
      <x:c r="O1996" s="54" t="n">
        <x:v>44926</x:v>
      </x:c>
      <x:c r="P1996" t="str">
        <x:v>False</x:v>
      </x:c>
      <x:c r="Q1996" t="str">
        <x:v>9dc4b92fddc4665fe50a3aeec5a1e49cc82eabe73a1ff77a1bc4eb5a27e26110</x:v>
      </x:c>
      <x:c r="R1996" t="str">
        <x:v>d96a5d66c4074cb526063939a7b8de96ff63741fdd101021983c14dedbd7150c</x:v>
      </x:c>
      <x:c r="S1996" t="n">
        <x:v>6</x:v>
      </x:c>
      <x:c r="T1996" t="str">
        <x:v>2018-12-31|2019-12-31|2020-12-31|2021-12-31|2022-12-31</x:v>
      </x:c>
      <x:c r="U1996" s="57" t="n">
        <x:v>-1273.1190101644775</x:v>
      </x:c>
      <x:c r="V1996" s="57" t="n">
        <x:v>-1.341318769481093</x:v>
      </x:c>
      <x:c r="W1996"/>
      <x:c r="X1996"/>
      <x:c r="Y1996" s="38" t="n">
        <x:v>0.6409090909090909</x:v>
      </x:c>
      <x:c r="Z1996" s="38" t="n">
        <x:v>4.698640613538601</x:v>
      </x:c>
      <x:c r="AA1996" t="str">
        <x:v>NON_POSITIVE_EQUITY_VALUE|UNRELIABLE_TERMINAL_VALUE_SHARE</x:v>
      </x:c>
    </x:row>
    <x:row r="1997">
      <x:c r="A1997" s="54" t="n">
        <x:v>45107</x:v>
      </x:c>
      <x:c r="B1997" t="n">
        <x:v>45107.624999988424</x:v>
      </x:c>
      <x:c r="C1997" t="str">
        <x:v>020760</x:v>
      </x:c>
      <x:c r="D1997" t="str">
        <x:v>일진디스플</x:v>
      </x:c>
      <x:c r="E1997" t="str">
        <x:v>KOSPI</x:v>
      </x:c>
      <x:c r="F1997" t="str">
        <x:v>SMALL</x:v>
      </x:c>
      <x:c r="G1997" t="str">
        <x:v>DCF_SCREENING_EXCLUSION</x:v>
      </x:c>
      <x:c r="H1997" t="str">
        <x:v>NON_POSITIVE_ENTERPRISE_VALUE|NON_POSITIVE_EQUITY_VALUE|NON_POSITIVE_TERMINAL_FCF</x:v>
      </x:c>
      <x:c r="I1997" s="54" t="n">
        <x:v>45107</x:v>
      </x:c>
      <x:c r="J1997" s="55" t="n">
        <x:v>1386</x:v>
      </x:c>
      <x:c r="K1997" s="55" t="n">
        <x:v>71398045026</x:v>
      </x:c>
      <x:c r="L1997" s="55" t="n">
        <x:v>51513741</x:v>
      </x:c>
      <x:c r="M1997" t="str">
        <x:v>20230327000330</x:v>
      </x:c>
      <x:c r="N1997" t="n">
        <x:v>45012.624999988424</x:v>
      </x:c>
      <x:c r="O1997" s="54" t="n">
        <x:v>44926</x:v>
      </x:c>
      <x:c r="P1997" t="str">
        <x:v>True</x:v>
      </x:c>
      <x:c r="Q1997" t="str">
        <x:v>c756e5e4941ae1d4185b6da2083620dc6d9d4beab1609e285704e68e976c31e9</x:v>
      </x:c>
      <x:c r="R1997" t="str">
        <x:v>d6242db68610f13425492916fa24dfb948db0950afee63973c1d2df13369a5c9</x:v>
      </x:c>
      <x:c r="S1997" t="n">
        <x:v>6</x:v>
      </x:c>
      <x:c r="T1997" t="str">
        <x:v>2018-12-31|2019-12-31|2020-12-31|2021-12-31|2022-12-31</x:v>
      </x:c>
      <x:c r="U1997" s="57" t="n">
        <x:v>-3816.3539240874256</x:v>
      </x:c>
      <x:c r="V1997" s="57" t="n">
        <x:v>-3.7535021097311874</x:v>
      </x:c>
      <x:c r="W1997"/>
      <x:c r="X1997"/>
      <x:c r="Y1997" s="38" t="n">
        <x:v>0.6409090909090909</x:v>
      </x:c>
      <x:c r="Z1997" s="38" t="n">
        <x:v>0.7829067383621485</x:v>
      </x:c>
      <x:c r="AA1997" t="str">
        <x:v>NON_POSITIVE_ENTERPRISE_VALUE|NON_POSITIVE_EQUITY_VALUE|NON_POSITIVE_TERMINAL_FCF</x:v>
      </x:c>
    </x:row>
    <x:row r="1998">
      <x:c r="A1998" s="54" t="n">
        <x:v>45107</x:v>
      </x:c>
      <x:c r="B1998" t="n">
        <x:v>45107.624999988424</x:v>
      </x:c>
      <x:c r="C1998" t="str">
        <x:v>069640</x:v>
      </x:c>
      <x:c r="D1998" t="str">
        <x:v>한세엠케이</x:v>
      </x:c>
      <x:c r="E1998" t="str">
        <x:v>KOSPI</x:v>
      </x:c>
      <x:c r="F1998" t="str">
        <x:v>SMALL</x:v>
      </x:c>
      <x:c r="G1998" t="str">
        <x:v>DCF_SCREENING_EXCLUSION</x:v>
      </x:c>
      <x:c r="H1998" t="str">
        <x:v>NON_POSITIVE_ENTERPRISE_VALUE|NON_POSITIVE_EQUITY_VALUE|NON_POSITIVE_TERMINAL_FCF</x:v>
      </x:c>
      <x:c r="I1998" s="54" t="n">
        <x:v>45107</x:v>
      </x:c>
      <x:c r="J1998" s="55" t="n">
        <x:v>2730</x:v>
      </x:c>
      <x:c r="K1998" s="55" t="n">
        <x:v>82190750460</x:v>
      </x:c>
      <x:c r="L1998" s="55" t="n">
        <x:v>30106502</x:v>
      </x:c>
      <x:c r="M1998" t="str">
        <x:v>20230407002948</x:v>
      </x:c>
      <x:c r="N1998" t="n">
        <x:v>45023.624999988424</x:v>
      </x:c>
      <x:c r="O1998" s="54" t="n">
        <x:v>44926</x:v>
      </x:c>
      <x:c r="P1998" t="str">
        <x:v>True</x:v>
      </x:c>
      <x:c r="Q1998" t="str">
        <x:v>b9a18c98e2b079f8b6d7294a58e5309a27bb1130b125e9ff01fef66f4892b2c5</x:v>
      </x:c>
      <x:c r="R1998" t="str">
        <x:v>42438425dc413371dbd257c705a30420c019cc09e67ce0aab88b78da87e92af8</x:v>
      </x:c>
      <x:c r="S1998" t="n">
        <x:v>6</x:v>
      </x:c>
      <x:c r="T1998" t="str">
        <x:v>2018-12-31|2019-12-31|2020-12-31|2021-12-31|2022-12-31</x:v>
      </x:c>
      <x:c r="U1998" s="57" t="n">
        <x:v>-8143.579153900665</x:v>
      </x:c>
      <x:c r="V1998" s="57" t="n">
        <x:v>-3.9829960270698406</x:v>
      </x:c>
      <x:c r="W1998"/>
      <x:c r="X1998"/>
      <x:c r="Y1998" s="38" t="n">
        <x:v>0.6409090909090909</x:v>
      </x:c>
      <x:c r="Z1998" s="38" t="n">
        <x:v>0.6562779675221068</x:v>
      </x:c>
      <x:c r="AA1998" t="str">
        <x:v>NON_POSITIVE_ENTERPRISE_VALUE|NON_POSITIVE_EQUITY_VALUE|NON_POSITIVE_TERMINAL_FCF</x:v>
      </x:c>
    </x:row>
    <x:row r="1999">
      <x:c r="A1999" s="54" t="n">
        <x:v>45107</x:v>
      </x:c>
      <x:c r="B1999" t="n">
        <x:v>45107.624999988424</x:v>
      </x:c>
      <x:c r="C1999" t="str">
        <x:v>000040</x:v>
      </x:c>
      <x:c r="D1999" t="str">
        <x:v>KR모터스</x:v>
      </x:c>
      <x:c r="E1999" t="str">
        <x:v>KOSPI</x:v>
      </x:c>
      <x:c r="F1999" t="str">
        <x:v>SMALL</x:v>
      </x:c>
      <x:c r="G1999" t="str">
        <x:v>DCF_SCREENING_EXCLUSION</x:v>
      </x:c>
      <x:c r="H1999" t="str">
        <x:v>NON_POSITIVE_ENTERPRISE_VALUE|NON_POSITIVE_EQUITY_VALUE|NON_POSITIVE_TERMINAL_FCF</x:v>
      </x:c>
      <x:c r="I1999" s="54" t="n">
        <x:v>45107</x:v>
      </x:c>
      <x:c r="J1999" s="55" t="n">
        <x:v>592</x:v>
      </x:c>
      <x:c r="K1999" s="55" t="n">
        <x:v>56913971280</x:v>
      </x:c>
      <x:c r="L1999" s="55" t="n">
        <x:v>96138465</x:v>
      </x:c>
      <x:c r="M1999" t="str">
        <x:v>20230322001182</x:v>
      </x:c>
      <x:c r="N1999" t="n">
        <x:v>45007.624999988424</x:v>
      </x:c>
      <x:c r="O1999" s="54" t="n">
        <x:v>44926</x:v>
      </x:c>
      <x:c r="P1999" t="str">
        <x:v>False</x:v>
      </x:c>
      <x:c r="Q1999" t="str">
        <x:v>1dfb108dba5b711dc246d9a5c06790baa2a6f221e084c7473abddf76d00e6db2</x:v>
      </x:c>
      <x:c r="R1999" t="str">
        <x:v>ae436b124964db68b441b57116efaf8c58d9669927ab8164ed6038ae15d13578</x:v>
      </x:c>
      <x:c r="S1999" t="n">
        <x:v>5</x:v>
      </x:c>
      <x:c r="T1999" t="str">
        <x:v>2018-12-31|2019-12-31|2020-12-31|2021-12-31|2022-12-31</x:v>
      </x:c>
      <x:c r="U1999" s="57" t="n">
        <x:v>-768.6580296162379</x:v>
      </x:c>
      <x:c r="V1999" s="57" t="n">
        <x:v>-2.2984088338112127</x:v>
      </x:c>
      <x:c r="W1999"/>
      <x:c r="X1999"/>
      <x:c r="Y1999" s="38" t="n">
        <x:v>0.6409090909090909</x:v>
      </x:c>
      <x:c r="Z1999" s="38" t="n">
        <x:v>0.6257857483754615</x:v>
      </x:c>
      <x:c r="AA1999" t="str">
        <x:v>NON_POSITIVE_ENTERPRISE_VALUE|NON_POSITIVE_EQUITY_VALUE|NON_POSITIVE_TERMINAL_FCF</x:v>
      </x:c>
    </x:row>
    <x:row r="2000">
      <x:c r="A2000" s="54" t="n">
        <x:v>45107</x:v>
      </x:c>
      <x:c r="B2000" t="n">
        <x:v>45107.624999988424</x:v>
      </x:c>
      <x:c r="C2000" t="str">
        <x:v>003680</x:v>
      </x:c>
      <x:c r="D2000" t="str">
        <x:v>한성기업</x:v>
      </x:c>
      <x:c r="E2000" t="str">
        <x:v>KOSPI</x:v>
      </x:c>
      <x:c r="F2000" t="str">
        <x:v>SMALL</x:v>
      </x:c>
      <x:c r="G2000" t="str">
        <x:v>DCF_SCREENING_EXCLUSION</x:v>
      </x:c>
      <x:c r="H2000" t="str">
        <x:v>NON_POSITIVE_EQUITY_VALUE|NON_POSITIVE_TERMINAL_FCF|UNRELIABLE_TERMINAL_VALUE_SHARE</x:v>
      </x:c>
      <x:c r="I2000" s="54" t="n">
        <x:v>45107</x:v>
      </x:c>
      <x:c r="J2000" s="55" t="n">
        <x:v>5690</x:v>
      </x:c>
      <x:c r="K2000" s="55" t="n">
        <x:v>35332140350</x:v>
      </x:c>
      <x:c r="L2000" s="55" t="n">
        <x:v>6209515</x:v>
      </x:c>
      <x:c r="M2000" t="str">
        <x:v>20230320000677</x:v>
      </x:c>
      <x:c r="N2000" t="n">
        <x:v>45005.624999988424</x:v>
      </x:c>
      <x:c r="O2000" s="54" t="n">
        <x:v>44926</x:v>
      </x:c>
      <x:c r="P2000" t="str">
        <x:v>False</x:v>
      </x:c>
      <x:c r="Q2000" t="str">
        <x:v>05e2f03e39b52746fc5e9522f9d62b2523f8ec4c19f03645b3361943649c8598</x:v>
      </x:c>
      <x:c r="R2000" t="str">
        <x:v>4d6444409eaa16091089469bca726fa82df2bb54991d61ff5aaf5e5c374211c9</x:v>
      </x:c>
      <x:c r="S2000" t="n">
        <x:v>7</x:v>
      </x:c>
      <x:c r="T2000" t="str">
        <x:v>2018-12-31|2019-12-31|2020-12-31|2021-12-31|2022-12-31</x:v>
      </x:c>
      <x:c r="U2000" s="57" t="n">
        <x:v>-9458.909625227312</x:v>
      </x:c>
      <x:c r="V2000" s="57" t="n">
        <x:v>-2.662374275083886</x:v>
      </x:c>
      <x:c r="W2000"/>
      <x:c r="X2000"/>
      <x:c r="Y2000" s="38" t="n">
        <x:v>0.6409090909090909</x:v>
      </x:c>
      <x:c r="Z2000" s="38" t="n">
        <x:v>-0.3624245290136293</x:v>
      </x:c>
      <x:c r="AA2000" t="str">
        <x:v>NON_POSITIVE_EQUITY_VALUE|NON_POSITIVE_TERMINAL_FCF|UNRELIABLE_TERMINAL_VALUE_SHARE</x:v>
      </x:c>
    </x:row>
    <x:row r="2001">
      <x:c r="A2001" s="54" t="n">
        <x:v>45107</x:v>
      </x:c>
      <x:c r="B2001" t="n">
        <x:v>45107.624999988424</x:v>
      </x:c>
      <x:c r="C2001" t="str">
        <x:v>008600</x:v>
      </x:c>
      <x:c r="D2001" t="str">
        <x:v>윌비스</x:v>
      </x:c>
      <x:c r="E2001" t="str">
        <x:v>KOSPI</x:v>
      </x:c>
      <x:c r="F2001" t="str">
        <x:v>SMALL</x:v>
      </x:c>
      <x:c r="G2001" t="str">
        <x:v>DCF_SCREENING_EXCLUSION</x:v>
      </x:c>
      <x:c r="H2001" t="str">
        <x:v>NON_POSITIVE_ENTERPRISE_VALUE|NON_POSITIVE_EQUITY_VALUE|NON_POSITIVE_TERMINAL_FCF|UNRELIABLE_TERMINAL_VALUE_SHARE</x:v>
      </x:c>
      <x:c r="I2001" s="54" t="n">
        <x:v>45107</x:v>
      </x:c>
      <x:c r="J2001" s="55" t="n">
        <x:v>583</x:v>
      </x:c>
      <x:c r="K2001" s="55" t="n">
        <x:v>39198610737</x:v>
      </x:c>
      <x:c r="L2001" s="55" t="n">
        <x:v>67236039</x:v>
      </x:c>
      <x:c r="M2001" t="str">
        <x:v>20230321001489</x:v>
      </x:c>
      <x:c r="N2001" t="n">
        <x:v>45006.624999988424</x:v>
      </x:c>
      <x:c r="O2001" s="54" t="n">
        <x:v>44926</x:v>
      </x:c>
      <x:c r="P2001" t="str">
        <x:v>False</x:v>
      </x:c>
      <x:c r="Q2001" t="str">
        <x:v>291f6e8c8900a2b52d5f905f4cc6795c6414d6affa7f185fe63085aaa8684e51</x:v>
      </x:c>
      <x:c r="R2001" t="str">
        <x:v>a94986e1546add39342c296750d72bfef540954125162947acba09fed77e06df</x:v>
      </x:c>
      <x:c r="S2001" t="n">
        <x:v>6</x:v>
      </x:c>
      <x:c r="T2001" t="str">
        <x:v>2018-12-31|2019-12-31|2020-12-31|2021-12-31|2022-12-31</x:v>
      </x:c>
      <x:c r="U2001" s="57" t="n">
        <x:v>-1945.7637110453777</x:v>
      </x:c>
      <x:c r="V2001" s="57" t="n">
        <x:v>-4.337502077264799</x:v>
      </x:c>
      <x:c r="W2001"/>
      <x:c r="X2001"/>
      <x:c r="Y2001" s="38" t="n">
        <x:v>0.6409090909090909</x:v>
      </x:c>
      <x:c r="Z2001" s="38" t="n">
        <x:v>2.41537005103754</x:v>
      </x:c>
      <x:c r="AA2001" t="str">
        <x:v>NON_POSITIVE_ENTERPRISE_VALUE|NON_POSITIVE_EQUITY_VALUE|NON_POSITIVE_TERMINAL_FCF|UNRELIABLE_TERMINAL_VALUE_SHARE</x:v>
      </x:c>
    </x:row>
    <x:row r="2002">
      <x:c r="A2002" s="54" t="n">
        <x:v>45107</x:v>
      </x:c>
      <x:c r="B2002" t="n">
        <x:v>45107.624999988424</x:v>
      </x:c>
      <x:c r="C2002" t="str">
        <x:v>018310</x:v>
      </x:c>
      <x:c r="D2002" t="str">
        <x:v>삼목에스폼</x:v>
      </x:c>
      <x:c r="E2002" t="str">
        <x:v>KOSDAQ</x:v>
      </x:c>
      <x:c r="F2002" t="str">
        <x:v>MID</x:v>
      </x:c>
      <x:c r="G2002" t="str">
        <x:v>ELIGIBLE</x:v>
      </x:c>
      <x:c r="H2002"/>
      <x:c r="I2002" s="54" t="n">
        <x:v>45107</x:v>
      </x:c>
      <x:c r="J2002" s="55" t="n">
        <x:v>15490</x:v>
      </x:c>
      <x:c r="K2002" s="55" t="n">
        <x:v>227703000000</x:v>
      </x:c>
      <x:c r="L2002" s="55" t="n">
        <x:v>14700000</x:v>
      </x:c>
      <x:c r="M2002" t="str">
        <x:v>20230322000728</x:v>
      </x:c>
      <x:c r="N2002" t="n">
        <x:v>45007.624999988424</x:v>
      </x:c>
      <x:c r="O2002" s="54" t="n">
        <x:v>44926</x:v>
      </x:c>
      <x:c r="P2002" t="str">
        <x:v>False</x:v>
      </x:c>
      <x:c r="Q2002" t="str">
        <x:v>b1f9bf886f7b28ef4ef828ba6605d4f0a1447cdcacd9193c143a62028b382698</x:v>
      </x:c>
      <x:c r="R2002" t="str">
        <x:v>330f5ec98dc16120f732252f6d521b429ddcbf9a047fb51336c36f4bc1461d5e</x:v>
      </x:c>
      <x:c r="S2002" t="n">
        <x:v>6</x:v>
      </x:c>
      <x:c r="T2002" t="str">
        <x:v>2018-12-31|2019-12-31|2020-12-31|2021-12-31|2022-12-31</x:v>
      </x:c>
      <x:c r="U2002" s="57" t="n">
        <x:v>20434.041693918112</x:v>
      </x:c>
      <x:c r="V2002" s="57" t="n">
        <x:v>0.3191763520928413</x:v>
      </x:c>
      <x:c r="W2002" t="n">
        <x:v>18</x:v>
      </x:c>
      <x:c r="X2002" t="n">
        <x:v>2</x:v>
      </x:c>
      <x:c r="Y2002" s="38" t="n">
        <x:v>0.6409090909090909</x:v>
      </x:c>
      <x:c r="Z2002" s="38" t="n">
        <x:v>0.4929628453052042</x:v>
      </x:c>
      <x:c r="AA2002"/>
    </x:row>
    <x:row r="2003">
      <x:c r="A2003" s="54" t="n">
        <x:v>45107</x:v>
      </x:c>
      <x:c r="B2003" t="n">
        <x:v>45107.624999988424</x:v>
      </x:c>
      <x:c r="C2003" t="str">
        <x:v>090360</x:v>
      </x:c>
      <x:c r="D2003" t="str">
        <x:v>로보스타</x:v>
      </x:c>
      <x:c r="E2003" t="str">
        <x:v>KOSDAQ</x:v>
      </x:c>
      <x:c r="F2003" t="str">
        <x:v>MID</x:v>
      </x:c>
      <x:c r="G2003" t="str">
        <x:v>DCF_SCREENING_EXCLUSION</x:v>
      </x:c>
      <x:c r="H2003" t="str">
        <x:v>NON_POSITIVE_ENTERPRISE_VALUE|NON_POSITIVE_TERMINAL_FCF</x:v>
      </x:c>
      <x:c r="I2003" s="54" t="n">
        <x:v>45107</x:v>
      </x:c>
      <x:c r="J2003" s="55" t="n">
        <x:v>29500</x:v>
      </x:c>
      <x:c r="K2003" s="55" t="n">
        <x:v>287625000000</x:v>
      </x:c>
      <x:c r="L2003" s="55" t="n">
        <x:v>9750000</x:v>
      </x:c>
      <x:c r="M2003" t="str">
        <x:v>20230316000682</x:v>
      </x:c>
      <x:c r="N2003" t="n">
        <x:v>45001.624999988424</x:v>
      </x:c>
      <x:c r="O2003" s="54" t="n">
        <x:v>44926</x:v>
      </x:c>
      <x:c r="P2003" t="str">
        <x:v>False</x:v>
      </x:c>
      <x:c r="Q2003" t="str">
        <x:v>1f70170ba42bc9b2147378d546ec421559192d382e4ac95cfea85cc07e6b1122</x:v>
      </x:c>
      <x:c r="R2003" t="str">
        <x:v>6d409e8d29c0456773c8d20162f86775d30c7bbca2e8e671754df7486dec42bb</x:v>
      </x:c>
      <x:c r="S2003" t="n">
        <x:v>5</x:v>
      </x:c>
      <x:c r="T2003" t="str">
        <x:v>2018-12-31|2019-12-31|2020-12-31|2021-12-31|2022-12-31</x:v>
      </x:c>
      <x:c r="U2003" s="57" t="n">
        <x:v>784.1610120265144</x:v>
      </x:c>
      <x:c r="V2003" s="57" t="n">
        <x:v>-0.9734182707787622</x:v>
      </x:c>
      <x:c r="W2003"/>
      <x:c r="X2003"/>
      <x:c r="Y2003" s="38" t="n">
        <x:v>0.6409090909090909</x:v>
      </x:c>
      <x:c r="Z2003" s="38" t="n">
        <x:v>0.8266921902282445</x:v>
      </x:c>
      <x:c r="AA2003" t="str">
        <x:v>NON_POSITIVE_ENTERPRISE_VALUE|NON_POSITIVE_TERMINAL_FCF</x:v>
      </x:c>
    </x:row>
    <x:row r="2004">
      <x:c r="A2004" s="54" t="n">
        <x:v>45107</x:v>
      </x:c>
      <x:c r="B2004" t="n">
        <x:v>45107.624999988424</x:v>
      </x:c>
      <x:c r="C2004" t="str">
        <x:v>144960</x:v>
      </x:c>
      <x:c r="D2004" t="str">
        <x:v>뉴파워프라즈마</x:v>
      </x:c>
      <x:c r="E2004" t="str">
        <x:v>KOSDAQ</x:v>
      </x:c>
      <x:c r="F2004" t="str">
        <x:v>MID</x:v>
      </x:c>
      <x:c r="G2004" t="str">
        <x:v>DCF_SCREENING_EXCLUSION</x:v>
      </x:c>
      <x:c r="H2004" t="str">
        <x:v>UNRELIABLE_TERMINAL_VALUE_SHARE</x:v>
      </x:c>
      <x:c r="I2004" s="54" t="n">
        <x:v>45107</x:v>
      </x:c>
      <x:c r="J2004" s="55" t="n">
        <x:v>6260</x:v>
      </x:c>
      <x:c r="K2004" s="55" t="n">
        <x:v>273515826240</x:v>
      </x:c>
      <x:c r="L2004" s="55" t="n">
        <x:v>43692624</x:v>
      </x:c>
      <x:c r="M2004" t="str">
        <x:v>20230322001241</x:v>
      </x:c>
      <x:c r="N2004" t="n">
        <x:v>45007.624999988424</x:v>
      </x:c>
      <x:c r="O2004" s="54" t="n">
        <x:v>44926</x:v>
      </x:c>
      <x:c r="P2004" t="str">
        <x:v>False</x:v>
      </x:c>
      <x:c r="Q2004" t="str">
        <x:v>635ad4b90417c4cff17e05596ab954eff5f69df42d9e1b9ab3c05ddd80bfb46a</x:v>
      </x:c>
      <x:c r="R2004" t="str">
        <x:v>69203ec8b5e70ff9be32eb56c7c48f06eb146bfbee24ed2824d37dcfe238b276</x:v>
      </x:c>
      <x:c r="S2004" t="n">
        <x:v>6</x:v>
      </x:c>
      <x:c r="T2004" t="str">
        <x:v>2018-12-31|2019-12-31|2020-12-31|2021-12-31|2022-12-31</x:v>
      </x:c>
      <x:c r="U2004" s="57" t="n">
        <x:v>1590.4337032348958</x:v>
      </x:c>
      <x:c r="V2004" s="57" t="n">
        <x:v>-0.7459371081094416</x:v>
      </x:c>
      <x:c r="W2004"/>
      <x:c r="X2004"/>
      <x:c r="Y2004" s="38" t="n">
        <x:v>0.6409090909090909</x:v>
      </x:c>
      <x:c r="Z2004" s="38" t="n">
        <x:v>0.9789334410362668</x:v>
      </x:c>
      <x:c r="AA2004" t="str">
        <x:v>UNRELIABLE_TERMINAL_VALUE_SHARE</x:v>
      </x:c>
    </x:row>
    <x:row r="2005">
      <x:c r="A2005" s="54" t="n">
        <x:v>45107</x:v>
      </x:c>
      <x:c r="B2005" t="n">
        <x:v>45107.624999988424</x:v>
      </x:c>
      <x:c r="C2005" t="str">
        <x:v>065660</x:v>
      </x:c>
      <x:c r="D2005" t="str">
        <x:v>안트로젠</x:v>
      </x:c>
      <x:c r="E2005" t="str">
        <x:v>KOSDAQ</x:v>
      </x:c>
      <x:c r="F2005" t="str">
        <x:v>MID</x:v>
      </x:c>
      <x:c r="G2005" t="str">
        <x:v>DCF_SCREENING_EXCLUSION</x:v>
      </x:c>
      <x:c r="H2005" t="str">
        <x:v>NON_POSITIVE_ENTERPRISE_VALUE|NON_POSITIVE_EQUITY_VALUE|NON_POSITIVE_TERMINAL_FCF</x:v>
      </x:c>
      <x:c r="I2005" s="54" t="n">
        <x:v>45107</x:v>
      </x:c>
      <x:c r="J2005" s="55" t="n">
        <x:v>16350</x:v>
      </x:c>
      <x:c r="K2005" s="55" t="n">
        <x:v>159107948550</x:v>
      </x:c>
      <x:c r="L2005" s="55" t="n">
        <x:v>9731373</x:v>
      </x:c>
      <x:c r="M2005" t="str">
        <x:v>20220308000561</x:v>
      </x:c>
      <x:c r="N2005" t="n">
        <x:v>44628.624999988424</x:v>
      </x:c>
      <x:c r="O2005" s="54" t="n">
        <x:v>44561</x:v>
      </x:c>
      <x:c r="P2005" t="str">
        <x:v>False</x:v>
      </x:c>
      <x:c r="Q2005" t="str">
        <x:v>ca8cc1135227c8e4226125c29bdedc099d8a54cc791afacfe1af303aff51c30e</x:v>
      </x:c>
      <x:c r="R2005" t="str">
        <x:v>13f8c889046bf7ebd27422fe30c0fb9dc9a262859e07f3464507af3c877cf08d</x:v>
      </x:c>
      <x:c r="S2005" t="n">
        <x:v>6</x:v>
      </x:c>
      <x:c r="T2005" t="str">
        <x:v>2018-12-31|2019-12-31|2020-12-31|2021-12-31</x:v>
      </x:c>
      <x:c r="U2005" s="57" t="n">
        <x:v>-3287.833989215215</x:v>
      </x:c>
      <x:c r="V2005" s="57" t="n">
        <x:v>-1.201090763866374</x:v>
      </x:c>
      <x:c r="W2005"/>
      <x:c r="X2005"/>
      <x:c r="Y2005" s="38" t="n">
        <x:v>0.6409090909090909</x:v>
      </x:c>
      <x:c r="Z2005" s="38" t="n">
        <x:v>0.6635957394517747</x:v>
      </x:c>
      <x:c r="AA2005" t="str">
        <x:v>NON_POSITIVE_ENTERPRISE_VALUE|NON_POSITIVE_EQUITY_VALUE|NON_POSITIVE_TERMINAL_FCF</x:v>
      </x:c>
    </x:row>
    <x:row r="2006">
      <x:c r="A2006" s="54" t="n">
        <x:v>45107</x:v>
      </x:c>
      <x:c r="B2006" t="n">
        <x:v>45107.624999988424</x:v>
      </x:c>
      <x:c r="C2006" t="str">
        <x:v>255220</x:v>
      </x:c>
      <x:c r="D2006" t="str">
        <x:v>SG</x:v>
      </x:c>
      <x:c r="E2006" t="str">
        <x:v>KOSDAQ</x:v>
      </x:c>
      <x:c r="F2006" t="str">
        <x:v>MID</x:v>
      </x:c>
      <x:c r="G2006" t="str">
        <x:v>DCF_SCREENING_EXCLUSION</x:v>
      </x:c>
      <x:c r="H2006" t="str">
        <x:v>NON_POSITIVE_EQUITY_VALUE|UNRELIABLE_TERMINAL_VALUE_SHARE</x:v>
      </x:c>
      <x:c r="I2006" s="54" t="n">
        <x:v>45107</x:v>
      </x:c>
      <x:c r="J2006" s="55" t="n">
        <x:v>1770</x:v>
      </x:c>
      <x:c r="K2006" s="55" t="n">
        <x:v>79219339530</x:v>
      </x:c>
      <x:c r="L2006" s="55" t="n">
        <x:v>44756689</x:v>
      </x:c>
      <x:c r="M2006" t="str">
        <x:v>20230316001293</x:v>
      </x:c>
      <x:c r="N2006" t="n">
        <x:v>45001.624999988424</x:v>
      </x:c>
      <x:c r="O2006" s="54" t="n">
        <x:v>44926</x:v>
      </x:c>
      <x:c r="P2006" t="str">
        <x:v>False</x:v>
      </x:c>
      <x:c r="Q2006" t="str">
        <x:v>631d9d315ac00217b6fe4645a31d406967b4205835ede9d3b22f391d7a88e02a</x:v>
      </x:c>
      <x:c r="R2006" t="str">
        <x:v>e32b35b09ec4a050d18aedf8cbdc20f159b8d42b997f6c042d213690cacc5888</x:v>
      </x:c>
      <x:c r="S2006" t="n">
        <x:v>6</x:v>
      </x:c>
      <x:c r="T2006" t="str">
        <x:v>2018-12-31|2019-12-31|2020-12-31|2021-12-31|2022-12-31</x:v>
      </x:c>
      <x:c r="U2006" s="57" t="n">
        <x:v>-921.5811002985633</x:v>
      </x:c>
      <x:c r="V2006" s="57" t="n">
        <x:v>-1.5206672883042731</x:v>
      </x:c>
      <x:c r="W2006"/>
      <x:c r="X2006"/>
      <x:c r="Y2006" s="38" t="n">
        <x:v>0.6409090909090909</x:v>
      </x:c>
      <x:c r="Z2006" s="38" t="n">
        <x:v>1.3939827942896779</x:v>
      </x:c>
      <x:c r="AA2006" t="str">
        <x:v>NON_POSITIVE_EQUITY_VALUE|UNRELIABLE_TERMINAL_VALUE_SHARE</x:v>
      </x:c>
    </x:row>
    <x:row r="2007">
      <x:c r="A2007" s="54" t="n">
        <x:v>45107</x:v>
      </x:c>
      <x:c r="B2007" t="n">
        <x:v>45107.624999988424</x:v>
      </x:c>
      <x:c r="C2007" t="str">
        <x:v>356680</x:v>
      </x:c>
      <x:c r="D2007" t="str">
        <x:v>엑스게이트</x:v>
      </x:c>
      <x:c r="E2007" t="str">
        <x:v>KOSDAQ</x:v>
      </x:c>
      <x:c r="F2007" t="str">
        <x:v>MID</x:v>
      </x:c>
      <x:c r="G2007" t="str">
        <x:v>ELIGIBLE</x:v>
      </x:c>
      <x:c r="H2007"/>
      <x:c r="I2007" s="54" t="n">
        <x:v>45107</x:v>
      </x:c>
      <x:c r="J2007" s="55" t="n">
        <x:v>5580</x:v>
      </x:c>
      <x:c r="K2007" s="55" t="n">
        <x:v>151421586300</x:v>
      </x:c>
      <x:c r="L2007" s="55" t="n">
        <x:v>27136485</x:v>
      </x:c>
      <x:c r="M2007" t="str">
        <x:v>20230322001072</x:v>
      </x:c>
      <x:c r="N2007" t="n">
        <x:v>45007.624999988424</x:v>
      </x:c>
      <x:c r="O2007" s="54" t="n">
        <x:v>44926</x:v>
      </x:c>
      <x:c r="P2007" t="str">
        <x:v>False</x:v>
      </x:c>
      <x:c r="Q2007" t="str">
        <x:v>45256a084497b9c996839f196ba6dc245c7da61fcdee587232be7941f75bf104</x:v>
      </x:c>
      <x:c r="R2007" t="str">
        <x:v>07146b039b96ffec2a30b11a2dd31f93d4f550ae30ff89a73d225d488c988d83</x:v>
      </x:c>
      <x:c r="S2007" t="n">
        <x:v>7</x:v>
      </x:c>
      <x:c r="T2007" t="str">
        <x:v>2022-12-31</x:v>
      </x:c>
      <x:c r="U2007" s="57" t="n">
        <x:v>1785.7657823559857</x:v>
      </x:c>
      <x:c r="V2007" s="57" t="n">
        <x:v>-0.679970289900361</x:v>
      </x:c>
      <x:c r="W2007" t="n">
        <x:v>53</x:v>
      </x:c>
      <x:c r="X2007" t="n">
        <x:v>4</x:v>
      </x:c>
      <x:c r="Y2007" s="38" t="n">
        <x:v>0.6409090909090909</x:v>
      </x:c>
      <x:c r="Z2007" s="38" t="n">
        <x:v>0.6701769222689359</x:v>
      </x:c>
      <x:c r="AA2007"/>
    </x:row>
    <x:row r="2008">
      <x:c r="A2008" s="54" t="n">
        <x:v>45107</x:v>
      </x:c>
      <x:c r="B2008" t="n">
        <x:v>45107.624999988424</x:v>
      </x:c>
      <x:c r="C2008" t="str">
        <x:v>038390</x:v>
      </x:c>
      <x:c r="D2008" t="str">
        <x:v>레드캡투어</x:v>
      </x:c>
      <x:c r="E2008" t="str">
        <x:v>KOSDAQ</x:v>
      </x:c>
      <x:c r="F2008" t="str">
        <x:v>MID</x:v>
      </x:c>
      <x:c r="G2008" t="str">
        <x:v>ELIGIBLE</x:v>
      </x:c>
      <x:c r="H2008"/>
      <x:c r="I2008" s="54" t="n">
        <x:v>45107</x:v>
      </x:c>
      <x:c r="J2008" s="55" t="n">
        <x:v>16190</x:v>
      </x:c>
      <x:c r="K2008" s="55" t="n">
        <x:v>139063681200</x:v>
      </x:c>
      <x:c r="L2008" s="55" t="n">
        <x:v>8589480</x:v>
      </x:c>
      <x:c r="M2008" t="str">
        <x:v>20230316001413</x:v>
      </x:c>
      <x:c r="N2008" t="n">
        <x:v>45001.624999988424</x:v>
      </x:c>
      <x:c r="O2008" s="54" t="n">
        <x:v>44926</x:v>
      </x:c>
      <x:c r="P2008" t="str">
        <x:v>False</x:v>
      </x:c>
      <x:c r="Q2008" t="str">
        <x:v>6500420a9c0c7cb8b0822920c111922a787b3827c6dfb04dd784e0d4bc2d01c2</x:v>
      </x:c>
      <x:c r="R2008" t="str">
        <x:v>b4bd991fc9b846dae9046715ad744afdcd835bc5ca8b51a9b64f74f9fa316356</x:v>
      </x:c>
      <x:c r="S2008" t="n">
        <x:v>6</x:v>
      </x:c>
      <x:c r="T2008" t="str">
        <x:v>2018-12-31|2019-12-31|2020-12-31|2021-12-31|2022-12-31</x:v>
      </x:c>
      <x:c r="U2008" s="57" t="n">
        <x:v>16138.328056645201</x:v>
      </x:c>
      <x:c r="V2008" s="57" t="n">
        <x:v>-0.0031915962541568302</x:v>
      </x:c>
      <x:c r="W2008" t="n">
        <x:v>23</x:v>
      </x:c>
      <x:c r="X2008" t="n">
        <x:v>2</x:v>
      </x:c>
      <x:c r="Y2008" s="38" t="n">
        <x:v>0.6409090909090909</x:v>
      </x:c>
      <x:c r="Z2008" s="38" t="n">
        <x:v>0.6232987678852291</x:v>
      </x:c>
      <x:c r="AA2008"/>
    </x:row>
    <x:row r="2009">
      <x:c r="A2009" s="54" t="n">
        <x:v>45107</x:v>
      </x:c>
      <x:c r="B2009" t="n">
        <x:v>45107.624999988424</x:v>
      </x:c>
      <x:c r="C2009" t="str">
        <x:v>083930</x:v>
      </x:c>
      <x:c r="D2009" t="str">
        <x:v>아바코</x:v>
      </x:c>
      <x:c r="E2009" t="str">
        <x:v>KOSDAQ</x:v>
      </x:c>
      <x:c r="F2009" t="str">
        <x:v>MID</x:v>
      </x:c>
      <x:c r="G2009" t="str">
        <x:v>ELIGIBLE</x:v>
      </x:c>
      <x:c r="H2009"/>
      <x:c r="I2009" s="54" t="n">
        <x:v>45107</x:v>
      </x:c>
      <x:c r="J2009" s="55" t="n">
        <x:v>22150</x:v>
      </x:c>
      <x:c r="K2009" s="55" t="n">
        <x:v>341393475700</x:v>
      </x:c>
      <x:c r="L2009" s="55" t="n">
        <x:v>15412798</x:v>
      </x:c>
      <x:c r="M2009" t="str">
        <x:v>20230321001021</x:v>
      </x:c>
      <x:c r="N2009" t="n">
        <x:v>45006.624999988424</x:v>
      </x:c>
      <x:c r="O2009" s="54" t="n">
        <x:v>44926</x:v>
      </x:c>
      <x:c r="P2009" t="str">
        <x:v>False</x:v>
      </x:c>
      <x:c r="Q2009" t="str">
        <x:v>51d45d71cda3f9d61f6b6bb2b78909cdf8916f5bbd371569386df61c1ede7656</x:v>
      </x:c>
      <x:c r="R2009" t="str">
        <x:v>3eba896975bc12fee3681ba5c4f04960ff86743b2d3872656c84a542c300d8d0</x:v>
      </x:c>
      <x:c r="S2009" t="n">
        <x:v>7</x:v>
      </x:c>
      <x:c r="T2009" t="str">
        <x:v>2018-12-31|2019-12-31|2020-12-31|2021-12-31|2022-12-31</x:v>
      </x:c>
      <x:c r="U2009" s="57" t="n">
        <x:v>9553.050368237855</x:v>
      </x:c>
      <x:c r="V2009" s="57" t="n">
        <x:v>-0.5687110443233474</x:v>
      </x:c>
      <x:c r="W2009" t="n">
        <x:v>49</x:v>
      </x:c>
      <x:c r="X2009" t="n">
        <x:v>4</x:v>
      </x:c>
      <x:c r="Y2009" s="38" t="n">
        <x:v>0.6409090909090909</x:v>
      </x:c>
      <x:c r="Z2009" s="38" t="n">
        <x:v>0.6252138108817894</x:v>
      </x:c>
      <x:c r="AA2009"/>
    </x:row>
    <x:row r="2010">
      <x:c r="A2010" s="54" t="n">
        <x:v>45107</x:v>
      </x:c>
      <x:c r="B2010" t="n">
        <x:v>45107.624999988424</x:v>
      </x:c>
      <x:c r="C2010" t="str">
        <x:v>089600</x:v>
      </x:c>
      <x:c r="D2010" t="str">
        <x:v>KT나스미디어</x:v>
      </x:c>
      <x:c r="E2010" t="str">
        <x:v>KOSDAQ</x:v>
      </x:c>
      <x:c r="F2010" t="str">
        <x:v>MID</x:v>
      </x:c>
      <x:c r="G2010" t="str">
        <x:v>ELIGIBLE</x:v>
      </x:c>
      <x:c r="H2010"/>
      <x:c r="I2010" s="54" t="n">
        <x:v>45107</x:v>
      </x:c>
      <x:c r="J2010" s="55" t="n">
        <x:v>20600</x:v>
      </x:c>
      <x:c r="K2010" s="55" t="n">
        <x:v>238304157800</x:v>
      </x:c>
      <x:c r="L2010" s="55" t="n">
        <x:v>11568163</x:v>
      </x:c>
      <x:c r="M2010" t="str">
        <x:v>20230323000424</x:v>
      </x:c>
      <x:c r="N2010" t="n">
        <x:v>45008.624999988424</x:v>
      </x:c>
      <x:c r="O2010" s="54" t="n">
        <x:v>44926</x:v>
      </x:c>
      <x:c r="P2010" t="str">
        <x:v>False</x:v>
      </x:c>
      <x:c r="Q2010" t="str">
        <x:v>a29cdc151488a733c822f4c21c776e7e2d0f670736a57ef1f9162f4b760e2bf9</x:v>
      </x:c>
      <x:c r="R2010" t="str">
        <x:v>9182469e51b5cad7d6b8d177a7d6d9d31f3920ea8169205aafb066f017026287</x:v>
      </x:c>
      <x:c r="S2010" t="n">
        <x:v>6</x:v>
      </x:c>
      <x:c r="T2010" t="str">
        <x:v>2019-12-31|2020-12-31|2021-12-31|2022-12-31</x:v>
      </x:c>
      <x:c r="U2010" s="57" t="n">
        <x:v>40246.19529115332</x:v>
      </x:c>
      <x:c r="V2010" s="57" t="n">
        <x:v>0.9536988005414233</x:v>
      </x:c>
      <x:c r="W2010" t="n">
        <x:v>11</x:v>
      </x:c>
      <x:c r="X2010" t="n">
        <x:v>1</x:v>
      </x:c>
      <x:c r="Y2010" s="38" t="n">
        <x:v>0.6409090909090909</x:v>
      </x:c>
      <x:c r="Z2010" s="38" t="n">
        <x:v>0.706343261712411</x:v>
      </x:c>
      <x:c r="AA2010"/>
    </x:row>
    <x:row r="2011">
      <x:c r="A2011" s="54" t="n">
        <x:v>45107</x:v>
      </x:c>
      <x:c r="B2011" t="n">
        <x:v>45107.624999988424</x:v>
      </x:c>
      <x:c r="C2011" t="str">
        <x:v>091120</x:v>
      </x:c>
      <x:c r="D2011" t="str">
        <x:v>이엠텍</x:v>
      </x:c>
      <x:c r="E2011" t="str">
        <x:v>KOSDAQ</x:v>
      </x:c>
      <x:c r="F2011" t="str">
        <x:v>MID</x:v>
      </x:c>
      <x:c r="G2011" t="str">
        <x:v>ELIGIBLE</x:v>
      </x:c>
      <x:c r="H2011"/>
      <x:c r="I2011" s="54" t="n">
        <x:v>45107</x:v>
      </x:c>
      <x:c r="J2011" s="55" t="n">
        <x:v>31850</x:v>
      </x:c>
      <x:c r="K2011" s="55" t="n">
        <x:v>545684011600</x:v>
      </x:c>
      <x:c r="L2011" s="55" t="n">
        <x:v>17132936</x:v>
      </x:c>
      <x:c r="M2011" t="str">
        <x:v>20230314000840</x:v>
      </x:c>
      <x:c r="N2011" t="n">
        <x:v>44999.624999988424</x:v>
      </x:c>
      <x:c r="O2011" s="54" t="n">
        <x:v>44926</x:v>
      </x:c>
      <x:c r="P2011" t="str">
        <x:v>False</x:v>
      </x:c>
      <x:c r="Q2011" t="str">
        <x:v>8fccbe5a66751953a409231fc37bc1852ba075cda52f991cc8c77b5562fa08b1</x:v>
      </x:c>
      <x:c r="R2011" t="str">
        <x:v>73525dd9894ad6355da7197449cb770bef9f2afb9183eef534b0f89f18503e8d</x:v>
      </x:c>
      <x:c r="S2011" t="n">
        <x:v>6</x:v>
      </x:c>
      <x:c r="T2011" t="str">
        <x:v>2018-12-31|2019-12-31|2020-12-31|2021-12-31|2022-12-31</x:v>
      </x:c>
      <x:c r="U2011" s="57" t="n">
        <x:v>7849.310012839665</x:v>
      </x:c>
      <x:c r="V2011" s="57" t="n">
        <x:v>-0.7535538457507169</x:v>
      </x:c>
      <x:c r="W2011" t="n">
        <x:v>60</x:v>
      </x:c>
      <x:c r="X2011" t="n">
        <x:v>5</x:v>
      </x:c>
      <x:c r="Y2011" s="38" t="n">
        <x:v>0.6409090909090909</x:v>
      </x:c>
      <x:c r="Z2011" s="38" t="n">
        <x:v>0.6666569941414513</x:v>
      </x:c>
      <x:c r="AA2011"/>
    </x:row>
    <x:row r="2012">
      <x:c r="A2012" s="54" t="n">
        <x:v>45107</x:v>
      </x:c>
      <x:c r="B2012" t="n">
        <x:v>45107.624999988424</x:v>
      </x:c>
      <x:c r="C2012" t="str">
        <x:v>353810</x:v>
      </x:c>
      <x:c r="D2012" t="str">
        <x:v>이지바이오</x:v>
      </x:c>
      <x:c r="E2012" t="str">
        <x:v>KOSDAQ</x:v>
      </x:c>
      <x:c r="F2012" t="str">
        <x:v>MID</x:v>
      </x:c>
      <x:c r="G2012" t="str">
        <x:v>ELIGIBLE</x:v>
      </x:c>
      <x:c r="H2012"/>
      <x:c r="I2012" s="54" t="n">
        <x:v>45107</x:v>
      </x:c>
      <x:c r="J2012" s="55" t="n">
        <x:v>3860</x:v>
      </x:c>
      <x:c r="K2012" s="55" t="n">
        <x:v>131980039200</x:v>
      </x:c>
      <x:c r="L2012" s="55" t="n">
        <x:v>34191720</x:v>
      </x:c>
      <x:c r="M2012" t="str">
        <x:v>20230323001202</x:v>
      </x:c>
      <x:c r="N2012" t="n">
        <x:v>45008.624999988424</x:v>
      </x:c>
      <x:c r="O2012" s="54" t="n">
        <x:v>44926</x:v>
      </x:c>
      <x:c r="P2012" t="str">
        <x:v>False</x:v>
      </x:c>
      <x:c r="Q2012" t="str">
        <x:v>c0fd4e20c1d6af3aabd5e0aeaad8673427f57ef110dee4754c1824db2704a706</x:v>
      </x:c>
      <x:c r="R2012" t="str">
        <x:v>438b19d1cc5b29656f99777a21914259bc127b97f4418b53984845b353597e76</x:v>
      </x:c>
      <x:c r="S2012" t="n">
        <x:v>6</x:v>
      </x:c>
      <x:c r="T2012" t="str">
        <x:v>2021-12-31|2022-12-31</x:v>
      </x:c>
      <x:c r="U2012" s="57" t="n">
        <x:v>4432.380049842225</x:v>
      </x:c>
      <x:c r="V2012" s="57" t="n">
        <x:v>0.14828498700575785</x:v>
      </x:c>
      <x:c r="W2012" t="n">
        <x:v>20</x:v>
      </x:c>
      <x:c r="X2012" t="n">
        <x:v>2</x:v>
      </x:c>
      <x:c r="Y2012" s="38" t="n">
        <x:v>0.6409090909090909</x:v>
      </x:c>
      <x:c r="Z2012" s="38" t="n">
        <x:v>0.7560673660909806</x:v>
      </x:c>
      <x:c r="AA2012"/>
    </x:row>
    <x:row r="2013">
      <x:c r="A2013" s="54" t="n">
        <x:v>45107</x:v>
      </x:c>
      <x:c r="B2013" t="n">
        <x:v>45107.624999988424</x:v>
      </x:c>
      <x:c r="C2013" t="str">
        <x:v>203650</x:v>
      </x:c>
      <x:c r="D2013" t="str">
        <x:v>드림시큐리티</x:v>
      </x:c>
      <x:c r="E2013" t="str">
        <x:v>KOSDAQ</x:v>
      </x:c>
      <x:c r="F2013" t="str">
        <x:v>MID</x:v>
      </x:c>
      <x:c r="G2013" t="str">
        <x:v>ELIGIBLE</x:v>
      </x:c>
      <x:c r="H2013"/>
      <x:c r="I2013" s="54" t="n">
        <x:v>45107</x:v>
      </x:c>
      <x:c r="J2013" s="55" t="n">
        <x:v>3505</x:v>
      </x:c>
      <x:c r="K2013" s="55" t="n">
        <x:v>177373167770</x:v>
      </x:c>
      <x:c r="L2013" s="55" t="n">
        <x:v>50605754</x:v>
      </x:c>
      <x:c r="M2013" t="str">
        <x:v>20230320001053</x:v>
      </x:c>
      <x:c r="N2013" t="n">
        <x:v>45005.624999988424</x:v>
      </x:c>
      <x:c r="O2013" s="54" t="n">
        <x:v>44926</x:v>
      </x:c>
      <x:c r="P2013" t="str">
        <x:v>False</x:v>
      </x:c>
      <x:c r="Q2013" t="str">
        <x:v>34289534fe1bab0ef563c0c6e0b3801653fbb5285a3f840605ec66e0ad4d5b86</x:v>
      </x:c>
      <x:c r="R2013" t="str">
        <x:v>a295f60795f5538f197595de041e9e15f565d0ffd21244275b939d950d2bedb1</x:v>
      </x:c>
      <x:c r="S2013" t="n">
        <x:v>6</x:v>
      </x:c>
      <x:c r="T2013" t="str">
        <x:v>2018-12-31|2019-12-31|2020-12-31|2021-12-31|2022-12-31</x:v>
      </x:c>
      <x:c r="U2013" s="57" t="n">
        <x:v>2245.64212473627</x:v>
      </x:c>
      <x:c r="V2013" s="57" t="n">
        <x:v>-0.35930324543901004</x:v>
      </x:c>
      <x:c r="W2013" t="n">
        <x:v>32</x:v>
      </x:c>
      <x:c r="X2013" t="n">
        <x:v>3</x:v>
      </x:c>
      <x:c r="Y2013" s="38" t="n">
        <x:v>0.6409090909090909</x:v>
      </x:c>
      <x:c r="Z2013" s="38" t="n">
        <x:v>0.6619022306471682</x:v>
      </x:c>
      <x:c r="AA2013"/>
    </x:row>
    <x:row r="2014">
      <x:c r="A2014" s="54" t="n">
        <x:v>45107</x:v>
      </x:c>
      <x:c r="B2014" t="n">
        <x:v>45107.624999988424</x:v>
      </x:c>
      <x:c r="C2014" t="str">
        <x:v>251120</x:v>
      </x:c>
      <x:c r="D2014" t="str">
        <x:v>바이오에프디엔씨</x:v>
      </x:c>
      <x:c r="E2014" t="str">
        <x:v>KOSDAQ</x:v>
      </x:c>
      <x:c r="F2014" t="str">
        <x:v>MID</x:v>
      </x:c>
      <x:c r="G2014" t="str">
        <x:v>ELIGIBLE</x:v>
      </x:c>
      <x:c r="H2014"/>
      <x:c r="I2014" s="54" t="n">
        <x:v>45107</x:v>
      </x:c>
      <x:c r="J2014" s="55" t="n">
        <x:v>16680</x:v>
      </x:c>
      <x:c r="K2014" s="55" t="n">
        <x:v>145044276000</x:v>
      </x:c>
      <x:c r="L2014" s="55" t="n">
        <x:v>8695700</x:v>
      </x:c>
      <x:c r="M2014" t="str">
        <x:v>20230323000550</x:v>
      </x:c>
      <x:c r="N2014" t="n">
        <x:v>45008.624999988424</x:v>
      </x:c>
      <x:c r="O2014" s="54" t="n">
        <x:v>44926</x:v>
      </x:c>
      <x:c r="P2014" t="str">
        <x:v>False</x:v>
      </x:c>
      <x:c r="Q2014" t="str">
        <x:v>457a8311ddb92eff6410ce12ddac4bff11e07f014260711e66f0b7059be85f1e</x:v>
      </x:c>
      <x:c r="R2014" t="str">
        <x:v>77f741f2d11ad012d851efe62bb45bbb62abc053fd2cbebb9cad9af222fcb971</x:v>
      </x:c>
      <x:c r="S2014" t="n">
        <x:v>5</x:v>
      </x:c>
      <x:c r="T2014" t="str">
        <x:v>2021-12-31|2022-12-31</x:v>
      </x:c>
      <x:c r="U2014" s="57" t="n">
        <x:v>6898.290174105601</x:v>
      </x:c>
      <x:c r="V2014" s="57" t="n">
        <x:v>-0.5864334427994244</x:v>
      </x:c>
      <x:c r="W2014" t="n">
        <x:v>50</x:v>
      </x:c>
      <x:c r="X2014" t="n">
        <x:v>4</x:v>
      </x:c>
      <x:c r="Y2014" s="38" t="n">
        <x:v>0.6409090909090909</x:v>
      </x:c>
      <x:c r="Z2014" s="38" t="n">
        <x:v>0.6825532650903761</x:v>
      </x:c>
      <x:c r="AA2014"/>
    </x:row>
    <x:row r="2015">
      <x:c r="A2015" s="54" t="n">
        <x:v>45107</x:v>
      </x:c>
      <x:c r="B2015" t="n">
        <x:v>45107.624999988424</x:v>
      </x:c>
      <x:c r="C2015" t="str">
        <x:v>094820</x:v>
      </x:c>
      <x:c r="D2015" t="str">
        <x:v>일진파워</x:v>
      </x:c>
      <x:c r="E2015" t="str">
        <x:v>KOSDAQ</x:v>
      </x:c>
      <x:c r="F2015" t="str">
        <x:v>MID</x:v>
      </x:c>
      <x:c r="G2015" t="str">
        <x:v>ELIGIBLE</x:v>
      </x:c>
      <x:c r="H2015"/>
      <x:c r="I2015" s="54" t="n">
        <x:v>45107</x:v>
      </x:c>
      <x:c r="J2015" s="55" t="n">
        <x:v>13540</x:v>
      </x:c>
      <x:c r="K2015" s="55" t="n">
        <x:v>204165719860</x:v>
      </x:c>
      <x:c r="L2015" s="55" t="n">
        <x:v>15078709</x:v>
      </x:c>
      <x:c r="M2015" t="str">
        <x:v>20230321000783</x:v>
      </x:c>
      <x:c r="N2015" t="n">
        <x:v>45006.624999988424</x:v>
      </x:c>
      <x:c r="O2015" s="54" t="n">
        <x:v>44926</x:v>
      </x:c>
      <x:c r="P2015" t="str">
        <x:v>False</x:v>
      </x:c>
      <x:c r="Q2015" t="str">
        <x:v>b1954d2fa7c944aa90e566217c623b7b9f138546620bf8df26bb90079fa0a761</x:v>
      </x:c>
      <x:c r="R2015" t="str">
        <x:v>948c800051bf5ae91bee432eeef4e6bddbc35d6d93ccafef06c84d382b314ac0</x:v>
      </x:c>
      <x:c r="S2015" t="n">
        <x:v>6</x:v>
      </x:c>
      <x:c r="T2015" t="str">
        <x:v>2018-12-31|2019-12-31|2020-12-31|2021-12-31|2022-12-31</x:v>
      </x:c>
      <x:c r="U2015" s="57" t="n">
        <x:v>14568.71822737499</x:v>
      </x:c>
      <x:c r="V2015" s="57" t="n">
        <x:v>0.07597623540435668</x:v>
      </x:c>
      <x:c r="W2015" t="n">
        <x:v>21</x:v>
      </x:c>
      <x:c r="X2015" t="n">
        <x:v>2</x:v>
      </x:c>
      <x:c r="Y2015" s="38" t="n">
        <x:v>0.6409090909090909</x:v>
      </x:c>
      <x:c r="Z2015" s="38" t="n">
        <x:v>0.6848982614778122</x:v>
      </x:c>
      <x:c r="AA2015"/>
    </x:row>
    <x:row r="2016">
      <x:c r="A2016" s="54" t="n">
        <x:v>45107</x:v>
      </x:c>
      <x:c r="B2016" t="n">
        <x:v>45107.624999988424</x:v>
      </x:c>
      <x:c r="C2016" t="str">
        <x:v>333430</x:v>
      </x:c>
      <x:c r="D2016" t="str">
        <x:v>일승</x:v>
      </x:c>
      <x:c r="E2016" t="str">
        <x:v>KOSDAQ</x:v>
      </x:c>
      <x:c r="F2016" t="str">
        <x:v>MID</x:v>
      </x:c>
      <x:c r="G2016" t="str">
        <x:v>DCF_SCREENING_EXCLUSION</x:v>
      </x:c>
      <x:c r="H2016" t="str">
        <x:v>NON_POSITIVE_ENTERPRISE_VALUE|NON_POSITIVE_EQUITY_VALUE|NON_POSITIVE_TERMINAL_FCF</x:v>
      </x:c>
      <x:c r="I2016" s="54" t="n">
        <x:v>45107</x:v>
      </x:c>
      <x:c r="J2016" s="55" t="n">
        <x:v>3800</x:v>
      </x:c>
      <x:c r="K2016" s="55" t="n">
        <x:v>116761638600</x:v>
      </x:c>
      <x:c r="L2016" s="55" t="n">
        <x:v>30726747</x:v>
      </x:c>
      <x:c r="M2016" t="str">
        <x:v>20230321001139</x:v>
      </x:c>
      <x:c r="N2016" t="n">
        <x:v>45006.624999988424</x:v>
      </x:c>
      <x:c r="O2016" s="54" t="n">
        <x:v>44926</x:v>
      </x:c>
      <x:c r="P2016" t="str">
        <x:v>False</x:v>
      </x:c>
      <x:c r="Q2016" t="str">
        <x:v>d7502cdcc3c654ca1d1940655519e09ad8b56e302692e749b0328b7e843bbf89</x:v>
      </x:c>
      <x:c r="R2016" t="str">
        <x:v>abd71ec1474faa0eba46763bdc83340ccdae6f0942644b6b38714fe131032813</x:v>
      </x:c>
      <x:c r="S2016" t="n">
        <x:v>6</x:v>
      </x:c>
      <x:c r="T2016" t="str">
        <x:v>2021-12-31|2022-12-31</x:v>
      </x:c>
      <x:c r="U2016" s="57" t="n">
        <x:v>-611.6882297528869</x:v>
      </x:c>
      <x:c r="V2016" s="57" t="n">
        <x:v>-1.1609705867770754</x:v>
      </x:c>
      <x:c r="W2016"/>
      <x:c r="X2016"/>
      <x:c r="Y2016" s="38" t="n">
        <x:v>0.6409090909090909</x:v>
      </x:c>
      <x:c r="Z2016" s="38" t="n">
        <x:v>0.32596597928319837</x:v>
      </x:c>
      <x:c r="AA2016" t="str">
        <x:v>NON_POSITIVE_ENTERPRISE_VALUE|NON_POSITIVE_EQUITY_VALUE|NON_POSITIVE_TERMINAL_FCF</x:v>
      </x:c>
    </x:row>
    <x:row r="2017">
      <x:c r="A2017" s="54" t="n">
        <x:v>45107</x:v>
      </x:c>
      <x:c r="B2017" t="n">
        <x:v>45107.624999988424</x:v>
      </x:c>
      <x:c r="C2017" t="str">
        <x:v>041440</x:v>
      </x:c>
      <x:c r="D2017" t="str">
        <x:v>현대에버다임</x:v>
      </x:c>
      <x:c r="E2017" t="str">
        <x:v>KOSDAQ</x:v>
      </x:c>
      <x:c r="F2017" t="str">
        <x:v>MID</x:v>
      </x:c>
      <x:c r="G2017" t="str">
        <x:v>DCF_SCREENING_EXCLUSION</x:v>
      </x:c>
      <x:c r="H2017" t="str">
        <x:v>NON_POSITIVE_ENTERPRISE_VALUE|NON_POSITIVE_EQUITY_VALUE|NON_POSITIVE_TERMINAL_FCF</x:v>
      </x:c>
      <x:c r="I2017" s="54" t="n">
        <x:v>45107</x:v>
      </x:c>
      <x:c r="J2017" s="55" t="n">
        <x:v>8550</x:v>
      </x:c>
      <x:c r="K2017" s="55" t="n">
        <x:v>153181321200</x:v>
      </x:c>
      <x:c r="L2017" s="55" t="n">
        <x:v>17915944</x:v>
      </x:c>
      <x:c r="M2017" t="str">
        <x:v>20230320000982</x:v>
      </x:c>
      <x:c r="N2017" t="n">
        <x:v>45005.624999988424</x:v>
      </x:c>
      <x:c r="O2017" s="54" t="n">
        <x:v>44926</x:v>
      </x:c>
      <x:c r="P2017" t="str">
        <x:v>False</x:v>
      </x:c>
      <x:c r="Q2017" t="str">
        <x:v>8c3d9a83fb6c517a8cd313377559d3dea4a69bedff0db9c303c7595a8f32a66a</x:v>
      </x:c>
      <x:c r="R2017" t="str">
        <x:v>41baf22bd69a11eba2250fb647f80bfaea0394015173ea0819971eea359f9329</x:v>
      </x:c>
      <x:c r="S2017" t="n">
        <x:v>7</x:v>
      </x:c>
      <x:c r="T2017" t="str">
        <x:v>2018-12-31|2019-12-31|2020-12-31|2021-12-31|2022-12-31</x:v>
      </x:c>
      <x:c r="U2017" s="57" t="n">
        <x:v>-7160.384465012425</x:v>
      </x:c>
      <x:c r="V2017" s="57" t="n">
        <x:v>-1.8374718672529151</x:v>
      </x:c>
      <x:c r="W2017"/>
      <x:c r="X2017"/>
      <x:c r="Y2017" s="38" t="n">
        <x:v>0.6409090909090909</x:v>
      </x:c>
      <x:c r="Z2017" s="38" t="n">
        <x:v>0.6118890122114707</x:v>
      </x:c>
      <x:c r="AA2017" t="str">
        <x:v>NON_POSITIVE_ENTERPRISE_VALUE|NON_POSITIVE_EQUITY_VALUE|NON_POSITIVE_TERMINAL_FCF</x:v>
      </x:c>
    </x:row>
    <x:row r="2018">
      <x:c r="A2018" s="54" t="n">
        <x:v>45107</x:v>
      </x:c>
      <x:c r="B2018" t="n">
        <x:v>45107.624999988424</x:v>
      </x:c>
      <x:c r="C2018" t="str">
        <x:v>067990</x:v>
      </x:c>
      <x:c r="D2018" t="str">
        <x:v>도이치모터스</x:v>
      </x:c>
      <x:c r="E2018" t="str">
        <x:v>KOSDAQ</x:v>
      </x:c>
      <x:c r="F2018" t="str">
        <x:v>MID</x:v>
      </x:c>
      <x:c r="G2018" t="str">
        <x:v>DCF_SCREENING_EXCLUSION</x:v>
      </x:c>
      <x:c r="H2018" t="str">
        <x:v>NON_POSITIVE_EQUITY_VALUE</x:v>
      </x:c>
      <x:c r="I2018" s="54" t="n">
        <x:v>45107</x:v>
      </x:c>
      <x:c r="J2018" s="55" t="n">
        <x:v>5550</x:v>
      </x:c>
      <x:c r="K2018" s="55" t="n">
        <x:v>178607602500</x:v>
      </x:c>
      <x:c r="L2018" s="55" t="n">
        <x:v>32181550</x:v>
      </x:c>
      <x:c r="M2018" t="str">
        <x:v>20230317000760</x:v>
      </x:c>
      <x:c r="N2018" t="n">
        <x:v>45002.624999988424</x:v>
      </x:c>
      <x:c r="O2018" s="54" t="n">
        <x:v>44926</x:v>
      </x:c>
      <x:c r="P2018" t="str">
        <x:v>False</x:v>
      </x:c>
      <x:c r="Q2018" t="str">
        <x:v>7f959e11e8485d180ff361123246abc52f32d0d6ca7b3df433db63b2e3a91ba1</x:v>
      </x:c>
      <x:c r="R2018" t="str">
        <x:v>0081b4ef6ace73aa22d0a80b8d24b0d7cf9195fdeaba6e597eaab64df0a7b488</x:v>
      </x:c>
      <x:c r="S2018" t="n">
        <x:v>6</x:v>
      </x:c>
      <x:c r="T2018" t="str">
        <x:v>2016-12-31|2018-12-31|2019-12-31|2020-12-31|2021-12-31|2022-12-31</x:v>
      </x:c>
      <x:c r="U2018" s="57" t="n">
        <x:v>-9085.783444268378</x:v>
      </x:c>
      <x:c r="V2018" s="57" t="n">
        <x:v>-2.6370780980663744</x:v>
      </x:c>
      <x:c r="W2018"/>
      <x:c r="X2018"/>
      <x:c r="Y2018" s="38" t="n">
        <x:v>0.6409090909090909</x:v>
      </x:c>
      <x:c r="Z2018" s="38" t="n">
        <x:v>0.7697478293952159</x:v>
      </x:c>
      <x:c r="AA2018" t="str">
        <x:v>NON_POSITIVE_EQUITY_VALUE</x:v>
      </x:c>
    </x:row>
    <x:row r="2019">
      <x:c r="A2019" s="54" t="n">
        <x:v>45107</x:v>
      </x:c>
      <x:c r="B2019" t="n">
        <x:v>45107.624999988424</x:v>
      </x:c>
      <x:c r="C2019" t="str">
        <x:v>037070</x:v>
      </x:c>
      <x:c r="D2019" t="str">
        <x:v>파세코</x:v>
      </x:c>
      <x:c r="E2019" t="str">
        <x:v>KOSDAQ</x:v>
      </x:c>
      <x:c r="F2019" t="str">
        <x:v>MID</x:v>
      </x:c>
      <x:c r="G2019" t="str">
        <x:v>ELIGIBLE</x:v>
      </x:c>
      <x:c r="H2019"/>
      <x:c r="I2019" s="54" t="n">
        <x:v>45107</x:v>
      </x:c>
      <x:c r="J2019" s="55" t="n">
        <x:v>13410</x:v>
      </x:c>
      <x:c r="K2019" s="55" t="n">
        <x:v>268200000000</x:v>
      </x:c>
      <x:c r="L2019" s="55" t="n">
        <x:v>20000000</x:v>
      </x:c>
      <x:c r="M2019" t="str">
        <x:v>20230322000475</x:v>
      </x:c>
      <x:c r="N2019" t="n">
        <x:v>45007.624999988424</x:v>
      </x:c>
      <x:c r="O2019" s="54" t="n">
        <x:v>44926</x:v>
      </x:c>
      <x:c r="P2019" t="str">
        <x:v>False</x:v>
      </x:c>
      <x:c r="Q2019" t="str">
        <x:v>e0e628c1c4f3d44105afad67f3e241489cd6e09b190059e31bcca1cc8e91cefc</x:v>
      </x:c>
      <x:c r="R2019" t="str">
        <x:v>534a5be0bc61d177fbac066d23e10beac9b6d143754bed0f9c80fb43ba461c7d</x:v>
      </x:c>
      <x:c r="S2019" t="n">
        <x:v>7</x:v>
      </x:c>
      <x:c r="T2019" t="str">
        <x:v>2018-12-31|2019-12-31|2020-12-31|2021-12-31|2022-12-31</x:v>
      </x:c>
      <x:c r="U2019" s="57" t="n">
        <x:v>6820.926575942535</x:v>
      </x:c>
      <x:c r="V2019" s="57" t="n">
        <x:v>-0.4913552143219586</x:v>
      </x:c>
      <x:c r="W2019" t="n">
        <x:v>44</x:v>
      </x:c>
      <x:c r="X2019" t="n">
        <x:v>4</x:v>
      </x:c>
      <x:c r="Y2019" s="38" t="n">
        <x:v>0.6409090909090909</x:v>
      </x:c>
      <x:c r="Z2019" s="38" t="n">
        <x:v>0.7394480833327476</x:v>
      </x:c>
      <x:c r="AA2019"/>
    </x:row>
    <x:row r="2020">
      <x:c r="A2020" s="54" t="n">
        <x:v>45107</x:v>
      </x:c>
      <x:c r="B2020" t="n">
        <x:v>45107.624999988424</x:v>
      </x:c>
      <x:c r="C2020" t="str">
        <x:v>365330</x:v>
      </x:c>
      <x:c r="D2020" t="str">
        <x:v>에스와이스틸텍</x:v>
      </x:c>
      <x:c r="E2020" t="str">
        <x:v>KOSDAQ</x:v>
      </x:c>
      <x:c r="F2020" t="str">
        <x:v>MID</x:v>
      </x:c>
      <x:c r="G2020" t="str">
        <x:v>NOT_LISTED_OR_NO_PRICE</x:v>
      </x:c>
      <x:c r="H2020"/>
      <x:c r="I2020" s="54"/>
      <x:c r="J2020" s="55"/>
      <x:c r="K2020" s="55"/>
      <x:c r="L2020" s="55"/>
      <x:c r="M2020"/>
      <x:c r="N2020"/>
      <x:c r="O2020" s="54"/>
      <x:c r="P2020"/>
      <x:c r="Q2020"/>
      <x:c r="R2020"/>
      <x:c r="S2020"/>
      <x:c r="T2020"/>
      <x:c r="U2020" s="57"/>
      <x:c r="V2020" s="57"/>
      <x:c r="W2020"/>
      <x:c r="X2020"/>
      <x:c r="Y2020" s="38"/>
      <x:c r="Z2020" s="38"/>
      <x:c r="AA2020"/>
    </x:row>
    <x:row r="2021">
      <x:c r="A2021" s="54" t="n">
        <x:v>45107</x:v>
      </x:c>
      <x:c r="B2021" t="n">
        <x:v>45107.624999988424</x:v>
      </x:c>
      <x:c r="C2021" t="str">
        <x:v>086960</x:v>
      </x:c>
      <x:c r="D2021" t="str">
        <x:v>MDS테크</x:v>
      </x:c>
      <x:c r="E2021" t="str">
        <x:v>KOSDAQ</x:v>
      </x:c>
      <x:c r="F2021" t="str">
        <x:v>MID</x:v>
      </x:c>
      <x:c r="G2021" t="str">
        <x:v>ELIGIBLE</x:v>
      </x:c>
      <x:c r="H2021"/>
      <x:c r="I2021" s="54" t="n">
        <x:v>45107</x:v>
      </x:c>
      <x:c r="J2021" s="55" t="n">
        <x:v>2315</x:v>
      </x:c>
      <x:c r="K2021" s="55" t="n">
        <x:v>192677368975</x:v>
      </x:c>
      <x:c r="L2021" s="55" t="n">
        <x:v>83229965</x:v>
      </x:c>
      <x:c r="M2021" t="str">
        <x:v>20230321001394</x:v>
      </x:c>
      <x:c r="N2021" t="n">
        <x:v>45006.624999988424</x:v>
      </x:c>
      <x:c r="O2021" s="54" t="n">
        <x:v>44926</x:v>
      </x:c>
      <x:c r="P2021" t="str">
        <x:v>False</x:v>
      </x:c>
      <x:c r="Q2021" t="str">
        <x:v>6de65259a3d072f42d0fca3d53001c4393de76a7b6785d72709e18e8e2184e5d</x:v>
      </x:c>
      <x:c r="R2021" t="str">
        <x:v>0a064b5a48ddc0c295a1489d2b419a5c1fb6e4d178bb4e529a768d64682b58d6</x:v>
      </x:c>
      <x:c r="S2021" t="n">
        <x:v>6</x:v>
      </x:c>
      <x:c r="T2021" t="str">
        <x:v>2018-12-31|2019-12-31|2020-12-31|2021-12-31|2022-12-31</x:v>
      </x:c>
      <x:c r="U2021" s="57" t="n">
        <x:v>668.9840476364272</x:v>
      </x:c>
      <x:c r="V2021" s="57" t="n">
        <x:v>-0.7110220096602906</x:v>
      </x:c>
      <x:c r="W2021" t="n">
        <x:v>55</x:v>
      </x:c>
      <x:c r="X2021" t="n">
        <x:v>4</x:v>
      </x:c>
      <x:c r="Y2021" s="38" t="n">
        <x:v>0.6409090909090909</x:v>
      </x:c>
      <x:c r="Z2021" s="38" t="n">
        <x:v>0.503297506332927</x:v>
      </x:c>
      <x:c r="AA2021"/>
    </x:row>
    <x:row r="2022">
      <x:c r="A2022" s="54" t="n">
        <x:v>45107</x:v>
      </x:c>
      <x:c r="B2022" t="n">
        <x:v>45107.624999988424</x:v>
      </x:c>
      <x:c r="C2022" t="str">
        <x:v>014970</x:v>
      </x:c>
      <x:c r="D2022" t="str">
        <x:v>삼륭물산</x:v>
      </x:c>
      <x:c r="E2022" t="str">
        <x:v>KOSDAQ</x:v>
      </x:c>
      <x:c r="F2022" t="str">
        <x:v>MID</x:v>
      </x:c>
      <x:c r="G2022" t="str">
        <x:v>DCF_SCREENING_EXCLUSION</x:v>
      </x:c>
      <x:c r="H2022" t="str">
        <x:v>NON_POSITIVE_ENTERPRISE_VALUE|NON_POSITIVE_EQUITY_VALUE|NON_POSITIVE_TERMINAL_FCF</x:v>
      </x:c>
      <x:c r="I2022" s="54" t="n">
        <x:v>45107</x:v>
      </x:c>
      <x:c r="J2022" s="55" t="n">
        <x:v>4590</x:v>
      </x:c>
      <x:c r="K2022" s="55" t="n">
        <x:v>69423750000</x:v>
      </x:c>
      <x:c r="L2022" s="55" t="n">
        <x:v>15125000</x:v>
      </x:c>
      <x:c r="M2022" t="str">
        <x:v>20230321000886</x:v>
      </x:c>
      <x:c r="N2022" t="n">
        <x:v>45006.624999988424</x:v>
      </x:c>
      <x:c r="O2022" s="54" t="n">
        <x:v>44926</x:v>
      </x:c>
      <x:c r="P2022" t="str">
        <x:v>False</x:v>
      </x:c>
      <x:c r="Q2022" t="str">
        <x:v>883e85ca54d69019d753f75ff70bd82e9ec95c7f381af4f7070b658bf9977127</x:v>
      </x:c>
      <x:c r="R2022" t="str">
        <x:v>6aead4fd53b27da53ce0040d23d43dbcaede491dd27efb33c775b4235ae6877b</x:v>
      </x:c>
      <x:c r="S2022" t="n">
        <x:v>6</x:v>
      </x:c>
      <x:c r="T2022" t="str">
        <x:v>2018-12-31|2019-12-31|2020-12-31|2021-12-31|2022-12-31</x:v>
      </x:c>
      <x:c r="U2022" s="57" t="n">
        <x:v>-2342.5038501299105</x:v>
      </x:c>
      <x:c r="V2022" s="57" t="n">
        <x:v>-1.510349422686255</x:v>
      </x:c>
      <x:c r="W2022"/>
      <x:c r="X2022"/>
      <x:c r="Y2022" s="38" t="n">
        <x:v>0.6409090909090909</x:v>
      </x:c>
      <x:c r="Z2022" s="38" t="n">
        <x:v>0.38695392197793776</x:v>
      </x:c>
      <x:c r="AA2022" t="str">
        <x:v>NON_POSITIVE_ENTERPRISE_VALUE|NON_POSITIVE_EQUITY_VALUE|NON_POSITIVE_TERMINAL_FCF</x:v>
      </x:c>
    </x:row>
    <x:row r="2023">
      <x:c r="A2023" s="54" t="n">
        <x:v>45107</x:v>
      </x:c>
      <x:c r="B2023" t="n">
        <x:v>45107.624999988424</x:v>
      </x:c>
      <x:c r="C2023" t="str">
        <x:v>088390</x:v>
      </x:c>
      <x:c r="D2023" t="str">
        <x:v>이녹스</x:v>
      </x:c>
      <x:c r="E2023" t="str">
        <x:v>KOSDAQ</x:v>
      </x:c>
      <x:c r="F2023" t="str">
        <x:v>MID</x:v>
      </x:c>
      <x:c r="G2023" t="str">
        <x:v>ELIGIBLE</x:v>
      </x:c>
      <x:c r="H2023"/>
      <x:c r="I2023" s="54" t="n">
        <x:v>45107</x:v>
      </x:c>
      <x:c r="J2023" s="55" t="n">
        <x:v>32300</x:v>
      </x:c>
      <x:c r="K2023" s="55" t="n">
        <x:v>303162761200</x:v>
      </x:c>
      <x:c r="L2023" s="55" t="n">
        <x:v>9385844</x:v>
      </x:c>
      <x:c r="M2023" t="str">
        <x:v>20230321000937</x:v>
      </x:c>
      <x:c r="N2023" t="n">
        <x:v>45006.624999988424</x:v>
      </x:c>
      <x:c r="O2023" s="54" t="n">
        <x:v>44926</x:v>
      </x:c>
      <x:c r="P2023" t="str">
        <x:v>False</x:v>
      </x:c>
      <x:c r="Q2023" t="str">
        <x:v>c806ff3b25a78008817dea909ba8d87907b897404702a945415dc8bddf5a3bba</x:v>
      </x:c>
      <x:c r="R2023" t="str">
        <x:v>a334546554aa10b611102f8d42eec0e13da704c6535d6c2253ec83dd0adcbc43</x:v>
      </x:c>
      <x:c r="S2023" t="n">
        <x:v>6</x:v>
      </x:c>
      <x:c r="T2023" t="str">
        <x:v>2018-12-31|2019-12-31|2020-12-31|2021-12-31|2022-12-31</x:v>
      </x:c>
      <x:c r="U2023" s="57" t="n">
        <x:v>20179.33646225463</x:v>
      </x:c>
      <x:c r="V2023" s="57" t="n">
        <x:v>-0.37525274110666784</x:v>
      </x:c>
      <x:c r="W2023" t="n">
        <x:v>34</x:v>
      </x:c>
      <x:c r="X2023" t="n">
        <x:v>3</x:v>
      </x:c>
      <x:c r="Y2023" s="38" t="n">
        <x:v>0.6409090909090909</x:v>
      </x:c>
      <x:c r="Z2023" s="38" t="n">
        <x:v>0.6559585112822673</x:v>
      </x:c>
      <x:c r="AA2023"/>
    </x:row>
    <x:row r="2024">
      <x:c r="A2024" s="54" t="n">
        <x:v>45107</x:v>
      </x:c>
      <x:c r="B2024" t="n">
        <x:v>45107.624999988424</x:v>
      </x:c>
      <x:c r="C2024" t="str">
        <x:v>170920</x:v>
      </x:c>
      <x:c r="D2024" t="str">
        <x:v>엘티씨</x:v>
      </x:c>
      <x:c r="E2024" t="str">
        <x:v>KOSDAQ</x:v>
      </x:c>
      <x:c r="F2024" t="str">
        <x:v>MID</x:v>
      </x:c>
      <x:c r="G2024" t="str">
        <x:v>DCF_SCREENING_EXCLUSION</x:v>
      </x:c>
      <x:c r="H2024" t="str">
        <x:v>NON_POSITIVE_EQUITY_VALUE</x:v>
      </x:c>
      <x:c r="I2024" s="54" t="n">
        <x:v>45107</x:v>
      </x:c>
      <x:c r="J2024" s="55" t="n">
        <x:v>10420</x:v>
      </x:c>
      <x:c r="K2024" s="55" t="n">
        <x:v>90527355320</x:v>
      </x:c>
      <x:c r="L2024" s="55" t="n">
        <x:v>8687846</x:v>
      </x:c>
      <x:c r="M2024" t="str">
        <x:v>20230321001487</x:v>
      </x:c>
      <x:c r="N2024" t="n">
        <x:v>45006.624999988424</x:v>
      </x:c>
      <x:c r="O2024" s="54" t="n">
        <x:v>44926</x:v>
      </x:c>
      <x:c r="P2024" t="str">
        <x:v>False</x:v>
      </x:c>
      <x:c r="Q2024" t="str">
        <x:v>a5dae5e20cb63a18e32c98947b4715639d1167f521be8482e4df15e45dbc7a5e</x:v>
      </x:c>
      <x:c r="R2024" t="str">
        <x:v>669ac794f9aa2ef10105bd2f3cb42ba26f6dca949e57c990abb8149f25d8a938</x:v>
      </x:c>
      <x:c r="S2024" t="n">
        <x:v>6</x:v>
      </x:c>
      <x:c r="T2024" t="str">
        <x:v>2018-12-31|2019-12-31|2020-12-31|2021-12-31|2022-12-31</x:v>
      </x:c>
      <x:c r="U2024" s="57" t="n">
        <x:v>-533.1805961258721</x:v>
      </x:c>
      <x:c r="V2024" s="57" t="n">
        <x:v>-1.0511689631598726</x:v>
      </x:c>
      <x:c r="W2024"/>
      <x:c r="X2024"/>
      <x:c r="Y2024" s="38" t="n">
        <x:v>0.6409090909090909</x:v>
      </x:c>
      <x:c r="Z2024" s="38" t="n">
        <x:v>0.6063381050684947</x:v>
      </x:c>
      <x:c r="AA2024" t="str">
        <x:v>NON_POSITIVE_EQUITY_VALUE</x:v>
      </x:c>
    </x:row>
    <x:row r="2025">
      <x:c r="A2025" s="54" t="n">
        <x:v>45107</x:v>
      </x:c>
      <x:c r="B2025" t="n">
        <x:v>45107.624999988424</x:v>
      </x:c>
      <x:c r="C2025" t="str">
        <x:v>021080</x:v>
      </x:c>
      <x:c r="D2025" t="str">
        <x:v>에이티넘인베스트</x:v>
      </x:c>
      <x:c r="E2025" t="str">
        <x:v>KOSDAQ</x:v>
      </x:c>
      <x:c r="F2025" t="str">
        <x:v>MID</x:v>
      </x:c>
      <x:c r="G2025" t="str">
        <x:v>ELIGIBLE</x:v>
      </x:c>
      <x:c r="H2025"/>
      <x:c r="I2025" s="54" t="n">
        <x:v>45107</x:v>
      </x:c>
      <x:c r="J2025" s="55" t="n">
        <x:v>2475</x:v>
      </x:c>
      <x:c r="K2025" s="55" t="n">
        <x:v>118800000000</x:v>
      </x:c>
      <x:c r="L2025" s="55" t="n">
        <x:v>48000000</x:v>
      </x:c>
      <x:c r="M2025" t="str">
        <x:v>20230314001059</x:v>
      </x:c>
      <x:c r="N2025" t="n">
        <x:v>44999.624999988424</x:v>
      </x:c>
      <x:c r="O2025" s="54" t="n">
        <x:v>44926</x:v>
      </x:c>
      <x:c r="P2025" t="str">
        <x:v>False</x:v>
      </x:c>
      <x:c r="Q2025" t="str">
        <x:v>8c5d66bc32cae6aaea39b9031902bfd89e3a6ffd612bd13d18956e5d3c55b227</x:v>
      </x:c>
      <x:c r="R2025" t="str">
        <x:v>25932feee45d4f34e5d899bbfdb4236433277e2205d191def6fb07776ac1872f</x:v>
      </x:c>
      <x:c r="S2025" t="n">
        <x:v>4</x:v>
      </x:c>
      <x:c r="T2025" t="str">
        <x:v>2018-12-31|2019-12-31|2020-12-31|2021-12-31|2022-12-31</x:v>
      </x:c>
      <x:c r="U2025" s="57" t="n">
        <x:v>9406.736948369926</x:v>
      </x:c>
      <x:c r="V2025" s="57" t="n">
        <x:v>2.800701797321182</x:v>
      </x:c>
      <x:c r="W2025" t="n">
        <x:v>5</x:v>
      </x:c>
      <x:c r="X2025" t="n">
        <x:v>1</x:v>
      </x:c>
      <x:c r="Y2025" s="38" t="n">
        <x:v>0.6409090909090909</x:v>
      </x:c>
      <x:c r="Z2025" s="38" t="n">
        <x:v>0.6853837104206245</x:v>
      </x:c>
      <x:c r="AA2025"/>
    </x:row>
    <x:row r="2026">
      <x:c r="A2026" s="54" t="n">
        <x:v>45107</x:v>
      </x:c>
      <x:c r="B2026" t="n">
        <x:v>45107.624999988424</x:v>
      </x:c>
      <x:c r="C2026" t="str">
        <x:v>302550</x:v>
      </x:c>
      <x:c r="D2026" t="str">
        <x:v>리메드</x:v>
      </x:c>
      <x:c r="E2026" t="str">
        <x:v>KOSDAQ</x:v>
      </x:c>
      <x:c r="F2026" t="str">
        <x:v>MID</x:v>
      </x:c>
      <x:c r="G2026" t="str">
        <x:v>ELIGIBLE</x:v>
      </x:c>
      <x:c r="H2026"/>
      <x:c r="I2026" s="54" t="n">
        <x:v>45107</x:v>
      </x:c>
      <x:c r="J2026" s="55" t="n">
        <x:v>13920</x:v>
      </x:c>
      <x:c r="K2026" s="55" t="n">
        <x:v>85296414720</x:v>
      </x:c>
      <x:c r="L2026" s="55" t="n">
        <x:v>6127616</x:v>
      </x:c>
      <x:c r="M2026" t="str">
        <x:v>20230317000634</x:v>
      </x:c>
      <x:c r="N2026" t="n">
        <x:v>45002.624999988424</x:v>
      </x:c>
      <x:c r="O2026" s="54" t="n">
        <x:v>44926</x:v>
      </x:c>
      <x:c r="P2026" t="str">
        <x:v>False</x:v>
      </x:c>
      <x:c r="Q2026" t="str">
        <x:v>d5af64e920043eb8d2a9eede6d7332fad3c4a5ce4e29b3cce685d4ef60561568</x:v>
      </x:c>
      <x:c r="R2026" t="str">
        <x:v>dc9138708e4bf54e1903b520d457bec0b84284da0761a3aca6b8cf338ed2b78e</x:v>
      </x:c>
      <x:c r="S2026" t="n">
        <x:v>5</x:v>
      </x:c>
      <x:c r="T2026" t="str">
        <x:v>2019-12-31|2020-12-31|2021-12-31|2022-12-31</x:v>
      </x:c>
      <x:c r="U2026" s="57" t="n">
        <x:v>3933.783904575903</x:v>
      </x:c>
      <x:c r="V2026" s="57" t="n">
        <x:v>-0.717400581567823</x:v>
      </x:c>
      <x:c r="W2026" t="n">
        <x:v>57</x:v>
      </x:c>
      <x:c r="X2026" t="n">
        <x:v>5</x:v>
      </x:c>
      <x:c r="Y2026" s="38" t="n">
        <x:v>0.6409090909090909</x:v>
      </x:c>
      <x:c r="Z2026" s="38" t="n">
        <x:v>0.6901126110971331</x:v>
      </x:c>
      <x:c r="AA2026"/>
    </x:row>
    <x:row r="2027">
      <x:c r="A2027" s="54" t="n">
        <x:v>45107</x:v>
      </x:c>
      <x:c r="B2027" t="n">
        <x:v>45107.624999988424</x:v>
      </x:c>
      <x:c r="C2027" t="str">
        <x:v>011760</x:v>
      </x:c>
      <x:c r="D2027" t="str">
        <x:v>현대코퍼레이션</x:v>
      </x:c>
      <x:c r="E2027" t="str">
        <x:v>KOSPI</x:v>
      </x:c>
      <x:c r="F2027" t="str">
        <x:v>MID</x:v>
      </x:c>
      <x:c r="G2027" t="str">
        <x:v>ELIGIBLE</x:v>
      </x:c>
      <x:c r="H2027"/>
      <x:c r="I2027" s="54" t="n">
        <x:v>45107</x:v>
      </x:c>
      <x:c r="J2027" s="55" t="n">
        <x:v>22300</x:v>
      </x:c>
      <x:c r="K2027" s="55" t="n">
        <x:v>295005941800</x:v>
      </x:c>
      <x:c r="L2027" s="55" t="n">
        <x:v>13228966</x:v>
      </x:c>
      <x:c r="M2027" t="str">
        <x:v>20230321001082</x:v>
      </x:c>
      <x:c r="N2027" t="n">
        <x:v>45006.624999988424</x:v>
      </x:c>
      <x:c r="O2027" s="54" t="n">
        <x:v>44926</x:v>
      </x:c>
      <x:c r="P2027" t="str">
        <x:v>False</x:v>
      </x:c>
      <x:c r="Q2027" t="str">
        <x:v>7497290dfb7df1cdb145ded0dcd43d2219860d472f25d57ceb52cf8da7a1f19d</x:v>
      </x:c>
      <x:c r="R2027" t="str">
        <x:v>e44d414fb883ec676e3c561de4b1c48d84619c9565a5962f170a9145182b85c8</x:v>
      </x:c>
      <x:c r="S2027" t="n">
        <x:v>6</x:v>
      </x:c>
      <x:c r="T2027" t="str">
        <x:v>2018-12-31|2019-12-31|2020-12-31|2021-12-31|2022-12-31</x:v>
      </x:c>
      <x:c r="U2027" s="57" t="n">
        <x:v>35512.0741871538</x:v>
      </x:c>
      <x:c r="V2027" s="57" t="n">
        <x:v>0.5924696944912017</x:v>
      </x:c>
      <x:c r="W2027" t="n">
        <x:v>14</x:v>
      </x:c>
      <x:c r="X2027" t="n">
        <x:v>1</x:v>
      </x:c>
      <x:c r="Y2027" s="38" t="n">
        <x:v>0.6409090909090909</x:v>
      </x:c>
      <x:c r="Z2027" s="38" t="n">
        <x:v>0.6771245069754701</x:v>
      </x:c>
      <x:c r="AA2027"/>
    </x:row>
    <x:row r="2028">
      <x:c r="A2028" s="54" t="n">
        <x:v>45107</x:v>
      </x:c>
      <x:c r="B2028" t="n">
        <x:v>45107.624999988424</x:v>
      </x:c>
      <x:c r="C2028" t="str">
        <x:v>010690</x:v>
      </x:c>
      <x:c r="D2028" t="str">
        <x:v>화신</x:v>
      </x:c>
      <x:c r="E2028" t="str">
        <x:v>KOSPI</x:v>
      </x:c>
      <x:c r="F2028" t="str">
        <x:v>MID</x:v>
      </x:c>
      <x:c r="G2028" t="str">
        <x:v>DCF_SCREENING_EXCLUSION</x:v>
      </x:c>
      <x:c r="H2028" t="str">
        <x:v>NON_POSITIVE_ENTERPRISE_VALUE|NON_POSITIVE_EQUITY_VALUE|NON_POSITIVE_TERMINAL_FCF|UNRELIABLE_TERMINAL_VALUE_SHARE</x:v>
      </x:c>
      <x:c r="I2028" s="54" t="n">
        <x:v>45107</x:v>
      </x:c>
      <x:c r="J2028" s="55" t="n">
        <x:v>18110</x:v>
      </x:c>
      <x:c r="K2028" s="55" t="n">
        <x:v>632408625100</x:v>
      </x:c>
      <x:c r="L2028" s="55" t="n">
        <x:v>34920410</x:v>
      </x:c>
      <x:c r="M2028" t="str">
        <x:v>20230320000645</x:v>
      </x:c>
      <x:c r="N2028" t="n">
        <x:v>45005.624999988424</x:v>
      </x:c>
      <x:c r="O2028" s="54" t="n">
        <x:v>44926</x:v>
      </x:c>
      <x:c r="P2028" t="str">
        <x:v>False</x:v>
      </x:c>
      <x:c r="Q2028" t="str">
        <x:v>ace030b5867bd40c85d08d8079564b6f1adba8cb64ce5247769c40f3cb666f0c</x:v>
      </x:c>
      <x:c r="R2028" t="str">
        <x:v>c8947a650432b8d7fe4195798251d6392cac5b504010a72e30232a3fa75037ce</x:v>
      </x:c>
      <x:c r="S2028" t="n">
        <x:v>6</x:v>
      </x:c>
      <x:c r="T2028" t="str">
        <x:v>2018-12-31|2019-12-31|2020-12-31|2021-12-31|2022-12-31</x:v>
      </x:c>
      <x:c r="U2028" s="57" t="n">
        <x:v>-17045.32296634363</x:v>
      </x:c>
      <x:c r="V2028" s="57" t="n">
        <x:v>-1.941210544800863</x:v>
      </x:c>
      <x:c r="W2028"/>
      <x:c r="X2028"/>
      <x:c r="Y2028" s="38" t="n">
        <x:v>0.6409090909090909</x:v>
      </x:c>
      <x:c r="Z2028" s="38" t="n">
        <x:v>0.8696011390894546</x:v>
      </x:c>
      <x:c r="AA2028" t="str">
        <x:v>NON_POSITIVE_ENTERPRISE_VALUE|NON_POSITIVE_EQUITY_VALUE|NON_POSITIVE_TERMINAL_FCF|UNRELIABLE_TERMINAL_VALUE_SHARE</x:v>
      </x:c>
    </x:row>
    <x:row r="2029">
      <x:c r="A2029" s="54" t="n">
        <x:v>45107</x:v>
      </x:c>
      <x:c r="B2029" t="n">
        <x:v>45107.624999988424</x:v>
      </x:c>
      <x:c r="C2029" t="str">
        <x:v>029460</x:v>
      </x:c>
      <x:c r="D2029" t="str">
        <x:v>케이씨</x:v>
      </x:c>
      <x:c r="E2029" t="str">
        <x:v>KOSPI</x:v>
      </x:c>
      <x:c r="F2029" t="str">
        <x:v>MID</x:v>
      </x:c>
      <x:c r="G2029" t="str">
        <x:v>ELIGIBLE</x:v>
      </x:c>
      <x:c r="H2029"/>
      <x:c r="I2029" s="54" t="n">
        <x:v>45107</x:v>
      </x:c>
      <x:c r="J2029" s="55" t="n">
        <x:v>19350</x:v>
      </x:c>
      <x:c r="K2029" s="55" t="n">
        <x:v>262270751400</x:v>
      </x:c>
      <x:c r="L2029" s="55" t="n">
        <x:v>13554044</x:v>
      </x:c>
      <x:c r="M2029" t="str">
        <x:v>20230321001309</x:v>
      </x:c>
      <x:c r="N2029" t="n">
        <x:v>45006.624999988424</x:v>
      </x:c>
      <x:c r="O2029" s="54" t="n">
        <x:v>44926</x:v>
      </x:c>
      <x:c r="P2029" t="str">
        <x:v>False</x:v>
      </x:c>
      <x:c r="Q2029" t="str">
        <x:v>58e2d472bbe37e0e42e1f560f9d3acf2a30dbfda1ffdbc268c79157babdb6d9e</x:v>
      </x:c>
      <x:c r="R2029" t="str">
        <x:v>4f1107530bcbdbfdb99fcbe552d55f3f95991ae8735eae7990d0fb52b4e43364</x:v>
      </x:c>
      <x:c r="S2029" t="n">
        <x:v>7</x:v>
      </x:c>
      <x:c r="T2029" t="str">
        <x:v>2018-12-31|2019-12-31|2020-12-31|2021-12-31|2022-12-31</x:v>
      </x:c>
      <x:c r="U2029" s="57" t="n">
        <x:v>57723.94566201972</x:v>
      </x:c>
      <x:c r="V2029" s="57" t="n">
        <x:v>1.9831496466160063</x:v>
      </x:c>
      <x:c r="W2029" t="n">
        <x:v>8</x:v>
      </x:c>
      <x:c r="X2029" t="n">
        <x:v>1</x:v>
      </x:c>
      <x:c r="Y2029" s="38" t="n">
        <x:v>0.6409090909090909</x:v>
      </x:c>
      <x:c r="Z2029" s="38" t="n">
        <x:v>0.6872369630522922</x:v>
      </x:c>
      <x:c r="AA2029"/>
    </x:row>
    <x:row r="2030">
      <x:c r="A2030" s="54" t="n">
        <x:v>45107</x:v>
      </x:c>
      <x:c r="B2030" t="n">
        <x:v>45107.624999988424</x:v>
      </x:c>
      <x:c r="C2030" t="str">
        <x:v>122900</x:v>
      </x:c>
      <x:c r="D2030" t="str">
        <x:v>아이마켓코리아</x:v>
      </x:c>
      <x:c r="E2030" t="str">
        <x:v>KOSPI</x:v>
      </x:c>
      <x:c r="F2030" t="str">
        <x:v>MID</x:v>
      </x:c>
      <x:c r="G2030" t="str">
        <x:v>ELIGIBLE</x:v>
      </x:c>
      <x:c r="H2030"/>
      <x:c r="I2030" s="54" t="n">
        <x:v>45107</x:v>
      </x:c>
      <x:c r="J2030" s="55" t="n">
        <x:v>9890</x:v>
      </x:c>
      <x:c r="K2030" s="55" t="n">
        <x:v>330611227600</x:v>
      </x:c>
      <x:c r="L2030" s="55" t="n">
        <x:v>33428840</x:v>
      </x:c>
      <x:c r="M2030" t="str">
        <x:v>20230322000722</x:v>
      </x:c>
      <x:c r="N2030" t="n">
        <x:v>45007.624999988424</x:v>
      </x:c>
      <x:c r="O2030" s="54" t="n">
        <x:v>44926</x:v>
      </x:c>
      <x:c r="P2030" t="str">
        <x:v>False</x:v>
      </x:c>
      <x:c r="Q2030" t="str">
        <x:v>541510e32a7f5e0c3289b935df9aa47469db852b3e2332ec4d4887ad0a8a3a00</x:v>
      </x:c>
      <x:c r="R2030" t="str">
        <x:v>d3db2a9e5647450f49beda7b3bbce417ea59264baaa424912ee59324b698a5a1</x:v>
      </x:c>
      <x:c r="S2030" t="n">
        <x:v>7</x:v>
      </x:c>
      <x:c r="T2030" t="str">
        <x:v>2018-12-31|2019-12-31|2020-12-31|2021-12-31|2022-12-31</x:v>
      </x:c>
      <x:c r="U2030" s="57" t="n">
        <x:v>11510.344845218757</x:v>
      </x:c>
      <x:c r="V2030" s="57" t="n">
        <x:v>0.16383668809087537</x:v>
      </x:c>
      <x:c r="W2030" t="n">
        <x:v>19</x:v>
      </x:c>
      <x:c r="X2030" t="n">
        <x:v>2</x:v>
      </x:c>
      <x:c r="Y2030" s="38" t="n">
        <x:v>0.6409090909090909</x:v>
      </x:c>
      <x:c r="Z2030" s="38" t="n">
        <x:v>0.6565126915691513</x:v>
      </x:c>
      <x:c r="AA2030"/>
    </x:row>
    <x:row r="2031">
      <x:c r="A2031" s="54" t="n">
        <x:v>45107</x:v>
      </x:c>
      <x:c r="B2031" t="n">
        <x:v>45107.624999988424</x:v>
      </x:c>
      <x:c r="C2031" t="str">
        <x:v>001820</x:v>
      </x:c>
      <x:c r="D2031" t="str">
        <x:v>삼화콘덴서</x:v>
      </x:c>
      <x:c r="E2031" t="str">
        <x:v>KOSPI</x:v>
      </x:c>
      <x:c r="F2031" t="str">
        <x:v>MID</x:v>
      </x:c>
      <x:c r="G2031" t="str">
        <x:v>ELIGIBLE</x:v>
      </x:c>
      <x:c r="H2031"/>
      <x:c r="I2031" s="54" t="n">
        <x:v>45107</x:v>
      </x:c>
      <x:c r="J2031" s="55" t="n">
        <x:v>42450</x:v>
      </x:c>
      <x:c r="K2031" s="55" t="n">
        <x:v>441267750000</x:v>
      </x:c>
      <x:c r="L2031" s="55" t="n">
        <x:v>10395000</x:v>
      </x:c>
      <x:c r="M2031" t="str">
        <x:v>20230316001232</x:v>
      </x:c>
      <x:c r="N2031" t="n">
        <x:v>45001.624999988424</x:v>
      </x:c>
      <x:c r="O2031" s="54" t="n">
        <x:v>44926</x:v>
      </x:c>
      <x:c r="P2031" t="str">
        <x:v>False</x:v>
      </x:c>
      <x:c r="Q2031" t="str">
        <x:v>21c9a7489bf916d34448a0cf4023d4b2918aa14f06fa7fbfecdc791aad0d3a25</x:v>
      </x:c>
      <x:c r="R2031" t="str">
        <x:v>d98eb8030c6a8d0bd488a289243d1d793ce24874b738ec97734a7be617eeb5ec</x:v>
      </x:c>
      <x:c r="S2031" t="n">
        <x:v>6</x:v>
      </x:c>
      <x:c r="T2031" t="str">
        <x:v>2018-12-31|2019-12-31|2020-12-31|2021-12-31|2022-12-31</x:v>
      </x:c>
      <x:c r="U2031" s="57" t="n">
        <x:v>23344.60615683926</x:v>
      </x:c>
      <x:c r="V2031" s="57" t="n">
        <x:v>-0.4500681706280504</x:v>
      </x:c>
      <x:c r="W2031" t="n">
        <x:v>39</x:v>
      </x:c>
      <x:c r="X2031" t="n">
        <x:v>3</x:v>
      </x:c>
      <x:c r="Y2031" s="38" t="n">
        <x:v>0.6409090909090909</x:v>
      </x:c>
      <x:c r="Z2031" s="38" t="n">
        <x:v>0.6774188039585555</x:v>
      </x:c>
      <x:c r="AA2031"/>
    </x:row>
    <x:row r="2032">
      <x:c r="A2032" s="54" t="n">
        <x:v>45107</x:v>
      </x:c>
      <x:c r="B2032" t="n">
        <x:v>45107.624999988424</x:v>
      </x:c>
      <x:c r="C2032" t="str">
        <x:v>001790</x:v>
      </x:c>
      <x:c r="D2032" t="str">
        <x:v>대한제당</x:v>
      </x:c>
      <x:c r="E2032" t="str">
        <x:v>KOSPI</x:v>
      </x:c>
      <x:c r="F2032" t="str">
        <x:v>MID</x:v>
      </x:c>
      <x:c r="G2032" t="str">
        <x:v>ELIGIBLE</x:v>
      </x:c>
      <x:c r="H2032"/>
      <x:c r="I2032" s="54" t="n">
        <x:v>45107</x:v>
      </x:c>
      <x:c r="J2032" s="55" t="n">
        <x:v>3475</x:v>
      </x:c>
      <x:c r="K2032" s="55" t="n">
        <x:v>311695615500</x:v>
      </x:c>
      <x:c r="L2032" s="55" t="n">
        <x:v>89696580</x:v>
      </x:c>
      <x:c r="M2032" t="str">
        <x:v>20230316001046</x:v>
      </x:c>
      <x:c r="N2032" t="n">
        <x:v>45001.624999988424</x:v>
      </x:c>
      <x:c r="O2032" s="54" t="n">
        <x:v>44926</x:v>
      </x:c>
      <x:c r="P2032" t="str">
        <x:v>False</x:v>
      </x:c>
      <x:c r="Q2032" t="str">
        <x:v>1470941c191c19b84c7adee1ef3cb8a6631abd9d9946815fd4a3cfdcb7c9afd7</x:v>
      </x:c>
      <x:c r="R2032" t="str">
        <x:v>52b38e27ecd11fb1c266f904ac3caa5b13eab576bbf5e087693bb0ea6fb7b3d8</x:v>
      </x:c>
      <x:c r="S2032" t="n">
        <x:v>6</x:v>
      </x:c>
      <x:c r="T2032" t="str">
        <x:v>2018-12-31|2019-12-31|2020-12-31|2021-12-31|2022-12-31</x:v>
      </x:c>
      <x:c r="U2032" s="57" t="n">
        <x:v>2512.5220368220816</x:v>
      </x:c>
      <x:c r="V2032" s="57" t="n">
        <x:v>-0.2769720757346527</x:v>
      </x:c>
      <x:c r="W2032" t="n">
        <x:v>29</x:v>
      </x:c>
      <x:c r="X2032" t="n">
        <x:v>3</x:v>
      </x:c>
      <x:c r="Y2032" s="38" t="n">
        <x:v>0.6409090909090909</x:v>
      </x:c>
      <x:c r="Z2032" s="38" t="n">
        <x:v>0.6758534661559685</x:v>
      </x:c>
      <x:c r="AA2032"/>
    </x:row>
    <x:row r="2033">
      <x:c r="A2033" s="54" t="n">
        <x:v>45107</x:v>
      </x:c>
      <x:c r="B2033" t="n">
        <x:v>45107.624999988424</x:v>
      </x:c>
      <x:c r="C2033" t="str">
        <x:v>001340</x:v>
      </x:c>
      <x:c r="D2033" t="str">
        <x:v>PKC</x:v>
      </x:c>
      <x:c r="E2033" t="str">
        <x:v>KOSPI</x:v>
      </x:c>
      <x:c r="F2033" t="str">
        <x:v>MID</x:v>
      </x:c>
      <x:c r="G2033" t="str">
        <x:v>ELIGIBLE</x:v>
      </x:c>
      <x:c r="H2033"/>
      <x:c r="I2033" s="54" t="n">
        <x:v>45107</x:v>
      </x:c>
      <x:c r="J2033" s="55" t="n">
        <x:v>7570</x:v>
      </x:c>
      <x:c r="K2033" s="55" t="n">
        <x:v>340032340990</x:v>
      </x:c>
      <x:c r="L2033" s="55" t="n">
        <x:v>44918407</x:v>
      </x:c>
      <x:c r="M2033" t="str">
        <x:v>20230315000818</x:v>
      </x:c>
      <x:c r="N2033" t="n">
        <x:v>45000.624999988424</x:v>
      </x:c>
      <x:c r="O2033" s="54" t="n">
        <x:v>44926</x:v>
      </x:c>
      <x:c r="P2033" t="str">
        <x:v>False</x:v>
      </x:c>
      <x:c r="Q2033" t="str">
        <x:v>558c9edbc3243e9a70a8177e38ec9b6ff6d82e01a5e2bbdd4c75dfc6b9658bd5</x:v>
      </x:c>
      <x:c r="R2033" t="str">
        <x:v>60c8b62c58046c510ab9e848c28d4d6c2ace989bde3485615c19ed17359872d9</x:v>
      </x:c>
      <x:c r="S2033" t="n">
        <x:v>6</x:v>
      </x:c>
      <x:c r="T2033" t="str">
        <x:v>2016-12-31|2017-12-31|2018-12-31|2019-12-31|2020-12-31|2021-12-31|2022-12-31</x:v>
      </x:c>
      <x:c r="U2033" s="57" t="n">
        <x:v>175.82934072008524</x:v>
      </x:c>
      <x:c r="V2033" s="57" t="n">
        <x:v>-0.9767728744095</x:v>
      </x:c>
      <x:c r="W2033" t="n">
        <x:v>68</x:v>
      </x:c>
      <x:c r="X2033" t="n">
        <x:v>5</x:v>
      </x:c>
      <x:c r="Y2033" s="38" t="n">
        <x:v>0.6409090909090909</x:v>
      </x:c>
      <x:c r="Z2033" s="38" t="n">
        <x:v>0.6026278080829884</x:v>
      </x:c>
      <x:c r="AA2033"/>
    </x:row>
    <x:row r="2034">
      <x:c r="A2034" s="54" t="n">
        <x:v>45107</x:v>
      </x:c>
      <x:c r="B2034" t="n">
        <x:v>45107.624999988424</x:v>
      </x:c>
      <x:c r="C2034" t="str">
        <x:v>096760</x:v>
      </x:c>
      <x:c r="D2034" t="str">
        <x:v>JW홀딩스</x:v>
      </x:c>
      <x:c r="E2034" t="str">
        <x:v>KOSPI</x:v>
      </x:c>
      <x:c r="F2034" t="str">
        <x:v>MID</x:v>
      </x:c>
      <x:c r="G2034" t="str">
        <x:v>EXCLUDED_ARCHETYPE</x:v>
      </x:c>
      <x:c r="H2034" t="str">
        <x:v>FCFF_NOT_COMPARABLE_FOR_FINANCE_OR_HOLDING_HINT</x:v>
      </x:c>
      <x:c r="I2034" s="54"/>
      <x:c r="J2034" s="55"/>
      <x:c r="K2034" s="55"/>
      <x:c r="L2034" s="55"/>
      <x:c r="M2034"/>
      <x:c r="N2034"/>
      <x:c r="O2034" s="54"/>
      <x:c r="P2034"/>
      <x:c r="Q2034"/>
      <x:c r="R2034"/>
      <x:c r="S2034"/>
      <x:c r="T2034"/>
      <x:c r="U2034" s="57"/>
      <x:c r="V2034" s="57"/>
      <x:c r="W2034"/>
      <x:c r="X2034"/>
      <x:c r="Y2034" s="38"/>
      <x:c r="Z2034" s="38"/>
      <x:c r="AA2034"/>
    </x:row>
    <x:row r="2035">
      <x:c r="A2035" s="54" t="n">
        <x:v>45107</x:v>
      </x:c>
      <x:c r="B2035" t="n">
        <x:v>45107.624999988424</x:v>
      </x:c>
      <x:c r="C2035" t="str">
        <x:v>005010</x:v>
      </x:c>
      <x:c r="D2035" t="str">
        <x:v>휴스틸</x:v>
      </x:c>
      <x:c r="E2035" t="str">
        <x:v>KOSPI</x:v>
      </x:c>
      <x:c r="F2035" t="str">
        <x:v>MID</x:v>
      </x:c>
      <x:c r="G2035" t="str">
        <x:v>ELIGIBLE</x:v>
      </x:c>
      <x:c r="H2035"/>
      <x:c r="I2035" s="54" t="n">
        <x:v>45107</x:v>
      </x:c>
      <x:c r="J2035" s="55" t="n">
        <x:v>6150</x:v>
      </x:c>
      <x:c r="K2035" s="55" t="n">
        <x:v>345556661250</x:v>
      </x:c>
      <x:c r="L2035" s="55" t="n">
        <x:v>56188075</x:v>
      </x:c>
      <x:c r="M2035" t="str">
        <x:v>20230322001091</x:v>
      </x:c>
      <x:c r="N2035" t="n">
        <x:v>45007.624999988424</x:v>
      </x:c>
      <x:c r="O2035" s="54" t="n">
        <x:v>44926</x:v>
      </x:c>
      <x:c r="P2035" t="str">
        <x:v>False</x:v>
      </x:c>
      <x:c r="Q2035" t="str">
        <x:v>d9dbeeef1aa4a18fb7e1b286713e7ac56f27f2bee80e9f7c8abb669a235538b9</x:v>
      </x:c>
      <x:c r="R2035" t="str">
        <x:v>91116ae41a3d9d36dbef495a4667f91436e1b440d9c3b340c7d4d4493ba79f39</x:v>
      </x:c>
      <x:c r="S2035" t="n">
        <x:v>7</x:v>
      </x:c>
      <x:c r="T2035" t="str">
        <x:v>2018-12-31|2019-12-31|2020-12-31|2021-12-31|2022-12-31</x:v>
      </x:c>
      <x:c r="U2035" s="57" t="n">
        <x:v>16959.49964400331</x:v>
      </x:c>
      <x:c r="V2035" s="57" t="n">
        <x:v>1.7576422185371234</x:v>
      </x:c>
      <x:c r="W2035" t="n">
        <x:v>9</x:v>
      </x:c>
      <x:c r="X2035" t="n">
        <x:v>1</x:v>
      </x:c>
      <x:c r="Y2035" s="38" t="n">
        <x:v>0.6409090909090909</x:v>
      </x:c>
      <x:c r="Z2035" s="38" t="n">
        <x:v>0.3282955912636518</x:v>
      </x:c>
      <x:c r="AA2035"/>
    </x:row>
    <x:row r="2036">
      <x:c r="A2036" s="54" t="n">
        <x:v>45107</x:v>
      </x:c>
      <x:c r="B2036" t="n">
        <x:v>45107.624999988424</x:v>
      </x:c>
      <x:c r="C2036" t="str">
        <x:v>001630</x:v>
      </x:c>
      <x:c r="D2036" t="str">
        <x:v>종근당홀딩스</x:v>
      </x:c>
      <x:c r="E2036" t="str">
        <x:v>KOSPI</x:v>
      </x:c>
      <x:c r="F2036" t="str">
        <x:v>MID</x:v>
      </x:c>
      <x:c r="G2036" t="str">
        <x:v>EXCLUDED_ARCHETYPE</x:v>
      </x:c>
      <x:c r="H2036" t="str">
        <x:v>FCFF_NOT_COMPARABLE_FOR_FINANCE_OR_HOLDING_HINT</x:v>
      </x:c>
      <x:c r="I2036" s="54"/>
      <x:c r="J2036" s="55"/>
      <x:c r="K2036" s="55"/>
      <x:c r="L2036" s="55"/>
      <x:c r="M2036"/>
      <x:c r="N2036"/>
      <x:c r="O2036" s="54"/>
      <x:c r="P2036"/>
      <x:c r="Q2036"/>
      <x:c r="R2036"/>
      <x:c r="S2036"/>
      <x:c r="T2036"/>
      <x:c r="U2036" s="57"/>
      <x:c r="V2036" s="57"/>
      <x:c r="W2036"/>
      <x:c r="X2036"/>
      <x:c r="Y2036" s="38"/>
      <x:c r="Z2036" s="38"/>
      <x:c r="AA2036"/>
    </x:row>
    <x:row r="2037">
      <x:c r="A2037" s="54" t="n">
        <x:v>45107</x:v>
      </x:c>
      <x:c r="B2037" t="n">
        <x:v>45107.624999988424</x:v>
      </x:c>
      <x:c r="C2037" t="str">
        <x:v>005680</x:v>
      </x:c>
      <x:c r="D2037" t="str">
        <x:v>삼영전자</x:v>
      </x:c>
      <x:c r="E2037" t="str">
        <x:v>KOSPI</x:v>
      </x:c>
      <x:c r="F2037" t="str">
        <x:v>MID</x:v>
      </x:c>
      <x:c r="G2037" t="str">
        <x:v>ELIGIBLE</x:v>
      </x:c>
      <x:c r="H2037"/>
      <x:c r="I2037" s="54" t="n">
        <x:v>45107</x:v>
      </x:c>
      <x:c r="J2037" s="55" t="n">
        <x:v>9610</x:v>
      </x:c>
      <x:c r="K2037" s="55" t="n">
        <x:v>192200000000</x:v>
      </x:c>
      <x:c r="L2037" s="55" t="n">
        <x:v>20000000</x:v>
      </x:c>
      <x:c r="M2037" t="str">
        <x:v>20230316001053</x:v>
      </x:c>
      <x:c r="N2037" t="n">
        <x:v>45001.624999988424</x:v>
      </x:c>
      <x:c r="O2037" s="54" t="n">
        <x:v>44926</x:v>
      </x:c>
      <x:c r="P2037" t="str">
        <x:v>False</x:v>
      </x:c>
      <x:c r="Q2037" t="str">
        <x:v>f6f53cbc5e755b70045095c5cd06f68b16c68540d3609c68bab92de4870f062f</x:v>
      </x:c>
      <x:c r="R2037" t="str">
        <x:v>40b84c17d0e1515ac32414a83e0f689da42513eab824b0ec81b4bde2f62b8829</x:v>
      </x:c>
      <x:c r="S2037" t="n">
        <x:v>5</x:v>
      </x:c>
      <x:c r="T2037" t="str">
        <x:v>2018-12-31|2019-12-31|2020-12-31|2021-12-31|2022-12-31</x:v>
      </x:c>
      <x:c r="U2037" s="57" t="n">
        <x:v>5661.292335764469</x:v>
      </x:c>
      <x:c r="V2037" s="57" t="n">
        <x:v>-0.41089569867175146</x:v>
      </x:c>
      <x:c r="W2037" t="n">
        <x:v>36</x:v>
      </x:c>
      <x:c r="X2037" t="n">
        <x:v>3</x:v>
      </x:c>
      <x:c r="Y2037" s="38" t="n">
        <x:v>0.6409090909090909</x:v>
      </x:c>
      <x:c r="Z2037" s="38" t="n">
        <x:v>0.556459738548656</x:v>
      </x:c>
      <x:c r="AA2037"/>
    </x:row>
    <x:row r="2038">
      <x:c r="A2038" s="54" t="n">
        <x:v>45107</x:v>
      </x:c>
      <x:c r="B2038" t="n">
        <x:v>45107.624999988424</x:v>
      </x:c>
      <x:c r="C2038" t="str">
        <x:v>028100</x:v>
      </x:c>
      <x:c r="D2038" t="str">
        <x:v>동아지질</x:v>
      </x:c>
      <x:c r="E2038" t="str">
        <x:v>KOSPI</x:v>
      </x:c>
      <x:c r="F2038" t="str">
        <x:v>MID</x:v>
      </x:c>
      <x:c r="G2038" t="str">
        <x:v>DCF_SCREENING_EXCLUSION</x:v>
      </x:c>
      <x:c r="H2038" t="str">
        <x:v>NON_POSITIVE_ENTERPRISE_VALUE|UNRELIABLE_TERMINAL_VALUE_SHARE</x:v>
      </x:c>
      <x:c r="I2038" s="54" t="n">
        <x:v>45107</x:v>
      </x:c>
      <x:c r="J2038" s="55" t="n">
        <x:v>13060</x:v>
      </x:c>
      <x:c r="K2038" s="55" t="n">
        <x:v>183527556760</x:v>
      </x:c>
      <x:c r="L2038" s="55" t="n">
        <x:v>14052646</x:v>
      </x:c>
      <x:c r="M2038" t="str">
        <x:v>20230320001020</x:v>
      </x:c>
      <x:c r="N2038" t="n">
        <x:v>45005.624999988424</x:v>
      </x:c>
      <x:c r="O2038" s="54" t="n">
        <x:v>44926</x:v>
      </x:c>
      <x:c r="P2038" t="str">
        <x:v>False</x:v>
      </x:c>
      <x:c r="Q2038" t="str">
        <x:v>6e65a0fcc2a189fcbec262b72a3f07926633a5c762d0eefd84569fab16aca765</x:v>
      </x:c>
      <x:c r="R2038" t="str">
        <x:v>d05ece4bde6ad05c2afcdf647b432d935396efd2a851de8022649169af90a3b1</x:v>
      </x:c>
      <x:c r="S2038" t="n">
        <x:v>7</x:v>
      </x:c>
      <x:c r="T2038" t="str">
        <x:v>2018-12-31|2019-12-31|2020-12-31|2021-12-31|2022-12-31</x:v>
      </x:c>
      <x:c r="U2038" s="57" t="n">
        <x:v>4342.027108793265</x:v>
      </x:c>
      <x:c r="V2038" s="57" t="n">
        <x:v>-0.667532380643701</x:v>
      </x:c>
      <x:c r="W2038"/>
      <x:c r="X2038"/>
      <x:c r="Y2038" s="38" t="n">
        <x:v>0.6409090909090909</x:v>
      </x:c>
      <x:c r="Z2038" s="38" t="n">
        <x:v>-0.5251607053909674</x:v>
      </x:c>
      <x:c r="AA2038" t="str">
        <x:v>NON_POSITIVE_ENTERPRISE_VALUE|UNRELIABLE_TERMINAL_VALUE_SHARE</x:v>
      </x:c>
    </x:row>
    <x:row r="2039">
      <x:c r="A2039" s="54" t="n">
        <x:v>45107</x:v>
      </x:c>
      <x:c r="B2039" t="n">
        <x:v>45107.624999988424</x:v>
      </x:c>
      <x:c r="C2039" t="str">
        <x:v>001750</x:v>
      </x:c>
      <x:c r="D2039" t="str">
        <x:v>한양증권</x:v>
      </x:c>
      <x:c r="E2039" t="str">
        <x:v>KOSPI</x:v>
      </x:c>
      <x:c r="F2039" t="str">
        <x:v>MID</x:v>
      </x:c>
      <x:c r="G2039" t="str">
        <x:v>EXCLUDED_ARCHETYPE</x:v>
      </x:c>
      <x:c r="H2039" t="str">
        <x:v>FCFF_NOT_COMPARABLE_FOR_FINANCE_OR_HOLDING_HINT</x:v>
      </x:c>
      <x:c r="I2039" s="54"/>
      <x:c r="J2039" s="55"/>
      <x:c r="K2039" s="55"/>
      <x:c r="L2039" s="55"/>
      <x:c r="M2039"/>
      <x:c r="N2039"/>
      <x:c r="O2039" s="54"/>
      <x:c r="P2039"/>
      <x:c r="Q2039"/>
      <x:c r="R2039"/>
      <x:c r="S2039"/>
      <x:c r="T2039"/>
      <x:c r="U2039" s="57"/>
      <x:c r="V2039" s="57"/>
      <x:c r="W2039"/>
      <x:c r="X2039"/>
      <x:c r="Y2039" s="38"/>
      <x:c r="Z2039" s="38"/>
      <x:c r="AA2039"/>
    </x:row>
    <x:row r="2040">
      <x:c r="A2040" s="54" t="n">
        <x:v>45107</x:v>
      </x:c>
      <x:c r="B2040" t="n">
        <x:v>45107.624999988424</x:v>
      </x:c>
      <x:c r="C2040" t="str">
        <x:v>102460</x:v>
      </x:c>
      <x:c r="D2040" t="str">
        <x:v>이연제약</x:v>
      </x:c>
      <x:c r="E2040" t="str">
        <x:v>KOSPI</x:v>
      </x:c>
      <x:c r="F2040" t="str">
        <x:v>MID</x:v>
      </x:c>
      <x:c r="G2040" t="str">
        <x:v>ELIGIBLE</x:v>
      </x:c>
      <x:c r="H2040"/>
      <x:c r="I2040" s="54" t="n">
        <x:v>45107</x:v>
      </x:c>
      <x:c r="J2040" s="55" t="n">
        <x:v>16650</x:v>
      </x:c>
      <x:c r="K2040" s="55" t="n">
        <x:v>299676307050</x:v>
      </x:c>
      <x:c r="L2040" s="55" t="n">
        <x:v>17998577</x:v>
      </x:c>
      <x:c r="M2040" t="str">
        <x:v>20230323001335</x:v>
      </x:c>
      <x:c r="N2040" t="n">
        <x:v>45008.624999988424</x:v>
      </x:c>
      <x:c r="O2040" s="54" t="n">
        <x:v>44926</x:v>
      </x:c>
      <x:c r="P2040" t="str">
        <x:v>False</x:v>
      </x:c>
      <x:c r="Q2040" t="str">
        <x:v>61a1387cb297808c9d3141c45d4550f4c28659bb02db2066736810a3b83a60bb</x:v>
      </x:c>
      <x:c r="R2040" t="str">
        <x:v>b63896e76489cae32b5212b326b1267152a737bc0690e097b2df269e0abd93ba</x:v>
      </x:c>
      <x:c r="S2040" t="n">
        <x:v>4</x:v>
      </x:c>
      <x:c r="T2040" t="str">
        <x:v>2018-12-31|2019-12-31|2020-12-31|2021-12-31|2022-12-31</x:v>
      </x:c>
      <x:c r="U2040" s="57" t="n">
        <x:v>2584.7541315542067</x:v>
      </x:c>
      <x:c r="V2040" s="57" t="n">
        <x:v>-0.8447595116183659</x:v>
      </x:c>
      <x:c r="W2040" t="n">
        <x:v>66</x:v>
      </x:c>
      <x:c r="X2040" t="n">
        <x:v>5</x:v>
      </x:c>
      <x:c r="Y2040" s="38" t="n">
        <x:v>0.6409090909090909</x:v>
      </x:c>
      <x:c r="Z2040" s="38" t="n">
        <x:v>0.5571094878374717</x:v>
      </x:c>
      <x:c r="AA2040"/>
    </x:row>
    <x:row r="2041">
      <x:c r="A2041" s="54" t="n">
        <x:v>45107</x:v>
      </x:c>
      <x:c r="B2041" t="n">
        <x:v>45107.624999988424</x:v>
      </x:c>
      <x:c r="C2041" t="str">
        <x:v>053690</x:v>
      </x:c>
      <x:c r="D2041" t="str">
        <x:v>한미글로벌</x:v>
      </x:c>
      <x:c r="E2041" t="str">
        <x:v>KOSPI</x:v>
      </x:c>
      <x:c r="F2041" t="str">
        <x:v>MID</x:v>
      </x:c>
      <x:c r="G2041" t="str">
        <x:v>ELIGIBLE</x:v>
      </x:c>
      <x:c r="H2041"/>
      <x:c r="I2041" s="54" t="n">
        <x:v>45107</x:v>
      </x:c>
      <x:c r="J2041" s="55" t="n">
        <x:v>30400</x:v>
      </x:c>
      <x:c r="K2041" s="55" t="n">
        <x:v>333109520000</x:v>
      </x:c>
      <x:c r="L2041" s="55" t="n">
        <x:v>10957550</x:v>
      </x:c>
      <x:c r="M2041" t="str">
        <x:v>20230316001135</x:v>
      </x:c>
      <x:c r="N2041" t="n">
        <x:v>45001.624999988424</x:v>
      </x:c>
      <x:c r="O2041" s="54" t="n">
        <x:v>44926</x:v>
      </x:c>
      <x:c r="P2041" t="str">
        <x:v>False</x:v>
      </x:c>
      <x:c r="Q2041" t="str">
        <x:v>8a1d81ce5d798ee907ad59ea4b72e7aa15cbc5d6b3d4060a72883648f6cf66fe</x:v>
      </x:c>
      <x:c r="R2041" t="str">
        <x:v>67ed112098f1faf397ccc8a2ad4edb937e42e1db14b8de6cbea2080f1d2e816f</x:v>
      </x:c>
      <x:c r="S2041" t="n">
        <x:v>6</x:v>
      </x:c>
      <x:c r="T2041" t="str">
        <x:v>2018-12-31|2019-12-31|2020-12-31|2021-12-31|2022-12-31</x:v>
      </x:c>
      <x:c r="U2041" s="57" t="n">
        <x:v>27771.42853009523</x:v>
      </x:c>
      <x:c r="V2041" s="57" t="n">
        <x:v>-0.08646616677318325</x:v>
      </x:c>
      <x:c r="W2041" t="n">
        <x:v>26</x:v>
      </x:c>
      <x:c r="X2041" t="n">
        <x:v>2</x:v>
      </x:c>
      <x:c r="Y2041" s="38" t="n">
        <x:v>0.6409090909090909</x:v>
      </x:c>
      <x:c r="Z2041" s="38" t="n">
        <x:v>0.6748613228024413</x:v>
      </x:c>
      <x:c r="AA2041"/>
    </x:row>
    <x:row r="2042">
      <x:c r="A2042" s="54" t="n">
        <x:v>45107</x:v>
      </x:c>
      <x:c r="B2042" t="n">
        <x:v>45107.624999988424</x:v>
      </x:c>
      <x:c r="C2042" t="str">
        <x:v>213500</x:v>
      </x:c>
      <x:c r="D2042" t="str">
        <x:v>한솔제지</x:v>
      </x:c>
      <x:c r="E2042" t="str">
        <x:v>KOSPI</x:v>
      </x:c>
      <x:c r="F2042" t="str">
        <x:v>MID</x:v>
      </x:c>
      <x:c r="G2042" t="str">
        <x:v>ELIGIBLE</x:v>
      </x:c>
      <x:c r="H2042"/>
      <x:c r="I2042" s="54" t="n">
        <x:v>45107</x:v>
      </x:c>
      <x:c r="J2042" s="55" t="n">
        <x:v>11180</x:v>
      </x:c>
      <x:c r="K2042" s="55" t="n">
        <x:v>266090439680</x:v>
      </x:c>
      <x:c r="L2042" s="55" t="n">
        <x:v>23800576</x:v>
      </x:c>
      <x:c r="M2042" t="str">
        <x:v>20230314001205</x:v>
      </x:c>
      <x:c r="N2042" t="n">
        <x:v>44999.624999988424</x:v>
      </x:c>
      <x:c r="O2042" s="54" t="n">
        <x:v>44926</x:v>
      </x:c>
      <x:c r="P2042" t="str">
        <x:v>False</x:v>
      </x:c>
      <x:c r="Q2042" t="str">
        <x:v>a50c047ba7dfd21d7c902f99c4c38cf444b0d46f22f882fca2024b3b4244c3f0</x:v>
      </x:c>
      <x:c r="R2042" t="str">
        <x:v>dd9ffddb2f871f8b927f0c1c41f6ef438a6142cc850c5a2c80d50f686e3d941d</x:v>
      </x:c>
      <x:c r="S2042" t="n">
        <x:v>6</x:v>
      </x:c>
      <x:c r="T2042" t="str">
        <x:v>2018-12-31|2019-12-31|2020-12-31|2021-12-31|2022-12-31</x:v>
      </x:c>
      <x:c r="U2042" s="57" t="n">
        <x:v>17157.835892810886</x:v>
      </x:c>
      <x:c r="V2042" s="57" t="n">
        <x:v>0.5346901514142116</x:v>
      </x:c>
      <x:c r="W2042" t="n">
        <x:v>15</x:v>
      </x:c>
      <x:c r="X2042" t="n">
        <x:v>2</x:v>
      </x:c>
      <x:c r="Y2042" s="38" t="n">
        <x:v>0.6409090909090909</x:v>
      </x:c>
      <x:c r="Z2042" s="38" t="n">
        <x:v>0.7470788974033864</x:v>
      </x:c>
      <x:c r="AA2042"/>
    </x:row>
    <x:row r="2043">
      <x:c r="A2043" s="54" t="n">
        <x:v>45107</x:v>
      </x:c>
      <x:c r="B2043" t="n">
        <x:v>45107.624999988424</x:v>
      </x:c>
      <x:c r="C2043" t="str">
        <x:v>005430</x:v>
      </x:c>
      <x:c r="D2043" t="str">
        <x:v>한국공항</x:v>
      </x:c>
      <x:c r="E2043" t="str">
        <x:v>KOSPI</x:v>
      </x:c>
      <x:c r="F2043" t="str">
        <x:v>MID</x:v>
      </x:c>
      <x:c r="G2043" t="str">
        <x:v>ELIGIBLE</x:v>
      </x:c>
      <x:c r="H2043"/>
      <x:c r="I2043" s="54" t="n">
        <x:v>45107</x:v>
      </x:c>
      <x:c r="J2043" s="55" t="n">
        <x:v>38450</x:v>
      </x:c>
      <x:c r="K2043" s="55" t="n">
        <x:v>121746349750</x:v>
      </x:c>
      <x:c r="L2043" s="55" t="n">
        <x:v>3166355</x:v>
      </x:c>
      <x:c r="M2043" t="str">
        <x:v>20230314001107</x:v>
      </x:c>
      <x:c r="N2043" t="n">
        <x:v>44999.624999988424</x:v>
      </x:c>
      <x:c r="O2043" s="54" t="n">
        <x:v>44926</x:v>
      </x:c>
      <x:c r="P2043" t="str">
        <x:v>False</x:v>
      </x:c>
      <x:c r="Q2043" t="str">
        <x:v>7e72a94f54fe1628153cab3ed308f8d08fae1827ce09290b8a6dd620486ffafc</x:v>
      </x:c>
      <x:c r="R2043" t="str">
        <x:v>5f89e7cc3af26ccf5b7a51e6bbf343c2dbcb329d3112199a3d85c127a1ec734e</x:v>
      </x:c>
      <x:c r="S2043" t="n">
        <x:v>7</x:v>
      </x:c>
      <x:c r="T2043" t="str">
        <x:v>2018-12-31|2019-12-31|2020-12-31|2021-12-31|2022-12-31</x:v>
      </x:c>
      <x:c r="U2043" s="57" t="n">
        <x:v>23902.01168093522</x:v>
      </x:c>
      <x:c r="V2043" s="57" t="n">
        <x:v>-0.37836120465708145</x:v>
      </x:c>
      <x:c r="W2043" t="n">
        <x:v>35</x:v>
      </x:c>
      <x:c r="X2043" t="n">
        <x:v>3</x:v>
      </x:c>
      <x:c r="Y2043" s="38" t="n">
        <x:v>0.6409090909090909</x:v>
      </x:c>
      <x:c r="Z2043" s="38" t="n">
        <x:v>0.6772841438809504</x:v>
      </x:c>
      <x:c r="AA2043"/>
    </x:row>
    <x:row r="2044">
      <x:c r="A2044" s="54" t="n">
        <x:v>45107</x:v>
      </x:c>
      <x:c r="B2044" t="n">
        <x:v>45107.624999988424</x:v>
      </x:c>
      <x:c r="C2044" t="str">
        <x:v>003460</x:v>
      </x:c>
      <x:c r="D2044" t="str">
        <x:v>유화증권</x:v>
      </x:c>
      <x:c r="E2044" t="str">
        <x:v>KOSPI</x:v>
      </x:c>
      <x:c r="F2044" t="str">
        <x:v>MID</x:v>
      </x:c>
      <x:c r="G2044" t="str">
        <x:v>EXCLUDED_ARCHETYPE</x:v>
      </x:c>
      <x:c r="H2044" t="str">
        <x:v>FCFF_NOT_COMPARABLE_FOR_FINANCE_OR_HOLDING_HINT</x:v>
      </x:c>
      <x:c r="I2044" s="54"/>
      <x:c r="J2044" s="55"/>
      <x:c r="K2044" s="55"/>
      <x:c r="L2044" s="55"/>
      <x:c r="M2044"/>
      <x:c r="N2044"/>
      <x:c r="O2044" s="54"/>
      <x:c r="P2044"/>
      <x:c r="Q2044"/>
      <x:c r="R2044"/>
      <x:c r="S2044"/>
      <x:c r="T2044"/>
      <x:c r="U2044" s="57"/>
      <x:c r="V2044" s="57"/>
      <x:c r="W2044"/>
      <x:c r="X2044"/>
      <x:c r="Y2044" s="38"/>
      <x:c r="Z2044" s="38"/>
      <x:c r="AA2044"/>
    </x:row>
    <x:row r="2045">
      <x:c r="A2045" s="54" t="n">
        <x:v>45107</x:v>
      </x:c>
      <x:c r="B2045" t="n">
        <x:v>45107.624999988424</x:v>
      </x:c>
      <x:c r="C2045" t="str">
        <x:v>004140</x:v>
      </x:c>
      <x:c r="D2045" t="str">
        <x:v>동방</x:v>
      </x:c>
      <x:c r="E2045" t="str">
        <x:v>KOSPI</x:v>
      </x:c>
      <x:c r="F2045" t="str">
        <x:v>MID</x:v>
      </x:c>
      <x:c r="G2045" t="str">
        <x:v>DCF_SCREENING_EXCLUSION</x:v>
      </x:c>
      <x:c r="H2045" t="str">
        <x:v>NON_POSITIVE_ENTERPRISE_VALUE|NON_POSITIVE_EQUITY_VALUE|NON_POSITIVE_TERMINAL_FCF|UNRELIABLE_TERMINAL_VALUE_SHARE</x:v>
      </x:c>
      <x:c r="I2045" s="54" t="n">
        <x:v>45107</x:v>
      </x:c>
      <x:c r="J2045" s="55" t="n">
        <x:v>2335</x:v>
      </x:c>
      <x:c r="K2045" s="55" t="n">
        <x:v>112014073610</x:v>
      </x:c>
      <x:c r="L2045" s="55" t="n">
        <x:v>47971766</x:v>
      </x:c>
      <x:c r="M2045" t="str">
        <x:v>20230323001509</x:v>
      </x:c>
      <x:c r="N2045" t="n">
        <x:v>45008.624999988424</x:v>
      </x:c>
      <x:c r="O2045" s="54" t="n">
        <x:v>44926</x:v>
      </x:c>
      <x:c r="P2045" t="str">
        <x:v>False</x:v>
      </x:c>
      <x:c r="Q2045" t="str">
        <x:v>e186b2712d7c1b08c3556170f49756edd04a784aed5c14672578a652817c6ce4</x:v>
      </x:c>
      <x:c r="R2045" t="str">
        <x:v>90cde25da68280288819811ba20727aa93cf69fef754d5d1b246a20e2e78738a</x:v>
      </x:c>
      <x:c r="S2045" t="n">
        <x:v>7</x:v>
      </x:c>
      <x:c r="T2045" t="str">
        <x:v>2013-12-31|2014-12-31|2015-12-31|2016-12-31|2018-12-31|2019-12-31|2020-12-31|2021-12-31|2022-12-31</x:v>
      </x:c>
      <x:c r="U2045" s="57" t="n">
        <x:v>-2135.56968712535</x:v>
      </x:c>
      <x:c r="V2045" s="57" t="n">
        <x:v>-1.9145908724305567</x:v>
      </x:c>
      <x:c r="W2045"/>
      <x:c r="X2045"/>
      <x:c r="Y2045" s="38" t="n">
        <x:v>0.6409090909090909</x:v>
      </x:c>
      <x:c r="Z2045" s="38" t="n">
        <x:v>2.078775280915033</x:v>
      </x:c>
      <x:c r="AA2045" t="str">
        <x:v>NON_POSITIVE_ENTERPRISE_VALUE|NON_POSITIVE_EQUITY_VALUE|NON_POSITIVE_TERMINAL_FCF|UNRELIABLE_TERMINAL_VALUE_SHARE</x:v>
      </x:c>
    </x:row>
    <x:row r="2046">
      <x:c r="A2046" s="54" t="n">
        <x:v>45107</x:v>
      </x:c>
      <x:c r="B2046" t="n">
        <x:v>45107.624999988424</x:v>
      </x:c>
      <x:c r="C2046" t="str">
        <x:v>317400</x:v>
      </x:c>
      <x:c r="D2046" t="str">
        <x:v>자이에스앤디</x:v>
      </x:c>
      <x:c r="E2046" t="str">
        <x:v>KOSPI</x:v>
      </x:c>
      <x:c r="F2046" t="str">
        <x:v>MID</x:v>
      </x:c>
      <x:c r="G2046" t="str">
        <x:v>ELIGIBLE</x:v>
      </x:c>
      <x:c r="H2046"/>
      <x:c r="I2046" s="54" t="n">
        <x:v>45107</x:v>
      </x:c>
      <x:c r="J2046" s="55" t="n">
        <x:v>6360</x:v>
      </x:c>
      <x:c r="K2046" s="55" t="n">
        <x:v>246656827200</x:v>
      </x:c>
      <x:c r="L2046" s="55" t="n">
        <x:v>38782520</x:v>
      </x:c>
      <x:c r="M2046" t="str">
        <x:v>20230316001505</x:v>
      </x:c>
      <x:c r="N2046" t="n">
        <x:v>45001.624999988424</x:v>
      </x:c>
      <x:c r="O2046" s="54" t="n">
        <x:v>44926</x:v>
      </x:c>
      <x:c r="P2046" t="str">
        <x:v>False</x:v>
      </x:c>
      <x:c r="Q2046" t="str">
        <x:v>a470869241e1d3695b58c7009b8152843867abd28e60f5a391a7828401af0ca4</x:v>
      </x:c>
      <x:c r="R2046" t="str">
        <x:v>422a765174de97eb5087ea3cbc0f681dbfe35dd0f8e28cfc312efb16d8e263fc</x:v>
      </x:c>
      <x:c r="S2046" t="n">
        <x:v>6</x:v>
      </x:c>
      <x:c r="T2046" t="str">
        <x:v>2019-12-31|2020-12-31|2021-12-31|2022-12-31</x:v>
      </x:c>
      <x:c r="U2046" s="57" t="n">
        <x:v>51417.61894696431</x:v>
      </x:c>
      <x:c r="V2046" s="57" t="n">
        <x:v>7.084531280969231</x:v>
      </x:c>
      <x:c r="W2046" t="n">
        <x:v>2</x:v>
      </x:c>
      <x:c r="X2046" t="n">
        <x:v>1</x:v>
      </x:c>
      <x:c r="Y2046" s="38" t="n">
        <x:v>0.6409090909090909</x:v>
      </x:c>
      <x:c r="Z2046" s="38" t="n">
        <x:v>0.7270850964725074</x:v>
      </x:c>
      <x:c r="AA2046"/>
    </x:row>
    <x:row r="2047">
      <x:c r="A2047" s="54" t="n">
        <x:v>45107</x:v>
      </x:c>
      <x:c r="B2047" t="n">
        <x:v>45107.624999988424</x:v>
      </x:c>
      <x:c r="C2047" t="str">
        <x:v>077500</x:v>
      </x:c>
      <x:c r="D2047" t="str">
        <x:v>유니퀘스트</x:v>
      </x:c>
      <x:c r="E2047" t="str">
        <x:v>KOSPI</x:v>
      </x:c>
      <x:c r="F2047" t="str">
        <x:v>MID</x:v>
      </x:c>
      <x:c r="G2047" t="str">
        <x:v>ELIGIBLE</x:v>
      </x:c>
      <x:c r="H2047"/>
      <x:c r="I2047" s="54" t="n">
        <x:v>45107</x:v>
      </x:c>
      <x:c r="J2047" s="55" t="n">
        <x:v>12130</x:v>
      </x:c>
      <x:c r="K2047" s="55" t="n">
        <x:v>331827976750</x:v>
      </x:c>
      <x:c r="L2047" s="55" t="n">
        <x:v>27355975</x:v>
      </x:c>
      <x:c r="M2047" t="str">
        <x:v>20230323001413</x:v>
      </x:c>
      <x:c r="N2047" t="n">
        <x:v>45008.624999988424</x:v>
      </x:c>
      <x:c r="O2047" s="54" t="n">
        <x:v>44926</x:v>
      </x:c>
      <x:c r="P2047" t="str">
        <x:v>False</x:v>
      </x:c>
      <x:c r="Q2047" t="str">
        <x:v>3761b5b0678b0666017399c48956a02c3a6784143d060aeac355c1c247fc6994</x:v>
      </x:c>
      <x:c r="R2047" t="str">
        <x:v>6759ca705081069bc9e4d839024d708f82a3addadcec712cb5b36b2b8beec42e</x:v>
      </x:c>
      <x:c r="S2047" t="n">
        <x:v>6</x:v>
      </x:c>
      <x:c r="T2047" t="str">
        <x:v>2011-12-31|2012-12-31|2013-12-31|2014-12-31|2015-12-31|2016-12-31|2017-12-31|2018-12-31|2019-12-31|2020-12-31|2021-12-31|2022-12-31</x:v>
      </x:c>
      <x:c r="U2047" s="57" t="n">
        <x:v>6732.479598985089</x:v>
      </x:c>
      <x:c r="V2047" s="57" t="n">
        <x:v>-0.44497282778358704</x:v>
      </x:c>
      <x:c r="W2047" t="n">
        <x:v>38</x:v>
      </x:c>
      <x:c r="X2047" t="n">
        <x:v>3</x:v>
      </x:c>
      <x:c r="Y2047" s="38" t="n">
        <x:v>0.6409090909090909</x:v>
      </x:c>
      <x:c r="Z2047" s="38" t="n">
        <x:v>0.6090445049107983</x:v>
      </x:c>
      <x:c r="AA2047"/>
    </x:row>
    <x:row r="2048">
      <x:c r="A2048" s="54" t="n">
        <x:v>45107</x:v>
      </x:c>
      <x:c r="B2048" t="n">
        <x:v>45107.624999988424</x:v>
      </x:c>
      <x:c r="C2048" t="str">
        <x:v>012800</x:v>
      </x:c>
      <x:c r="D2048" t="str">
        <x:v>대창</x:v>
      </x:c>
      <x:c r="E2048" t="str">
        <x:v>KOSPI</x:v>
      </x:c>
      <x:c r="F2048" t="str">
        <x:v>MID</x:v>
      </x:c>
      <x:c r="G2048" t="str">
        <x:v>DCF_SCREENING_EXCLUSION</x:v>
      </x:c>
      <x:c r="H2048" t="str">
        <x:v>NON_POSITIVE_EQUITY_VALUE</x:v>
      </x:c>
      <x:c r="I2048" s="54" t="n">
        <x:v>45107</x:v>
      </x:c>
      <x:c r="J2048" s="55" t="n">
        <x:v>1490</x:v>
      </x:c>
      <x:c r="K2048" s="55" t="n">
        <x:v>135799343510</x:v>
      </x:c>
      <x:c r="L2048" s="55" t="n">
        <x:v>91140499</x:v>
      </x:c>
      <x:c r="M2048" t="str">
        <x:v>20230321001144</x:v>
      </x:c>
      <x:c r="N2048" t="n">
        <x:v>45006.624999988424</x:v>
      </x:c>
      <x:c r="O2048" s="54" t="n">
        <x:v>44926</x:v>
      </x:c>
      <x:c r="P2048" t="str">
        <x:v>False</x:v>
      </x:c>
      <x:c r="Q2048" t="str">
        <x:v>14ce9aacc52382aecaaf7a194b3a1d1f6c7f31cc0dc71373f73354f107367c3b</x:v>
      </x:c>
      <x:c r="R2048" t="str">
        <x:v>290109a872b708495432f48fbbbcfedc2b0dc92d11db17ac1f46d61cfa8c2806</x:v>
      </x:c>
      <x:c r="S2048" t="n">
        <x:v>6</x:v>
      </x:c>
      <x:c r="T2048" t="str">
        <x:v>2018-12-31|2019-12-31|2020-12-31|2021-12-31|2022-12-31</x:v>
      </x:c>
      <x:c r="U2048" s="57" t="n">
        <x:v>-975.2321422402201</x:v>
      </x:c>
      <x:c r="V2048" s="57" t="n">
        <x:v>-1.654518216268604</x:v>
      </x:c>
      <x:c r="W2048"/>
      <x:c r="X2048"/>
      <x:c r="Y2048" s="38" t="n">
        <x:v>0.6409090909090909</x:v>
      </x:c>
      <x:c r="Z2048" s="38" t="n">
        <x:v>0.8488956221932996</x:v>
      </x:c>
      <x:c r="AA2048" t="str">
        <x:v>NON_POSITIVE_EQUITY_VALUE</x:v>
      </x:c>
    </x:row>
    <x:row r="2049">
      <x:c r="A2049" s="54" t="n">
        <x:v>45107</x:v>
      </x:c>
      <x:c r="B2049" t="n">
        <x:v>45107.624999988424</x:v>
      </x:c>
      <x:c r="C2049" t="str">
        <x:v>063160</x:v>
      </x:c>
      <x:c r="D2049" t="str">
        <x:v>종근당바이오</x:v>
      </x:c>
      <x:c r="E2049" t="str">
        <x:v>KOSPI</x:v>
      </x:c>
      <x:c r="F2049" t="str">
        <x:v>MID</x:v>
      </x:c>
      <x:c r="G2049" t="str">
        <x:v>DCF_SCREENING_EXCLUSION</x:v>
      </x:c>
      <x:c r="H2049" t="str">
        <x:v>NON_POSITIVE_ENTERPRISE_VALUE|NON_POSITIVE_EQUITY_VALUE|NON_POSITIVE_TERMINAL_FCF</x:v>
      </x:c>
      <x:c r="I2049" s="54" t="n">
        <x:v>45107</x:v>
      </x:c>
      <x:c r="J2049" s="55" t="n">
        <x:v>24350</x:v>
      </x:c>
      <x:c r="K2049" s="55" t="n">
        <x:v>133583174700</x:v>
      </x:c>
      <x:c r="L2049" s="55" t="n">
        <x:v>5485962</x:v>
      </x:c>
      <x:c r="M2049" t="str">
        <x:v>20230314000316</x:v>
      </x:c>
      <x:c r="N2049" t="n">
        <x:v>44999.624999988424</x:v>
      </x:c>
      <x:c r="O2049" s="54" t="n">
        <x:v>44926</x:v>
      </x:c>
      <x:c r="P2049" t="str">
        <x:v>False</x:v>
      </x:c>
      <x:c r="Q2049" t="str">
        <x:v>66325b8d872636b293e0f8b2a0e97daecaf4a8313c7cfa3de870a6cdf6d09cbc</x:v>
      </x:c>
      <x:c r="R2049" t="str">
        <x:v>1bf389ec5dde5bba1a177b27cc7d293fa5900131fbde3f439202d4b529b82815</x:v>
      </x:c>
      <x:c r="S2049" t="n">
        <x:v>6</x:v>
      </x:c>
      <x:c r="T2049" t="str">
        <x:v>2018-12-31|2019-12-31|2020-12-31|2021-12-31|2022-12-31</x:v>
      </x:c>
      <x:c r="U2049" s="57" t="n">
        <x:v>-22583.012002133524</x:v>
      </x:c>
      <x:c r="V2049" s="57" t="n">
        <x:v>-1.9274337577878244</x:v>
      </x:c>
      <x:c r="W2049"/>
      <x:c r="X2049"/>
      <x:c r="Y2049" s="38" t="n">
        <x:v>0.6409090909090909</x:v>
      </x:c>
      <x:c r="Z2049" s="38" t="n">
        <x:v>0.16792377152461097</x:v>
      </x:c>
      <x:c r="AA2049" t="str">
        <x:v>NON_POSITIVE_ENTERPRISE_VALUE|NON_POSITIVE_EQUITY_VALUE|NON_POSITIVE_TERMINAL_FCF</x:v>
      </x:c>
    </x:row>
    <x:row r="2050">
      <x:c r="A2050" s="54" t="n">
        <x:v>45107</x:v>
      </x:c>
      <x:c r="B2050" t="n">
        <x:v>45107.624999988424</x:v>
      </x:c>
      <x:c r="C2050" t="str">
        <x:v>013570</x:v>
      </x:c>
      <x:c r="D2050" t="str">
        <x:v>디와이</x:v>
      </x:c>
      <x:c r="E2050" t="str">
        <x:v>KOSPI</x:v>
      </x:c>
      <x:c r="F2050" t="str">
        <x:v>MID</x:v>
      </x:c>
      <x:c r="G2050" t="str">
        <x:v>ELIGIBLE</x:v>
      </x:c>
      <x:c r="H2050"/>
      <x:c r="I2050" s="54" t="n">
        <x:v>45107</x:v>
      </x:c>
      <x:c r="J2050" s="55" t="n">
        <x:v>5980</x:v>
      </x:c>
      <x:c r="K2050" s="55" t="n">
        <x:v>157391405340</x:v>
      </x:c>
      <x:c r="L2050" s="55" t="n">
        <x:v>26319633</x:v>
      </x:c>
      <x:c r="M2050" t="str">
        <x:v>20230315001400</x:v>
      </x:c>
      <x:c r="N2050" t="n">
        <x:v>45000.624999988424</x:v>
      </x:c>
      <x:c r="O2050" s="54" t="n">
        <x:v>44926</x:v>
      </x:c>
      <x:c r="P2050" t="str">
        <x:v>False</x:v>
      </x:c>
      <x:c r="Q2050" t="str">
        <x:v>865364d66fb039806408dde3fbeec053144f3de8cfd524fef6f9e085cdbe1ae2</x:v>
      </x:c>
      <x:c r="R2050" t="str">
        <x:v>cbd956d98e43133b4d0fcf64fbc7e1df57876bea4a6c48bb5e05c59325213fbe</x:v>
      </x:c>
      <x:c r="S2050" t="n">
        <x:v>6</x:v>
      </x:c>
      <x:c r="T2050" t="str">
        <x:v>2018-12-31|2019-12-31|2020-12-31|2021-12-31|2022-12-31</x:v>
      </x:c>
      <x:c r="U2050" s="57" t="n">
        <x:v>9073.022857441467</x:v>
      </x:c>
      <x:c r="V2050" s="57" t="n">
        <x:v>0.517227902582185</x:v>
      </x:c>
      <x:c r="W2050" t="n">
        <x:v>16</x:v>
      </x:c>
      <x:c r="X2050" t="n">
        <x:v>2</x:v>
      </x:c>
      <x:c r="Y2050" s="38" t="n">
        <x:v>0.6409090909090909</x:v>
      </x:c>
      <x:c r="Z2050" s="38" t="n">
        <x:v>0.7856628812893495</x:v>
      </x:c>
      <x:c r="AA2050"/>
    </x:row>
    <x:row r="2051">
      <x:c r="A2051" s="54" t="n">
        <x:v>45107</x:v>
      </x:c>
      <x:c r="B2051" t="n">
        <x:v>45107.624999988424</x:v>
      </x:c>
      <x:c r="C2051" t="str">
        <x:v>227840</x:v>
      </x:c>
      <x:c r="D2051" t="str">
        <x:v>현대코퍼레이션홀딩스</x:v>
      </x:c>
      <x:c r="E2051" t="str">
        <x:v>KOSPI</x:v>
      </x:c>
      <x:c r="F2051" t="str">
        <x:v>MID</x:v>
      </x:c>
      <x:c r="G2051" t="str">
        <x:v>EXCLUDED_ARCHETYPE</x:v>
      </x:c>
      <x:c r="H2051" t="str">
        <x:v>FCFF_NOT_COMPARABLE_FOR_FINANCE_OR_HOLDING_HINT</x:v>
      </x:c>
      <x:c r="I2051" s="54"/>
      <x:c r="J2051" s="55"/>
      <x:c r="K2051" s="55"/>
      <x:c r="L2051" s="55"/>
      <x:c r="M2051"/>
      <x:c r="N2051"/>
      <x:c r="O2051" s="54"/>
      <x:c r="P2051"/>
      <x:c r="Q2051"/>
      <x:c r="R2051"/>
      <x:c r="S2051"/>
      <x:c r="T2051"/>
      <x:c r="U2051" s="57"/>
      <x:c r="V2051" s="57"/>
      <x:c r="W2051"/>
      <x:c r="X2051"/>
      <x:c r="Y2051" s="38"/>
      <x:c r="Z2051" s="38"/>
      <x:c r="AA2051"/>
    </x:row>
    <x:row r="2052">
      <x:c r="A2052" s="54" t="n">
        <x:v>45107</x:v>
      </x:c>
      <x:c r="B2052" t="n">
        <x:v>45107.624999988424</x:v>
      </x:c>
      <x:c r="C2052" t="str">
        <x:v>247540</x:v>
      </x:c>
      <x:c r="D2052" t="str">
        <x:v>에코프로비엠</x:v>
      </x:c>
      <x:c r="E2052" t="str">
        <x:v>KOSDAQ</x:v>
      </x:c>
      <x:c r="F2052" t="str">
        <x:v>LARGE</x:v>
      </x:c>
      <x:c r="G2052" t="str">
        <x:v>ELIGIBLE</x:v>
      </x:c>
      <x:c r="H2052"/>
      <x:c r="I2052" s="54" t="n">
        <x:v>45107</x:v>
      </x:c>
      <x:c r="J2052" s="55" t="n">
        <x:v>249000</x:v>
      </x:c>
      <x:c r="K2052" s="55" t="n">
        <x:v>24352534656000</x:v>
      </x:c>
      <x:c r="L2052" s="55" t="n">
        <x:v>97801344</x:v>
      </x:c>
      <x:c r="M2052" t="str">
        <x:v>20230321001436</x:v>
      </x:c>
      <x:c r="N2052" t="n">
        <x:v>45006.624999988424</x:v>
      </x:c>
      <x:c r="O2052" s="54" t="n">
        <x:v>44926</x:v>
      </x:c>
      <x:c r="P2052" t="str">
        <x:v>False</x:v>
      </x:c>
      <x:c r="Q2052" t="str">
        <x:v>22a057b9b068170602e9e6baa55a77f766db50edbd138b4850cc07aa625e3694</x:v>
      </x:c>
      <x:c r="R2052" t="str">
        <x:v>d1a6b1539ae09067f39b7ea706381d7b1279f0adfcf22990e9b9ece1ca7a4dfe</x:v>
      </x:c>
      <x:c r="S2052" t="n">
        <x:v>5</x:v>
      </x:c>
      <x:c r="T2052" t="str">
        <x:v>2018-12-31|2019-12-31|2020-12-31|2021-12-31|2022-12-31</x:v>
      </x:c>
      <x:c r="U2052" s="57" t="n">
        <x:v>4896.710898961431</x:v>
      </x:c>
      <x:c r="V2052" s="57" t="n">
        <x:v>-0.980334494381681</x:v>
      </x:c>
      <x:c r="W2052" t="n">
        <x:v>69</x:v>
      </x:c>
      <x:c r="X2052" t="n">
        <x:v>5</x:v>
      </x:c>
      <x:c r="Y2052" s="38" t="n">
        <x:v>0.6409090909090909</x:v>
      </x:c>
      <x:c r="Z2052" s="38" t="n">
        <x:v>0.7476188571473295</x:v>
      </x:c>
      <x:c r="AA2052"/>
    </x:row>
    <x:row r="2053">
      <x:c r="A2053" s="54" t="n">
        <x:v>45107</x:v>
      </x:c>
      <x:c r="B2053" t="n">
        <x:v>45107.624999988424</x:v>
      </x:c>
      <x:c r="C2053" t="str">
        <x:v>086520</x:v>
      </x:c>
      <x:c r="D2053" t="str">
        <x:v>에코프로</x:v>
      </x:c>
      <x:c r="E2053" t="str">
        <x:v>KOSDAQ</x:v>
      </x:c>
      <x:c r="F2053" t="str">
        <x:v>LARGE</x:v>
      </x:c>
      <x:c r="G2053" t="str">
        <x:v>ELIGIBLE</x:v>
      </x:c>
      <x:c r="H2053"/>
      <x:c r="I2053" s="54" t="n">
        <x:v>45107</x:v>
      </x:c>
      <x:c r="J2053" s="55" t="n">
        <x:v>754000</x:v>
      </x:c>
      <x:c r="K2053" s="55" t="n">
        <x:v>20077261672000</x:v>
      </x:c>
      <x:c r="L2053" s="55" t="n">
        <x:v>26627668</x:v>
      </x:c>
      <x:c r="M2053" t="str">
        <x:v>20230322001113</x:v>
      </x:c>
      <x:c r="N2053" t="n">
        <x:v>45007.624999988424</x:v>
      </x:c>
      <x:c r="O2053" s="54" t="n">
        <x:v>44926</x:v>
      </x:c>
      <x:c r="P2053" t="str">
        <x:v>False</x:v>
      </x:c>
      <x:c r="Q2053" t="str">
        <x:v>d5ca0cf44d61c76d9b6bab2b826b979e9a59e209be138b6baca1b16651adc0d2</x:v>
      </x:c>
      <x:c r="R2053" t="str">
        <x:v>d5ed80d4185417e74758aa37a2b38b9078553f7876fa22a2d06c1540bbfb810b</x:v>
      </x:c>
      <x:c r="S2053" t="n">
        <x:v>6</x:v>
      </x:c>
      <x:c r="T2053" t="str">
        <x:v>2018-12-31|2019-12-31|2020-12-31|2021-12-31|2022-12-31</x:v>
      </x:c>
      <x:c r="U2053" s="57" t="n">
        <x:v>49452.94065479767</x:v>
      </x:c>
      <x:c r="V2053" s="57" t="n">
        <x:v>-0.9344125455506662</x:v>
      </x:c>
      <x:c r="W2053" t="n">
        <x:v>67</x:v>
      </x:c>
      <x:c r="X2053" t="n">
        <x:v>5</x:v>
      </x:c>
      <x:c r="Y2053" s="38" t="n">
        <x:v>0.6409090909090909</x:v>
      </x:c>
      <x:c r="Z2053" s="38" t="n">
        <x:v>0.688241253837696</x:v>
      </x:c>
      <x:c r="AA2053"/>
    </x:row>
    <x:row r="2054">
      <x:c r="A2054" s="54" t="n">
        <x:v>45107</x:v>
      </x:c>
      <x:c r="B2054" t="n">
        <x:v>45107.624999988424</x:v>
      </x:c>
      <x:c r="C2054" t="str">
        <x:v>214450</x:v>
      </x:c>
      <x:c r="D2054" t="str">
        <x:v>파마리서치</x:v>
      </x:c>
      <x:c r="E2054" t="str">
        <x:v>KOSDAQ</x:v>
      </x:c>
      <x:c r="F2054" t="str">
        <x:v>LARGE</x:v>
      </x:c>
      <x:c r="G2054" t="str">
        <x:v>ELIGIBLE</x:v>
      </x:c>
      <x:c r="H2054"/>
      <x:c r="I2054" s="54" t="n">
        <x:v>45107</x:v>
      </x:c>
      <x:c r="J2054" s="55" t="n">
        <x:v>143700</x:v>
      </x:c>
      <x:c r="K2054" s="55" t="n">
        <x:v>1473493477200</x:v>
      </x:c>
      <x:c r="L2054" s="55" t="n">
        <x:v>10253956</x:v>
      </x:c>
      <x:c r="M2054" t="str">
        <x:v>20230322001252</x:v>
      </x:c>
      <x:c r="N2054" t="n">
        <x:v>45007.624999988424</x:v>
      </x:c>
      <x:c r="O2054" s="54" t="n">
        <x:v>44926</x:v>
      </x:c>
      <x:c r="P2054" t="str">
        <x:v>False</x:v>
      </x:c>
      <x:c r="Q2054" t="str">
        <x:v>d1d8571bd746fd5df22b5f79322e5712d56ee303146ab140e9a8e3c7300a808b</x:v>
      </x:c>
      <x:c r="R2054" t="str">
        <x:v>0ab9ae1cb427dfc6dad3cedf05daf5415b444fb66fad6b777a97db7198b3ad65</x:v>
      </x:c>
      <x:c r="S2054" t="n">
        <x:v>6</x:v>
      </x:c>
      <x:c r="T2054" t="str">
        <x:v>2018-12-31|2019-12-31|2020-12-31|2021-12-31|2022-12-31</x:v>
      </x:c>
      <x:c r="U2054" s="57" t="n">
        <x:v>68440.26352303088</x:v>
      </x:c>
      <x:c r="V2054" s="57" t="n">
        <x:v>-0.5237281591995068</x:v>
      </x:c>
      <x:c r="W2054" t="n">
        <x:v>46</x:v>
      </x:c>
      <x:c r="X2054" t="n">
        <x:v>4</x:v>
      </x:c>
      <x:c r="Y2054" s="38" t="n">
        <x:v>0.6409090909090909</x:v>
      </x:c>
      <x:c r="Z2054" s="38" t="n">
        <x:v>0.705727109259069</x:v>
      </x:c>
      <x:c r="AA2054"/>
    </x:row>
    <x:row r="2055">
      <x:c r="A2055" s="54" t="n">
        <x:v>45107</x:v>
      </x:c>
      <x:c r="B2055" t="n">
        <x:v>45107.624999988424</x:v>
      </x:c>
      <x:c r="C2055" t="str">
        <x:v>277810</x:v>
      </x:c>
      <x:c r="D2055" t="str">
        <x:v>레인보우로보틱스</x:v>
      </x:c>
      <x:c r="E2055" t="str">
        <x:v>KOSDAQ</x:v>
      </x:c>
      <x:c r="F2055" t="str">
        <x:v>LARGE</x:v>
      </x:c>
      <x:c r="G2055" t="str">
        <x:v>DCF_SCREENING_EXCLUSION</x:v>
      </x:c>
      <x:c r="H2055" t="str">
        <x:v>NON_POSITIVE_ENTERPRISE_VALUE|NON_POSITIVE_TERMINAL_FCF</x:v>
      </x:c>
      <x:c r="I2055" s="54" t="n">
        <x:v>45107</x:v>
      </x:c>
      <x:c r="J2055" s="55" t="n">
        <x:v>91700</x:v>
      </x:c>
      <x:c r="K2055" s="55" t="n">
        <x:v>1765311748200</x:v>
      </x:c>
      <x:c r="L2055" s="55" t="n">
        <x:v>19250946</x:v>
      </x:c>
      <x:c r="M2055" t="str">
        <x:v>20230323000602</x:v>
      </x:c>
      <x:c r="N2055" t="n">
        <x:v>45008.624999988424</x:v>
      </x:c>
      <x:c r="O2055" s="54" t="n">
        <x:v>44926</x:v>
      </x:c>
      <x:c r="P2055" t="str">
        <x:v>False</x:v>
      </x:c>
      <x:c r="Q2055" t="str">
        <x:v>2ada5eb1eccaeeee7c97c8e4c631cdb13c91ada276de9a8e71821b6a745cd9ce</x:v>
      </x:c>
      <x:c r="R2055" t="str">
        <x:v>e1c32ad386de325e7e750ae92420e0a475250cb7acbc9087da92a2b830e058d6</x:v>
      </x:c>
      <x:c r="S2055" t="n">
        <x:v>6</x:v>
      </x:c>
      <x:c r="T2055" t="str">
        <x:v>2020-12-31|2021-12-31|2022-12-31</x:v>
      </x:c>
      <x:c r="U2055" s="57" t="n">
        <x:v>845.4065448988899</x:v>
      </x:c>
      <x:c r="V2055" s="57" t="n">
        <x:v>-0.9907807356063371</x:v>
      </x:c>
      <x:c r="W2055"/>
      <x:c r="X2055"/>
      <x:c r="Y2055" s="38" t="n">
        <x:v>0.6409090909090909</x:v>
      </x:c>
      <x:c r="Z2055" s="38" t="n">
        <x:v>0.8425512038979058</x:v>
      </x:c>
      <x:c r="AA2055" t="str">
        <x:v>NON_POSITIVE_ENTERPRISE_VALUE|NON_POSITIVE_TERMINAL_FCF</x:v>
      </x:c>
    </x:row>
    <x:row r="2056">
      <x:c r="A2056" s="54" t="n">
        <x:v>45107</x:v>
      </x:c>
      <x:c r="B2056" t="n">
        <x:v>45107.624999988424</x:v>
      </x:c>
      <x:c r="C2056" t="str">
        <x:v>310210</x:v>
      </x:c>
      <x:c r="D2056" t="str">
        <x:v>보로노이</x:v>
      </x:c>
      <x:c r="E2056" t="str">
        <x:v>KOSDAQ</x:v>
      </x:c>
      <x:c r="F2056" t="str">
        <x:v>LARGE</x:v>
      </x:c>
      <x:c r="G2056" t="str">
        <x:v>DCF_SCREENING_EXCLUSION</x:v>
      </x:c>
      <x:c r="H2056" t="str">
        <x:v>NON_POSITIVE_ENTERPRISE_VALUE|NON_POSITIVE_EQUITY_VALUE|NON_POSITIVE_TERMINAL_FCF</x:v>
      </x:c>
      <x:c r="I2056" s="54" t="n">
        <x:v>45107</x:v>
      </x:c>
      <x:c r="J2056" s="55" t="n">
        <x:v>49700</x:v>
      </x:c>
      <x:c r="K2056" s="55" t="n">
        <x:v>628599089300</x:v>
      </x:c>
      <x:c r="L2056" s="55" t="n">
        <x:v>12647869</x:v>
      </x:c>
      <x:c r="M2056" t="str">
        <x:v>20230323001447</x:v>
      </x:c>
      <x:c r="N2056" t="n">
        <x:v>45008.624999988424</x:v>
      </x:c>
      <x:c r="O2056" s="54" t="n">
        <x:v>44926</x:v>
      </x:c>
      <x:c r="P2056" t="str">
        <x:v>False</x:v>
      </x:c>
      <x:c r="Q2056" t="str">
        <x:v>38d2b1f5e9c968f4f6fa965d42cb2f1a325c069332624c3eed7a50315d302dcc</x:v>
      </x:c>
      <x:c r="R2056" t="str">
        <x:v>576c97c4daed21efafcbd8890e5b797da413a5a092541c93f1595fcf7c74e341</x:v>
      </x:c>
      <x:c r="S2056" t="n">
        <x:v>5</x:v>
      </x:c>
      <x:c r="T2056" t="str">
        <x:v>2022-12-31</x:v>
      </x:c>
      <x:c r="U2056" s="57" t="n">
        <x:v>-2936.92717875873</x:v>
      </x:c>
      <x:c r="V2056" s="57" t="n">
        <x:v>-1.0590931021883043</x:v>
      </x:c>
      <x:c r="W2056"/>
      <x:c r="X2056"/>
      <x:c r="Y2056" s="38" t="n">
        <x:v>0.6409090909090909</x:v>
      </x:c>
      <x:c r="Z2056" s="38" t="n">
        <x:v>0.7013426708992583</x:v>
      </x:c>
      <x:c r="AA2056" t="str">
        <x:v>NON_POSITIVE_ENTERPRISE_VALUE|NON_POSITIVE_EQUITY_VALUE|NON_POSITIVE_TERMINAL_FCF</x:v>
      </x:c>
    </x:row>
    <x:row r="2057">
      <x:c r="A2057" s="54" t="n">
        <x:v>45107</x:v>
      </x:c>
      <x:c r="B2057" t="n">
        <x:v>45107.624999988424</x:v>
      </x:c>
      <x:c r="C2057" t="str">
        <x:v>195940</x:v>
      </x:c>
      <x:c r="D2057" t="str">
        <x:v>HK이노엔</x:v>
      </x:c>
      <x:c r="E2057" t="str">
        <x:v>KOSDAQ</x:v>
      </x:c>
      <x:c r="F2057" t="str">
        <x:v>LARGE</x:v>
      </x:c>
      <x:c r="G2057" t="str">
        <x:v>ELIGIBLE</x:v>
      </x:c>
      <x:c r="H2057"/>
      <x:c r="I2057" s="54" t="n">
        <x:v>45107</x:v>
      </x:c>
      <x:c r="J2057" s="55" t="n">
        <x:v>30050</x:v>
      </x:c>
      <x:c r="K2057" s="55" t="n">
        <x:v>851313224550</x:v>
      </x:c>
      <x:c r="L2057" s="55" t="n">
        <x:v>28329891</x:v>
      </x:c>
      <x:c r="M2057" t="str">
        <x:v>20230320001014</x:v>
      </x:c>
      <x:c r="N2057" t="n">
        <x:v>45005.624999988424</x:v>
      </x:c>
      <x:c r="O2057" s="54" t="n">
        <x:v>44926</x:v>
      </x:c>
      <x:c r="P2057" t="str">
        <x:v>False</x:v>
      </x:c>
      <x:c r="Q2057" t="str">
        <x:v>4f6a0806e0e5fd9c2cd2d393c888771faba743176534f676c421f01bd70e632b</x:v>
      </x:c>
      <x:c r="R2057" t="str">
        <x:v>3c6c5321d38ea949af4f9c43ff725d1d6f97d8e872f740bed5c3b8ba843d6006</x:v>
      </x:c>
      <x:c r="S2057" t="n">
        <x:v>6</x:v>
      </x:c>
      <x:c r="T2057" t="str">
        <x:v>2021-12-31|2022-12-31</x:v>
      </x:c>
      <x:c r="U2057" s="57" t="n">
        <x:v>11886.658464352715</x:v>
      </x:c>
      <x:c r="V2057" s="57" t="n">
        <x:v>-0.6044373223177133</x:v>
      </x:c>
      <x:c r="W2057" t="n">
        <x:v>51</x:v>
      </x:c>
      <x:c r="X2057" t="n">
        <x:v>4</x:v>
      </x:c>
      <x:c r="Y2057" s="38" t="n">
        <x:v>0.6409090909090909</x:v>
      </x:c>
      <x:c r="Z2057" s="38" t="n">
        <x:v>0.7290831375167371</x:v>
      </x:c>
      <x:c r="AA2057"/>
    </x:row>
    <x:row r="2058">
      <x:c r="A2058" s="54" t="n">
        <x:v>45107</x:v>
      </x:c>
      <x:c r="B2058" t="n">
        <x:v>45107.624999988424</x:v>
      </x:c>
      <x:c r="C2058" t="str">
        <x:v>039200</x:v>
      </x:c>
      <x:c r="D2058" t="str">
        <x:v>오스코텍</x:v>
      </x:c>
      <x:c r="E2058" t="str">
        <x:v>KOSDAQ</x:v>
      </x:c>
      <x:c r="F2058" t="str">
        <x:v>LARGE</x:v>
      </x:c>
      <x:c r="G2058" t="str">
        <x:v>DCF_SCREENING_EXCLUSION</x:v>
      </x:c>
      <x:c r="H2058" t="str">
        <x:v>NON_POSITIVE_ENTERPRISE_VALUE|NON_POSITIVE_EQUITY_VALUE|NON_POSITIVE_TERMINAL_FCF</x:v>
      </x:c>
      <x:c r="I2058" s="54" t="n">
        <x:v>45107</x:v>
      </x:c>
      <x:c r="J2058" s="55" t="n">
        <x:v>23200</x:v>
      </x:c>
      <x:c r="K2058" s="55" t="n">
        <x:v>877454647200</x:v>
      </x:c>
      <x:c r="L2058" s="55" t="n">
        <x:v>37821321</x:v>
      </x:c>
      <x:c r="M2058" t="str">
        <x:v>20230317000843</x:v>
      </x:c>
      <x:c r="N2058" t="n">
        <x:v>45002.624999988424</x:v>
      </x:c>
      <x:c r="O2058" s="54" t="n">
        <x:v>44926</x:v>
      </x:c>
      <x:c r="P2058" t="str">
        <x:v>False</x:v>
      </x:c>
      <x:c r="Q2058" t="str">
        <x:v>8b1322750e8278193e051e8c7d46b09022876f0dc7c2d5ff2328596c8992b84b</x:v>
      </x:c>
      <x:c r="R2058" t="str">
        <x:v>f7f14c75868017753bc2d7a8d682c72a5b3b8eedd2b0a42ea565d6619da6b652</x:v>
      </x:c>
      <x:c r="S2058" t="n">
        <x:v>6</x:v>
      </x:c>
      <x:c r="T2058" t="str">
        <x:v>2018-12-31|2019-12-31|2020-12-31|2021-12-31|2022-12-31</x:v>
      </x:c>
      <x:c r="U2058" s="57" t="n">
        <x:v>-190.44326341372567</x:v>
      </x:c>
      <x:c r="V2058" s="57" t="n">
        <x:v>-1.0082087613540398</x:v>
      </x:c>
      <x:c r="W2058"/>
      <x:c r="X2058"/>
      <x:c r="Y2058" s="38" t="n">
        <x:v>0.6409090909090909</x:v>
      </x:c>
      <x:c r="Z2058" s="38" t="n">
        <x:v>0.6865240790654953</x:v>
      </x:c>
      <x:c r="AA2058" t="str">
        <x:v>NON_POSITIVE_ENTERPRISE_VALUE|NON_POSITIVE_EQUITY_VALUE|NON_POSITIVE_TERMINAL_FCF</x:v>
      </x:c>
    </x:row>
    <x:row r="2059">
      <x:c r="A2059" s="54" t="n">
        <x:v>45107</x:v>
      </x:c>
      <x:c r="B2059" t="n">
        <x:v>45107.624999988424</x:v>
      </x:c>
      <x:c r="C2059" t="str">
        <x:v>084370</x:v>
      </x:c>
      <x:c r="D2059" t="str">
        <x:v>유진테크</x:v>
      </x:c>
      <x:c r="E2059" t="str">
        <x:v>KOSDAQ</x:v>
      </x:c>
      <x:c r="F2059" t="str">
        <x:v>LARGE</x:v>
      </x:c>
      <x:c r="G2059" t="str">
        <x:v>ELIGIBLE</x:v>
      </x:c>
      <x:c r="H2059"/>
      <x:c r="I2059" s="54" t="n">
        <x:v>45107</x:v>
      </x:c>
      <x:c r="J2059" s="55" t="n">
        <x:v>34000</x:v>
      </x:c>
      <x:c r="K2059" s="55" t="n">
        <x:v>779145428000</x:v>
      </x:c>
      <x:c r="L2059" s="55" t="n">
        <x:v>22916042</x:v>
      </x:c>
      <x:c r="M2059" t="str">
        <x:v>20230316001233</x:v>
      </x:c>
      <x:c r="N2059" t="n">
        <x:v>45001.624999988424</x:v>
      </x:c>
      <x:c r="O2059" s="54" t="n">
        <x:v>44926</x:v>
      </x:c>
      <x:c r="P2059" t="str">
        <x:v>False</x:v>
      </x:c>
      <x:c r="Q2059" t="str">
        <x:v>6e7015a76630b4a93d0421f2c9948a15f4da48771a5c08d854eaca8d07cf61c9</x:v>
      </x:c>
      <x:c r="R2059" t="str">
        <x:v>9c185bb5f99aa044f90ce49fec10ec432336d91250cf3fab5cc4f9990d78fcc5</x:v>
      </x:c>
      <x:c r="S2059" t="n">
        <x:v>5</x:v>
      </x:c>
      <x:c r="T2059" t="str">
        <x:v>2018-12-31|2019-12-31|2020-12-31|2021-12-31|2022-12-31</x:v>
      </x:c>
      <x:c r="U2059" s="57" t="n">
        <x:v>18249.84920785422</x:v>
      </x:c>
      <x:c r="V2059" s="57" t="n">
        <x:v>-0.46323972918075834</x:v>
      </x:c>
      <x:c r="W2059" t="n">
        <x:v>41</x:v>
      </x:c>
      <x:c r="X2059" t="n">
        <x:v>3</x:v>
      </x:c>
      <x:c r="Y2059" s="38" t="n">
        <x:v>0.6409090909090909</x:v>
      </x:c>
      <x:c r="Z2059" s="38" t="n">
        <x:v>0.6758527692215439</x:v>
      </x:c>
      <x:c r="AA2059"/>
    </x:row>
    <x:row r="2060">
      <x:c r="A2060" s="54" t="n">
        <x:v>45107</x:v>
      </x:c>
      <x:c r="B2060" t="n">
        <x:v>45107.624999988424</x:v>
      </x:c>
      <x:c r="C2060" t="str">
        <x:v>160190</x:v>
      </x:c>
      <x:c r="D2060" t="str">
        <x:v>하이젠알앤엠</x:v>
      </x:c>
      <x:c r="E2060" t="str">
        <x:v>KOSDAQ</x:v>
      </x:c>
      <x:c r="F2060" t="str">
        <x:v>LARGE</x:v>
      </x:c>
      <x:c r="G2060" t="str">
        <x:v>NOT_LISTED_OR_NO_PRICE</x:v>
      </x:c>
      <x:c r="H2060"/>
      <x:c r="I2060" s="54"/>
      <x:c r="J2060" s="55"/>
      <x:c r="K2060" s="55"/>
      <x:c r="L2060" s="55"/>
      <x:c r="M2060"/>
      <x:c r="N2060"/>
      <x:c r="O2060" s="54"/>
      <x:c r="P2060"/>
      <x:c r="Q2060"/>
      <x:c r="R2060"/>
      <x:c r="S2060"/>
      <x:c r="T2060"/>
      <x:c r="U2060" s="57"/>
      <x:c r="V2060" s="57"/>
      <x:c r="W2060"/>
      <x:c r="X2060"/>
      <x:c r="Y2060" s="38"/>
      <x:c r="Z2060" s="38"/>
      <x:c r="AA2060"/>
    </x:row>
    <x:row r="2061">
      <x:c r="A2061" s="54" t="n">
        <x:v>45107</x:v>
      </x:c>
      <x:c r="B2061" t="n">
        <x:v>45107.624999988424</x:v>
      </x:c>
      <x:c r="C2061" t="str">
        <x:v>281740</x:v>
      </x:c>
      <x:c r="D2061" t="str">
        <x:v>레이크머티리얼즈</x:v>
      </x:c>
      <x:c r="E2061" t="str">
        <x:v>KOSDAQ</x:v>
      </x:c>
      <x:c r="F2061" t="str">
        <x:v>LARGE</x:v>
      </x:c>
      <x:c r="G2061" t="str">
        <x:v>ELIGIBLE</x:v>
      </x:c>
      <x:c r="H2061"/>
      <x:c r="I2061" s="54" t="n">
        <x:v>45107</x:v>
      </x:c>
      <x:c r="J2061" s="55" t="n">
        <x:v>19350</x:v>
      </x:c>
      <x:c r="K2061" s="55" t="n">
        <x:v>1271886103800</x:v>
      </x:c>
      <x:c r="L2061" s="55" t="n">
        <x:v>65730548</x:v>
      </x:c>
      <x:c r="M2061" t="str">
        <x:v>20230321000462</x:v>
      </x:c>
      <x:c r="N2061" t="n">
        <x:v>45006.624999988424</x:v>
      </x:c>
      <x:c r="O2061" s="54" t="n">
        <x:v>44926</x:v>
      </x:c>
      <x:c r="P2061" t="str">
        <x:v>False</x:v>
      </x:c>
      <x:c r="Q2061" t="str">
        <x:v>bd38aecc65af0a0b98e5da1731778b2438d37a8d11b5ff932f845ba7958b093a</x:v>
      </x:c>
      <x:c r="R2061" t="str">
        <x:v>9e75f2c145a26e2dcd1f3b04d00d2a651834392252b0fc71a6e537449c01c449</x:v>
      </x:c>
      <x:c r="S2061" t="n">
        <x:v>6</x:v>
      </x:c>
      <x:c r="T2061" t="str">
        <x:v>2020-12-31|2021-12-31|2022-12-31</x:v>
      </x:c>
      <x:c r="U2061" s="57" t="n">
        <x:v>4485.628453028402</x:v>
      </x:c>
      <x:c r="V2061" s="57" t="n">
        <x:v>-0.7681845760708836</x:v>
      </x:c>
      <x:c r="W2061" t="n">
        <x:v>61</x:v>
      </x:c>
      <x:c r="X2061" t="n">
        <x:v>5</x:v>
      </x:c>
      <x:c r="Y2061" s="38" t="n">
        <x:v>0.6409090909090909</x:v>
      </x:c>
      <x:c r="Z2061" s="38" t="n">
        <x:v>0.726801270847002</x:v>
      </x:c>
      <x:c r="AA2061"/>
    </x:row>
    <x:row r="2062">
      <x:c r="A2062" s="54" t="n">
        <x:v>45107</x:v>
      </x:c>
      <x:c r="B2062" t="n">
        <x:v>45107.624999988424</x:v>
      </x:c>
      <x:c r="C2062" t="str">
        <x:v>078130</x:v>
      </x:c>
      <x:c r="D2062" t="str">
        <x:v>국일제지</x:v>
      </x:c>
      <x:c r="E2062" t="str">
        <x:v>KOSDAQ</x:v>
      </x:c>
      <x:c r="F2062" t="str">
        <x:v>LARGE</x:v>
      </x:c>
      <x:c r="G2062" t="str">
        <x:v>DCF_SCREENING_EXCLUSION</x:v>
      </x:c>
      <x:c r="H2062" t="str">
        <x:v>NON_POSITIVE_ENTERPRISE_VALUE|NON_POSITIVE_EQUITY_VALUE|UNRELIABLE_TERMINAL_VALUE_SHARE</x:v>
      </x:c>
      <x:c r="I2062" s="54" t="n">
        <x:v>45107</x:v>
      </x:c>
      <x:c r="J2062" s="55" t="n">
        <x:v>800</x:v>
      </x:c>
      <x:c r="K2062" s="55" t="n">
        <x:v>102093978400</x:v>
      </x:c>
      <x:c r="L2062" s="55" t="n">
        <x:v>127617473</x:v>
      </x:c>
      <x:c r="M2062" t="str">
        <x:v>20230329000967</x:v>
      </x:c>
      <x:c r="N2062" t="n">
        <x:v>45014.624999988424</x:v>
      </x:c>
      <x:c r="O2062" s="54" t="n">
        <x:v>44926</x:v>
      </x:c>
      <x:c r="P2062" t="str">
        <x:v>True</x:v>
      </x:c>
      <x:c r="Q2062" t="str">
        <x:v>b6106fdc94b099695e8110b3f566190c0e28ce09398fbb39f6c17c9749ed3e1b</x:v>
      </x:c>
      <x:c r="R2062" t="str">
        <x:v>73dd254b2064bc60d0be7f30c55e7de399ccde87d96889d2029772d592f62142</x:v>
      </x:c>
      <x:c r="S2062" t="n">
        <x:v>7</x:v>
      </x:c>
      <x:c r="T2062" t="str">
        <x:v>2018-12-31|2019-12-31|2020-12-31|2021-12-31|2022-12-31</x:v>
      </x:c>
      <x:c r="U2062" s="57" t="n">
        <x:v>-478.81412463368326</x:v>
      </x:c>
      <x:c r="V2062" s="57" t="n">
        <x:v>-1.5985176557921041</x:v>
      </x:c>
      <x:c r="W2062"/>
      <x:c r="X2062"/>
      <x:c r="Y2062" s="38" t="n">
        <x:v>0.6409090909090909</x:v>
      </x:c>
      <x:c r="Z2062" s="38" t="n">
        <x:v>-1.0062491104711333</x:v>
      </x:c>
      <x:c r="AA2062" t="str">
        <x:v>NON_POSITIVE_ENTERPRISE_VALUE|NON_POSITIVE_EQUITY_VALUE|UNRELIABLE_TERMINAL_VALUE_SHARE</x:v>
      </x:c>
    </x:row>
    <x:row r="2063">
      <x:c r="A2063" s="54" t="n">
        <x:v>45107</x:v>
      </x:c>
      <x:c r="B2063" t="n">
        <x:v>45107.624999988424</x:v>
      </x:c>
      <x:c r="C2063" t="str">
        <x:v>131970</x:v>
      </x:c>
      <x:c r="D2063" t="str">
        <x:v>두산테스나</x:v>
      </x:c>
      <x:c r="E2063" t="str">
        <x:v>KOSDAQ</x:v>
      </x:c>
      <x:c r="F2063" t="str">
        <x:v>LARGE</x:v>
      </x:c>
      <x:c r="G2063" t="str">
        <x:v>ELIGIBLE</x:v>
      </x:c>
      <x:c r="H2063"/>
      <x:c r="I2063" s="54" t="n">
        <x:v>45107</x:v>
      </x:c>
      <x:c r="J2063" s="55" t="n">
        <x:v>41500</x:v>
      </x:c>
      <x:c r="K2063" s="55" t="n">
        <x:v>612522445500</x:v>
      </x:c>
      <x:c r="L2063" s="55" t="n">
        <x:v>14759577</x:v>
      </x:c>
      <x:c r="M2063" t="str">
        <x:v>20230321001018</x:v>
      </x:c>
      <x:c r="N2063" t="n">
        <x:v>45006.624999988424</x:v>
      </x:c>
      <x:c r="O2063" s="54" t="n">
        <x:v>44926</x:v>
      </x:c>
      <x:c r="P2063" t="str">
        <x:v>False</x:v>
      </x:c>
      <x:c r="Q2063" t="str">
        <x:v>884fb42e0046a241832b9dc400722b5050999bfc4acbe2eaab4a2b72708a1eef</x:v>
      </x:c>
      <x:c r="R2063" t="str">
        <x:v>1bab9f86ce7bb62761af67a64415208e4f1003be2995a07128c9ce04910ba75f</x:v>
      </x:c>
      <x:c r="S2063" t="n">
        <x:v>5</x:v>
      </x:c>
      <x:c r="T2063" t="str">
        <x:v>2018-12-31|2019-12-31|2020-12-31|2021-12-31|2022-12-31</x:v>
      </x:c>
      <x:c r="U2063" s="57" t="n">
        <x:v>42781.078535170804</x:v>
      </x:c>
      <x:c r="V2063" s="57" t="n">
        <x:v>0.030869362293272345</x:v>
      </x:c>
      <x:c r="W2063" t="n">
        <x:v>22</x:v>
      </x:c>
      <x:c r="X2063" t="n">
        <x:v>2</x:v>
      </x:c>
      <x:c r="Y2063" s="38" t="n">
        <x:v>0.6409090909090909</x:v>
      </x:c>
      <x:c r="Z2063" s="38" t="n">
        <x:v>0.7192854801003423</x:v>
      </x:c>
      <x:c r="AA2063"/>
    </x:row>
    <x:row r="2064">
      <x:c r="A2064" s="54" t="n">
        <x:v>45107</x:v>
      </x:c>
      <x:c r="B2064" t="n">
        <x:v>45107.624999988424</x:v>
      </x:c>
      <x:c r="C2064" t="str">
        <x:v>025320</x:v>
      </x:c>
      <x:c r="D2064" t="str">
        <x:v>시노펙스</x:v>
      </x:c>
      <x:c r="E2064" t="str">
        <x:v>KOSDAQ</x:v>
      </x:c>
      <x:c r="F2064" t="str">
        <x:v>LARGE</x:v>
      </x:c>
      <x:c r="G2064" t="str">
        <x:v>DCF_SCREENING_EXCLUSION</x:v>
      </x:c>
      <x:c r="H2064" t="str">
        <x:v>NON_POSITIVE_ENTERPRISE_VALUE|NON_POSITIVE_EQUITY_VALUE|NON_POSITIVE_TERMINAL_FCF|UNRELIABLE_TERMINAL_VALUE_SHARE</x:v>
      </x:c>
      <x:c r="I2064" s="54" t="n">
        <x:v>45107</x:v>
      </x:c>
      <x:c r="J2064" s="55" t="n">
        <x:v>3285</x:v>
      </x:c>
      <x:c r="K2064" s="55" t="n">
        <x:v>253357260930</x:v>
      </x:c>
      <x:c r="L2064" s="55" t="n">
        <x:v>77125498</x:v>
      </x:c>
      <x:c r="M2064" t="str">
        <x:v>20230317000970</x:v>
      </x:c>
      <x:c r="N2064" t="n">
        <x:v>45002.624999988424</x:v>
      </x:c>
      <x:c r="O2064" s="54" t="n">
        <x:v>44926</x:v>
      </x:c>
      <x:c r="P2064" t="str">
        <x:v>False</x:v>
      </x:c>
      <x:c r="Q2064" t="str">
        <x:v>97a0662bef0951eeb8bc249158ded53f5a4107f03ae195e85190408a71b2e159</x:v>
      </x:c>
      <x:c r="R2064" t="str">
        <x:v>13398546743628923b374842f994b42a0375ba9d3b6cd96f7a523999333258dc</x:v>
      </x:c>
      <x:c r="S2064" t="n">
        <x:v>6</x:v>
      </x:c>
      <x:c r="T2064" t="str">
        <x:v>2018-12-31|2019-12-31|2020-12-31|2021-12-31|2022-12-31</x:v>
      </x:c>
      <x:c r="U2064" s="57" t="n">
        <x:v>-1065.2598569532813</x:v>
      </x:c>
      <x:c r="V2064" s="57" t="n">
        <x:v>-1.3242800173373763</x:v>
      </x:c>
      <x:c r="W2064"/>
      <x:c r="X2064"/>
      <x:c r="Y2064" s="38" t="n">
        <x:v>0.6409090909090909</x:v>
      </x:c>
      <x:c r="Z2064" s="38" t="n">
        <x:v>0.8633040140644538</x:v>
      </x:c>
      <x:c r="AA2064" t="str">
        <x:v>NON_POSITIVE_ENTERPRISE_VALUE|NON_POSITIVE_EQUITY_VALUE|NON_POSITIVE_TERMINAL_FCF|UNRELIABLE_TERMINAL_VALUE_SHARE</x:v>
      </x:c>
    </x:row>
    <x:row r="2065">
      <x:c r="A2065" s="54" t="n">
        <x:v>45107</x:v>
      </x:c>
      <x:c r="B2065" t="n">
        <x:v>45107.624999988424</x:v>
      </x:c>
      <x:c r="C2065" t="str">
        <x:v>347700</x:v>
      </x:c>
      <x:c r="D2065" t="str">
        <x:v>스피어</x:v>
      </x:c>
      <x:c r="E2065" t="str">
        <x:v>KOSDAQ</x:v>
      </x:c>
      <x:c r="F2065" t="str">
        <x:v>LARGE</x:v>
      </x:c>
      <x:c r="G2065" t="str">
        <x:v>DCF_SCREENING_EXCLUSION</x:v>
      </x:c>
      <x:c r="H2065" t="str">
        <x:v>NON_POSITIVE_ENTERPRISE_VALUE|NON_POSITIVE_EQUITY_VALUE|NON_POSITIVE_TERMINAL_FCF</x:v>
      </x:c>
      <x:c r="I2065" s="54" t="n">
        <x:v>45107</x:v>
      </x:c>
      <x:c r="J2065" s="55" t="n">
        <x:v>4820</x:v>
      </x:c>
      <x:c r="K2065" s="55" t="n">
        <x:v>49298719000</x:v>
      </x:c>
      <x:c r="L2065" s="55" t="n">
        <x:v>10227950</x:v>
      </x:c>
      <x:c r="M2065" t="str">
        <x:v>20230323000910</x:v>
      </x:c>
      <x:c r="N2065" t="n">
        <x:v>45008.624999988424</x:v>
      </x:c>
      <x:c r="O2065" s="54" t="n">
        <x:v>44926</x:v>
      </x:c>
      <x:c r="P2065" t="str">
        <x:v>False</x:v>
      </x:c>
      <x:c r="Q2065" t="str">
        <x:v>318d5308ddf30d65b03f9b30626610bf5f1602f10d1d079262c739572e450b01</x:v>
      </x:c>
      <x:c r="R2065" t="str">
        <x:v>8a688877140876da0088777346eecbce820b2f714829b67ca13a2fee8b6668fe</x:v>
      </x:c>
      <x:c r="S2065" t="n">
        <x:v>6</x:v>
      </x:c>
      <x:c r="T2065" t="str">
        <x:v>2020-12-31|2021-12-31|2022-12-31</x:v>
      </x:c>
      <x:c r="U2065" s="57" t="n">
        <x:v>-289.88693562945383</x:v>
      </x:c>
      <x:c r="V2065" s="57" t="n">
        <x:v>-1.0601425177654469</x:v>
      </x:c>
      <x:c r="W2065"/>
      <x:c r="X2065"/>
      <x:c r="Y2065" s="38" t="n">
        <x:v>0.6409090909090909</x:v>
      </x:c>
      <x:c r="Z2065" s="38" t="n">
        <x:v>0.7147392814804288</x:v>
      </x:c>
      <x:c r="AA2065" t="str">
        <x:v>NON_POSITIVE_ENTERPRISE_VALUE|NON_POSITIVE_EQUITY_VALUE|NON_POSITIVE_TERMINAL_FCF</x:v>
      </x:c>
    </x:row>
    <x:row r="2066">
      <x:c r="A2066" s="54" t="n">
        <x:v>45107</x:v>
      </x:c>
      <x:c r="B2066" t="n">
        <x:v>45107.624999988424</x:v>
      </x:c>
      <x:c r="C2066" t="str">
        <x:v>119850</x:v>
      </x:c>
      <x:c r="D2066" t="str">
        <x:v>지엔씨에너지</x:v>
      </x:c>
      <x:c r="E2066" t="str">
        <x:v>KOSDAQ</x:v>
      </x:c>
      <x:c r="F2066" t="str">
        <x:v>LARGE</x:v>
      </x:c>
      <x:c r="G2066" t="str">
        <x:v>ELIGIBLE</x:v>
      </x:c>
      <x:c r="H2066"/>
      <x:c r="I2066" s="54" t="n">
        <x:v>45107</x:v>
      </x:c>
      <x:c r="J2066" s="55" t="n">
        <x:v>4775</x:v>
      </x:c>
      <x:c r="K2066" s="55" t="n">
        <x:v>78543540475</x:v>
      </x:c>
      <x:c r="L2066" s="55" t="n">
        <x:v>16448909</x:v>
      </x:c>
      <x:c r="M2066" t="str">
        <x:v>20230321000381</x:v>
      </x:c>
      <x:c r="N2066" t="n">
        <x:v>45006.624999988424</x:v>
      </x:c>
      <x:c r="O2066" s="54" t="n">
        <x:v>44926</x:v>
      </x:c>
      <x:c r="P2066" t="str">
        <x:v>False</x:v>
      </x:c>
      <x:c r="Q2066" t="str">
        <x:v>f632a6eceb0fdf2b827e41df44c7ef1919a43190db51c5383dd7414638425ef9</x:v>
      </x:c>
      <x:c r="R2066" t="str">
        <x:v>0a80b286f39c459231cb877b726cd5f89c30b847d32dfbfd48b8c1753d8cb348</x:v>
      </x:c>
      <x:c r="S2066" t="n">
        <x:v>6</x:v>
      </x:c>
      <x:c r="T2066" t="str">
        <x:v>2018-12-31|2019-12-31|2020-12-31|2021-12-31|2022-12-31</x:v>
      </x:c>
      <x:c r="U2066" s="57" t="n">
        <x:v>2550.7016156046448</x:v>
      </x:c>
      <x:c r="V2066" s="57" t="n">
        <x:v>-0.4658216511822733</x:v>
      </x:c>
      <x:c r="W2066" t="n">
        <x:v>42</x:v>
      </x:c>
      <x:c r="X2066" t="n">
        <x:v>3</x:v>
      </x:c>
      <x:c r="Y2066" s="38" t="n">
        <x:v>0.6409090909090909</x:v>
      </x:c>
      <x:c r="Z2066" s="38" t="n">
        <x:v>0.6992378881812492</x:v>
      </x:c>
      <x:c r="AA2066"/>
    </x:row>
    <x:row r="2067">
      <x:c r="A2067" s="54" t="n">
        <x:v>45107</x:v>
      </x:c>
      <x:c r="B2067" t="n">
        <x:v>45107.624999988424</x:v>
      </x:c>
      <x:c r="C2067" t="str">
        <x:v>084110</x:v>
      </x:c>
      <x:c r="D2067" t="str">
        <x:v>휴온스글로벌</x:v>
      </x:c>
      <x:c r="E2067" t="str">
        <x:v>KOSDAQ</x:v>
      </x:c>
      <x:c r="F2067" t="str">
        <x:v>LARGE</x:v>
      </x:c>
      <x:c r="G2067" t="str">
        <x:v>ELIGIBLE</x:v>
      </x:c>
      <x:c r="H2067"/>
      <x:c r="I2067" s="54" t="n">
        <x:v>45107</x:v>
      </x:c>
      <x:c r="J2067" s="55" t="n">
        <x:v>20950</x:v>
      </x:c>
      <x:c r="K2067" s="55" t="n">
        <x:v>264420257400</x:v>
      </x:c>
      <x:c r="L2067" s="55" t="n">
        <x:v>12621492</x:v>
      </x:c>
      <x:c r="M2067" t="str">
        <x:v>20230323001526</x:v>
      </x:c>
      <x:c r="N2067" t="n">
        <x:v>45008.624999988424</x:v>
      </x:c>
      <x:c r="O2067" s="54" t="n">
        <x:v>44926</x:v>
      </x:c>
      <x:c r="P2067" t="str">
        <x:v>False</x:v>
      </x:c>
      <x:c r="Q2067" t="str">
        <x:v>541fb198584f283efa69044182a66d8d3bbb27bc4598abf29f13a82efd236391</x:v>
      </x:c>
      <x:c r="R2067" t="str">
        <x:v>c07edab6f2b7838ef3c0f5e884bea46a9a06b1d5c364f4fd38131be15dc9749b</x:v>
      </x:c>
      <x:c r="S2067" t="n">
        <x:v>6</x:v>
      </x:c>
      <x:c r="T2067" t="str">
        <x:v>2018-12-31|2019-12-31|2020-12-31|2021-12-31|2022-12-31</x:v>
      </x:c>
      <x:c r="U2067" s="57" t="n">
        <x:v>79529.11555752518</x:v>
      </x:c>
      <x:c r="V2067" s="57" t="n">
        <x:v>2.796139167423636</x:v>
      </x:c>
      <x:c r="W2067" t="n">
        <x:v>6</x:v>
      </x:c>
      <x:c r="X2067" t="n">
        <x:v>1</x:v>
      </x:c>
      <x:c r="Y2067" s="38" t="n">
        <x:v>0.6409090909090909</x:v>
      </x:c>
      <x:c r="Z2067" s="38" t="n">
        <x:v>0.7695258922995936</x:v>
      </x:c>
      <x:c r="AA2067"/>
    </x:row>
    <x:row r="2068">
      <x:c r="A2068" s="54" t="n">
        <x:v>45107</x:v>
      </x:c>
      <x:c r="B2068" t="n">
        <x:v>45107.624999988424</x:v>
      </x:c>
      <x:c r="C2068" t="str">
        <x:v>206650</x:v>
      </x:c>
      <x:c r="D2068" t="str">
        <x:v>유바이오로직스</x:v>
      </x:c>
      <x:c r="E2068" t="str">
        <x:v>KOSDAQ</x:v>
      </x:c>
      <x:c r="F2068" t="str">
        <x:v>LARGE</x:v>
      </x:c>
      <x:c r="G2068" t="str">
        <x:v>DCF_SCREENING_EXCLUSION</x:v>
      </x:c>
      <x:c r="H2068" t="str">
        <x:v>NON_POSITIVE_ENTERPRISE_VALUE|NON_POSITIVE_EQUITY_VALUE|NON_POSITIVE_TERMINAL_FCF</x:v>
      </x:c>
      <x:c r="I2068" s="54" t="n">
        <x:v>45107</x:v>
      </x:c>
      <x:c r="J2068" s="55" t="n">
        <x:v>7450</x:v>
      </x:c>
      <x:c r="K2068" s="55" t="n">
        <x:v>271513812150</x:v>
      </x:c>
      <x:c r="L2068" s="55" t="n">
        <x:v>36444807</x:v>
      </x:c>
      <x:c r="M2068" t="str">
        <x:v>20230321001064</x:v>
      </x:c>
      <x:c r="N2068" t="n">
        <x:v>45006.624999988424</x:v>
      </x:c>
      <x:c r="O2068" s="54" t="n">
        <x:v>44926</x:v>
      </x:c>
      <x:c r="P2068" t="str">
        <x:v>False</x:v>
      </x:c>
      <x:c r="Q2068" t="str">
        <x:v>fca3a941392c1e401dfc5d056354175a8f59736f1a8bacec99d6d2306060f340</x:v>
      </x:c>
      <x:c r="R2068" t="str">
        <x:v>22d1af952e5a4ad209a1848f1b2b48aa9efb1ad0649ef925f5aefaeff4e9a84d</x:v>
      </x:c>
      <x:c r="S2068" t="n">
        <x:v>5</x:v>
      </x:c>
      <x:c r="T2068" t="str">
        <x:v>2018-12-31|2019-12-31|2020-12-31|2021-12-31|2022-12-31</x:v>
      </x:c>
      <x:c r="U2068" s="57" t="n">
        <x:v>-1919.2372989946105</x:v>
      </x:c>
      <x:c r="V2068" s="57" t="n">
        <x:v>-1.2576157448314913</x:v>
      </x:c>
      <x:c r="W2068"/>
      <x:c r="X2068"/>
      <x:c r="Y2068" s="38" t="n">
        <x:v>0.6409090909090909</x:v>
      </x:c>
      <x:c r="Z2068" s="38" t="n">
        <x:v>0.6636833148664109</x:v>
      </x:c>
      <x:c r="AA2068" t="str">
        <x:v>NON_POSITIVE_ENTERPRISE_VALUE|NON_POSITIVE_EQUITY_VALUE|NON_POSITIVE_TERMINAL_FCF</x:v>
      </x:c>
    </x:row>
    <x:row r="2069">
      <x:c r="A2069" s="54" t="n">
        <x:v>45107</x:v>
      </x:c>
      <x:c r="B2069" t="n">
        <x:v>45107.624999988424</x:v>
      </x:c>
      <x:c r="C2069" t="str">
        <x:v>365340</x:v>
      </x:c>
      <x:c r="D2069" t="str">
        <x:v>성일하이텍</x:v>
      </x:c>
      <x:c r="E2069" t="str">
        <x:v>KOSDAQ</x:v>
      </x:c>
      <x:c r="F2069" t="str">
        <x:v>LARGE</x:v>
      </x:c>
      <x:c r="G2069" t="str">
        <x:v>ELIGIBLE</x:v>
      </x:c>
      <x:c r="H2069"/>
      <x:c r="I2069" s="54" t="n">
        <x:v>45107</x:v>
      </x:c>
      <x:c r="J2069" s="55" t="n">
        <x:v>135000</x:v>
      </x:c>
      <x:c r="K2069" s="55" t="n">
        <x:v>1620428220000</x:v>
      </x:c>
      <x:c r="L2069" s="55" t="n">
        <x:v>12003172</x:v>
      </x:c>
      <x:c r="M2069" t="str">
        <x:v>20230323000846</x:v>
      </x:c>
      <x:c r="N2069" t="n">
        <x:v>45008.624999988424</x:v>
      </x:c>
      <x:c r="O2069" s="54" t="n">
        <x:v>44926</x:v>
      </x:c>
      <x:c r="P2069" t="str">
        <x:v>False</x:v>
      </x:c>
      <x:c r="Q2069" t="str">
        <x:v>7d0abe3c2db2e67cce557f8d247cbcd238617d90a80745b9f2e537f2c3a0b014</x:v>
      </x:c>
      <x:c r="R2069" t="str">
        <x:v>3d7693e5f2fb4d7dbf0d2eae00ebc360e9d376c7695fd488602225ac72151361</x:v>
      </x:c>
      <x:c r="S2069" t="n">
        <x:v>6</x:v>
      </x:c>
      <x:c r="T2069" t="str">
        <x:v>2022-12-31</x:v>
      </x:c>
      <x:c r="U2069" s="57" t="n">
        <x:v>38240.83523973763</x:v>
      </x:c>
      <x:c r="V2069" s="57" t="n">
        <x:v>-0.7167345537797213</x:v>
      </x:c>
      <x:c r="W2069" t="n">
        <x:v>56</x:v>
      </x:c>
      <x:c r="X2069" t="n">
        <x:v>4</x:v>
      </x:c>
      <x:c r="Y2069" s="38" t="n">
        <x:v>0.6409090909090909</x:v>
      </x:c>
      <x:c r="Z2069" s="38" t="n">
        <x:v>0.7013426708992583</x:v>
      </x:c>
      <x:c r="AA2069"/>
    </x:row>
    <x:row r="2070">
      <x:c r="A2070" s="54" t="n">
        <x:v>45107</x:v>
      </x:c>
      <x:c r="B2070" t="n">
        <x:v>45107.624999988424</x:v>
      </x:c>
      <x:c r="C2070" t="str">
        <x:v>030530</x:v>
      </x:c>
      <x:c r="D2070" t="str">
        <x:v>원익홀딩스</x:v>
      </x:c>
      <x:c r="E2070" t="str">
        <x:v>KOSDAQ</x:v>
      </x:c>
      <x:c r="F2070" t="str">
        <x:v>LARGE</x:v>
      </x:c>
      <x:c r="G2070" t="str">
        <x:v>EXCLUDED_ARCHETYPE</x:v>
      </x:c>
      <x:c r="H2070" t="str">
        <x:v>FCFF_NOT_COMPARABLE_FOR_FINANCE_OR_HOLDING_HINT</x:v>
      </x:c>
      <x:c r="I2070" s="54"/>
      <x:c r="J2070" s="55"/>
      <x:c r="K2070" s="55"/>
      <x:c r="L2070" s="55"/>
      <x:c r="M2070"/>
      <x:c r="N2070"/>
      <x:c r="O2070" s="54"/>
      <x:c r="P2070"/>
      <x:c r="Q2070"/>
      <x:c r="R2070"/>
      <x:c r="S2070"/>
      <x:c r="T2070"/>
      <x:c r="U2070" s="57"/>
      <x:c r="V2070" s="57"/>
      <x:c r="W2070"/>
      <x:c r="X2070"/>
      <x:c r="Y2070" s="38"/>
      <x:c r="Z2070" s="38"/>
      <x:c r="AA2070"/>
    </x:row>
    <x:row r="2071">
      <x:c r="A2071" s="54" t="n">
        <x:v>45107</x:v>
      </x:c>
      <x:c r="B2071" t="n">
        <x:v>45107.624999988424</x:v>
      </x:c>
      <x:c r="C2071" t="str">
        <x:v>220100</x:v>
      </x:c>
      <x:c r="D2071" t="str">
        <x:v>퓨쳐켐</x:v>
      </x:c>
      <x:c r="E2071" t="str">
        <x:v>KOSDAQ</x:v>
      </x:c>
      <x:c r="F2071" t="str">
        <x:v>LARGE</x:v>
      </x:c>
      <x:c r="G2071" t="str">
        <x:v>DCF_SCREENING_EXCLUSION</x:v>
      </x:c>
      <x:c r="H2071" t="str">
        <x:v>NON_POSITIVE_ENTERPRISE_VALUE|NON_POSITIVE_EQUITY_VALUE|NON_POSITIVE_TERMINAL_FCF</x:v>
      </x:c>
      <x:c r="I2071" s="54" t="n">
        <x:v>45107</x:v>
      </x:c>
      <x:c r="J2071" s="55" t="n">
        <x:v>8260</x:v>
      </x:c>
      <x:c r="K2071" s="55" t="n">
        <x:v>182563800300</x:v>
      </x:c>
      <x:c r="L2071" s="55" t="n">
        <x:v>22102155</x:v>
      </x:c>
      <x:c r="M2071" t="str">
        <x:v>20230320000345</x:v>
      </x:c>
      <x:c r="N2071" t="n">
        <x:v>45005.624999988424</x:v>
      </x:c>
      <x:c r="O2071" s="54" t="n">
        <x:v>44926</x:v>
      </x:c>
      <x:c r="P2071" t="str">
        <x:v>False</x:v>
      </x:c>
      <x:c r="Q2071" t="str">
        <x:v>7ec6eadb8493835f9b76de188c2f7ef6d2f88e6a4817fe190b9a10b3e501c829</x:v>
      </x:c>
      <x:c r="R2071" t="str">
        <x:v>eb963e41b4943fbccda440cb448890fb414479c081748b40cbf9be1c68e17637</x:v>
      </x:c>
      <x:c r="S2071" t="n">
        <x:v>5</x:v>
      </x:c>
      <x:c r="T2071" t="str">
        <x:v>2018-12-31|2019-12-31|2020-12-31|2021-12-31|2022-12-31</x:v>
      </x:c>
      <x:c r="U2071" s="57" t="n">
        <x:v>-1905.7420247249058</x:v>
      </x:c>
      <x:c r="V2071" s="57" t="n">
        <x:v>-1.2307193734533783</x:v>
      </x:c>
      <x:c r="W2071"/>
      <x:c r="X2071"/>
      <x:c r="Y2071" s="38" t="n">
        <x:v>0.6409090909090909</x:v>
      </x:c>
      <x:c r="Z2071" s="38" t="n">
        <x:v>0.71127269721301</x:v>
      </x:c>
      <x:c r="AA2071" t="str">
        <x:v>NON_POSITIVE_ENTERPRISE_VALUE|NON_POSITIVE_EQUITY_VALUE|NON_POSITIVE_TERMINAL_FCF</x:v>
      </x:c>
    </x:row>
    <x:row r="2072">
      <x:c r="A2072" s="54" t="n">
        <x:v>45107</x:v>
      </x:c>
      <x:c r="B2072" t="n">
        <x:v>45107.624999988424</x:v>
      </x:c>
      <x:c r="C2072" t="str">
        <x:v>416180</x:v>
      </x:c>
      <x:c r="D2072" t="str">
        <x:v>신성에스티</x:v>
      </x:c>
      <x:c r="E2072" t="str">
        <x:v>KOSDAQ</x:v>
      </x:c>
      <x:c r="F2072" t="str">
        <x:v>LARGE</x:v>
      </x:c>
      <x:c r="G2072" t="str">
        <x:v>NOT_LISTED_OR_NO_PRICE</x:v>
      </x:c>
      <x:c r="H2072"/>
      <x:c r="I2072" s="54"/>
      <x:c r="J2072" s="55"/>
      <x:c r="K2072" s="55"/>
      <x:c r="L2072" s="55"/>
      <x:c r="M2072"/>
      <x:c r="N2072"/>
      <x:c r="O2072" s="54"/>
      <x:c r="P2072"/>
      <x:c r="Q2072"/>
      <x:c r="R2072"/>
      <x:c r="S2072"/>
      <x:c r="T2072"/>
      <x:c r="U2072" s="57"/>
      <x:c r="V2072" s="57"/>
      <x:c r="W2072"/>
      <x:c r="X2072"/>
      <x:c r="Y2072" s="38"/>
      <x:c r="Z2072" s="38"/>
      <x:c r="AA2072"/>
    </x:row>
    <x:row r="2073">
      <x:c r="A2073" s="54" t="n">
        <x:v>45107</x:v>
      </x:c>
      <x:c r="B2073" t="n">
        <x:v>45107.624999988424</x:v>
      </x:c>
      <x:c r="C2073" t="str">
        <x:v>082800</x:v>
      </x:c>
      <x:c r="D2073" t="str">
        <x:v>비보존제약</x:v>
      </x:c>
      <x:c r="E2073" t="str">
        <x:v>KOSDAQ</x:v>
      </x:c>
      <x:c r="F2073" t="str">
        <x:v>LARGE</x:v>
      </x:c>
      <x:c r="G2073" t="str">
        <x:v>DCF_SCREENING_EXCLUSION</x:v>
      </x:c>
      <x:c r="H2073" t="str">
        <x:v>NON_POSITIVE_ENTERPRISE_VALUE|NON_POSITIVE_EQUITY_VALUE|NON_POSITIVE_TERMINAL_FCF</x:v>
      </x:c>
      <x:c r="I2073" s="54" t="n">
        <x:v>45107</x:v>
      </x:c>
      <x:c r="J2073" s="55" t="n">
        <x:v>712</x:v>
      </x:c>
      <x:c r="K2073" s="55" t="n">
        <x:v>171633706824</x:v>
      </x:c>
      <x:c r="L2073" s="55" t="n">
        <x:v>241058577</x:v>
      </x:c>
      <x:c r="M2073" t="str">
        <x:v>20230328001048</x:v>
      </x:c>
      <x:c r="N2073" t="n">
        <x:v>45013.624999988424</x:v>
      </x:c>
      <x:c r="O2073" s="54" t="n">
        <x:v>44926</x:v>
      </x:c>
      <x:c r="P2073" t="str">
        <x:v>False</x:v>
      </x:c>
      <x:c r="Q2073" t="str">
        <x:v>1089e1a39a38cb6f2808b81597a204c7e159107a126f2447e76c43849160f347</x:v>
      </x:c>
      <x:c r="R2073" t="str">
        <x:v>f578a5bd2b1adff470077cb357bb4b0e613f19afb7e83e3321fbd15d64d32fec</x:v>
      </x:c>
      <x:c r="S2073" t="n">
        <x:v>7</x:v>
      </x:c>
      <x:c r="T2073" t="str">
        <x:v>2018-12-31|2019-12-31|2020-12-31|2021-12-31|2022-12-31</x:v>
      </x:c>
      <x:c r="U2073" s="57" t="n">
        <x:v>-1061.0065593308473</x:v>
      </x:c>
      <x:c r="V2073" s="57" t="n">
        <x:v>-2.4901777518691675</x:v>
      </x:c>
      <x:c r="W2073"/>
      <x:c r="X2073"/>
      <x:c r="Y2073" s="38" t="n">
        <x:v>0.6409090909090909</x:v>
      </x:c>
      <x:c r="Z2073" s="38" t="n">
        <x:v>0.7001447440711783</x:v>
      </x:c>
      <x:c r="AA2073" t="str">
        <x:v>NON_POSITIVE_ENTERPRISE_VALUE|NON_POSITIVE_EQUITY_VALUE|NON_POSITIVE_TERMINAL_FCF</x:v>
      </x:c>
    </x:row>
    <x:row r="2074">
      <x:c r="A2074" s="54" t="n">
        <x:v>45107</x:v>
      </x:c>
      <x:c r="B2074" t="n">
        <x:v>45107.624999988424</x:v>
      </x:c>
      <x:c r="C2074" t="str">
        <x:v>204620</x:v>
      </x:c>
      <x:c r="D2074" t="str">
        <x:v>글로벌텍스프리</x:v>
      </x:c>
      <x:c r="E2074" t="str">
        <x:v>KOSDAQ</x:v>
      </x:c>
      <x:c r="F2074" t="str">
        <x:v>LARGE</x:v>
      </x:c>
      <x:c r="G2074" t="str">
        <x:v>DCF_SCREENING_EXCLUSION</x:v>
      </x:c>
      <x:c r="H2074" t="str">
        <x:v>NON_POSITIVE_ENTERPRISE_VALUE|NON_POSITIVE_TERMINAL_FCF</x:v>
      </x:c>
      <x:c r="I2074" s="54" t="n">
        <x:v>45107</x:v>
      </x:c>
      <x:c r="J2074" s="55" t="n">
        <x:v>3920</x:v>
      </x:c>
      <x:c r="K2074" s="55" t="n">
        <x:v>215119878400</x:v>
      </x:c>
      <x:c r="L2074" s="55" t="n">
        <x:v>54877520</x:v>
      </x:c>
      <x:c r="M2074" t="str">
        <x:v>20230323001090</x:v>
      </x:c>
      <x:c r="N2074" t="n">
        <x:v>45008.624999988424</x:v>
      </x:c>
      <x:c r="O2074" s="54" t="n">
        <x:v>44926</x:v>
      </x:c>
      <x:c r="P2074" t="str">
        <x:v>False</x:v>
      </x:c>
      <x:c r="Q2074" t="str">
        <x:v>3ec95d2ebe9fca319c0986b7bead3941ac9505f4f62a24cf138d1287a6a6cc0a</x:v>
      </x:c>
      <x:c r="R2074" t="str">
        <x:v>92f5112f4f8c2ba9c3ff7f14625986b8716d92099e4ee1715fb8a21915a1fb2b</x:v>
      </x:c>
      <x:c r="S2074" t="n">
        <x:v>7</x:v>
      </x:c>
      <x:c r="T2074" t="str">
        <x:v>2018-12-31|2019-12-31|2020-12-31|2021-12-31|2022-12-31</x:v>
      </x:c>
      <x:c r="U2074" s="57" t="n">
        <x:v>275.16901902237873</x:v>
      </x:c>
      <x:c r="V2074" s="57" t="n">
        <x:v>-0.9298038216779646</x:v>
      </x:c>
      <x:c r="W2074"/>
      <x:c r="X2074"/>
      <x:c r="Y2074" s="38" t="n">
        <x:v>0.6409090909090909</x:v>
      </x:c>
      <x:c r="Z2074" s="38" t="n">
        <x:v>0.6756613006844315</x:v>
      </x:c>
      <x:c r="AA2074" t="str">
        <x:v>NON_POSITIVE_ENTERPRISE_VALUE|NON_POSITIVE_TERMINAL_FCF</x:v>
      </x:c>
    </x:row>
    <x:row r="2075">
      <x:c r="A2075" s="54" t="n">
        <x:v>45107</x:v>
      </x:c>
      <x:c r="B2075" t="n">
        <x:v>45107.624999988424</x:v>
      </x:c>
      <x:c r="C2075" t="str">
        <x:v>445090</x:v>
      </x:c>
      <x:c r="D2075" t="str">
        <x:v>에이직랜드</x:v>
      </x:c>
      <x:c r="E2075" t="str">
        <x:v>KOSDAQ</x:v>
      </x:c>
      <x:c r="F2075" t="str">
        <x:v>LARGE</x:v>
      </x:c>
      <x:c r="G2075" t="str">
        <x:v>NOT_LISTED_OR_NO_PRICE</x:v>
      </x:c>
      <x:c r="H2075"/>
      <x:c r="I2075" s="54"/>
      <x:c r="J2075" s="55"/>
      <x:c r="K2075" s="55"/>
      <x:c r="L2075" s="55"/>
      <x:c r="M2075"/>
      <x:c r="N2075"/>
      <x:c r="O2075" s="54"/>
      <x:c r="P2075"/>
      <x:c r="Q2075"/>
      <x:c r="R2075"/>
      <x:c r="S2075"/>
      <x:c r="T2075"/>
      <x:c r="U2075" s="57"/>
      <x:c r="V2075" s="57"/>
      <x:c r="W2075"/>
      <x:c r="X2075"/>
      <x:c r="Y2075" s="38"/>
      <x:c r="Z2075" s="38"/>
      <x:c r="AA2075"/>
    </x:row>
    <x:row r="2076">
      <x:c r="A2076" s="54" t="n">
        <x:v>45107</x:v>
      </x:c>
      <x:c r="B2076" t="n">
        <x:v>45107.624999988424</x:v>
      </x:c>
      <x:c r="C2076" t="str">
        <x:v>115450</x:v>
      </x:c>
      <x:c r="D2076" t="str">
        <x:v>HLB테라퓨틱스</x:v>
      </x:c>
      <x:c r="E2076" t="str">
        <x:v>KOSDAQ</x:v>
      </x:c>
      <x:c r="F2076" t="str">
        <x:v>LARGE</x:v>
      </x:c>
      <x:c r="G2076" t="str">
        <x:v>DCF_SCREENING_EXCLUSION</x:v>
      </x:c>
      <x:c r="H2076" t="str">
        <x:v>NON_POSITIVE_ENTERPRISE_VALUE|NON_POSITIVE_EQUITY_VALUE|NON_POSITIVE_TERMINAL_FCF</x:v>
      </x:c>
      <x:c r="I2076" s="54" t="n">
        <x:v>45107</x:v>
      </x:c>
      <x:c r="J2076" s="55" t="n">
        <x:v>5260</x:v>
      </x:c>
      <x:c r="K2076" s="55" t="n">
        <x:v>382161460200</x:v>
      </x:c>
      <x:c r="L2076" s="55" t="n">
        <x:v>72654270</x:v>
      </x:c>
      <x:c r="M2076" t="str">
        <x:v>20230320000967</x:v>
      </x:c>
      <x:c r="N2076" t="n">
        <x:v>45005.624999988424</x:v>
      </x:c>
      <x:c r="O2076" s="54" t="n">
        <x:v>44926</x:v>
      </x:c>
      <x:c r="P2076" t="str">
        <x:v>False</x:v>
      </x:c>
      <x:c r="Q2076" t="str">
        <x:v>43c5581a84ff782cb63aa1b77c3733defee328c638dfc4028f3f09e0f4ea871c</x:v>
      </x:c>
      <x:c r="R2076" t="str">
        <x:v>097a8615af1a7c06ecd02ca9150f146d7b07109487f1f952d6ab4959fca8168e</x:v>
      </x:c>
      <x:c r="S2076" t="n">
        <x:v>6</x:v>
      </x:c>
      <x:c r="T2076" t="str">
        <x:v>2018-12-31|2019-12-31|2020-12-31|2021-12-31|2022-12-31</x:v>
      </x:c>
      <x:c r="U2076" s="57" t="n">
        <x:v>-1649.4827671179544</x:v>
      </x:c>
      <x:c r="V2076" s="57" t="n">
        <x:v>-1.3135898796802195</x:v>
      </x:c>
      <x:c r="W2076"/>
      <x:c r="X2076"/>
      <x:c r="Y2076" s="38" t="n">
        <x:v>0.6409090909090909</x:v>
      </x:c>
      <x:c r="Z2076" s="38" t="n">
        <x:v>0.7057538470399946</x:v>
      </x:c>
      <x:c r="AA2076" t="str">
        <x:v>NON_POSITIVE_ENTERPRISE_VALUE|NON_POSITIVE_EQUITY_VALUE|NON_POSITIVE_TERMINAL_FCF</x:v>
      </x:c>
    </x:row>
    <x:row r="2077">
      <x:c r="A2077" s="54" t="n">
        <x:v>45107</x:v>
      </x:c>
      <x:c r="B2077" t="n">
        <x:v>45107.624999988424</x:v>
      </x:c>
      <x:c r="C2077" t="str">
        <x:v>035420</x:v>
      </x:c>
      <x:c r="D2077" t="str">
        <x:v>NAVER</x:v>
      </x:c>
      <x:c r="E2077" t="str">
        <x:v>KOSPI</x:v>
      </x:c>
      <x:c r="F2077" t="str">
        <x:v>LARGE</x:v>
      </x:c>
      <x:c r="G2077" t="str">
        <x:v>ELIGIBLE</x:v>
      </x:c>
      <x:c r="H2077"/>
      <x:c r="I2077" s="54" t="n">
        <x:v>45107</x:v>
      </x:c>
      <x:c r="J2077" s="55" t="n">
        <x:v>182800</x:v>
      </x:c>
      <x:c r="K2077" s="55" t="n">
        <x:v>29988172738000</x:v>
      </x:c>
      <x:c r="L2077" s="55" t="n">
        <x:v>164049085</x:v>
      </x:c>
      <x:c r="M2077" t="str">
        <x:v>20230314001049</x:v>
      </x:c>
      <x:c r="N2077" t="n">
        <x:v>44999.624999988424</x:v>
      </x:c>
      <x:c r="O2077" s="54" t="n">
        <x:v>44926</x:v>
      </x:c>
      <x:c r="P2077" t="str">
        <x:v>False</x:v>
      </x:c>
      <x:c r="Q2077" t="str">
        <x:v>fc1ed41d4fc38278f26529d9a3d8cba8cd6ea9d8f903f6e93c018269280cc70f</x:v>
      </x:c>
      <x:c r="R2077" t="str">
        <x:v>3d165e6cc6c8fdaa49338afbad87f1bd4bc43eadb4a29de48fa6421d0cb02ca0</x:v>
      </x:c>
      <x:c r="S2077" t="n">
        <x:v>6</x:v>
      </x:c>
      <x:c r="T2077" t="str">
        <x:v>2018-12-31|2019-12-31|2020-12-31|2021-12-31|2022-12-31</x:v>
      </x:c>
      <x:c r="U2077" s="57" t="n">
        <x:v>89111.16136054214</x:v>
      </x:c>
      <x:c r="V2077" s="57" t="n">
        <x:v>-0.5125209991217607</x:v>
      </x:c>
      <x:c r="W2077" t="n">
        <x:v>45</x:v>
      </x:c>
      <x:c r="X2077" t="n">
        <x:v>4</x:v>
      </x:c>
      <x:c r="Y2077" s="38" t="n">
        <x:v>0.6409090909090909</x:v>
      </x:c>
      <x:c r="Z2077" s="38" t="n">
        <x:v>0.7279878466368126</x:v>
      </x:c>
      <x:c r="AA2077"/>
    </x:row>
    <x:row r="2078">
      <x:c r="A2078" s="54" t="n">
        <x:v>45107</x:v>
      </x:c>
      <x:c r="B2078" t="n">
        <x:v>45107.624999988424</x:v>
      </x:c>
      <x:c r="C2078" t="str">
        <x:v>030200</x:v>
      </x:c>
      <x:c r="D2078" t="str">
        <x:v>KT</x:v>
      </x:c>
      <x:c r="E2078" t="str">
        <x:v>KOSPI</x:v>
      </x:c>
      <x:c r="F2078" t="str">
        <x:v>LARGE</x:v>
      </x:c>
      <x:c r="G2078" t="str">
        <x:v>ELIGIBLE</x:v>
      </x:c>
      <x:c r="H2078"/>
      <x:c r="I2078" s="54" t="n">
        <x:v>45107</x:v>
      </x:c>
      <x:c r="J2078" s="55" t="n">
        <x:v>29800</x:v>
      </x:c>
      <x:c r="K2078" s="55" t="n">
        <x:v>7781131878400</x:v>
      </x:c>
      <x:c r="L2078" s="55" t="n">
        <x:v>261111808</x:v>
      </x:c>
      <x:c r="M2078" t="str">
        <x:v>20230323001449</x:v>
      </x:c>
      <x:c r="N2078" t="n">
        <x:v>45008.624999988424</x:v>
      </x:c>
      <x:c r="O2078" s="54" t="n">
        <x:v>44926</x:v>
      </x:c>
      <x:c r="P2078" t="str">
        <x:v>False</x:v>
      </x:c>
      <x:c r="Q2078" t="str">
        <x:v>044f2849ec1d04bd36d5ed48f040e70c583ee294c9e797bbe2e14dddb88b758c</x:v>
      </x:c>
      <x:c r="R2078" t="str">
        <x:v>59fdbb73f815bf3eefdbccd654c56048e5d9d74e941b63292c3ca1c415ceece8</x:v>
      </x:c>
      <x:c r="S2078" t="n">
        <x:v>6</x:v>
      </x:c>
      <x:c r="T2078" t="str">
        <x:v>2018-12-31|2019-12-31|2020-12-31|2021-12-31|2022-12-31</x:v>
      </x:c>
      <x:c r="U2078" s="57" t="n">
        <x:v>51726.25597941731</x:v>
      </x:c>
      <x:c r="V2078" s="57" t="n">
        <x:v>0.7357804019938693</x:v>
      </x:c>
      <x:c r="W2078" t="n">
        <x:v>12</x:v>
      </x:c>
      <x:c r="X2078" t="n">
        <x:v>1</x:v>
      </x:c>
      <x:c r="Y2078" s="38" t="n">
        <x:v>0.6409090909090909</x:v>
      </x:c>
      <x:c r="Z2078" s="38" t="n">
        <x:v>0.6742753945181887</x:v>
      </x:c>
      <x:c r="AA2078"/>
    </x:row>
    <x:row r="2079">
      <x:c r="A2079" s="54" t="n">
        <x:v>45107</x:v>
      </x:c>
      <x:c r="B2079" t="n">
        <x:v>45107.624999988424</x:v>
      </x:c>
      <x:c r="C2079" t="str">
        <x:v>018260</x:v>
      </x:c>
      <x:c r="D2079" t="str">
        <x:v>삼성에스디에스</x:v>
      </x:c>
      <x:c r="E2079" t="str">
        <x:v>KOSPI</x:v>
      </x:c>
      <x:c r="F2079" t="str">
        <x:v>LARGE</x:v>
      </x:c>
      <x:c r="G2079" t="str">
        <x:v>ELIGIBLE</x:v>
      </x:c>
      <x:c r="H2079"/>
      <x:c r="I2079" s="54" t="n">
        <x:v>45107</x:v>
      </x:c>
      <x:c r="J2079" s="55" t="n">
        <x:v>122900</x:v>
      </x:c>
      <x:c r="K2079" s="55" t="n">
        <x:v>9509731620000</x:v>
      </x:c>
      <x:c r="L2079" s="55" t="n">
        <x:v>77377800</x:v>
      </x:c>
      <x:c r="M2079" t="str">
        <x:v>20230307000606</x:v>
      </x:c>
      <x:c r="N2079" t="n">
        <x:v>44992.624999988424</x:v>
      </x:c>
      <x:c r="O2079" s="54" t="n">
        <x:v>44926</x:v>
      </x:c>
      <x:c r="P2079" t="str">
        <x:v>False</x:v>
      </x:c>
      <x:c r="Q2079" t="str">
        <x:v>64f48f5dc4db2a5a6c8ec62f6705c13326df4d2e701965db8b07c8fef246a2dc</x:v>
      </x:c>
      <x:c r="R2079" t="str">
        <x:v>f72238505a70cc0304f142443e7c469fd8f851e9f0178ce5f2b070e999040cd9</x:v>
      </x:c>
      <x:c r="S2079" t="n">
        <x:v>6</x:v>
      </x:c>
      <x:c r="T2079" t="str">
        <x:v>2018-12-31|2019-12-31|2020-12-31|2021-12-31|2022-12-31</x:v>
      </x:c>
      <x:c r="U2079" s="57" t="n">
        <x:v>203958.71563335948</x:v>
      </x:c>
      <x:c r="V2079" s="57" t="n">
        <x:v>0.659550167887384</x:v>
      </x:c>
      <x:c r="W2079" t="n">
        <x:v>13</x:v>
      </x:c>
      <x:c r="X2079" t="n">
        <x:v>1</x:v>
      </x:c>
      <x:c r="Y2079" s="38" t="n">
        <x:v>0.6409090909090909</x:v>
      </x:c>
      <x:c r="Z2079" s="38" t="n">
        <x:v>0.7570259880761849</x:v>
      </x:c>
      <x:c r="AA2079"/>
    </x:row>
    <x:row r="2080">
      <x:c r="A2080" s="54" t="n">
        <x:v>45107</x:v>
      </x:c>
      <x:c r="B2080" t="n">
        <x:v>45107.624999988424</x:v>
      </x:c>
      <x:c r="C2080" t="str">
        <x:v>090430</x:v>
      </x:c>
      <x:c r="D2080" t="str">
        <x:v>아모레퍼시픽</x:v>
      </x:c>
      <x:c r="E2080" t="str">
        <x:v>KOSPI</x:v>
      </x:c>
      <x:c r="F2080" t="str">
        <x:v>LARGE</x:v>
      </x:c>
      <x:c r="G2080" t="str">
        <x:v>ELIGIBLE</x:v>
      </x:c>
      <x:c r="H2080"/>
      <x:c r="I2080" s="54" t="n">
        <x:v>45107</x:v>
      </x:c>
      <x:c r="J2080" s="55" t="n">
        <x:v>97600</x:v>
      </x:c>
      <x:c r="K2080" s="55" t="n">
        <x:v>5708893278400</x:v>
      </x:c>
      <x:c r="L2080" s="55" t="n">
        <x:v>58492759</x:v>
      </x:c>
      <x:c r="M2080" t="str">
        <x:v>20230309000802</x:v>
      </x:c>
      <x:c r="N2080" t="n">
        <x:v>44994.624999988424</x:v>
      </x:c>
      <x:c r="O2080" s="54" t="n">
        <x:v>44926</x:v>
      </x:c>
      <x:c r="P2080" t="str">
        <x:v>False</x:v>
      </x:c>
      <x:c r="Q2080" t="str">
        <x:v>d6b5343ded45a0ed3298fbb883de270c52464aa84e6334b3918e7aeca0ab6d2c</x:v>
      </x:c>
      <x:c r="R2080" t="str">
        <x:v>e168759bcf1a4f13c49c3a66ce21aa55fdb69f49dd3eb886f3afa090ca1b0a33</x:v>
      </x:c>
      <x:c r="S2080" t="n">
        <x:v>6</x:v>
      </x:c>
      <x:c r="T2080" t="str">
        <x:v>2018-12-31|2019-12-31|2020-12-31|2021-12-31|2022-12-31</x:v>
      </x:c>
      <x:c r="U2080" s="57" t="n">
        <x:v>31271.886517952382</x:v>
      </x:c>
      <x:c r="V2080" s="57" t="n">
        <x:v>-0.679591326660324</x:v>
      </x:c>
      <x:c r="W2080" t="n">
        <x:v>52</x:v>
      </x:c>
      <x:c r="X2080" t="n">
        <x:v>4</x:v>
      </x:c>
      <x:c r="Y2080" s="38" t="n">
        <x:v>0.6409090909090909</x:v>
      </x:c>
      <x:c r="Z2080" s="38" t="n">
        <x:v>0.7230246318925964</x:v>
      </x:c>
      <x:c r="AA2080"/>
    </x:row>
    <x:row r="2081">
      <x:c r="A2081" s="54" t="n">
        <x:v>45107</x:v>
      </x:c>
      <x:c r="B2081" t="n">
        <x:v>45107.624999988424</x:v>
      </x:c>
      <x:c r="C2081" t="str">
        <x:v>278470</x:v>
      </x:c>
      <x:c r="D2081" t="str">
        <x:v>에이피알</x:v>
      </x:c>
      <x:c r="E2081" t="str">
        <x:v>KOSPI</x:v>
      </x:c>
      <x:c r="F2081" t="str">
        <x:v>LARGE</x:v>
      </x:c>
      <x:c r="G2081" t="str">
        <x:v>NOT_LISTED_OR_NO_PRICE</x:v>
      </x:c>
      <x:c r="H2081"/>
      <x:c r="I2081" s="54"/>
      <x:c r="J2081" s="55"/>
      <x:c r="K2081" s="55"/>
      <x:c r="L2081" s="55"/>
      <x:c r="M2081"/>
      <x:c r="N2081"/>
      <x:c r="O2081" s="54"/>
      <x:c r="P2081"/>
      <x:c r="Q2081"/>
      <x:c r="R2081"/>
      <x:c r="S2081"/>
      <x:c r="T2081"/>
      <x:c r="U2081" s="57"/>
      <x:c r="V2081" s="57"/>
      <x:c r="W2081"/>
      <x:c r="X2081"/>
      <x:c r="Y2081" s="38"/>
      <x:c r="Z2081" s="38"/>
      <x:c r="AA2081"/>
    </x:row>
    <x:row r="2082">
      <x:c r="A2082" s="54" t="n">
        <x:v>45107</x:v>
      </x:c>
      <x:c r="B2082" t="n">
        <x:v>45107.624999988424</x:v>
      </x:c>
      <x:c r="C2082" t="str">
        <x:v>006260</x:v>
      </x:c>
      <x:c r="D2082" t="str">
        <x:v>LS</x:v>
      </x:c>
      <x:c r="E2082" t="str">
        <x:v>KOSPI</x:v>
      </x:c>
      <x:c r="F2082" t="str">
        <x:v>LARGE</x:v>
      </x:c>
      <x:c r="G2082" t="str">
        <x:v>ELIGIBLE</x:v>
      </x:c>
      <x:c r="H2082"/>
      <x:c r="I2082" s="54" t="n">
        <x:v>45107</x:v>
      </x:c>
      <x:c r="J2082" s="55" t="n">
        <x:v>92900</x:v>
      </x:c>
      <x:c r="K2082" s="55" t="n">
        <x:v>2991380000000</x:v>
      </x:c>
      <x:c r="L2082" s="55" t="n">
        <x:v>32200000</x:v>
      </x:c>
      <x:c r="M2082" t="str">
        <x:v>20230328001040</x:v>
      </x:c>
      <x:c r="N2082" t="n">
        <x:v>45013.624999988424</x:v>
      </x:c>
      <x:c r="O2082" s="54" t="n">
        <x:v>44926</x:v>
      </x:c>
      <x:c r="P2082" t="str">
        <x:v>True</x:v>
      </x:c>
      <x:c r="Q2082" t="str">
        <x:v>2c4903a558903f24909349b79c110c56cce7532e60a36029b95b0778a9705d3d</x:v>
      </x:c>
      <x:c r="R2082" t="str">
        <x:v>a6c68d2073430c99706b76a0100fe777df594ac87daaf851aff9b27330b79c3e</x:v>
      </x:c>
      <x:c r="S2082" t="n">
        <x:v>6</x:v>
      </x:c>
      <x:c r="T2082" t="str">
        <x:v>2017-12-31|2018-12-31|2019-12-31|2020-12-31|2021-12-31|2022-12-31</x:v>
      </x:c>
      <x:c r="U2082" s="57" t="n">
        <x:v>49400.48191858793</x:v>
      </x:c>
      <x:c r="V2082" s="57" t="n">
        <x:v>-0.46824023769011913</x:v>
      </x:c>
      <x:c r="W2082" t="n">
        <x:v>43</x:v>
      </x:c>
      <x:c r="X2082" t="n">
        <x:v>4</x:v>
      </x:c>
      <x:c r="Y2082" s="38" t="n">
        <x:v>0.6409090909090909</x:v>
      </x:c>
      <x:c r="Z2082" s="38" t="n">
        <x:v>0.7624837205709267</x:v>
      </x:c>
      <x:c r="AA2082"/>
    </x:row>
    <x:row r="2083">
      <x:c r="A2083" s="54" t="n">
        <x:v>45107</x:v>
      </x:c>
      <x:c r="B2083" t="n">
        <x:v>45107.624999988424</x:v>
      </x:c>
      <x:c r="C2083" t="str">
        <x:v>454910</x:v>
      </x:c>
      <x:c r="D2083" t="str">
        <x:v>두산로보틱스</x:v>
      </x:c>
      <x:c r="E2083" t="str">
        <x:v>KOSPI</x:v>
      </x:c>
      <x:c r="F2083" t="str">
        <x:v>LARGE</x:v>
      </x:c>
      <x:c r="G2083" t="str">
        <x:v>NOT_LISTED_OR_NO_PRICE</x:v>
      </x:c>
      <x:c r="H2083"/>
      <x:c r="I2083" s="54"/>
      <x:c r="J2083" s="55"/>
      <x:c r="K2083" s="55"/>
      <x:c r="L2083" s="55"/>
      <x:c r="M2083"/>
      <x:c r="N2083"/>
      <x:c r="O2083" s="54"/>
      <x:c r="P2083"/>
      <x:c r="Q2083"/>
      <x:c r="R2083"/>
      <x:c r="S2083"/>
      <x:c r="T2083"/>
      <x:c r="U2083" s="57"/>
      <x:c r="V2083" s="57"/>
      <x:c r="W2083"/>
      <x:c r="X2083"/>
      <x:c r="Y2083" s="38"/>
      <x:c r="Z2083" s="38"/>
      <x:c r="AA2083"/>
    </x:row>
    <x:row r="2084">
      <x:c r="A2084" s="54" t="n">
        <x:v>45107</x:v>
      </x:c>
      <x:c r="B2084" t="n">
        <x:v>45107.624999988424</x:v>
      </x:c>
      <x:c r="C2084" t="str">
        <x:v>012750</x:v>
      </x:c>
      <x:c r="D2084" t="str">
        <x:v>에스원</x:v>
      </x:c>
      <x:c r="E2084" t="str">
        <x:v>KOSPI</x:v>
      </x:c>
      <x:c r="F2084" t="str">
        <x:v>LARGE</x:v>
      </x:c>
      <x:c r="G2084" t="str">
        <x:v>ELIGIBLE</x:v>
      </x:c>
      <x:c r="H2084"/>
      <x:c r="I2084" s="54" t="n">
        <x:v>45107</x:v>
      </x:c>
      <x:c r="J2084" s="55" t="n">
        <x:v>53300</x:v>
      </x:c>
      <x:c r="K2084" s="55" t="n">
        <x:v>2025356187400</x:v>
      </x:c>
      <x:c r="L2084" s="55" t="n">
        <x:v>37999178</x:v>
      </x:c>
      <x:c r="M2084" t="str">
        <x:v>20230307000691</x:v>
      </x:c>
      <x:c r="N2084" t="n">
        <x:v>44992.624999988424</x:v>
      </x:c>
      <x:c r="O2084" s="54" t="n">
        <x:v>44926</x:v>
      </x:c>
      <x:c r="P2084" t="str">
        <x:v>False</x:v>
      </x:c>
      <x:c r="Q2084" t="str">
        <x:v>692fe957e6126787948d2eba7f313adcccbc5912515ff301764369c6d68d027a</x:v>
      </x:c>
      <x:c r="R2084" t="str">
        <x:v>e45d058dc9691180d1bb7d7114ec52a51d42759bd68e49625f812715c828d7ff</x:v>
      </x:c>
      <x:c r="S2084" t="n">
        <x:v>6</x:v>
      </x:c>
      <x:c r="T2084" t="str">
        <x:v>2018-12-31|2019-12-31|2020-12-31|2021-12-31|2022-12-31</x:v>
      </x:c>
      <x:c r="U2084" s="57" t="n">
        <x:v>52495.34633590365</x:v>
      </x:c>
      <x:c r="V2084" s="57" t="n">
        <x:v>-0.01509669163407794</x:v>
      </x:c>
      <x:c r="W2084" t="n">
        <x:v>25</x:v>
      </x:c>
      <x:c r="X2084" t="n">
        <x:v>2</x:v>
      </x:c>
      <x:c r="Y2084" s="38" t="n">
        <x:v>0.6409090909090909</x:v>
      </x:c>
      <x:c r="Z2084" s="38" t="n">
        <x:v>0.7199494637119179</x:v>
      </x:c>
      <x:c r="AA2084"/>
    </x:row>
    <x:row r="2085">
      <x:c r="A2085" s="54" t="n">
        <x:v>45107</x:v>
      </x:c>
      <x:c r="B2085" t="n">
        <x:v>45107.624999988424</x:v>
      </x:c>
      <x:c r="C2085" t="str">
        <x:v>081660</x:v>
      </x:c>
      <x:c r="D2085" t="str">
        <x:v>미스토홀딩스</x:v>
      </x:c>
      <x:c r="E2085" t="str">
        <x:v>KOSPI</x:v>
      </x:c>
      <x:c r="F2085" t="str">
        <x:v>LARGE</x:v>
      </x:c>
      <x:c r="G2085" t="str">
        <x:v>EXCLUDED_ARCHETYPE</x:v>
      </x:c>
      <x:c r="H2085" t="str">
        <x:v>FCFF_NOT_COMPARABLE_FOR_FINANCE_OR_HOLDING_HINT</x:v>
      </x:c>
      <x:c r="I2085" s="54"/>
      <x:c r="J2085" s="55"/>
      <x:c r="K2085" s="55"/>
      <x:c r="L2085" s="55"/>
      <x:c r="M2085"/>
      <x:c r="N2085"/>
      <x:c r="O2085" s="54"/>
      <x:c r="P2085"/>
      <x:c r="Q2085"/>
      <x:c r="R2085"/>
      <x:c r="S2085"/>
      <x:c r="T2085"/>
      <x:c r="U2085" s="57"/>
      <x:c r="V2085" s="57"/>
      <x:c r="W2085"/>
      <x:c r="X2085"/>
      <x:c r="Y2085" s="38"/>
      <x:c r="Z2085" s="38"/>
      <x:c r="AA2085"/>
    </x:row>
    <x:row r="2086">
      <x:c r="A2086" s="54" t="n">
        <x:v>45107</x:v>
      </x:c>
      <x:c r="B2086" t="n">
        <x:v>45107.624999988424</x:v>
      </x:c>
      <x:c r="C2086" t="str">
        <x:v>282330</x:v>
      </x:c>
      <x:c r="D2086" t="str">
        <x:v>BGF리테일</x:v>
      </x:c>
      <x:c r="E2086" t="str">
        <x:v>KOSPI</x:v>
      </x:c>
      <x:c r="F2086" t="str">
        <x:v>LARGE</x:v>
      </x:c>
      <x:c r="G2086" t="str">
        <x:v>ELIGIBLE</x:v>
      </x:c>
      <x:c r="H2086"/>
      <x:c r="I2086" s="54" t="n">
        <x:v>45107</x:v>
      </x:c>
      <x:c r="J2086" s="55" t="n">
        <x:v>174900</x:v>
      </x:c>
      <x:c r="K2086" s="55" t="n">
        <x:v>3022955159400</x:v>
      </x:c>
      <x:c r="L2086" s="55" t="n">
        <x:v>17283906</x:v>
      </x:c>
      <x:c r="M2086" t="str">
        <x:v>20230320000886</x:v>
      </x:c>
      <x:c r="N2086" t="n">
        <x:v>45005.624999988424</x:v>
      </x:c>
      <x:c r="O2086" s="54" t="n">
        <x:v>44926</x:v>
      </x:c>
      <x:c r="P2086" t="str">
        <x:v>False</x:v>
      </x:c>
      <x:c r="Q2086" t="str">
        <x:v>92306acfdc30eed7e30ba47d2a8102d3b3e5a1df1837216303162f05ac868521</x:v>
      </x:c>
      <x:c r="R2086" t="str">
        <x:v>5d1419fc0c2ceb7a4ac8fbdc531e5d805f10edde74f547d123acd9092e75b90c</x:v>
      </x:c>
      <x:c r="S2086" t="n">
        <x:v>6</x:v>
      </x:c>
      <x:c r="T2086" t="str">
        <x:v>2018-12-31|2019-12-31|2020-12-31|2021-12-31|2022-12-31</x:v>
      </x:c>
      <x:c r="U2086" s="57" t="n">
        <x:v>123697.22461208185</x:v>
      </x:c>
      <x:c r="V2086" s="57" t="n">
        <x:v>-0.2927545762602525</x:v>
      </x:c>
      <x:c r="W2086" t="n">
        <x:v>30</x:v>
      </x:c>
      <x:c r="X2086" t="n">
        <x:v>3</x:v>
      </x:c>
      <x:c r="Y2086" s="38" t="n">
        <x:v>0.6409090909090909</x:v>
      </x:c>
      <x:c r="Z2086" s="38" t="n">
        <x:v>0.7049844647428032</x:v>
      </x:c>
      <x:c r="AA2086"/>
    </x:row>
    <x:row r="2087">
      <x:c r="A2087" s="54" t="n">
        <x:v>45107</x:v>
      </x:c>
      <x:c r="B2087" t="n">
        <x:v>45107.624999988424</x:v>
      </x:c>
      <x:c r="C2087" t="str">
        <x:v>023590</x:v>
      </x:c>
      <x:c r="D2087" t="str">
        <x:v>다우기술</x:v>
      </x:c>
      <x:c r="E2087" t="str">
        <x:v>KOSPI</x:v>
      </x:c>
      <x:c r="F2087" t="str">
        <x:v>LARGE</x:v>
      </x:c>
      <x:c r="G2087" t="str">
        <x:v>ELIGIBLE</x:v>
      </x:c>
      <x:c r="H2087"/>
      <x:c r="I2087" s="54" t="n">
        <x:v>45107</x:v>
      </x:c>
      <x:c r="J2087" s="55" t="n">
        <x:v>17550</x:v>
      </x:c>
      <x:c r="K2087" s="55" t="n">
        <x:v>787409128350</x:v>
      </x:c>
      <x:c r="L2087" s="55" t="n">
        <x:v>44866617</x:v>
      </x:c>
      <x:c r="M2087" t="str">
        <x:v>20230321001409</x:v>
      </x:c>
      <x:c r="N2087" t="n">
        <x:v>45006.624999988424</x:v>
      </x:c>
      <x:c r="O2087" s="54" t="n">
        <x:v>44926</x:v>
      </x:c>
      <x:c r="P2087" t="str">
        <x:v>False</x:v>
      </x:c>
      <x:c r="Q2087" t="str">
        <x:v>43f9011e13a6c1104f14f228418743de4a4f532e7fb65eb01013e548ec249b88</x:v>
      </x:c>
      <x:c r="R2087" t="str">
        <x:v>fd2c2d3ef3c201d1d36a6b87ac06dfad453770cb20a0e62775793f590facd783</x:v>
      </x:c>
      <x:c r="S2087" t="n">
        <x:v>7</x:v>
      </x:c>
      <x:c r="T2087" t="str">
        <x:v>2015-12-31|2016-12-31|2017-12-31|2018-12-31|2019-12-31|2020-12-31|2021-12-31|2022-12-31</x:v>
      </x:c>
      <x:c r="U2087" s="57" t="n">
        <x:v>159110.39953523592</x:v>
      </x:c>
      <x:c r="V2087" s="57" t="n">
        <x:v>8.066119631637374</x:v>
      </x:c>
      <x:c r="W2087" t="n">
        <x:v>1</x:v>
      </x:c>
      <x:c r="X2087" t="n">
        <x:v>1</x:v>
      </x:c>
      <x:c r="Y2087" s="38" t="n">
        <x:v>0.6409090909090909</x:v>
      </x:c>
      <x:c r="Z2087" s="38" t="n">
        <x:v>0.792819241127968</x:v>
      </x:c>
      <x:c r="AA2087"/>
    </x:row>
    <x:row r="2088">
      <x:c r="A2088" s="54" t="n">
        <x:v>45107</x:v>
      </x:c>
      <x:c r="B2088" t="n">
        <x:v>45107.624999988424</x:v>
      </x:c>
      <x:c r="C2088" t="str">
        <x:v>300720</x:v>
      </x:c>
      <x:c r="D2088" t="str">
        <x:v>한일시멘트</x:v>
      </x:c>
      <x:c r="E2088" t="str">
        <x:v>KOSPI</x:v>
      </x:c>
      <x:c r="F2088" t="str">
        <x:v>LARGE</x:v>
      </x:c>
      <x:c r="G2088" t="str">
        <x:v>ELIGIBLE</x:v>
      </x:c>
      <x:c r="H2088"/>
      <x:c r="I2088" s="54" t="n">
        <x:v>45107</x:v>
      </x:c>
      <x:c r="J2088" s="55" t="n">
        <x:v>12350</x:v>
      </x:c>
      <x:c r="K2088" s="55" t="n">
        <x:v>855380019000</x:v>
      </x:c>
      <x:c r="L2088" s="55" t="n">
        <x:v>69261540</x:v>
      </x:c>
      <x:c r="M2088" t="str">
        <x:v>20230317000994</x:v>
      </x:c>
      <x:c r="N2088" t="n">
        <x:v>45002.624999988424</x:v>
      </x:c>
      <x:c r="O2088" s="54" t="n">
        <x:v>44926</x:v>
      </x:c>
      <x:c r="P2088" t="str">
        <x:v>False</x:v>
      </x:c>
      <x:c r="Q2088" t="str">
        <x:v>6abc801668d3125de27188d6f1996b6de4fd33cf47871ff5d1e5999d43751c2b</x:v>
      </x:c>
      <x:c r="R2088" t="str">
        <x:v>d650e81aaea73c9bc1854d36faa62b92d9063f3dd9d2746db2e30d0ff1bf699d</x:v>
      </x:c>
      <x:c r="S2088" t="n">
        <x:v>6</x:v>
      </x:c>
      <x:c r="T2088" t="str">
        <x:v>2019-12-31|2020-12-31|2021-12-31|2022-12-31</x:v>
      </x:c>
      <x:c r="U2088" s="57" t="n">
        <x:v>17781.56488950039</x:v>
      </x:c>
      <x:c r="V2088" s="57" t="n">
        <x:v>0.4398028250607605</x:v>
      </x:c>
      <x:c r="W2088" t="n">
        <x:v>17</x:v>
      </x:c>
      <x:c r="X2088" t="n">
        <x:v>2</x:v>
      </x:c>
      <x:c r="Y2088" s="38" t="n">
        <x:v>0.6409090909090909</x:v>
      </x:c>
      <x:c r="Z2088" s="38" t="n">
        <x:v>0.7311050710300705</x:v>
      </x:c>
      <x:c r="AA2088"/>
    </x:row>
    <x:row r="2089">
      <x:c r="A2089" s="54" t="n">
        <x:v>45107</x:v>
      </x:c>
      <x:c r="B2089" t="n">
        <x:v>45107.624999988424</x:v>
      </x:c>
      <x:c r="C2089" t="str">
        <x:v>007070</x:v>
      </x:c>
      <x:c r="D2089" t="str">
        <x:v>GS리테일</x:v>
      </x:c>
      <x:c r="E2089" t="str">
        <x:v>KOSPI</x:v>
      </x:c>
      <x:c r="F2089" t="str">
        <x:v>LARGE</x:v>
      </x:c>
      <x:c r="G2089" t="str">
        <x:v>DCF_SCREENING_EXCLUSION</x:v>
      </x:c>
      <x:c r="H2089" t="str">
        <x:v>NON_POSITIVE_EQUITY_VALUE</x:v>
      </x:c>
      <x:c r="I2089" s="54" t="n">
        <x:v>45107</x:v>
      </x:c>
      <x:c r="J2089" s="55" t="n">
        <x:v>22900</x:v>
      </x:c>
      <x:c r="K2089" s="55" t="n">
        <x:v>2398040413800</x:v>
      </x:c>
      <x:c r="L2089" s="55" t="n">
        <x:v>104717922</x:v>
      </x:c>
      <x:c r="M2089" t="str">
        <x:v>20230315001215</x:v>
      </x:c>
      <x:c r="N2089" t="n">
        <x:v>45000.624999988424</x:v>
      </x:c>
      <x:c r="O2089" s="54" t="n">
        <x:v>44926</x:v>
      </x:c>
      <x:c r="P2089" t="str">
        <x:v>False</x:v>
      </x:c>
      <x:c r="Q2089" t="str">
        <x:v>2d7330d69501024633830936227f955a3c3dffcecc607f130145b446e60fe28b</x:v>
      </x:c>
      <x:c r="R2089" t="str">
        <x:v>0ea87851572f603449d33f189fa59967316ad8c41d2b2703c3aa0c2a1942827b</x:v>
      </x:c>
      <x:c r="S2089" t="n">
        <x:v>6</x:v>
      </x:c>
      <x:c r="T2089" t="str">
        <x:v>2018-12-31|2019-12-31|2020-12-31|2021-12-31|2022-12-31</x:v>
      </x:c>
      <x:c r="U2089" s="57" t="n">
        <x:v>-2540.8003151724643</x:v>
      </x:c>
      <x:c r="V2089" s="57" t="n">
        <x:v>-1.1109519788284918</x:v>
      </x:c>
      <x:c r="W2089"/>
      <x:c r="X2089"/>
      <x:c r="Y2089" s="38" t="n">
        <x:v>0.6409090909090909</x:v>
      </x:c>
      <x:c r="Z2089" s="38" t="n">
        <x:v>0.7067535791273925</x:v>
      </x:c>
      <x:c r="AA2089" t="str">
        <x:v>NON_POSITIVE_EQUITY_VALUE</x:v>
      </x:c>
    </x:row>
    <x:row r="2090">
      <x:c r="A2090" s="54" t="n">
        <x:v>45107</x:v>
      </x:c>
      <x:c r="B2090" t="n">
        <x:v>45107.624999988424</x:v>
      </x:c>
      <x:c r="C2090" t="str">
        <x:v>280360</x:v>
      </x:c>
      <x:c r="D2090" t="str">
        <x:v>롯데웰푸드</x:v>
      </x:c>
      <x:c r="E2090" t="str">
        <x:v>KOSPI</x:v>
      </x:c>
      <x:c r="F2090" t="str">
        <x:v>LARGE</x:v>
      </x:c>
      <x:c r="G2090" t="str">
        <x:v>DCF_SCREENING_EXCLUSION</x:v>
      </x:c>
      <x:c r="H2090" t="str">
        <x:v>UNRELIABLE_TERMINAL_VALUE_SHARE</x:v>
      </x:c>
      <x:c r="I2090" s="54" t="n">
        <x:v>45107</x:v>
      </x:c>
      <x:c r="J2090" s="55" t="n">
        <x:v>101400</x:v>
      </x:c>
      <x:c r="K2090" s="55" t="n">
        <x:v>956665803600</x:v>
      </x:c>
      <x:c r="L2090" s="55" t="n">
        <x:v>9434574</x:v>
      </x:c>
      <x:c r="M2090" t="str">
        <x:v>20230315000646</x:v>
      </x:c>
      <x:c r="N2090" t="n">
        <x:v>45000.624999988424</x:v>
      </x:c>
      <x:c r="O2090" s="54" t="n">
        <x:v>44926</x:v>
      </x:c>
      <x:c r="P2090" t="str">
        <x:v>False</x:v>
      </x:c>
      <x:c r="Q2090" t="str">
        <x:v>10f30e62b31742bca727517f591556aaa9ec4be0a56450b7db79201b0ee4446a</x:v>
      </x:c>
      <x:c r="R2090" t="str">
        <x:v>879f7d72c889790a08f4bf20b1e1957bf79fb9c95911863ba6e8e9b8081eb7ee</x:v>
      </x:c>
      <x:c r="S2090" t="n">
        <x:v>4</x:v>
      </x:c>
      <x:c r="T2090" t="str">
        <x:v>2018-12-31|2019-12-31|2020-12-31|2021-12-31|2022-12-31</x:v>
      </x:c>
      <x:c r="U2090" s="57" t="n">
        <x:v>138556.21929962153</x:v>
      </x:c>
      <x:c r="V2090" s="57" t="n">
        <x:v>0.3664321429942953</x:v>
      </x:c>
      <x:c r="W2090"/>
      <x:c r="X2090"/>
      <x:c r="Y2090" s="38" t="n">
        <x:v>0.6409090909090909</x:v>
      </x:c>
      <x:c r="Z2090" s="38" t="n">
        <x:v>0.894990688431959</x:v>
      </x:c>
      <x:c r="AA2090" t="str">
        <x:v>UNRELIABLE_TERMINAL_VALUE_SHARE</x:v>
      </x:c>
    </x:row>
    <x:row r="2091">
      <x:c r="A2091" s="54" t="n">
        <x:v>45107</x:v>
      </x:c>
      <x:c r="B2091" t="n">
        <x:v>45107.624999988424</x:v>
      </x:c>
      <x:c r="C2091" t="str">
        <x:v>039130</x:v>
      </x:c>
      <x:c r="D2091" t="str">
        <x:v>하나투어</x:v>
      </x:c>
      <x:c r="E2091" t="str">
        <x:v>KOSPI</x:v>
      </x:c>
      <x:c r="F2091" t="str">
        <x:v>LARGE</x:v>
      </x:c>
      <x:c r="G2091" t="str">
        <x:v>DCF_SCREENING_EXCLUSION</x:v>
      </x:c>
      <x:c r="H2091" t="str">
        <x:v>NON_POSITIVE_ENTERPRISE_VALUE|NON_POSITIVE_EQUITY_VALUE|NON_POSITIVE_TERMINAL_FCF</x:v>
      </x:c>
      <x:c r="I2091" s="54" t="n">
        <x:v>45107</x:v>
      </x:c>
      <x:c r="J2091" s="55" t="n">
        <x:v>51000</x:v>
      </x:c>
      <x:c r="K2091" s="55" t="n">
        <x:v>817998435000</x:v>
      </x:c>
      <x:c r="L2091" s="55" t="n">
        <x:v>16039185</x:v>
      </x:c>
      <x:c r="M2091" t="str">
        <x:v>20230316001406</x:v>
      </x:c>
      <x:c r="N2091" t="n">
        <x:v>45001.624999988424</x:v>
      </x:c>
      <x:c r="O2091" s="54" t="n">
        <x:v>44926</x:v>
      </x:c>
      <x:c r="P2091" t="str">
        <x:v>True</x:v>
      </x:c>
      <x:c r="Q2091" t="str">
        <x:v>ee4faff7dacd9f73b520be6bf2ecd02b4a4ed5e29c63b6887801b9262a840d42</x:v>
      </x:c>
      <x:c r="R2091" t="str">
        <x:v>412374455c2cd4cf469871c2a375efe394741ea84a2c4406db919e8326fdca61</x:v>
      </x:c>
      <x:c r="S2091" t="n">
        <x:v>5</x:v>
      </x:c>
      <x:c r="T2091" t="str">
        <x:v>2018-12-31|2019-12-31|2020-12-31|2021-12-31|2022-12-31</x:v>
      </x:c>
      <x:c r="U2091" s="57" t="n">
        <x:v>-14375.31685533445</x:v>
      </x:c>
      <x:c r="V2091" s="57" t="n">
        <x:v>-1.2818689579477343</x:v>
      </x:c>
      <x:c r="W2091"/>
      <x:c r="X2091"/>
      <x:c r="Y2091" s="38" t="n">
        <x:v>0.6409090909090909</x:v>
      </x:c>
      <x:c r="Z2091" s="38" t="n">
        <x:v>0.6865240790654953</x:v>
      </x:c>
      <x:c r="AA2091" t="str">
        <x:v>NON_POSITIVE_ENTERPRISE_VALUE|NON_POSITIVE_EQUITY_VALUE|NON_POSITIVE_TERMINAL_FCF</x:v>
      </x:c>
    </x:row>
    <x:row r="2092">
      <x:c r="A2092" s="54" t="n">
        <x:v>45107</x:v>
      </x:c>
      <x:c r="B2092" t="n">
        <x:v>45107.624999988424</x:v>
      </x:c>
      <x:c r="C2092" t="str">
        <x:v>005690</x:v>
      </x:c>
      <x:c r="D2092" t="str">
        <x:v>파미셀</x:v>
      </x:c>
      <x:c r="E2092" t="str">
        <x:v>KOSPI</x:v>
      </x:c>
      <x:c r="F2092" t="str">
        <x:v>LARGE</x:v>
      </x:c>
      <x:c r="G2092" t="str">
        <x:v>ELIGIBLE</x:v>
      </x:c>
      <x:c r="H2092"/>
      <x:c r="I2092" s="54" t="n">
        <x:v>45107</x:v>
      </x:c>
      <x:c r="J2092" s="55" t="n">
        <x:v>7450</x:v>
      </x:c>
      <x:c r="K2092" s="55" t="n">
        <x:v>447126381800</x:v>
      </x:c>
      <x:c r="L2092" s="55" t="n">
        <x:v>60016964</x:v>
      </x:c>
      <x:c r="M2092" t="str">
        <x:v>20230314000892</x:v>
      </x:c>
      <x:c r="N2092" t="n">
        <x:v>44999.624999988424</x:v>
      </x:c>
      <x:c r="O2092" s="54" t="n">
        <x:v>44926</x:v>
      </x:c>
      <x:c r="P2092" t="str">
        <x:v>False</x:v>
      </x:c>
      <x:c r="Q2092" t="str">
        <x:v>98492915788ab7195a6c88bcda45ea3f1fdbc07964a29cdabf73f0d90b082955</x:v>
      </x:c>
      <x:c r="R2092" t="str">
        <x:v>184cd24b6e7c5654a2fd5bb26690df637710c3f69810be0a044cc23da1ece73f</x:v>
      </x:c>
      <x:c r="S2092" t="n">
        <x:v>6</x:v>
      </x:c>
      <x:c r="T2092" t="str">
        <x:v>2018-12-31|2019-12-31|2020-12-31|2021-12-31|2022-12-31</x:v>
      </x:c>
      <x:c r="U2092" s="57" t="n">
        <x:v>1298.8740338899447</x:v>
      </x:c>
      <x:c r="V2092" s="57" t="n">
        <x:v>-0.8256544920953094</x:v>
      </x:c>
      <x:c r="W2092" t="n">
        <x:v>64</x:v>
      </x:c>
      <x:c r="X2092" t="n">
        <x:v>5</x:v>
      </x:c>
      <x:c r="Y2092" s="38" t="n">
        <x:v>0.6409090909090909</x:v>
      </x:c>
      <x:c r="Z2092" s="38" t="n">
        <x:v>0.7713774959621981</x:v>
      </x:c>
      <x:c r="AA2092"/>
    </x:row>
    <x:row r="2093">
      <x:c r="A2093" s="54" t="n">
        <x:v>45107</x:v>
      </x:c>
      <x:c r="B2093" t="n">
        <x:v>45107.624999988424</x:v>
      </x:c>
      <x:c r="C2093" t="str">
        <x:v>002030</x:v>
      </x:c>
      <x:c r="D2093" t="str">
        <x:v>아세아</x:v>
      </x:c>
      <x:c r="E2093" t="str">
        <x:v>KOSPI</x:v>
      </x:c>
      <x:c r="F2093" t="str">
        <x:v>LARGE</x:v>
      </x:c>
      <x:c r="G2093" t="str">
        <x:v>ELIGIBLE</x:v>
      </x:c>
      <x:c r="H2093"/>
      <x:c r="I2093" s="54" t="n">
        <x:v>45107</x:v>
      </x:c>
      <x:c r="J2093" s="55" t="n">
        <x:v>137200</x:v>
      </x:c>
      <x:c r="K2093" s="55" t="n">
        <x:v>296974064800</x:v>
      </x:c>
      <x:c r="L2093" s="55" t="n">
        <x:v>2164534</x:v>
      </x:c>
      <x:c r="M2093" t="str">
        <x:v>20230315001365</x:v>
      </x:c>
      <x:c r="N2093" t="n">
        <x:v>45000.624999988424</x:v>
      </x:c>
      <x:c r="O2093" s="54" t="n">
        <x:v>44926</x:v>
      </x:c>
      <x:c r="P2093" t="str">
        <x:v>False</x:v>
      </x:c>
      <x:c r="Q2093" t="str">
        <x:v>e0890f2d2e6dfb7c22d319ae58a87dc100e309f6526cc4192f20ff9113fa3363</x:v>
      </x:c>
      <x:c r="R2093" t="str">
        <x:v>119fac793ff8d6dff4b5d7360cdc3c80191e9fb62fec01ffc60009ea7d05d450</x:v>
      </x:c>
      <x:c r="S2093" t="n">
        <x:v>6</x:v>
      </x:c>
      <x:c r="T2093" t="str">
        <x:v>2018-12-31|2019-12-31|2020-12-31|2021-12-31|2022-12-31</x:v>
      </x:c>
      <x:c r="U2093" s="57" t="n">
        <x:v>861352.7850558258</x:v>
      </x:c>
      <x:c r="V2093" s="57" t="n">
        <x:v>5.278081523730509</x:v>
      </x:c>
      <x:c r="W2093" t="n">
        <x:v>4</x:v>
      </x:c>
      <x:c r="X2093" t="n">
        <x:v>1</x:v>
      </x:c>
      <x:c r="Y2093" s="38" t="n">
        <x:v>0.6409090909090909</x:v>
      </x:c>
      <x:c r="Z2093" s="38" t="n">
        <x:v>0.7121292748012337</x:v>
      </x:c>
      <x:c r="AA2093"/>
    </x:row>
    <x:row r="2094">
      <x:c r="A2094" s="54" t="n">
        <x:v>45107</x:v>
      </x:c>
      <x:c r="B2094" t="n">
        <x:v>45107.624999988424</x:v>
      </x:c>
      <x:c r="C2094" t="str">
        <x:v>009410</x:v>
      </x:c>
      <x:c r="D2094" t="str">
        <x:v>태영건설</x:v>
      </x:c>
      <x:c r="E2094" t="str">
        <x:v>KOSPI</x:v>
      </x:c>
      <x:c r="F2094" t="str">
        <x:v>LARGE</x:v>
      </x:c>
      <x:c r="G2094" t="str">
        <x:v>ELIGIBLE</x:v>
      </x:c>
      <x:c r="H2094"/>
      <x:c r="I2094" s="54" t="n">
        <x:v>45107</x:v>
      </x:c>
      <x:c r="J2094" s="55" t="n">
        <x:v>4030</x:v>
      </x:c>
      <x:c r="K2094" s="55" t="n">
        <x:v>156763364940</x:v>
      </x:c>
      <x:c r="L2094" s="55" t="n">
        <x:v>38899098</x:v>
      </x:c>
      <x:c r="M2094" t="str">
        <x:v>20230317000233</x:v>
      </x:c>
      <x:c r="N2094" t="n">
        <x:v>45002.624999988424</x:v>
      </x:c>
      <x:c r="O2094" s="54" t="n">
        <x:v>44926</x:v>
      </x:c>
      <x:c r="P2094" t="str">
        <x:v>True</x:v>
      </x:c>
      <x:c r="Q2094" t="str">
        <x:v>103b596db89b21c273649a92bfc0bb7a51688640f038c4797332fb64665a2707</x:v>
      </x:c>
      <x:c r="R2094" t="str">
        <x:v>101aa4769133f6baf604eeb702cd027fc6b437e7459d39cb1d8f0d6a0888bba3</x:v>
      </x:c>
      <x:c r="S2094" t="n">
        <x:v>6</x:v>
      </x:c>
      <x:c r="T2094" t="str">
        <x:v>2018-12-31|2019-12-31|2020-12-31|2021-12-31|2022-12-31</x:v>
      </x:c>
      <x:c r="U2094" s="57" t="n">
        <x:v>31140.589691674773</x:v>
      </x:c>
      <x:c r="V2094" s="57" t="n">
        <x:v>6.7271934718795965</x:v>
      </x:c>
      <x:c r="W2094" t="n">
        <x:v>3</x:v>
      </x:c>
      <x:c r="X2094" t="n">
        <x:v>1</x:v>
      </x:c>
      <x:c r="Y2094" s="38" t="n">
        <x:v>0.6409090909090909</x:v>
      </x:c>
      <x:c r="Z2094" s="38" t="n">
        <x:v>0.7740306072639747</x:v>
      </x:c>
      <x:c r="AA2094"/>
    </x:row>
    <x:row r="2095">
      <x:c r="A2095" s="54" t="n">
        <x:v>45107</x:v>
      </x:c>
      <x:c r="B2095" t="n">
        <x:v>45107.624999988424</x:v>
      </x:c>
      <x:c r="C2095" t="str">
        <x:v>010780</x:v>
      </x:c>
      <x:c r="D2095" t="str">
        <x:v>아이에스동서</x:v>
      </x:c>
      <x:c r="E2095" t="str">
        <x:v>KOSPI</x:v>
      </x:c>
      <x:c r="F2095" t="str">
        <x:v>LARGE</x:v>
      </x:c>
      <x:c r="G2095" t="str">
        <x:v>ELIGIBLE</x:v>
      </x:c>
      <x:c r="H2095"/>
      <x:c r="I2095" s="54" t="n">
        <x:v>45107</x:v>
      </x:c>
      <x:c r="J2095" s="55" t="n">
        <x:v>33400</x:v>
      </x:c>
      <x:c r="K2095" s="55" t="n">
        <x:v>1031813040400</x:v>
      </x:c>
      <x:c r="L2095" s="55" t="n">
        <x:v>30892606</x:v>
      </x:c>
      <x:c r="M2095" t="str">
        <x:v>20230323001296</x:v>
      </x:c>
      <x:c r="N2095" t="n">
        <x:v>45008.624999988424</x:v>
      </x:c>
      <x:c r="O2095" s="54" t="n">
        <x:v>44926</x:v>
      </x:c>
      <x:c r="P2095" t="str">
        <x:v>False</x:v>
      </x:c>
      <x:c r="Q2095" t="str">
        <x:v>7d114b7511c1b3638091e578e145b06fadfb0fdf027a432a55155199fe3f629a</x:v>
      </x:c>
      <x:c r="R2095" t="str">
        <x:v>b5f936b28ba5d7800af28fa97aba41ecf08e13c3dae468cb39e72c8796dbfb36</x:v>
      </x:c>
      <x:c r="S2095" t="n">
        <x:v>6</x:v>
      </x:c>
      <x:c r="T2095" t="str">
        <x:v>2018-12-31|2019-12-31|2020-12-31|2021-12-31|2022-12-31</x:v>
      </x:c>
      <x:c r="U2095" s="57" t="n">
        <x:v>125413.3451544752</x:v>
      </x:c>
      <x:c r="V2095" s="57" t="n">
        <x:v>2.7548905734872817</x:v>
      </x:c>
      <x:c r="W2095" t="n">
        <x:v>7</x:v>
      </x:c>
      <x:c r="X2095" t="n">
        <x:v>1</x:v>
      </x:c>
      <x:c r="Y2095" s="38" t="n">
        <x:v>0.6409090909090909</x:v>
      </x:c>
      <x:c r="Z2095" s="38" t="n">
        <x:v>0.76949860650151</x:v>
      </x:c>
      <x:c r="AA2095"/>
    </x:row>
    <x:row r="2096">
      <x:c r="A2096" s="54" t="n">
        <x:v>45107</x:v>
      </x:c>
      <x:c r="B2096" t="n">
        <x:v>45107.624999988424</x:v>
      </x:c>
      <x:c r="C2096" t="str">
        <x:v>453340</x:v>
      </x:c>
      <x:c r="D2096" t="str">
        <x:v>현대그린푸드</x:v>
      </x:c>
      <x:c r="E2096" t="str">
        <x:v>KOSPI</x:v>
      </x:c>
      <x:c r="F2096" t="str">
        <x:v>LARGE</x:v>
      </x:c>
      <x:c r="G2096" t="str">
        <x:v>NO_PIT_FINANCIALS</x:v>
      </x:c>
      <x:c r="H2096"/>
      <x:c r="I2096" s="54" t="n">
        <x:v>45107</x:v>
      </x:c>
      <x:c r="J2096" s="55" t="n">
        <x:v>12760</x:v>
      </x:c>
      <x:c r="K2096" s="55" t="n">
        <x:v>432320462640</x:v>
      </x:c>
      <x:c r="L2096" s="55" t="n">
        <x:v>33880914</x:v>
      </x:c>
      <x:c r="M2096"/>
      <x:c r="N2096"/>
      <x:c r="O2096" s="54"/>
      <x:c r="P2096"/>
      <x:c r="Q2096"/>
      <x:c r="R2096"/>
      <x:c r="S2096"/>
      <x:c r="T2096"/>
      <x:c r="U2096" s="57"/>
      <x:c r="V2096" s="57"/>
      <x:c r="W2096"/>
      <x:c r="X2096"/>
      <x:c r="Y2096" s="38"/>
      <x:c r="Z2096" s="38"/>
      <x:c r="AA2096"/>
    </x:row>
    <x:row r="2097">
      <x:c r="A2097" s="54" t="n">
        <x:v>45107</x:v>
      </x:c>
      <x:c r="B2097" t="n">
        <x:v>45107.624999988424</x:v>
      </x:c>
      <x:c r="C2097" t="str">
        <x:v>006220</x:v>
      </x:c>
      <x:c r="D2097" t="str">
        <x:v>제주은행</x:v>
      </x:c>
      <x:c r="E2097" t="str">
        <x:v>KOSPI</x:v>
      </x:c>
      <x:c r="F2097" t="str">
        <x:v>LARGE</x:v>
      </x:c>
      <x:c r="G2097" t="str">
        <x:v>EXCLUDED_ARCHETYPE</x:v>
      </x:c>
      <x:c r="H2097" t="str">
        <x:v>FCFF_NOT_COMPARABLE_FOR_FINANCE_OR_HOLDING_HINT</x:v>
      </x:c>
      <x:c r="I2097" s="54"/>
      <x:c r="J2097" s="55"/>
      <x:c r="K2097" s="55"/>
      <x:c r="L2097" s="55"/>
      <x:c r="M2097"/>
      <x:c r="N2097"/>
      <x:c r="O2097" s="54"/>
      <x:c r="P2097"/>
      <x:c r="Q2097"/>
      <x:c r="R2097"/>
      <x:c r="S2097"/>
      <x:c r="T2097"/>
      <x:c r="U2097" s="57"/>
      <x:c r="V2097" s="57"/>
      <x:c r="W2097"/>
      <x:c r="X2097"/>
      <x:c r="Y2097" s="38"/>
      <x:c r="Z2097" s="38"/>
      <x:c r="AA2097"/>
    </x:row>
    <x:row r="2098">
      <x:c r="A2098" s="54" t="n">
        <x:v>45107</x:v>
      </x:c>
      <x:c r="B2098" t="n">
        <x:v>45107.624999988424</x:v>
      </x:c>
      <x:c r="C2098" t="str">
        <x:v>094800</x:v>
      </x:c>
      <x:c r="D2098" t="str">
        <x:v>맵스리얼티1</x:v>
      </x:c>
      <x:c r="E2098" t="str">
        <x:v>KOSPI</x:v>
      </x:c>
      <x:c r="F2098" t="str">
        <x:v>LARGE</x:v>
      </x:c>
      <x:c r="G2098" t="str">
        <x:v>NO_PIT_FINANCIALS</x:v>
      </x:c>
      <x:c r="H2098"/>
      <x:c r="I2098" s="54" t="n">
        <x:v>45107</x:v>
      </x:c>
      <x:c r="J2098" s="55" t="n">
        <x:v>4185</x:v>
      </x:c>
      <x:c r="K2098" s="55" t="n">
        <x:v>388511675235</x:v>
      </x:c>
      <x:c r="L2098" s="55" t="n">
        <x:v>92834331</x:v>
      </x:c>
      <x:c r="M2098"/>
      <x:c r="N2098"/>
      <x:c r="O2098" s="54"/>
      <x:c r="P2098"/>
      <x:c r="Q2098"/>
      <x:c r="R2098"/>
      <x:c r="S2098"/>
      <x:c r="T2098"/>
      <x:c r="U2098" s="57"/>
      <x:c r="V2098" s="57"/>
      <x:c r="W2098"/>
      <x:c r="X2098"/>
      <x:c r="Y2098" s="38"/>
      <x:c r="Z2098" s="38"/>
      <x:c r="AA2098"/>
    </x:row>
    <x:row r="2099">
      <x:c r="A2099" s="54" t="n">
        <x:v>45107</x:v>
      </x:c>
      <x:c r="B2099" t="n">
        <x:v>45107.624999988424</x:v>
      </x:c>
      <x:c r="C2099" t="str">
        <x:v>003160</x:v>
      </x:c>
      <x:c r="D2099" t="str">
        <x:v>디아이</x:v>
      </x:c>
      <x:c r="E2099" t="str">
        <x:v>KOSPI</x:v>
      </x:c>
      <x:c r="F2099" t="str">
        <x:v>LARGE</x:v>
      </x:c>
      <x:c r="G2099" t="str">
        <x:v>DCF_SCREENING_EXCLUSION</x:v>
      </x:c>
      <x:c r="H2099" t="str">
        <x:v>UNRELIABLE_TERMINAL_VALUE_SHARE</x:v>
      </x:c>
      <x:c r="I2099" s="54" t="n">
        <x:v>45107</x:v>
      </x:c>
      <x:c r="J2099" s="55" t="n">
        <x:v>7570</x:v>
      </x:c>
      <x:c r="K2099" s="55" t="n">
        <x:v>214231000000</x:v>
      </x:c>
      <x:c r="L2099" s="55" t="n">
        <x:v>28300000</x:v>
      </x:c>
      <x:c r="M2099" t="str">
        <x:v>20230316001051</x:v>
      </x:c>
      <x:c r="N2099" t="n">
        <x:v>45001.624999988424</x:v>
      </x:c>
      <x:c r="O2099" s="54" t="n">
        <x:v>44926</x:v>
      </x:c>
      <x:c r="P2099" t="str">
        <x:v>False</x:v>
      </x:c>
      <x:c r="Q2099" t="str">
        <x:v>c3314c782bd213bf0f690a4a153322df04993fdf6ba5a7e070a25e69e89fa233</x:v>
      </x:c>
      <x:c r="R2099" t="str">
        <x:v>56ec92b454b2728efa9deb96b014030a62a4ff515bac9deeec6482afbb35e210</x:v>
      </x:c>
      <x:c r="S2099" t="n">
        <x:v>6</x:v>
      </x:c>
      <x:c r="T2099" t="str">
        <x:v>2013-12-31|2014-12-31|2015-12-31|2016-12-31|2017-12-31|2018-12-31|2019-12-31|2020-12-31|2021-12-31|2022-12-31</x:v>
      </x:c>
      <x:c r="U2099" s="57" t="n">
        <x:v>2116.9630922186993</x:v>
      </x:c>
      <x:c r="V2099" s="57" t="n">
        <x:v>-0.7203483365629195</x:v>
      </x:c>
      <x:c r="W2099"/>
      <x:c r="X2099"/>
      <x:c r="Y2099" s="38" t="n">
        <x:v>0.6409090909090909</x:v>
      </x:c>
      <x:c r="Z2099" s="38" t="n">
        <x:v>0.9176728578066332</x:v>
      </x:c>
      <x:c r="AA2099" t="str">
        <x:v>UNRELIABLE_TERMINAL_VALUE_SHARE</x:v>
      </x:c>
    </x:row>
    <x:row r="2100">
      <x:c r="A2100" s="54" t="n">
        <x:v>45107</x:v>
      </x:c>
      <x:c r="B2100" t="n">
        <x:v>45107.624999988424</x:v>
      </x:c>
      <x:c r="C2100" t="str">
        <x:v>001940</x:v>
      </x:c>
      <x:c r="D2100" t="str">
        <x:v>KISCO홀딩스</x:v>
      </x:c>
      <x:c r="E2100" t="str">
        <x:v>KOSPI</x:v>
      </x:c>
      <x:c r="F2100" t="str">
        <x:v>LARGE</x:v>
      </x:c>
      <x:c r="G2100" t="str">
        <x:v>EXCLUDED_ARCHETYPE</x:v>
      </x:c>
      <x:c r="H2100" t="str">
        <x:v>FCFF_NOT_COMPARABLE_FOR_FINANCE_OR_HOLDING_HINT</x:v>
      </x:c>
      <x:c r="I2100" s="54"/>
      <x:c r="J2100" s="55"/>
      <x:c r="K2100" s="55"/>
      <x:c r="L2100" s="55"/>
      <x:c r="M2100"/>
      <x:c r="N2100"/>
      <x:c r="O2100" s="54"/>
      <x:c r="P2100"/>
      <x:c r="Q2100"/>
      <x:c r="R2100"/>
      <x:c r="S2100"/>
      <x:c r="T2100"/>
      <x:c r="U2100" s="57"/>
      <x:c r="V2100" s="57"/>
      <x:c r="W2100"/>
      <x:c r="X2100"/>
      <x:c r="Y2100" s="38"/>
      <x:c r="Z2100" s="38"/>
      <x:c r="AA2100"/>
    </x:row>
    <x:row r="2101">
      <x:c r="A2101" s="54" t="n">
        <x:v>45107</x:v>
      </x:c>
      <x:c r="B2101" t="n">
        <x:v>45107.624999988424</x:v>
      </x:c>
      <x:c r="C2101" t="str">
        <x:v>009290</x:v>
      </x:c>
      <x:c r="D2101" t="str">
        <x:v>광동제약</x:v>
      </x:c>
      <x:c r="E2101" t="str">
        <x:v>KOSPI</x:v>
      </x:c>
      <x:c r="F2101" t="str">
        <x:v>LARGE</x:v>
      </x:c>
      <x:c r="G2101" t="str">
        <x:v>ELIGIBLE</x:v>
      </x:c>
      <x:c r="H2101"/>
      <x:c r="I2101" s="54" t="n">
        <x:v>45107</x:v>
      </x:c>
      <x:c r="J2101" s="55" t="n">
        <x:v>6620</x:v>
      </x:c>
      <x:c r="K2101" s="55" t="n">
        <x:v>347026033620</x:v>
      </x:c>
      <x:c r="L2101" s="55" t="n">
        <x:v>52420851</x:v>
      </x:c>
      <x:c r="M2101" t="str">
        <x:v>20230321001353</x:v>
      </x:c>
      <x:c r="N2101" t="n">
        <x:v>45006.624999988424</x:v>
      </x:c>
      <x:c r="O2101" s="54" t="n">
        <x:v>44926</x:v>
      </x:c>
      <x:c r="P2101" t="str">
        <x:v>True</x:v>
      </x:c>
      <x:c r="Q2101" t="str">
        <x:v>5e14db92215cd2259f3a8da0057c2250df7271ff3eb90199fc22396cb3aef981</x:v>
      </x:c>
      <x:c r="R2101" t="str">
        <x:v>120369bfc0391fc9f998718d7c824a6f35ff609faa8c3fa784c72180748501b8</x:v>
      </x:c>
      <x:c r="S2101" t="n">
        <x:v>6</x:v>
      </x:c>
      <x:c r="T2101" t="str">
        <x:v>2018-12-31|2019-12-31|2020-12-31|2021-12-31|2022-12-31</x:v>
      </x:c>
      <x:c r="U2101" s="57" t="n">
        <x:v>6588.062294286922</x:v>
      </x:c>
      <x:c r="V2101" s="57" t="n">
        <x:v>-0.004824426844875766</x:v>
      </x:c>
      <x:c r="W2101" t="n">
        <x:v>24</x:v>
      </x:c>
      <x:c r="X2101" t="n">
        <x:v>2</x:v>
      </x:c>
      <x:c r="Y2101" s="38" t="n">
        <x:v>0.6409090909090909</x:v>
      </x:c>
      <x:c r="Z2101" s="38" t="n">
        <x:v>0.7695546290256253</x:v>
      </x:c>
      <x:c r="AA2101"/>
    </x:row>
    <x:row r="2102">
      <x:c r="A2102" s="54" t="n">
        <x:v>45199</x:v>
      </x:c>
      <x:c r="B2102" t="n">
        <x:v>45199.624999988424</x:v>
      </x:c>
      <x:c r="C2102" t="str">
        <x:v>168330</x:v>
      </x:c>
      <x:c r="D2102" t="str">
        <x:v>내츄럴엔도텍</x:v>
      </x:c>
      <x:c r="E2102" t="str">
        <x:v>KOSDAQ</x:v>
      </x:c>
      <x:c r="F2102" t="str">
        <x:v>SMALL</x:v>
      </x:c>
      <x:c r="G2102" t="str">
        <x:v>DCF_SCREENING_EXCLUSION</x:v>
      </x:c>
      <x:c r="H2102" t="str">
        <x:v>NON_POSITIVE_ENTERPRISE_VALUE|NON_POSITIVE_EQUITY_VALUE|NON_POSITIVE_TERMINAL_FCF</x:v>
      </x:c>
      <x:c r="I2102" s="54" t="n">
        <x:v>45196</x:v>
      </x:c>
      <x:c r="J2102" s="55" t="n">
        <x:v>2345</x:v>
      </x:c>
      <x:c r="K2102" s="55" t="n">
        <x:v>74465240500</x:v>
      </x:c>
      <x:c r="L2102" s="55" t="n">
        <x:v>31754900</x:v>
      </x:c>
      <x:c r="M2102" t="str">
        <x:v>20230321001074</x:v>
      </x:c>
      <x:c r="N2102" t="n">
        <x:v>45006.624999988424</x:v>
      </x:c>
      <x:c r="O2102" s="54" t="n">
        <x:v>44926</x:v>
      </x:c>
      <x:c r="P2102" t="str">
        <x:v>True</x:v>
      </x:c>
      <x:c r="Q2102" t="str">
        <x:v>8b7b63b2e9d87ee2b8cb2a101f790a8fe4a1ba8733d715f2813a48ef21a9d0d7</x:v>
      </x:c>
      <x:c r="R2102" t="str">
        <x:v>7362824419076d995f4260deca5f7ac7990f333cf0cb4a5e3565afeb34b0ce55</x:v>
      </x:c>
      <x:c r="S2102" t="n">
        <x:v>6</x:v>
      </x:c>
      <x:c r="T2102" t="str">
        <x:v>2018-12-31|2019-12-31|2020-12-31|2021-12-31|2022-12-31</x:v>
      </x:c>
      <x:c r="U2102" s="57" t="n">
        <x:v>-809.6155189523597</x:v>
      </x:c>
      <x:c r="V2102" s="57" t="n">
        <x:v>-1.3452518204487676</x:v>
      </x:c>
      <x:c r="W2102"/>
      <x:c r="X2102"/>
      <x:c r="Y2102" s="38" t="n">
        <x:v>0.6409090909090909</x:v>
      </x:c>
      <x:c r="Z2102" s="38" t="n">
        <x:v>0.6263033331985346</x:v>
      </x:c>
      <x:c r="AA2102" t="str">
        <x:v>NON_POSITIVE_ENTERPRISE_VALUE|NON_POSITIVE_EQUITY_VALUE|NON_POSITIVE_TERMINAL_FCF</x:v>
      </x:c>
    </x:row>
    <x:row r="2103">
      <x:c r="A2103" s="54" t="n">
        <x:v>45199</x:v>
      </x:c>
      <x:c r="B2103" t="n">
        <x:v>45199.624999988424</x:v>
      </x:c>
      <x:c r="C2103" t="str">
        <x:v>120240</x:v>
      </x:c>
      <x:c r="D2103" t="str">
        <x:v>대정화금</x:v>
      </x:c>
      <x:c r="E2103" t="str">
        <x:v>KOSDAQ</x:v>
      </x:c>
      <x:c r="F2103" t="str">
        <x:v>SMALL</x:v>
      </x:c>
      <x:c r="G2103" t="str">
        <x:v>ELIGIBLE</x:v>
      </x:c>
      <x:c r="H2103"/>
      <x:c r="I2103" s="54" t="n">
        <x:v>45196</x:v>
      </x:c>
      <x:c r="J2103" s="55" t="n">
        <x:v>16800</x:v>
      </x:c>
      <x:c r="K2103" s="55" t="n">
        <x:v>120798568800</x:v>
      </x:c>
      <x:c r="L2103" s="55" t="n">
        <x:v>7190391</x:v>
      </x:c>
      <x:c r="M2103" t="str">
        <x:v>20230315000243</x:v>
      </x:c>
      <x:c r="N2103" t="n">
        <x:v>45000.624999988424</x:v>
      </x:c>
      <x:c r="O2103" s="54" t="n">
        <x:v>44926</x:v>
      </x:c>
      <x:c r="P2103" t="str">
        <x:v>False</x:v>
      </x:c>
      <x:c r="Q2103" t="str">
        <x:v>68db51702cbb66e1932f1b7fabf608e23517a3348d4093addeb79e2dc6330ca0</x:v>
      </x:c>
      <x:c r="R2103" t="str">
        <x:v>7398d2eee8f80021d748a5c944d2b143c5a1316ab9edb5c3a9329eeba433e245</x:v>
      </x:c>
      <x:c r="S2103" t="n">
        <x:v>7</x:v>
      </x:c>
      <x:c r="T2103" t="str">
        <x:v>2018-12-31|2019-12-31|2020-12-31|2021-12-31|2022-12-31</x:v>
      </x:c>
      <x:c r="U2103" s="57" t="n">
        <x:v>5621.2189273541435</x:v>
      </x:c>
      <x:c r="V2103" s="57" t="n">
        <x:v>-0.6654036352765391</x:v>
      </x:c>
      <x:c r="W2103" t="n">
        <x:v>55</x:v>
      </x:c>
      <x:c r="X2103" t="n">
        <x:v>4</x:v>
      </x:c>
      <x:c r="Y2103" s="38" t="n">
        <x:v>0.6409090909090909</x:v>
      </x:c>
      <x:c r="Z2103" s="38" t="n">
        <x:v>0.6742906559018058</x:v>
      </x:c>
      <x:c r="AA2103"/>
    </x:row>
    <x:row r="2104">
      <x:c r="A2104" s="54" t="n">
        <x:v>45199</x:v>
      </x:c>
      <x:c r="B2104" t="n">
        <x:v>45199.624999988424</x:v>
      </x:c>
      <x:c r="C2104" t="str">
        <x:v>348350</x:v>
      </x:c>
      <x:c r="D2104" t="str">
        <x:v>위드텍</x:v>
      </x:c>
      <x:c r="E2104" t="str">
        <x:v>KOSDAQ</x:v>
      </x:c>
      <x:c r="F2104" t="str">
        <x:v>SMALL</x:v>
      </x:c>
      <x:c r="G2104" t="str">
        <x:v>ELIGIBLE</x:v>
      </x:c>
      <x:c r="H2104"/>
      <x:c r="I2104" s="54" t="n">
        <x:v>45196</x:v>
      </x:c>
      <x:c r="J2104" s="55" t="n">
        <x:v>11230</x:v>
      </x:c>
      <x:c r="K2104" s="55" t="n">
        <x:v>114361828000</x:v>
      </x:c>
      <x:c r="L2104" s="55" t="n">
        <x:v>10183600</x:v>
      </x:c>
      <x:c r="M2104" t="str">
        <x:v>20230315001322</x:v>
      </x:c>
      <x:c r="N2104" t="n">
        <x:v>45000.624999988424</x:v>
      </x:c>
      <x:c r="O2104" s="54" t="n">
        <x:v>44926</x:v>
      </x:c>
      <x:c r="P2104" t="str">
        <x:v>False</x:v>
      </x:c>
      <x:c r="Q2104" t="str">
        <x:v>5a6323619d7ad35f7de29006ad26b51d53afa3f1b5ef1e1bafd08da40b7fc115</x:v>
      </x:c>
      <x:c r="R2104" t="str">
        <x:v>579dfd7d0e61d41b5d29bb6598c374909b901fe4a1cbfa2870ace192e3cae039</x:v>
      </x:c>
      <x:c r="S2104" t="n">
        <x:v>5</x:v>
      </x:c>
      <x:c r="T2104" t="str">
        <x:v>2020-12-31|2021-12-31|2022-12-31</x:v>
      </x:c>
      <x:c r="U2104" s="57" t="n">
        <x:v>14309.903984827863</x:v>
      </x:c>
      <x:c r="V2104" s="57" t="n">
        <x:v>0.2742568107593823</x:v>
      </x:c>
      <x:c r="W2104" t="n">
        <x:v>20</x:v>
      </x:c>
      <x:c r="X2104" t="n">
        <x:v>2</x:v>
      </x:c>
      <x:c r="Y2104" s="38" t="n">
        <x:v>0.6409090909090909</x:v>
      </x:c>
      <x:c r="Z2104" s="38" t="n">
        <x:v>0.6261496378896817</x:v>
      </x:c>
      <x:c r="AA2104"/>
    </x:row>
    <x:row r="2105">
      <x:c r="A2105" s="54" t="n">
        <x:v>45199</x:v>
      </x:c>
      <x:c r="B2105" t="n">
        <x:v>45199.624999988424</x:v>
      </x:c>
      <x:c r="C2105" t="str">
        <x:v>226330</x:v>
      </x:c>
      <x:c r="D2105" t="str">
        <x:v>신테카바이오</x:v>
      </x:c>
      <x:c r="E2105" t="str">
        <x:v>KOSDAQ</x:v>
      </x:c>
      <x:c r="F2105" t="str">
        <x:v>SMALL</x:v>
      </x:c>
      <x:c r="G2105" t="str">
        <x:v>DCF_SCREENING_EXCLUSION</x:v>
      </x:c>
      <x:c r="H2105" t="str">
        <x:v>NON_POSITIVE_ENTERPRISE_VALUE|NON_POSITIVE_TERMINAL_FCF</x:v>
      </x:c>
      <x:c r="I2105" s="54" t="n">
        <x:v>45196</x:v>
      </x:c>
      <x:c r="J2105" s="55" t="n">
        <x:v>13370</x:v>
      </x:c>
      <x:c r="K2105" s="55" t="n">
        <x:v>203631450750</x:v>
      </x:c>
      <x:c r="L2105" s="55" t="n">
        <x:v>15230475</x:v>
      </x:c>
      <x:c r="M2105" t="str">
        <x:v>20230323000653</x:v>
      </x:c>
      <x:c r="N2105" t="n">
        <x:v>45008.624999988424</x:v>
      </x:c>
      <x:c r="O2105" s="54" t="n">
        <x:v>44926</x:v>
      </x:c>
      <x:c r="P2105" t="str">
        <x:v>False</x:v>
      </x:c>
      <x:c r="Q2105" t="str">
        <x:v>3f0afb59cfe07770c1283a502c76f24874ee173ff49359e807bfb2d2d4a2e6c6</x:v>
      </x:c>
      <x:c r="R2105" t="str">
        <x:v>e20c085f47adc6aba0b57bd8ba5a40bae1d01c8d84ef9521ecf3f82c9b87e1ca</x:v>
      </x:c>
      <x:c r="S2105" t="n">
        <x:v>5</x:v>
      </x:c>
      <x:c r="T2105" t="str">
        <x:v>2019-12-31|2020-12-31|2021-12-31|2022-12-31</x:v>
      </x:c>
      <x:c r="U2105" s="57" t="n">
        <x:v>1609.802461445019</x:v>
      </x:c>
      <x:c r="V2105" s="57" t="n">
        <x:v>-0.8795959265934915</x:v>
      </x:c>
      <x:c r="W2105"/>
      <x:c r="X2105"/>
      <x:c r="Y2105" s="38" t="n">
        <x:v>0.6409090909090909</x:v>
      </x:c>
      <x:c r="Z2105" s="38" t="n">
        <x:v>0.6095054406520231</x:v>
      </x:c>
      <x:c r="AA2105" t="str">
        <x:v>NON_POSITIVE_ENTERPRISE_VALUE|NON_POSITIVE_TERMINAL_FCF</x:v>
      </x:c>
    </x:row>
    <x:row r="2106">
      <x:c r="A2106" s="54" t="n">
        <x:v>45199</x:v>
      </x:c>
      <x:c r="B2106" t="n">
        <x:v>45199.624999988424</x:v>
      </x:c>
      <x:c r="C2106" t="str">
        <x:v>215090</x:v>
      </x:c>
      <x:c r="D2106" t="str">
        <x:v>솔디펜스</x:v>
      </x:c>
      <x:c r="E2106" t="str">
        <x:v>KOSDAQ</x:v>
      </x:c>
      <x:c r="F2106" t="str">
        <x:v>SMALL</x:v>
      </x:c>
      <x:c r="G2106" t="str">
        <x:v>DCF_SCREENING_EXCLUSION</x:v>
      </x:c>
      <x:c r="H2106" t="str">
        <x:v>NON_POSITIVE_ENTERPRISE_VALUE|NON_POSITIVE_EQUITY_VALUE|NON_POSITIVE_TERMINAL_FCF</x:v>
      </x:c>
      <x:c r="I2106" s="54" t="n">
        <x:v>45196</x:v>
      </x:c>
      <x:c r="J2106" s="55" t="n">
        <x:v>1505</x:v>
      </x:c>
      <x:c r="K2106" s="55" t="n">
        <x:v>120843123170</x:v>
      </x:c>
      <x:c r="L2106" s="55" t="n">
        <x:v>80294434</x:v>
      </x:c>
      <x:c r="M2106" t="str">
        <x:v>20230811002537</x:v>
      </x:c>
      <x:c r="N2106" t="n">
        <x:v>45149.624999988424</x:v>
      </x:c>
      <x:c r="O2106" s="54" t="n">
        <x:v>44926</x:v>
      </x:c>
      <x:c r="P2106" t="str">
        <x:v>True</x:v>
      </x:c>
      <x:c r="Q2106" t="str">
        <x:v>1d7f1411bb4507dc0eab3ce31f8fa6137ffe7ec6edc1ae2787d19df479f68224</x:v>
      </x:c>
      <x:c r="R2106" t="str">
        <x:v>0275b2db7b8063acb98f6c680a0809e3ad9c6056eb0246579070fe778dd24416</x:v>
      </x:c>
      <x:c r="S2106" t="n">
        <x:v>5</x:v>
      </x:c>
      <x:c r="T2106" t="str">
        <x:v>2018-12-31|2019-12-31|2020-12-31|2021-12-31|2022-12-31</x:v>
      </x:c>
      <x:c r="U2106" s="57" t="n">
        <x:v>-240.7289902578976</x:v>
      </x:c>
      <x:c r="V2106" s="57" t="n">
        <x:v>-1.159952817447108</x:v>
      </x:c>
      <x:c r="W2106"/>
      <x:c r="X2106"/>
      <x:c r="Y2106" s="38" t="n">
        <x:v>0.6409090909090909</x:v>
      </x:c>
      <x:c r="Z2106" s="38" t="n">
        <x:v>0.6280679398713767</x:v>
      </x:c>
      <x:c r="AA2106" t="str">
        <x:v>NON_POSITIVE_ENTERPRISE_VALUE|NON_POSITIVE_EQUITY_VALUE|NON_POSITIVE_TERMINAL_FCF</x:v>
      </x:c>
    </x:row>
    <x:row r="2107">
      <x:c r="A2107" s="54" t="n">
        <x:v>45199</x:v>
      </x:c>
      <x:c r="B2107" t="n">
        <x:v>45199.624999988424</x:v>
      </x:c>
      <x:c r="C2107" t="str">
        <x:v>185490</x:v>
      </x:c>
      <x:c r="D2107" t="str">
        <x:v>아이진</x:v>
      </x:c>
      <x:c r="E2107" t="str">
        <x:v>KOSDAQ</x:v>
      </x:c>
      <x:c r="F2107" t="str">
        <x:v>SMALL</x:v>
      </x:c>
      <x:c r="G2107" t="str">
        <x:v>DCF_SCREENING_EXCLUSION</x:v>
      </x:c>
      <x:c r="H2107" t="str">
        <x:v>NON_POSITIVE_ENTERPRISE_VALUE|NON_POSITIVE_EQUITY_VALUE|NON_POSITIVE_TERMINAL_FCF</x:v>
      </x:c>
      <x:c r="I2107" s="54" t="n">
        <x:v>45196</x:v>
      </x:c>
      <x:c r="J2107" s="55" t="n">
        <x:v>3165</x:v>
      </x:c>
      <x:c r="K2107" s="55" t="n">
        <x:v>67978946100</x:v>
      </x:c>
      <x:c r="L2107" s="55" t="n">
        <x:v>21478340</x:v>
      </x:c>
      <x:c r="M2107" t="str">
        <x:v>20230315001401</x:v>
      </x:c>
      <x:c r="N2107" t="n">
        <x:v>45000.624999988424</x:v>
      </x:c>
      <x:c r="O2107" s="54" t="n">
        <x:v>44926</x:v>
      </x:c>
      <x:c r="P2107" t="str">
        <x:v>False</x:v>
      </x:c>
      <x:c r="Q2107" t="str">
        <x:v>c397debbd0091ddd6bf16e6dad441fccd47f73cbda2a1ac5840236e1bac6e11e</x:v>
      </x:c>
      <x:c r="R2107" t="str">
        <x:v>0c1ac31c89c8343ee44ab9a488672232a714c97ffe3c101f7ff030a79b21b038</x:v>
      </x:c>
      <x:c r="S2107" t="n">
        <x:v>5</x:v>
      </x:c>
      <x:c r="T2107" t="str">
        <x:v>2018-12-31|2019-12-31|2020-12-31|2021-12-31|2022-12-31</x:v>
      </x:c>
      <x:c r="U2107" s="57" t="n">
        <x:v>-486.7578203776162</x:v>
      </x:c>
      <x:c r="V2107" s="57" t="n">
        <x:v>-1.1537939400877144</x:v>
      </x:c>
      <x:c r="W2107"/>
      <x:c r="X2107"/>
      <x:c r="Y2107" s="38" t="n">
        <x:v>0.6409090909090909</x:v>
      </x:c>
      <x:c r="Z2107" s="38" t="n">
        <x:v>0.6422566574366064</x:v>
      </x:c>
      <x:c r="AA2107" t="str">
        <x:v>NON_POSITIVE_ENTERPRISE_VALUE|NON_POSITIVE_EQUITY_VALUE|NON_POSITIVE_TERMINAL_FCF</x:v>
      </x:c>
    </x:row>
    <x:row r="2108">
      <x:c r="A2108" s="54" t="n">
        <x:v>45199</x:v>
      </x:c>
      <x:c r="B2108" t="n">
        <x:v>45199.624999988424</x:v>
      </x:c>
      <x:c r="C2108" t="str">
        <x:v>333620</x:v>
      </x:c>
      <x:c r="D2108" t="str">
        <x:v>엔시스</x:v>
      </x:c>
      <x:c r="E2108" t="str">
        <x:v>KOSDAQ</x:v>
      </x:c>
      <x:c r="F2108" t="str">
        <x:v>SMALL</x:v>
      </x:c>
      <x:c r="G2108" t="str">
        <x:v>ELIGIBLE</x:v>
      </x:c>
      <x:c r="H2108"/>
      <x:c r="I2108" s="54" t="n">
        <x:v>45196</x:v>
      </x:c>
      <x:c r="J2108" s="55" t="n">
        <x:v>11700</x:v>
      </x:c>
      <x:c r="K2108" s="55" t="n">
        <x:v>123509224800</x:v>
      </x:c>
      <x:c r="L2108" s="55" t="n">
        <x:v>10556344</x:v>
      </x:c>
      <x:c r="M2108" t="str">
        <x:v>20230321000024</x:v>
      </x:c>
      <x:c r="N2108" t="n">
        <x:v>45006.624999988424</x:v>
      </x:c>
      <x:c r="O2108" s="54" t="n">
        <x:v>44926</x:v>
      </x:c>
      <x:c r="P2108" t="str">
        <x:v>False</x:v>
      </x:c>
      <x:c r="Q2108" t="str">
        <x:v>31dbb21ddcad5b2ad28ed0a4aae3e0ceb52e21841557c50d5019d74a8dfa12f3</x:v>
      </x:c>
      <x:c r="R2108" t="str">
        <x:v>fb45111f1e452f88a6c98d51a0b0da00a152d33af3a5e75b5b7a9b9e7df64078</x:v>
      </x:c>
      <x:c r="S2108" t="n">
        <x:v>6</x:v>
      </x:c>
      <x:c r="T2108" t="str">
        <x:v>2020-12-31|2021-12-31|2022-12-31</x:v>
      </x:c>
      <x:c r="U2108" s="57" t="n">
        <x:v>3754.6810911879898</x:v>
      </x:c>
      <x:c r="V2108" s="57" t="n">
        <x:v>-0.6790870862232488</x:v>
      </x:c>
      <x:c r="W2108" t="n">
        <x:v>56</x:v>
      </x:c>
      <x:c r="X2108" t="n">
        <x:v>4</x:v>
      </x:c>
      <x:c r="Y2108" s="38" t="n">
        <x:v>0.6409090909090909</x:v>
      </x:c>
      <x:c r="Z2108" s="38" t="n">
        <x:v>0.7689778383906659</x:v>
      </x:c>
      <x:c r="AA2108"/>
    </x:row>
    <x:row r="2109">
      <x:c r="A2109" s="54" t="n">
        <x:v>45199</x:v>
      </x:c>
      <x:c r="B2109" t="n">
        <x:v>45199.624999988424</x:v>
      </x:c>
      <x:c r="C2109" t="str">
        <x:v>036710</x:v>
      </x:c>
      <x:c r="D2109" t="str">
        <x:v>심텍홀딩스</x:v>
      </x:c>
      <x:c r="E2109" t="str">
        <x:v>KOSDAQ</x:v>
      </x:c>
      <x:c r="F2109" t="str">
        <x:v>SMALL</x:v>
      </x:c>
      <x:c r="G2109" t="str">
        <x:v>EXCLUDED_ARCHETYPE</x:v>
      </x:c>
      <x:c r="H2109" t="str">
        <x:v>FCFF_NOT_COMPARABLE_FOR_FINANCE_OR_HOLDING_HINT</x:v>
      </x:c>
      <x:c r="I2109" s="54"/>
      <x:c r="J2109" s="55"/>
      <x:c r="K2109" s="55"/>
      <x:c r="L2109" s="55"/>
      <x:c r="M2109"/>
      <x:c r="N2109"/>
      <x:c r="O2109" s="54"/>
      <x:c r="P2109"/>
      <x:c r="Q2109"/>
      <x:c r="R2109"/>
      <x:c r="S2109"/>
      <x:c r="T2109"/>
      <x:c r="U2109" s="57"/>
      <x:c r="V2109" s="57"/>
      <x:c r="W2109"/>
      <x:c r="X2109"/>
      <x:c r="Y2109" s="38"/>
      <x:c r="Z2109" s="38"/>
      <x:c r="AA2109"/>
    </x:row>
    <x:row r="2110">
      <x:c r="A2110" s="54" t="n">
        <x:v>45199</x:v>
      </x:c>
      <x:c r="B2110" t="n">
        <x:v>45199.624999988424</x:v>
      </x:c>
      <x:c r="C2110" t="str">
        <x:v>049480</x:v>
      </x:c>
      <x:c r="D2110" t="str">
        <x:v>오픈베이스</x:v>
      </x:c>
      <x:c r="E2110" t="str">
        <x:v>KOSDAQ</x:v>
      </x:c>
      <x:c r="F2110" t="str">
        <x:v>SMALL</x:v>
      </x:c>
      <x:c r="G2110" t="str">
        <x:v>ELIGIBLE</x:v>
      </x:c>
      <x:c r="H2110"/>
      <x:c r="I2110" s="54" t="n">
        <x:v>45196</x:v>
      </x:c>
      <x:c r="J2110" s="55" t="n">
        <x:v>2655</x:v>
      </x:c>
      <x:c r="K2110" s="55" t="n">
        <x:v>83426426865</x:v>
      </x:c>
      <x:c r="L2110" s="55" t="n">
        <x:v>31422383</x:v>
      </x:c>
      <x:c r="M2110" t="str">
        <x:v>20230327000282</x:v>
      </x:c>
      <x:c r="N2110" t="n">
        <x:v>45012.624999988424</x:v>
      </x:c>
      <x:c r="O2110" s="54" t="n">
        <x:v>44926</x:v>
      </x:c>
      <x:c r="P2110" t="str">
        <x:v>True</x:v>
      </x:c>
      <x:c r="Q2110" t="str">
        <x:v>42ea968732c68af704538b6a96069c24f471922e6900275570ae4010b40edc5d</x:v>
      </x:c>
      <x:c r="R2110" t="str">
        <x:v>ab09784fda9d75cc8b97f3d5bb38041a05710bed737db030285a8ac9556f54a0</x:v>
      </x:c>
      <x:c r="S2110" t="n">
        <x:v>6</x:v>
      </x:c>
      <x:c r="T2110" t="str">
        <x:v>2018-12-31|2019-12-31|2020-12-31|2021-12-31|2022-12-31</x:v>
      </x:c>
      <x:c r="U2110" s="57" t="n">
        <x:v>1803.8821154458892</x:v>
      </x:c>
      <x:c r="V2110" s="57" t="n">
        <x:v>-0.32057170792998524</x:v>
      </x:c>
      <x:c r="W2110" t="n">
        <x:v>34</x:v>
      </x:c>
      <x:c r="X2110" t="n">
        <x:v>3</x:v>
      </x:c>
      <x:c r="Y2110" s="38" t="n">
        <x:v>0.6409090909090909</x:v>
      </x:c>
      <x:c r="Z2110" s="38" t="n">
        <x:v>0.5306461642500262</x:v>
      </x:c>
      <x:c r="AA2110"/>
    </x:row>
    <x:row r="2111">
      <x:c r="A2111" s="54" t="n">
        <x:v>45199</x:v>
      </x:c>
      <x:c r="B2111" t="n">
        <x:v>45199.624999988424</x:v>
      </x:c>
      <x:c r="C2111" t="str">
        <x:v>302430</x:v>
      </x:c>
      <x:c r="D2111" t="str">
        <x:v>이노메트리</x:v>
      </x:c>
      <x:c r="E2111" t="str">
        <x:v>KOSDAQ</x:v>
      </x:c>
      <x:c r="F2111" t="str">
        <x:v>SMALL</x:v>
      </x:c>
      <x:c r="G2111" t="str">
        <x:v>ELIGIBLE</x:v>
      </x:c>
      <x:c r="H2111"/>
      <x:c r="I2111" s="54" t="n">
        <x:v>45196</x:v>
      </x:c>
      <x:c r="J2111" s="55" t="n">
        <x:v>14730</x:v>
      </x:c>
      <x:c r="K2111" s="55" t="n">
        <x:v>144843153840</x:v>
      </x:c>
      <x:c r="L2111" s="55" t="n">
        <x:v>9833208</x:v>
      </x:c>
      <x:c r="M2111" t="str">
        <x:v>20230317000534</x:v>
      </x:c>
      <x:c r="N2111" t="n">
        <x:v>45002.624999988424</x:v>
      </x:c>
      <x:c r="O2111" s="54" t="n">
        <x:v>44926</x:v>
      </x:c>
      <x:c r="P2111" t="str">
        <x:v>False</x:v>
      </x:c>
      <x:c r="Q2111" t="str">
        <x:v>de9546fda28c65a23fad6628de7853535b6651560757ff0fe1a52b30730cfc03</x:v>
      </x:c>
      <x:c r="R2111" t="str">
        <x:v>8a26ebe85de001e6143797cb929271694b60af9589b3044f81aa89f0fdecc7a9</x:v>
      </x:c>
      <x:c r="S2111" t="n">
        <x:v>6</x:v>
      </x:c>
      <x:c r="T2111" t="str">
        <x:v>2018-12-31|2019-12-31|2020-12-31|2021-12-31|2022-12-31</x:v>
      </x:c>
      <x:c r="U2111" s="57" t="n">
        <x:v>2561.2579654535784</x:v>
      </x:c>
      <x:c r="V2111" s="57" t="n">
        <x:v>-0.8261196221687999</x:v>
      </x:c>
      <x:c r="W2111" t="n">
        <x:v>64</x:v>
      </x:c>
      <x:c r="X2111" t="n">
        <x:v>5</x:v>
      </x:c>
      <x:c r="Y2111" s="38" t="n">
        <x:v>0.6409090909090909</x:v>
      </x:c>
      <x:c r="Z2111" s="38" t="n">
        <x:v>0.6743683677875997</x:v>
      </x:c>
      <x:c r="AA2111"/>
    </x:row>
    <x:row r="2112">
      <x:c r="A2112" s="54" t="n">
        <x:v>45199</x:v>
      </x:c>
      <x:c r="B2112" t="n">
        <x:v>45199.624999988424</x:v>
      </x:c>
      <x:c r="C2112" t="str">
        <x:v>288620</x:v>
      </x:c>
      <x:c r="D2112" t="str">
        <x:v>에스퓨얼셀</x:v>
      </x:c>
      <x:c r="E2112" t="str">
        <x:v>KOSDAQ</x:v>
      </x:c>
      <x:c r="F2112" t="str">
        <x:v>SMALL</x:v>
      </x:c>
      <x:c r="G2112" t="str">
        <x:v>DCF_SCREENING_EXCLUSION</x:v>
      </x:c>
      <x:c r="H2112" t="str">
        <x:v>NON_POSITIVE_EQUITY_VALUE|UNRELIABLE_TERMINAL_VALUE_SHARE</x:v>
      </x:c>
      <x:c r="I2112" s="54" t="n">
        <x:v>45196</x:v>
      </x:c>
      <x:c r="J2112" s="55" t="n">
        <x:v>15920</x:v>
      </x:c>
      <x:c r="K2112" s="55" t="n">
        <x:v>111110710720</x:v>
      </x:c>
      <x:c r="L2112" s="55" t="n">
        <x:v>6979316</x:v>
      </x:c>
      <x:c r="M2112" t="str">
        <x:v>20230316001373</x:v>
      </x:c>
      <x:c r="N2112" t="n">
        <x:v>45001.624999988424</x:v>
      </x:c>
      <x:c r="O2112" s="54" t="n">
        <x:v>44926</x:v>
      </x:c>
      <x:c r="P2112" t="str">
        <x:v>False</x:v>
      </x:c>
      <x:c r="Q2112" t="str">
        <x:v>a0f73bf5abd07b28ebfb12fc1090d5d41c37644288eda61745064e3c381d57bf</x:v>
      </x:c>
      <x:c r="R2112" t="str">
        <x:v>26d9f4961fa261b2f033fa38cfe5ebffffd8a8571e51064c9347559a92b11917</x:v>
      </x:c>
      <x:c r="S2112" t="n">
        <x:v>6</x:v>
      </x:c>
      <x:c r="T2112" t="str">
        <x:v>2018-12-31|2019-12-31|2020-12-31|2021-12-31|2022-12-31</x:v>
      </x:c>
      <x:c r="U2112" s="57" t="n">
        <x:v>-4375.150495693731</x:v>
      </x:c>
      <x:c r="V2112" s="57" t="n">
        <x:v>-1.2748210110360383</x:v>
      </x:c>
      <x:c r="W2112"/>
      <x:c r="X2112"/>
      <x:c r="Y2112" s="38" t="n">
        <x:v>0.6409090909090909</x:v>
      </x:c>
      <x:c r="Z2112" s="38" t="n">
        <x:v>2.269399089417067</x:v>
      </x:c>
      <x:c r="AA2112" t="str">
        <x:v>NON_POSITIVE_EQUITY_VALUE|UNRELIABLE_TERMINAL_VALUE_SHARE</x:v>
      </x:c>
    </x:row>
    <x:row r="2113">
      <x:c r="A2113" s="54" t="n">
        <x:v>45199</x:v>
      </x:c>
      <x:c r="B2113" t="n">
        <x:v>45199.624999988424</x:v>
      </x:c>
      <x:c r="C2113" t="str">
        <x:v>094840</x:v>
      </x:c>
      <x:c r="D2113" t="str">
        <x:v>슈프리마에이치큐</x:v>
      </x:c>
      <x:c r="E2113" t="str">
        <x:v>KOSDAQ</x:v>
      </x:c>
      <x:c r="F2113" t="str">
        <x:v>SMALL</x:v>
      </x:c>
      <x:c r="G2113" t="str">
        <x:v>ELIGIBLE</x:v>
      </x:c>
      <x:c r="H2113"/>
      <x:c r="I2113" s="54" t="n">
        <x:v>45196</x:v>
      </x:c>
      <x:c r="J2113" s="55" t="n">
        <x:v>6600</x:v>
      </x:c>
      <x:c r="K2113" s="55" t="n">
        <x:v>69114144000</x:v>
      </x:c>
      <x:c r="L2113" s="55" t="n">
        <x:v>10471840</x:v>
      </x:c>
      <x:c r="M2113" t="str">
        <x:v>20230314001299</x:v>
      </x:c>
      <x:c r="N2113" t="n">
        <x:v>45000.624999988424</x:v>
      </x:c>
      <x:c r="O2113" s="54" t="n">
        <x:v>44926</x:v>
      </x:c>
      <x:c r="P2113" t="str">
        <x:v>False</x:v>
      </x:c>
      <x:c r="Q2113" t="str">
        <x:v>68dfd4440b2c2afb80c1e44c2b622c1d51d9f1ed97fd061ad39acf1a13ff5528</x:v>
      </x:c>
      <x:c r="R2113" t="str">
        <x:v>401bf4b2f3290e8a8fc1738434ddb00df3d9594339b6b1eadcd9cc44f8c9e7ea</x:v>
      </x:c>
      <x:c r="S2113" t="n">
        <x:v>6</x:v>
      </x:c>
      <x:c r="T2113" t="str">
        <x:v>2018-12-31|2019-12-31|2020-12-31|2021-12-31|2022-12-31</x:v>
      </x:c>
      <x:c r="U2113" s="57" t="n">
        <x:v>6313.964112199713</x:v>
      </x:c>
      <x:c r="V2113" s="57" t="n">
        <x:v>-0.04333877087883132</x:v>
      </x:c>
      <x:c r="W2113" t="n">
        <x:v>27</x:v>
      </x:c>
      <x:c r="X2113" t="n">
        <x:v>2</x:v>
      </x:c>
      <x:c r="Y2113" s="38" t="n">
        <x:v>0.6409090909090909</x:v>
      </x:c>
      <x:c r="Z2113" s="38" t="n">
        <x:v>0.628344919435413</x:v>
      </x:c>
      <x:c r="AA2113"/>
    </x:row>
    <x:row r="2114">
      <x:c r="A2114" s="54" t="n">
        <x:v>45199</x:v>
      </x:c>
      <x:c r="B2114" t="n">
        <x:v>45199.624999988424</x:v>
      </x:c>
      <x:c r="C2114" t="str">
        <x:v>019990</x:v>
      </x:c>
      <x:c r="D2114" t="str">
        <x:v>에너토크</x:v>
      </x:c>
      <x:c r="E2114" t="str">
        <x:v>KOSDAQ</x:v>
      </x:c>
      <x:c r="F2114" t="str">
        <x:v>SMALL</x:v>
      </x:c>
      <x:c r="G2114" t="str">
        <x:v>DCF_SCREENING_EXCLUSION</x:v>
      </x:c>
      <x:c r="H2114" t="str">
        <x:v>NON_POSITIVE_ENTERPRISE_VALUE|NON_POSITIVE_EQUITY_VALUE|NON_POSITIVE_TERMINAL_FCF</x:v>
      </x:c>
      <x:c r="I2114" s="54" t="n">
        <x:v>45196</x:v>
      </x:c>
      <x:c r="J2114" s="55" t="n">
        <x:v>6740</x:v>
      </x:c>
      <x:c r="K2114" s="55" t="n">
        <x:v>65756033120</x:v>
      </x:c>
      <x:c r="L2114" s="55" t="n">
        <x:v>9756088</x:v>
      </x:c>
      <x:c r="M2114" t="str">
        <x:v>20230316001528</x:v>
      </x:c>
      <x:c r="N2114" t="n">
        <x:v>45001.624999988424</x:v>
      </x:c>
      <x:c r="O2114" s="54" t="n">
        <x:v>44926</x:v>
      </x:c>
      <x:c r="P2114" t="str">
        <x:v>False</x:v>
      </x:c>
      <x:c r="Q2114" t="str">
        <x:v>356862a864c2f3ffb6ca902df021f84b186b7c85c77a19c2ad6191de38eaafb4</x:v>
      </x:c>
      <x:c r="R2114" t="str">
        <x:v>7637dddb3a954b6add6c7848290a7d97e844c67b392b0325bf98adcb6b1393bf</x:v>
      </x:c>
      <x:c r="S2114" t="n">
        <x:v>7</x:v>
      </x:c>
      <x:c r="T2114" t="str">
        <x:v>2018-12-31|2019-12-31|2020-12-31|2021-12-31|2022-12-31</x:v>
      </x:c>
      <x:c r="U2114" s="57" t="n">
        <x:v>-384.5998941714026</x:v>
      </x:c>
      <x:c r="V2114" s="57" t="n">
        <x:v>-1.057062298838487</x:v>
      </x:c>
      <x:c r="W2114"/>
      <x:c r="X2114"/>
      <x:c r="Y2114" s="38" t="n">
        <x:v>0.6409090909090909</x:v>
      </x:c>
      <x:c r="Z2114" s="38" t="n">
        <x:v>0.6560443368251093</x:v>
      </x:c>
      <x:c r="AA2114" t="str">
        <x:v>NON_POSITIVE_ENTERPRISE_VALUE|NON_POSITIVE_EQUITY_VALUE|NON_POSITIVE_TERMINAL_FCF</x:v>
      </x:c>
    </x:row>
    <x:row r="2115">
      <x:c r="A2115" s="54" t="n">
        <x:v>45199</x:v>
      </x:c>
      <x:c r="B2115" t="n">
        <x:v>45199.624999988424</x:v>
      </x:c>
      <x:c r="C2115" t="str">
        <x:v>024740</x:v>
      </x:c>
      <x:c r="D2115" t="str">
        <x:v>한일단조</x:v>
      </x:c>
      <x:c r="E2115" t="str">
        <x:v>KOSDAQ</x:v>
      </x:c>
      <x:c r="F2115" t="str">
        <x:v>SMALL</x:v>
      </x:c>
      <x:c r="G2115" t="str">
        <x:v>DCF_SCREENING_EXCLUSION</x:v>
      </x:c>
      <x:c r="H2115" t="str">
        <x:v>NON_POSITIVE_ENTERPRISE_VALUE|NON_POSITIVE_EQUITY_VALUE|NON_POSITIVE_TERMINAL_FCF|UNRELIABLE_TERMINAL_VALUE_SHARE</x:v>
      </x:c>
      <x:c r="I2115" s="54" t="n">
        <x:v>45196</x:v>
      </x:c>
      <x:c r="J2115" s="55" t="n">
        <x:v>2315</x:v>
      </x:c>
      <x:c r="K2115" s="55" t="n">
        <x:v>72997843990</x:v>
      </x:c>
      <x:c r="L2115" s="55" t="n">
        <x:v>31532546</x:v>
      </x:c>
      <x:c r="M2115" t="str">
        <x:v>20230321000435</x:v>
      </x:c>
      <x:c r="N2115" t="n">
        <x:v>45006.624999988424</x:v>
      </x:c>
      <x:c r="O2115" s="54" t="n">
        <x:v>44926</x:v>
      </x:c>
      <x:c r="P2115" t="str">
        <x:v>False</x:v>
      </x:c>
      <x:c r="Q2115" t="str">
        <x:v>97953ed9acfd97d0245326a28cf1ae40c3d9a06af7da7dfeb127ad1c8bbeff11</x:v>
      </x:c>
      <x:c r="R2115" t="str">
        <x:v>ae141a7e675b2d9a9bd9222cc2215d2d08b187aedad3f8881d7275d4ad8cb8d5</x:v>
      </x:c>
      <x:c r="S2115" t="n">
        <x:v>7</x:v>
      </x:c>
      <x:c r="T2115" t="str">
        <x:v>2018-12-31|2019-12-31|2020-12-31|2021-12-31|2022-12-31</x:v>
      </x:c>
      <x:c r="U2115" s="57" t="n">
        <x:v>-2512.352483521721</x:v>
      </x:c>
      <x:c r="V2115" s="57" t="n">
        <x:v>-2.0852494529251495</x:v>
      </x:c>
      <x:c r="W2115"/>
      <x:c r="X2115"/>
      <x:c r="Y2115" s="38" t="n">
        <x:v>0.6409090909090909</x:v>
      </x:c>
      <x:c r="Z2115" s="38" t="n">
        <x:v>2.0506706664207273</x:v>
      </x:c>
      <x:c r="AA2115" t="str">
        <x:v>NON_POSITIVE_ENTERPRISE_VALUE|NON_POSITIVE_EQUITY_VALUE|NON_POSITIVE_TERMINAL_FCF|UNRELIABLE_TERMINAL_VALUE_SHARE</x:v>
      </x:c>
    </x:row>
    <x:row r="2116">
      <x:c r="A2116" s="54" t="n">
        <x:v>45199</x:v>
      </x:c>
      <x:c r="B2116" t="n">
        <x:v>45199.624999988424</x:v>
      </x:c>
      <x:c r="C2116" t="str">
        <x:v>340930</x:v>
      </x:c>
      <x:c r="D2116" t="str">
        <x:v>유일에너테크</x:v>
      </x:c>
      <x:c r="E2116" t="str">
        <x:v>KOSDAQ</x:v>
      </x:c>
      <x:c r="F2116" t="str">
        <x:v>SMALL</x:v>
      </x:c>
      <x:c r="G2116" t="str">
        <x:v>DCF_SCREENING_EXCLUSION</x:v>
      </x:c>
      <x:c r="H2116" t="str">
        <x:v>NON_POSITIVE_ENTERPRISE_VALUE|NON_POSITIVE_EQUITY_VALUE|NON_POSITIVE_TERMINAL_FCF</x:v>
      </x:c>
      <x:c r="I2116" s="54" t="n">
        <x:v>45196</x:v>
      </x:c>
      <x:c r="J2116" s="55" t="n">
        <x:v>13470</x:v>
      </x:c>
      <x:c r="K2116" s="55" t="n">
        <x:v>154475980500</x:v>
      </x:c>
      <x:c r="L2116" s="55" t="n">
        <x:v>11468150</x:v>
      </x:c>
      <x:c r="M2116" t="str">
        <x:v>20230727000375</x:v>
      </x:c>
      <x:c r="N2116" t="n">
        <x:v>45134.624999988424</x:v>
      </x:c>
      <x:c r="O2116" s="54" t="n">
        <x:v>44926</x:v>
      </x:c>
      <x:c r="P2116" t="str">
        <x:v>True</x:v>
      </x:c>
      <x:c r="Q2116" t="str">
        <x:v>4c9d26c95debc2182adf7d54ccacf0b9a8d98c2ac03d45e32dd8bda34c820400</x:v>
      </x:c>
      <x:c r="R2116" t="str">
        <x:v>97a09a73cd6fcbb824c62acb62ad9d5bc39990d1cb92534152c76c17c500d7cd</x:v>
      </x:c>
      <x:c r="S2116" t="n">
        <x:v>7</x:v>
      </x:c>
      <x:c r="T2116" t="str">
        <x:v>2020-12-31|2021-12-31|2022-12-31</x:v>
      </x:c>
      <x:c r="U2116" s="57" t="n">
        <x:v>-12105.273678070636</x:v>
      </x:c>
      <x:c r="V2116" s="57" t="n">
        <x:v>-1.8986840147045758</x:v>
      </x:c>
      <x:c r="W2116"/>
      <x:c r="X2116"/>
      <x:c r="Y2116" s="38" t="n">
        <x:v>0.6409090909090909</x:v>
      </x:c>
      <x:c r="Z2116" s="38" t="n">
        <x:v>0.6236446277888583</x:v>
      </x:c>
      <x:c r="AA2116" t="str">
        <x:v>NON_POSITIVE_ENTERPRISE_VALUE|NON_POSITIVE_EQUITY_VALUE|NON_POSITIVE_TERMINAL_FCF</x:v>
      </x:c>
    </x:row>
    <x:row r="2117">
      <x:c r="A2117" s="54" t="n">
        <x:v>45199</x:v>
      </x:c>
      <x:c r="B2117" t="n">
        <x:v>45199.624999988424</x:v>
      </x:c>
      <x:c r="C2117" t="str">
        <x:v>057030</x:v>
      </x:c>
      <x:c r="D2117" t="str">
        <x:v>YBM넷</x:v>
      </x:c>
      <x:c r="E2117" t="str">
        <x:v>KOSDAQ</x:v>
      </x:c>
      <x:c r="F2117" t="str">
        <x:v>SMALL</x:v>
      </x:c>
      <x:c r="G2117" t="str">
        <x:v>ELIGIBLE</x:v>
      </x:c>
      <x:c r="H2117"/>
      <x:c r="I2117" s="54" t="n">
        <x:v>45196</x:v>
      </x:c>
      <x:c r="J2117" s="55" t="n">
        <x:v>3625</x:v>
      </x:c>
      <x:c r="K2117" s="55" t="n">
        <x:v>59133526625</x:v>
      </x:c>
      <x:c r="L2117" s="55" t="n">
        <x:v>16312697</x:v>
      </x:c>
      <x:c r="M2117" t="str">
        <x:v>20230323001037</x:v>
      </x:c>
      <x:c r="N2117" t="n">
        <x:v>45008.624999988424</x:v>
      </x:c>
      <x:c r="O2117" s="54" t="n">
        <x:v>44926</x:v>
      </x:c>
      <x:c r="P2117" t="str">
        <x:v>False</x:v>
      </x:c>
      <x:c r="Q2117" t="str">
        <x:v>ce091b9f145ad6c6d09491c04337fb3f75aca3e033aa3e1a266a4e850f7cdc36</x:v>
      </x:c>
      <x:c r="R2117" t="str">
        <x:v>67422e9dc9ea5c57476b7fc88ec0cf9d433812df4f02cd3668c9ef4832958748</x:v>
      </x:c>
      <x:c r="S2117" t="n">
        <x:v>6</x:v>
      </x:c>
      <x:c r="T2117" t="str">
        <x:v>2018-12-31|2019-12-31|2020-12-31|2021-12-31|2022-12-31</x:v>
      </x:c>
      <x:c r="U2117" s="57" t="n">
        <x:v>1779.8615662370728</x:v>
      </x:c>
      <x:c r="V2117" s="57" t="n">
        <x:v>-0.509003705865635</x:v>
      </x:c>
      <x:c r="W2117" t="n">
        <x:v>45</x:v>
      </x:c>
      <x:c r="X2117" t="n">
        <x:v>4</x:v>
      </x:c>
      <x:c r="Y2117" s="38" t="n">
        <x:v>0.6409090909090909</x:v>
      </x:c>
      <x:c r="Z2117" s="38" t="n">
        <x:v>0.5218083711789233</x:v>
      </x:c>
      <x:c r="AA2117"/>
    </x:row>
    <x:row r="2118">
      <x:c r="A2118" s="54" t="n">
        <x:v>45199</x:v>
      </x:c>
      <x:c r="B2118" t="n">
        <x:v>45199.624999988424</x:v>
      </x:c>
      <x:c r="C2118" t="str">
        <x:v>053160</x:v>
      </x:c>
      <x:c r="D2118" t="str">
        <x:v>프리엠스</x:v>
      </x:c>
      <x:c r="E2118" t="str">
        <x:v>KOSDAQ</x:v>
      </x:c>
      <x:c r="F2118" t="str">
        <x:v>SMALL</x:v>
      </x:c>
      <x:c r="G2118" t="str">
        <x:v>ELIGIBLE</x:v>
      </x:c>
      <x:c r="H2118"/>
      <x:c r="I2118" s="54" t="n">
        <x:v>45196</x:v>
      </x:c>
      <x:c r="J2118" s="55" t="n">
        <x:v>8330</x:v>
      </x:c>
      <x:c r="K2118" s="55" t="n">
        <x:v>49980000000</x:v>
      </x:c>
      <x:c r="L2118" s="55" t="n">
        <x:v>6000000</x:v>
      </x:c>
      <x:c r="M2118" t="str">
        <x:v>20230321001115</x:v>
      </x:c>
      <x:c r="N2118" t="n">
        <x:v>45006.624999988424</x:v>
      </x:c>
      <x:c r="O2118" s="54" t="n">
        <x:v>44926</x:v>
      </x:c>
      <x:c r="P2118" t="str">
        <x:v>False</x:v>
      </x:c>
      <x:c r="Q2118" t="str">
        <x:v>b2dfcc79e91edc63e13d4186a98f21a42f353eaf6fe6d9e9374e73be3bee3fb7</x:v>
      </x:c>
      <x:c r="R2118" t="str">
        <x:v>1acade6ca6b6edeb5442d561dd223ff598601b026acd351edc13c8a5e7da331c</x:v>
      </x:c>
      <x:c r="S2118" t="n">
        <x:v>7</x:v>
      </x:c>
      <x:c r="T2118" t="str">
        <x:v>2018-12-31|2019-12-31|2020-12-31|2021-12-31|2022-12-31</x:v>
      </x:c>
      <x:c r="U2118" s="57" t="n">
        <x:v>1821.8855425061884</x:v>
      </x:c>
      <x:c r="V2118" s="57" t="n">
        <x:v>-0.781286249399017</x:v>
      </x:c>
      <x:c r="W2118" t="n">
        <x:v>60</x:v>
      </x:c>
      <x:c r="X2118" t="n">
        <x:v>5</x:v>
      </x:c>
      <x:c r="Y2118" s="38" t="n">
        <x:v>0.6409090909090909</x:v>
      </x:c>
      <x:c r="Z2118" s="38" t="n">
        <x:v>0.8440169237053482</x:v>
      </x:c>
      <x:c r="AA2118"/>
    </x:row>
    <x:row r="2119">
      <x:c r="A2119" s="54" t="n">
        <x:v>45199</x:v>
      </x:c>
      <x:c r="B2119" t="n">
        <x:v>45199.624999988424</x:v>
      </x:c>
      <x:c r="C2119" t="str">
        <x:v>038620</x:v>
      </x:c>
      <x:c r="D2119" t="str">
        <x:v>위즈코프</x:v>
      </x:c>
      <x:c r="E2119" t="str">
        <x:v>KOSDAQ</x:v>
      </x:c>
      <x:c r="F2119" t="str">
        <x:v>SMALL</x:v>
      </x:c>
      <x:c r="G2119" t="str">
        <x:v>ELIGIBLE</x:v>
      </x:c>
      <x:c r="H2119"/>
      <x:c r="I2119" s="54" t="n">
        <x:v>45196</x:v>
      </x:c>
      <x:c r="J2119" s="55" t="n">
        <x:v>808</x:v>
      </x:c>
      <x:c r="K2119" s="55" t="n">
        <x:v>53769543720</x:v>
      </x:c>
      <x:c r="L2119" s="55" t="n">
        <x:v>66546465</x:v>
      </x:c>
      <x:c r="M2119" t="str">
        <x:v>20230321000864</x:v>
      </x:c>
      <x:c r="N2119" t="n">
        <x:v>45006.624999988424</x:v>
      </x:c>
      <x:c r="O2119" s="54" t="n">
        <x:v>44926</x:v>
      </x:c>
      <x:c r="P2119" t="str">
        <x:v>False</x:v>
      </x:c>
      <x:c r="Q2119" t="str">
        <x:v>edc3b8b29e0450380a4e6806abcf4d131c8abb0ceaf857f4a1dba04e7d7fe600</x:v>
      </x:c>
      <x:c r="R2119" t="str">
        <x:v>527fff5308032f95072aa08fff750482a4ecde95deb4fe00b46c48e06427242e</x:v>
      </x:c>
      <x:c r="S2119" t="n">
        <x:v>5</x:v>
      </x:c>
      <x:c r="T2119" t="str">
        <x:v>2018-12-31|2019-12-31|2020-12-31|2021-12-31|2022-12-31</x:v>
      </x:c>
      <x:c r="U2119" s="57" t="n">
        <x:v>426.0114082458841</x:v>
      </x:c>
      <x:c r="V2119" s="57" t="n">
        <x:v>-0.47275815811152955</x:v>
      </x:c>
      <x:c r="W2119" t="n">
        <x:v>43</x:v>
      </x:c>
      <x:c r="X2119" t="n">
        <x:v>4</x:v>
      </x:c>
      <x:c r="Y2119" s="38" t="n">
        <x:v>0.6409090909090909</x:v>
      </x:c>
      <x:c r="Z2119" s="38" t="n">
        <x:v>0.5889916216817043</x:v>
      </x:c>
      <x:c r="AA2119"/>
    </x:row>
    <x:row r="2120">
      <x:c r="A2120" s="54" t="n">
        <x:v>45199</x:v>
      </x:c>
      <x:c r="B2120" t="n">
        <x:v>45199.624999988424</x:v>
      </x:c>
      <x:c r="C2120" t="str">
        <x:v>313760</x:v>
      </x:c>
      <x:c r="D2120" t="str">
        <x:v>캐리</x:v>
      </x:c>
      <x:c r="E2120" t="str">
        <x:v>KOSDAQ</x:v>
      </x:c>
      <x:c r="F2120" t="str">
        <x:v>SMALL</x:v>
      </x:c>
      <x:c r="G2120" t="str">
        <x:v>DCF_SCREENING_EXCLUSION</x:v>
      </x:c>
      <x:c r="H2120" t="str">
        <x:v>NON_POSITIVE_ENTERPRISE_VALUE|NON_POSITIVE_EQUITY_VALUE|NON_POSITIVE_TERMINAL_FCF</x:v>
      </x:c>
      <x:c r="I2120" s="54" t="n">
        <x:v>45196</x:v>
      </x:c>
      <x:c r="J2120" s="55" t="n">
        <x:v>8550</x:v>
      </x:c>
      <x:c r="K2120" s="55" t="n">
        <x:v>48629552850</x:v>
      </x:c>
      <x:c r="L2120" s="55" t="n">
        <x:v>5687667</x:v>
      </x:c>
      <x:c r="M2120" t="str">
        <x:v>20230321000948</x:v>
      </x:c>
      <x:c r="N2120" t="n">
        <x:v>45006.624999988424</x:v>
      </x:c>
      <x:c r="O2120" s="54" t="n">
        <x:v>44926</x:v>
      </x:c>
      <x:c r="P2120" t="str">
        <x:v>False</x:v>
      </x:c>
      <x:c r="Q2120" t="str">
        <x:v>595323229b13489978ad4695c5237b7f5b3f6201d10d45817b31f37dc9cc8bac</x:v>
      </x:c>
      <x:c r="R2120" t="str">
        <x:v>a2763f65b03f79411deae2a2854479094bd17f0dcf7a465bc22005586391f34c</x:v>
      </x:c>
      <x:c r="S2120" t="n">
        <x:v>6</x:v>
      </x:c>
      <x:c r="T2120" t="str">
        <x:v>2019-12-31|2020-12-31|2021-12-31|2022-12-31</x:v>
      </x:c>
      <x:c r="U2120" s="57" t="n">
        <x:v>-6805.954179574858</x:v>
      </x:c>
      <x:c r="V2120" s="57" t="n">
        <x:v>-1.7960180326988138</x:v>
      </x:c>
      <x:c r="W2120"/>
      <x:c r="X2120"/>
      <x:c r="Y2120" s="38" t="n">
        <x:v>0.6409090909090909</x:v>
      </x:c>
      <x:c r="Z2120" s="38" t="n">
        <x:v>0.26717094415135195</x:v>
      </x:c>
      <x:c r="AA2120" t="str">
        <x:v>NON_POSITIVE_ENTERPRISE_VALUE|NON_POSITIVE_EQUITY_VALUE|NON_POSITIVE_TERMINAL_FCF</x:v>
      </x:c>
    </x:row>
    <x:row r="2121">
      <x:c r="A2121" s="54" t="n">
        <x:v>45199</x:v>
      </x:c>
      <x:c r="B2121" t="n">
        <x:v>45199.624999988424</x:v>
      </x:c>
      <x:c r="C2121" t="str">
        <x:v>372800</x:v>
      </x:c>
      <x:c r="D2121" t="str">
        <x:v>아이티아이즈</x:v>
      </x:c>
      <x:c r="E2121" t="str">
        <x:v>KOSDAQ</x:v>
      </x:c>
      <x:c r="F2121" t="str">
        <x:v>SMALL</x:v>
      </x:c>
      <x:c r="G2121" t="str">
        <x:v>DCF_SCREENING_EXCLUSION</x:v>
      </x:c>
      <x:c r="H2121" t="str">
        <x:v>NON_POSITIVE_ENTERPRISE_VALUE|NON_POSITIVE_EQUITY_VALUE|NON_POSITIVE_TERMINAL_FCF</x:v>
      </x:c>
      <x:c r="I2121" s="54" t="n">
        <x:v>45196</x:v>
      </x:c>
      <x:c r="J2121" s="55" t="n">
        <x:v>6750</x:v>
      </x:c>
      <x:c r="K2121" s="55" t="n">
        <x:v>40682182500</x:v>
      </x:c>
      <x:c r="L2121" s="55" t="n">
        <x:v>6026990</x:v>
      </x:c>
      <x:c r="M2121" t="str">
        <x:v>20230321000514</x:v>
      </x:c>
      <x:c r="N2121" t="n">
        <x:v>45006.624999988424</x:v>
      </x:c>
      <x:c r="O2121" s="54" t="n">
        <x:v>44926</x:v>
      </x:c>
      <x:c r="P2121" t="str">
        <x:v>False</x:v>
      </x:c>
      <x:c r="Q2121" t="str">
        <x:v>e6c8afdaa7ba3e8f4e0b2a03fdb12d918a90bdc567c2e105c08df9fb5ea1d246</x:v>
      </x:c>
      <x:c r="R2121" t="str">
        <x:v>b3e952c30ffe3cdce6a5172f4a452b9dcbd4a8f83f6dafb3e9f03a65129ec534</x:v>
      </x:c>
      <x:c r="S2121" t="n">
        <x:v>7</x:v>
      </x:c>
      <x:c r="T2121" t="str">
        <x:v>2021-12-31|2022-12-31</x:v>
      </x:c>
      <x:c r="U2121" s="57" t="n">
        <x:v>-6723.595069144311</x:v>
      </x:c>
      <x:c r="V2121" s="57" t="n">
        <x:v>-1.9960881583917498</x:v>
      </x:c>
      <x:c r="W2121"/>
      <x:c r="X2121"/>
      <x:c r="Y2121" s="38" t="n">
        <x:v>0.6409090909090909</x:v>
      </x:c>
      <x:c r="Z2121" s="38" t="n">
        <x:v>0.5378744047405174</x:v>
      </x:c>
      <x:c r="AA2121" t="str">
        <x:v>NON_POSITIVE_ENTERPRISE_VALUE|NON_POSITIVE_EQUITY_VALUE|NON_POSITIVE_TERMINAL_FCF</x:v>
      </x:c>
    </x:row>
    <x:row r="2122">
      <x:c r="A2122" s="54" t="n">
        <x:v>45199</x:v>
      </x:c>
      <x:c r="B2122" t="n">
        <x:v>45199.624999988424</x:v>
      </x:c>
      <x:c r="C2122" t="str">
        <x:v>332290</x:v>
      </x:c>
      <x:c r="D2122" t="str">
        <x:v>누보</x:v>
      </x:c>
      <x:c r="E2122" t="str">
        <x:v>KOSDAQ</x:v>
      </x:c>
      <x:c r="F2122" t="str">
        <x:v>SMALL</x:v>
      </x:c>
      <x:c r="G2122" t="str">
        <x:v>DCF_SCREENING_EXCLUSION</x:v>
      </x:c>
      <x:c r="H2122" t="str">
        <x:v>NON_POSITIVE_ENTERPRISE_VALUE|NON_POSITIVE_EQUITY_VALUE|NON_POSITIVE_TERMINAL_FCF</x:v>
      </x:c>
      <x:c r="I2122" s="54" t="n">
        <x:v>45196</x:v>
      </x:c>
      <x:c r="J2122" s="55" t="n">
        <x:v>1840</x:v>
      </x:c>
      <x:c r="K2122" s="55" t="n">
        <x:v>61428037520</x:v>
      </x:c>
      <x:c r="L2122" s="55" t="n">
        <x:v>33384803</x:v>
      </x:c>
      <x:c r="M2122" t="str">
        <x:v>20230323001024</x:v>
      </x:c>
      <x:c r="N2122" t="n">
        <x:v>45008.624999988424</x:v>
      </x:c>
      <x:c r="O2122" s="54" t="n">
        <x:v>44926</x:v>
      </x:c>
      <x:c r="P2122" t="str">
        <x:v>False</x:v>
      </x:c>
      <x:c r="Q2122" t="str">
        <x:v>385f93186157285492b9794e4f0eb20047901a652d87b6dbf5ccecd8e3ac3b00</x:v>
      </x:c>
      <x:c r="R2122" t="str">
        <x:v>0e0eb4e08fe9a44424274a4b1602731333300bf9f71614cab6033f19692a533c</x:v>
      </x:c>
      <x:c r="S2122" t="n">
        <x:v>6</x:v>
      </x:c>
      <x:c r="T2122" t="str">
        <x:v>2022-12-31</x:v>
      </x:c>
      <x:c r="U2122" s="57" t="n">
        <x:v>-1729.3908949074823</x:v>
      </x:c>
      <x:c r="V2122" s="57" t="n">
        <x:v>-1.9398863559279795</x:v>
      </x:c>
      <x:c r="W2122"/>
      <x:c r="X2122"/>
      <x:c r="Y2122" s="38" t="n">
        <x:v>0.6409090909090909</x:v>
      </x:c>
      <x:c r="Z2122" s="38" t="n">
        <x:v>0.6264850986190418</x:v>
      </x:c>
      <x:c r="AA2122" t="str">
        <x:v>NON_POSITIVE_ENTERPRISE_VALUE|NON_POSITIVE_EQUITY_VALUE|NON_POSITIVE_TERMINAL_FCF</x:v>
      </x:c>
    </x:row>
    <x:row r="2123">
      <x:c r="A2123" s="54" t="n">
        <x:v>45199</x:v>
      </x:c>
      <x:c r="B2123" t="n">
        <x:v>45199.624999988424</x:v>
      </x:c>
      <x:c r="C2123" t="str">
        <x:v>059100</x:v>
      </x:c>
      <x:c r="D2123" t="str">
        <x:v>아이컴포넌트</x:v>
      </x:c>
      <x:c r="E2123" t="str">
        <x:v>KOSDAQ</x:v>
      </x:c>
      <x:c r="F2123" t="str">
        <x:v>SMALL</x:v>
      </x:c>
      <x:c r="G2123" t="str">
        <x:v>ELIGIBLE</x:v>
      </x:c>
      <x:c r="H2123"/>
      <x:c r="I2123" s="54" t="n">
        <x:v>45196</x:v>
      </x:c>
      <x:c r="J2123" s="55" t="n">
        <x:v>5300</x:v>
      </x:c>
      <x:c r="K2123" s="55" t="n">
        <x:v>37475558000</x:v>
      </x:c>
      <x:c r="L2123" s="55" t="n">
        <x:v>7070860</x:v>
      </x:c>
      <x:c r="M2123" t="str">
        <x:v>20230315000496</x:v>
      </x:c>
      <x:c r="N2123" t="n">
        <x:v>45000.624999988424</x:v>
      </x:c>
      <x:c r="O2123" s="54" t="n">
        <x:v>44926</x:v>
      </x:c>
      <x:c r="P2123" t="str">
        <x:v>False</x:v>
      </x:c>
      <x:c r="Q2123" t="str">
        <x:v>590760555b24b8ca83f46bb6f947be08fef7998df137b8ee3a688eedd86cdad4</x:v>
      </x:c>
      <x:c r="R2123" t="str">
        <x:v>affd50f0a869764aadd98c32bf33a9c4839fc0d058b1aa9f359eb7a44a16139d</x:v>
      </x:c>
      <x:c r="S2123" t="n">
        <x:v>7</x:v>
      </x:c>
      <x:c r="T2123" t="str">
        <x:v>2018-12-31|2019-12-31|2020-12-31|2021-12-31|2022-12-31</x:v>
      </x:c>
      <x:c r="U2123" s="57" t="n">
        <x:v>1975.0427853653218</x:v>
      </x:c>
      <x:c r="V2123" s="57" t="n">
        <x:v>-0.6273504178555996</x:v>
      </x:c>
      <x:c r="W2123" t="n">
        <x:v>53</x:v>
      </x:c>
      <x:c r="X2123" t="n">
        <x:v>4</x:v>
      </x:c>
      <x:c r="Y2123" s="38" t="n">
        <x:v>0.6409090909090909</x:v>
      </x:c>
      <x:c r="Z2123" s="38" t="n">
        <x:v>0.6108028309188008</x:v>
      </x:c>
      <x:c r="AA2123"/>
    </x:row>
    <x:row r="2124">
      <x:c r="A2124" s="54" t="n">
        <x:v>45199</x:v>
      </x:c>
      <x:c r="B2124" t="n">
        <x:v>45199.624999988424</x:v>
      </x:c>
      <x:c r="C2124" t="str">
        <x:v>060900</x:v>
      </x:c>
      <x:c r="D2124" t="str">
        <x:v>DGP</x:v>
      </x:c>
      <x:c r="E2124" t="str">
        <x:v>KOSDAQ</x:v>
      </x:c>
      <x:c r="F2124" t="str">
        <x:v>SMALL</x:v>
      </x:c>
      <x:c r="G2124" t="str">
        <x:v>DCF_SCREENING_EXCLUSION</x:v>
      </x:c>
      <x:c r="H2124" t="str">
        <x:v>NON_POSITIVE_ENTERPRISE_VALUE|NON_POSITIVE_EQUITY_VALUE|NON_POSITIVE_TERMINAL_FCF</x:v>
      </x:c>
      <x:c r="I2124" s="54" t="n">
        <x:v>45196</x:v>
      </x:c>
      <x:c r="J2124" s="55" t="n">
        <x:v>2340</x:v>
      </x:c>
      <x:c r="K2124" s="55" t="n">
        <x:v>56305213380</x:v>
      </x:c>
      <x:c r="L2124" s="55" t="n">
        <x:v>24062057</x:v>
      </x:c>
      <x:c r="M2124" t="str">
        <x:v>20230321000921</x:v>
      </x:c>
      <x:c r="N2124" t="n">
        <x:v>45006.624999988424</x:v>
      </x:c>
      <x:c r="O2124" s="54" t="n">
        <x:v>44926</x:v>
      </x:c>
      <x:c r="P2124" t="str">
        <x:v>False</x:v>
      </x:c>
      <x:c r="Q2124" t="str">
        <x:v>a3a7b5a2b435fd1ddeaa245339b854f9c1ad877a4376efd00b89c8f1bfcede34</x:v>
      </x:c>
      <x:c r="R2124" t="str">
        <x:v>a2f71697d0cc88f729c4125813229441d6c19f22d3cf2ce257be7b61e0f35e7d</x:v>
      </x:c>
      <x:c r="S2124" t="n">
        <x:v>5</x:v>
      </x:c>
      <x:c r="T2124" t="str">
        <x:v>2018-12-31|2019-12-31|2021-12-31|2022-12-31</x:v>
      </x:c>
      <x:c r="U2124" s="57" t="n">
        <x:v>-2897.915723250415</x:v>
      </x:c>
      <x:c r="V2124" s="57" t="n">
        <x:v>-2.2384255227565877</x:v>
      </x:c>
      <x:c r="W2124"/>
      <x:c r="X2124"/>
      <x:c r="Y2124" s="38" t="n">
        <x:v>0.6409090909090909</x:v>
      </x:c>
      <x:c r="Z2124" s="38" t="n">
        <x:v>0.6877366627079367</x:v>
      </x:c>
      <x:c r="AA2124" t="str">
        <x:v>NON_POSITIVE_ENTERPRISE_VALUE|NON_POSITIVE_EQUITY_VALUE|NON_POSITIVE_TERMINAL_FCF</x:v>
      </x:c>
    </x:row>
    <x:row r="2125">
      <x:c r="A2125" s="54" t="n">
        <x:v>45199</x:v>
      </x:c>
      <x:c r="B2125" t="n">
        <x:v>45199.624999988424</x:v>
      </x:c>
      <x:c r="C2125" t="str">
        <x:v>232830</x:v>
      </x:c>
      <x:c r="D2125" t="str">
        <x:v>아이티센피엔에스</x:v>
      </x:c>
      <x:c r="E2125" t="str">
        <x:v>KOSDAQ</x:v>
      </x:c>
      <x:c r="F2125" t="str">
        <x:v>SMALL</x:v>
      </x:c>
      <x:c r="G2125" t="str">
        <x:v>NO_PIT_FINANCIALS</x:v>
      </x:c>
      <x:c r="H2125"/>
      <x:c r="I2125" s="54" t="n">
        <x:v>45196</x:v>
      </x:c>
      <x:c r="J2125" s="55" t="n">
        <x:v>3900</x:v>
      </x:c>
      <x:c r="K2125" s="55" t="n">
        <x:v>44910340800</x:v>
      </x:c>
      <x:c r="L2125" s="55" t="n">
        <x:v>11515472</x:v>
      </x:c>
      <x:c r="M2125"/>
      <x:c r="N2125"/>
      <x:c r="O2125" s="54"/>
      <x:c r="P2125"/>
      <x:c r="Q2125"/>
      <x:c r="R2125"/>
      <x:c r="S2125"/>
      <x:c r="T2125"/>
      <x:c r="U2125" s="57"/>
      <x:c r="V2125" s="57"/>
      <x:c r="W2125"/>
      <x:c r="X2125"/>
      <x:c r="Y2125" s="38"/>
      <x:c r="Z2125" s="38"/>
      <x:c r="AA2125"/>
    </x:row>
    <x:row r="2126">
      <x:c r="A2126" s="54" t="n">
        <x:v>45199</x:v>
      </x:c>
      <x:c r="B2126" t="n">
        <x:v>45199.624999988424</x:v>
      </x:c>
      <x:c r="C2126" t="str">
        <x:v>070590</x:v>
      </x:c>
      <x:c r="D2126" t="str">
        <x:v>한솔인티큐브</x:v>
      </x:c>
      <x:c r="E2126" t="str">
        <x:v>KOSDAQ</x:v>
      </x:c>
      <x:c r="F2126" t="str">
        <x:v>SMALL</x:v>
      </x:c>
      <x:c r="G2126" t="str">
        <x:v>DCF_SCREENING_EXCLUSION</x:v>
      </x:c>
      <x:c r="H2126" t="str">
        <x:v>NON_POSITIVE_ENTERPRISE_VALUE|NON_POSITIVE_EQUITY_VALUE|NON_POSITIVE_TERMINAL_FCF</x:v>
      </x:c>
      <x:c r="I2126" s="54" t="n">
        <x:v>45196</x:v>
      </x:c>
      <x:c r="J2126" s="55" t="n">
        <x:v>1838</x:v>
      </x:c>
      <x:c r="K2126" s="55" t="n">
        <x:v>25510559598</x:v>
      </x:c>
      <x:c r="L2126" s="55" t="n">
        <x:v>13879521</x:v>
      </x:c>
      <x:c r="M2126" t="str">
        <x:v>20230314001266</x:v>
      </x:c>
      <x:c r="N2126" t="n">
        <x:v>44999.624999988424</x:v>
      </x:c>
      <x:c r="O2126" s="54" t="n">
        <x:v>44926</x:v>
      </x:c>
      <x:c r="P2126" t="str">
        <x:v>False</x:v>
      </x:c>
      <x:c r="Q2126" t="str">
        <x:v>899914e2e79c458a718c1a2ff51257f7afda365621d0d454aaddec82cdcec43f</x:v>
      </x:c>
      <x:c r="R2126" t="str">
        <x:v>dcc64751a501c29d71ad971f9b229a75ea1a75dc19a4c00fab50c0d5b2a20898</x:v>
      </x:c>
      <x:c r="S2126" t="n">
        <x:v>6</x:v>
      </x:c>
      <x:c r="T2126" t="str">
        <x:v>2018-12-31|2019-12-31|2020-12-31|2021-12-31|2022-12-31</x:v>
      </x:c>
      <x:c r="U2126" s="57" t="n">
        <x:v>-854.2895297456943</x:v>
      </x:c>
      <x:c r="V2126" s="57" t="n">
        <x:v>-1.4647929976853613</x:v>
      </x:c>
      <x:c r="W2126"/>
      <x:c r="X2126"/>
      <x:c r="Y2126" s="38" t="n">
        <x:v>0.6409090909090909</x:v>
      </x:c>
      <x:c r="Z2126" s="38" t="n">
        <x:v>0.46660484779054157</x:v>
      </x:c>
      <x:c r="AA2126" t="str">
        <x:v>NON_POSITIVE_ENTERPRISE_VALUE|NON_POSITIVE_EQUITY_VALUE|NON_POSITIVE_TERMINAL_FCF</x:v>
      </x:c>
    </x:row>
    <x:row r="2127">
      <x:c r="A2127" s="54" t="n">
        <x:v>45199</x:v>
      </x:c>
      <x:c r="B2127" t="n">
        <x:v>45199.624999988424</x:v>
      </x:c>
      <x:c r="C2127" t="str">
        <x:v>163560</x:v>
      </x:c>
      <x:c r="D2127" t="str">
        <x:v>동일고무벨트</x:v>
      </x:c>
      <x:c r="E2127" t="str">
        <x:v>KOSPI</x:v>
      </x:c>
      <x:c r="F2127" t="str">
        <x:v>SMALL</x:v>
      </x:c>
      <x:c r="G2127" t="str">
        <x:v>ELIGIBLE</x:v>
      </x:c>
      <x:c r="H2127"/>
      <x:c r="I2127" s="54" t="n">
        <x:v>45196</x:v>
      </x:c>
      <x:c r="J2127" s="55" t="n">
        <x:v>6280</x:v>
      </x:c>
      <x:c r="K2127" s="55" t="n">
        <x:v>87292000000</x:v>
      </x:c>
      <x:c r="L2127" s="55" t="n">
        <x:v>13900000</x:v>
      </x:c>
      <x:c r="M2127" t="str">
        <x:v>20230314000884</x:v>
      </x:c>
      <x:c r="N2127" t="n">
        <x:v>44999.624999988424</x:v>
      </x:c>
      <x:c r="O2127" s="54" t="n">
        <x:v>44926</x:v>
      </x:c>
      <x:c r="P2127" t="str">
        <x:v>False</x:v>
      </x:c>
      <x:c r="Q2127" t="str">
        <x:v>e1af9e07f54b08b31e6319135c3557d45c47b7108d497a5ebef5a4c34391d077</x:v>
      </x:c>
      <x:c r="R2127" t="str">
        <x:v>d66a2a512ef36e9a8c618d56a66759390209677074b942d530d3e7ed873093fc</x:v>
      </x:c>
      <x:c r="S2127" t="n">
        <x:v>5</x:v>
      </x:c>
      <x:c r="T2127" t="str">
        <x:v>2018-12-31|2019-12-31|2020-12-31|2021-12-31|2022-12-31</x:v>
      </x:c>
      <x:c r="U2127" s="57" t="n">
        <x:v>3977.580104654106</x:v>
      </x:c>
      <x:c r="V2127" s="57" t="n">
        <x:v>-0.3666273718703653</x:v>
      </x:c>
      <x:c r="W2127" t="n">
        <x:v>39</x:v>
      </x:c>
      <x:c r="X2127" t="n">
        <x:v>3</x:v>
      </x:c>
      <x:c r="Y2127" s="38" t="n">
        <x:v>0.6409090909090909</x:v>
      </x:c>
      <x:c r="Z2127" s="38" t="n">
        <x:v>0.7515064542839399</x:v>
      </x:c>
      <x:c r="AA2127"/>
    </x:row>
    <x:row r="2128">
      <x:c r="A2128" s="54" t="n">
        <x:v>45199</x:v>
      </x:c>
      <x:c r="B2128" t="n">
        <x:v>45199.624999988424</x:v>
      </x:c>
      <x:c r="C2128" t="str">
        <x:v>004830</x:v>
      </x:c>
      <x:c r="D2128" t="str">
        <x:v>덕성</x:v>
      </x:c>
      <x:c r="E2128" t="str">
        <x:v>KOSPI</x:v>
      </x:c>
      <x:c r="F2128" t="str">
        <x:v>SMALL</x:v>
      </x:c>
      <x:c r="G2128" t="str">
        <x:v>ELIGIBLE</x:v>
      </x:c>
      <x:c r="H2128"/>
      <x:c r="I2128" s="54" t="n">
        <x:v>45196</x:v>
      </x:c>
      <x:c r="J2128" s="55" t="n">
        <x:v>6390</x:v>
      </x:c>
      <x:c r="K2128" s="55" t="n">
        <x:v>100195200000</x:v>
      </x:c>
      <x:c r="L2128" s="55" t="n">
        <x:v>15680000</x:v>
      </x:c>
      <x:c r="M2128" t="str">
        <x:v>20230317000725</x:v>
      </x:c>
      <x:c r="N2128" t="n">
        <x:v>45002.624999988424</x:v>
      </x:c>
      <x:c r="O2128" s="54" t="n">
        <x:v>44926</x:v>
      </x:c>
      <x:c r="P2128" t="str">
        <x:v>False</x:v>
      </x:c>
      <x:c r="Q2128" t="str">
        <x:v>f050cbf10b3afeec85fa14f52a00c27e024f1d4a8ba6e536874a3fbba610a8a9</x:v>
      </x:c>
      <x:c r="R2128" t="str">
        <x:v>97435f046c63b71b1e391f1bc6352312bbdaa33ab8ef3b6e2b3e3762477304d6</x:v>
      </x:c>
      <x:c r="S2128" t="n">
        <x:v>7</x:v>
      </x:c>
      <x:c r="T2128" t="str">
        <x:v>2018-12-31|2019-12-31|2020-12-31|2021-12-31|2022-12-31</x:v>
      </x:c>
      <x:c r="U2128" s="57" t="n">
        <x:v>2778.8065618787664</x:v>
      </x:c>
      <x:c r="V2128" s="57" t="n">
        <x:v>-0.5651319934462025</x:v>
      </x:c>
      <x:c r="W2128" t="n">
        <x:v>49</x:v>
      </x:c>
      <x:c r="X2128" t="n">
        <x:v>4</x:v>
      </x:c>
      <x:c r="Y2128" s="38" t="n">
        <x:v>0.6409090909090909</x:v>
      </x:c>
      <x:c r="Z2128" s="38" t="n">
        <x:v>0.6705959802185688</x:v>
      </x:c>
      <x:c r="AA2128"/>
    </x:row>
    <x:row r="2129">
      <x:c r="A2129" s="54" t="n">
        <x:v>45199</x:v>
      </x:c>
      <x:c r="B2129" t="n">
        <x:v>45199.624999988424</x:v>
      </x:c>
      <x:c r="C2129" t="str">
        <x:v>014440</x:v>
      </x:c>
      <x:c r="D2129" t="str">
        <x:v>영보화학</x:v>
      </x:c>
      <x:c r="E2129" t="str">
        <x:v>KOSPI</x:v>
      </x:c>
      <x:c r="F2129" t="str">
        <x:v>SMALL</x:v>
      </x:c>
      <x:c r="G2129" t="str">
        <x:v>ELIGIBLE</x:v>
      </x:c>
      <x:c r="H2129"/>
      <x:c r="I2129" s="54" t="n">
        <x:v>45196</x:v>
      </x:c>
      <x:c r="J2129" s="55" t="n">
        <x:v>3320</x:v>
      </x:c>
      <x:c r="K2129" s="55" t="n">
        <x:v>66400000000</x:v>
      </x:c>
      <x:c r="L2129" s="55" t="n">
        <x:v>20000000</x:v>
      </x:c>
      <x:c r="M2129" t="str">
        <x:v>20230315000345</x:v>
      </x:c>
      <x:c r="N2129" t="n">
        <x:v>45000.624999988424</x:v>
      </x:c>
      <x:c r="O2129" s="54" t="n">
        <x:v>44926</x:v>
      </x:c>
      <x:c r="P2129" t="str">
        <x:v>False</x:v>
      </x:c>
      <x:c r="Q2129" t="str">
        <x:v>d63d9fa8510e2308020934e7c0b199c248549e13d003ee246c6e1fc306e90076</x:v>
      </x:c>
      <x:c r="R2129" t="str">
        <x:v>81922ca1b6399cabf576ee59c1173b5c4ee55c697accad85ffeaa4a8ed2e7733</x:v>
      </x:c>
      <x:c r="S2129" t="n">
        <x:v>6</x:v>
      </x:c>
      <x:c r="T2129" t="str">
        <x:v>2018-12-31|2019-12-31|2020-12-31|2021-12-31|2022-12-31</x:v>
      </x:c>
      <x:c r="U2129" s="57" t="n">
        <x:v>2130.6598994347996</x:v>
      </x:c>
      <x:c r="V2129" s="57" t="n">
        <x:v>-0.3582349700497592</x:v>
      </x:c>
      <x:c r="W2129" t="n">
        <x:v>37</x:v>
      </x:c>
      <x:c r="X2129" t="n">
        <x:v>3</x:v>
      </x:c>
      <x:c r="Y2129" s="38" t="n">
        <x:v>0.6409090909090909</x:v>
      </x:c>
      <x:c r="Z2129" s="38" t="n">
        <x:v>0.36468053982794346</x:v>
      </x:c>
      <x:c r="AA2129"/>
    </x:row>
    <x:row r="2130">
      <x:c r="A2130" s="54" t="n">
        <x:v>45199</x:v>
      </x:c>
      <x:c r="B2130" t="n">
        <x:v>45199.624999988424</x:v>
      </x:c>
      <x:c r="C2130" t="str">
        <x:v>009180</x:v>
      </x:c>
      <x:c r="D2130" t="str">
        <x:v>한솔로지스틱스</x:v>
      </x:c>
      <x:c r="E2130" t="str">
        <x:v>KOSPI</x:v>
      </x:c>
      <x:c r="F2130" t="str">
        <x:v>SMALL</x:v>
      </x:c>
      <x:c r="G2130" t="str">
        <x:v>ELIGIBLE</x:v>
      </x:c>
      <x:c r="H2130"/>
      <x:c r="I2130" s="54" t="n">
        <x:v>45196</x:v>
      </x:c>
      <x:c r="J2130" s="55" t="n">
        <x:v>2370</x:v>
      </x:c>
      <x:c r="K2130" s="55" t="n">
        <x:v>65542409250</x:v>
      </x:c>
      <x:c r="L2130" s="55" t="n">
        <x:v>27655025</x:v>
      </x:c>
      <x:c r="M2130" t="str">
        <x:v>20230314000521</x:v>
      </x:c>
      <x:c r="N2130" t="n">
        <x:v>44999.624999988424</x:v>
      </x:c>
      <x:c r="O2130" s="54" t="n">
        <x:v>44926</x:v>
      </x:c>
      <x:c r="P2130" t="str">
        <x:v>False</x:v>
      </x:c>
      <x:c r="Q2130" t="str">
        <x:v>eda31c52b16b96a3d3e2e56f195008d48a51f3f4d471e61b08ff4bd7c3dc42d6</x:v>
      </x:c>
      <x:c r="R2130" t="str">
        <x:v>ce8fec0bf919a35953ce5bc0f7cbbdc0092795f1f90e71b58e263f9e988693d0</x:v>
      </x:c>
      <x:c r="S2130" t="n">
        <x:v>6</x:v>
      </x:c>
      <x:c r="T2130" t="str">
        <x:v>2018-12-31|2019-12-31|2020-12-31|2021-12-31|2022-12-31</x:v>
      </x:c>
      <x:c r="U2130" s="57" t="n">
        <x:v>7238.465243358078</x:v>
      </x:c>
      <x:c r="V2130" s="57" t="n">
        <x:v>2.054204744032944</x:v>
      </x:c>
      <x:c r="W2130" t="n">
        <x:v>10</x:v>
      </x:c>
      <x:c r="X2130" t="n">
        <x:v>1</x:v>
      </x:c>
      <x:c r="Y2130" s="38" t="n">
        <x:v>0.6409090909090909</x:v>
      </x:c>
      <x:c r="Z2130" s="38" t="n">
        <x:v>0.6119376603889574</x:v>
      </x:c>
      <x:c r="AA2130"/>
    </x:row>
    <x:row r="2131">
      <x:c r="A2131" s="54" t="n">
        <x:v>45199</x:v>
      </x:c>
      <x:c r="B2131" t="n">
        <x:v>45199.624999988424</x:v>
      </x:c>
      <x:c r="C2131" t="str">
        <x:v>004910</x:v>
      </x:c>
      <x:c r="D2131" t="str">
        <x:v>조광페인트</x:v>
      </x:c>
      <x:c r="E2131" t="str">
        <x:v>KOSPI</x:v>
      </x:c>
      <x:c r="F2131" t="str">
        <x:v>SMALL</x:v>
      </x:c>
      <x:c r="G2131" t="str">
        <x:v>DCF_SCREENING_EXCLUSION</x:v>
      </x:c>
      <x:c r="H2131" t="str">
        <x:v>NON_POSITIVE_ENTERPRISE_VALUE|NON_POSITIVE_EQUITY_VALUE|NON_POSITIVE_TERMINAL_FCF</x:v>
      </x:c>
      <x:c r="I2131" s="54" t="n">
        <x:v>45196</x:v>
      </x:c>
      <x:c r="J2131" s="55" t="n">
        <x:v>6530</x:v>
      </x:c>
      <x:c r="K2131" s="55" t="n">
        <x:v>83584000000</x:v>
      </x:c>
      <x:c r="L2131" s="55" t="n">
        <x:v>12800000</x:v>
      </x:c>
      <x:c r="M2131" t="str">
        <x:v>20230327000842</x:v>
      </x:c>
      <x:c r="N2131" t="n">
        <x:v>45012.624999988424</x:v>
      </x:c>
      <x:c r="O2131" s="54" t="n">
        <x:v>44926</x:v>
      </x:c>
      <x:c r="P2131" t="str">
        <x:v>True</x:v>
      </x:c>
      <x:c r="Q2131" t="str">
        <x:v>8502d6910c586d5bf2e3d05259b684f052a56334a5f78b3f50d899c463b910f1</x:v>
      </x:c>
      <x:c r="R2131" t="str">
        <x:v>1dd640a4399a83979d430ab8be09bcabb8ade99f67af583be6f90c51d46827ba</x:v>
      </x:c>
      <x:c r="S2131" t="n">
        <x:v>6</x:v>
      </x:c>
      <x:c r="T2131" t="str">
        <x:v>2018-12-31|2019-12-31|2020-12-31|2021-12-31|2022-12-31</x:v>
      </x:c>
      <x:c r="U2131" s="57" t="n">
        <x:v>-10700.587748293754</x:v>
      </x:c>
      <x:c r="V2131" s="57" t="n">
        <x:v>-2.638681125312979</x:v>
      </x:c>
      <x:c r="W2131"/>
      <x:c r="X2131"/>
      <x:c r="Y2131" s="38" t="n">
        <x:v>0.6409090909090909</x:v>
      </x:c>
      <x:c r="Z2131" s="38" t="n">
        <x:v>0.621631928643766</x:v>
      </x:c>
      <x:c r="AA2131" t="str">
        <x:v>NON_POSITIVE_ENTERPRISE_VALUE|NON_POSITIVE_EQUITY_VALUE|NON_POSITIVE_TERMINAL_FCF</x:v>
      </x:c>
    </x:row>
    <x:row r="2132">
      <x:c r="A2132" s="54" t="n">
        <x:v>45199</x:v>
      </x:c>
      <x:c r="B2132" t="n">
        <x:v>45199.624999988424</x:v>
      </x:c>
      <x:c r="C2132" t="str">
        <x:v>004870</x:v>
      </x:c>
      <x:c r="D2132" t="str">
        <x:v>티웨이홀딩스</x:v>
      </x:c>
      <x:c r="E2132" t="str">
        <x:v>KOSPI</x:v>
      </x:c>
      <x:c r="F2132" t="str">
        <x:v>SMALL</x:v>
      </x:c>
      <x:c r="G2132" t="str">
        <x:v>EXCLUDED_ARCHETYPE</x:v>
      </x:c>
      <x:c r="H2132" t="str">
        <x:v>FCFF_NOT_COMPARABLE_FOR_FINANCE_OR_HOLDING_HINT</x:v>
      </x:c>
      <x:c r="I2132" s="54"/>
      <x:c r="J2132" s="55"/>
      <x:c r="K2132" s="55"/>
      <x:c r="L2132" s="55"/>
      <x:c r="M2132"/>
      <x:c r="N2132"/>
      <x:c r="O2132" s="54"/>
      <x:c r="P2132"/>
      <x:c r="Q2132"/>
      <x:c r="R2132"/>
      <x:c r="S2132"/>
      <x:c r="T2132"/>
      <x:c r="U2132" s="57"/>
      <x:c r="V2132" s="57"/>
      <x:c r="W2132"/>
      <x:c r="X2132"/>
      <x:c r="Y2132" s="38"/>
      <x:c r="Z2132" s="38"/>
      <x:c r="AA2132"/>
    </x:row>
    <x:row r="2133">
      <x:c r="A2133" s="54" t="n">
        <x:v>45199</x:v>
      </x:c>
      <x:c r="B2133" t="n">
        <x:v>45199.624999988424</x:v>
      </x:c>
      <x:c r="C2133" t="str">
        <x:v>010770</x:v>
      </x:c>
      <x:c r="D2133" t="str">
        <x:v>평화홀딩스</x:v>
      </x:c>
      <x:c r="E2133" t="str">
        <x:v>KOSPI</x:v>
      </x:c>
      <x:c r="F2133" t="str">
        <x:v>SMALL</x:v>
      </x:c>
      <x:c r="G2133" t="str">
        <x:v>EXCLUDED_ARCHETYPE</x:v>
      </x:c>
      <x:c r="H2133" t="str">
        <x:v>FCFF_NOT_COMPARABLE_FOR_FINANCE_OR_HOLDING_HINT</x:v>
      </x:c>
      <x:c r="I2133" s="54"/>
      <x:c r="J2133" s="55"/>
      <x:c r="K2133" s="55"/>
      <x:c r="L2133" s="55"/>
      <x:c r="M2133"/>
      <x:c r="N2133"/>
      <x:c r="O2133" s="54"/>
      <x:c r="P2133"/>
      <x:c r="Q2133"/>
      <x:c r="R2133"/>
      <x:c r="S2133"/>
      <x:c r="T2133"/>
      <x:c r="U2133" s="57"/>
      <x:c r="V2133" s="57"/>
      <x:c r="W2133"/>
      <x:c r="X2133"/>
      <x:c r="Y2133" s="38"/>
      <x:c r="Z2133" s="38"/>
      <x:c r="AA2133"/>
    </x:row>
    <x:row r="2134">
      <x:c r="A2134" s="54" t="n">
        <x:v>45199</x:v>
      </x:c>
      <x:c r="B2134" t="n">
        <x:v>45199.624999988424</x:v>
      </x:c>
      <x:c r="C2134" t="str">
        <x:v>001290</x:v>
      </x:c>
      <x:c r="D2134" t="str">
        <x:v>상상인증권</x:v>
      </x:c>
      <x:c r="E2134" t="str">
        <x:v>KOSPI</x:v>
      </x:c>
      <x:c r="F2134" t="str">
        <x:v>SMALL</x:v>
      </x:c>
      <x:c r="G2134" t="str">
        <x:v>EXCLUDED_ARCHETYPE</x:v>
      </x:c>
      <x:c r="H2134" t="str">
        <x:v>FCFF_NOT_COMPARABLE_FOR_FINANCE_OR_HOLDING_HINT</x:v>
      </x:c>
      <x:c r="I2134" s="54"/>
      <x:c r="J2134" s="55"/>
      <x:c r="K2134" s="55"/>
      <x:c r="L2134" s="55"/>
      <x:c r="M2134"/>
      <x:c r="N2134"/>
      <x:c r="O2134" s="54"/>
      <x:c r="P2134"/>
      <x:c r="Q2134"/>
      <x:c r="R2134"/>
      <x:c r="S2134"/>
      <x:c r="T2134"/>
      <x:c r="U2134" s="57"/>
      <x:c r="V2134" s="57"/>
      <x:c r="W2134"/>
      <x:c r="X2134"/>
      <x:c r="Y2134" s="38"/>
      <x:c r="Z2134" s="38"/>
      <x:c r="AA2134"/>
    </x:row>
    <x:row r="2135">
      <x:c r="A2135" s="54" t="n">
        <x:v>45199</x:v>
      </x:c>
      <x:c r="B2135" t="n">
        <x:v>45199.624999988424</x:v>
      </x:c>
      <x:c r="C2135" t="str">
        <x:v>047400</x:v>
      </x:c>
      <x:c r="D2135" t="str">
        <x:v>유니온머티리얼</x:v>
      </x:c>
      <x:c r="E2135" t="str">
        <x:v>KOSPI</x:v>
      </x:c>
      <x:c r="F2135" t="str">
        <x:v>SMALL</x:v>
      </x:c>
      <x:c r="G2135" t="str">
        <x:v>DCF_SCREENING_EXCLUSION</x:v>
      </x:c>
      <x:c r="H2135" t="str">
        <x:v>NON_POSITIVE_ENTERPRISE_VALUE|NON_POSITIVE_EQUITY_VALUE|NON_POSITIVE_TERMINAL_FCF</x:v>
      </x:c>
      <x:c r="I2135" s="54" t="n">
        <x:v>45196</x:v>
      </x:c>
      <x:c r="J2135" s="55" t="n">
        <x:v>2925</x:v>
      </x:c>
      <x:c r="K2135" s="55" t="n">
        <x:v>122850000000</x:v>
      </x:c>
      <x:c r="L2135" s="55" t="n">
        <x:v>42000000</x:v>
      </x:c>
      <x:c r="M2135" t="str">
        <x:v>20230324001267</x:v>
      </x:c>
      <x:c r="N2135" t="n">
        <x:v>45009.624999988424</x:v>
      </x:c>
      <x:c r="O2135" s="54" t="n">
        <x:v>44926</x:v>
      </x:c>
      <x:c r="P2135" t="str">
        <x:v>True</x:v>
      </x:c>
      <x:c r="Q2135" t="str">
        <x:v>2fe21c6c793277208fdb903e1ac031307cc7fd58266bbcbfa97d286a2543249a</x:v>
      </x:c>
      <x:c r="R2135" t="str">
        <x:v>7a51fb1b984cedb138d1b7687c971f44dda3a8afbc9b997862ad42c11ce28bea</x:v>
      </x:c>
      <x:c r="S2135" t="n">
        <x:v>7</x:v>
      </x:c>
      <x:c r="T2135" t="str">
        <x:v>2018-12-31|2019-12-31|2020-12-31|2021-12-31|2022-12-31</x:v>
      </x:c>
      <x:c r="U2135" s="57" t="n">
        <x:v>-3742.3773333717227</x:v>
      </x:c>
      <x:c r="V2135" s="57" t="n">
        <x:v>-2.2794452421783666</x:v>
      </x:c>
      <x:c r="W2135"/>
      <x:c r="X2135"/>
      <x:c r="Y2135" s="38" t="n">
        <x:v>0.6409090909090909</x:v>
      </x:c>
      <x:c r="Z2135" s="38" t="n">
        <x:v>0.6301308421759896</x:v>
      </x:c>
      <x:c r="AA2135" t="str">
        <x:v>NON_POSITIVE_ENTERPRISE_VALUE|NON_POSITIVE_EQUITY_VALUE|NON_POSITIVE_TERMINAL_FCF</x:v>
      </x:c>
    </x:row>
    <x:row r="2136">
      <x:c r="A2136" s="54" t="n">
        <x:v>45199</x:v>
      </x:c>
      <x:c r="B2136" t="n">
        <x:v>45199.624999988424</x:v>
      </x:c>
      <x:c r="C2136" t="str">
        <x:v>011300</x:v>
      </x:c>
      <x:c r="D2136" t="str">
        <x:v>성안머티리얼스</x:v>
      </x:c>
      <x:c r="E2136" t="str">
        <x:v>KOSPI</x:v>
      </x:c>
      <x:c r="F2136" t="str">
        <x:v>SMALL</x:v>
      </x:c>
      <x:c r="G2136" t="str">
        <x:v>DCF_SCREENING_EXCLUSION</x:v>
      </x:c>
      <x:c r="H2136" t="str">
        <x:v>NON_POSITIVE_ENTERPRISE_VALUE|NON_POSITIVE_EQUITY_VALUE|NON_POSITIVE_TERMINAL_FCF|UNRELIABLE_TERMINAL_VALUE_SHARE</x:v>
      </x:c>
      <x:c r="I2136" s="54" t="n">
        <x:v>45196</x:v>
      </x:c>
      <x:c r="J2136" s="55" t="n">
        <x:v>2365</x:v>
      </x:c>
      <x:c r="K2136" s="55" t="n">
        <x:v>159285226155</x:v>
      </x:c>
      <x:c r="L2136" s="55" t="n">
        <x:v>67351047</x:v>
      </x:c>
      <x:c r="M2136" t="str">
        <x:v>20230322000752</x:v>
      </x:c>
      <x:c r="N2136" t="n">
        <x:v>45007.624999988424</x:v>
      </x:c>
      <x:c r="O2136" s="54" t="n">
        <x:v>44926</x:v>
      </x:c>
      <x:c r="P2136" t="str">
        <x:v>False</x:v>
      </x:c>
      <x:c r="Q2136" t="str">
        <x:v>f2b859668663c8feee6c9246f1b1aa5864a20a9088ea52451a4aacadd065dffc</x:v>
      </x:c>
      <x:c r="R2136" t="str">
        <x:v>77774899877e09c0656baeff358971b9e241494b9ecd3a7c7ab5c9b79ae07b96</x:v>
      </x:c>
      <x:c r="S2136" t="n">
        <x:v>7</x:v>
      </x:c>
      <x:c r="T2136" t="str">
        <x:v>2018-12-31|2019-12-31|2020-12-31|2021-12-31|2022-12-31</x:v>
      </x:c>
      <x:c r="U2136" s="57" t="n">
        <x:v>-421.8011039518651</x:v>
      </x:c>
      <x:c r="V2136" s="57" t="n">
        <x:v>-1.1783514181614652</x:v>
      </x:c>
      <x:c r="W2136"/>
      <x:c r="X2136"/>
      <x:c r="Y2136" s="38" t="n">
        <x:v>0.6409090909090909</x:v>
      </x:c>
      <x:c r="Z2136" s="38" t="n">
        <x:v>0.8570330924845574</x:v>
      </x:c>
      <x:c r="AA2136" t="str">
        <x:v>NON_POSITIVE_ENTERPRISE_VALUE|NON_POSITIVE_EQUITY_VALUE|NON_POSITIVE_TERMINAL_FCF|UNRELIABLE_TERMINAL_VALUE_SHARE</x:v>
      </x:c>
    </x:row>
    <x:row r="2137">
      <x:c r="A2137" s="54" t="n">
        <x:v>45199</x:v>
      </x:c>
      <x:c r="B2137" t="n">
        <x:v>45199.624999988424</x:v>
      </x:c>
      <x:c r="C2137" t="str">
        <x:v>018500</x:v>
      </x:c>
      <x:c r="D2137" t="str">
        <x:v>동원금속</x:v>
      </x:c>
      <x:c r="E2137" t="str">
        <x:v>KOSPI</x:v>
      </x:c>
      <x:c r="F2137" t="str">
        <x:v>SMALL</x:v>
      </x:c>
      <x:c r="G2137" t="str">
        <x:v>DCF_SCREENING_EXCLUSION</x:v>
      </x:c>
      <x:c r="H2137" t="str">
        <x:v>NON_POSITIVE_ENTERPRISE_VALUE|NON_POSITIVE_EQUITY_VALUE|NON_POSITIVE_TERMINAL_FCF|UNRELIABLE_TERMINAL_VALUE_SHARE</x:v>
      </x:c>
      <x:c r="I2137" s="54" t="n">
        <x:v>45196</x:v>
      </x:c>
      <x:c r="J2137" s="55" t="n">
        <x:v>1691</x:v>
      </x:c>
      <x:c r="K2137" s="55" t="n">
        <x:v>79062591703</x:v>
      </x:c>
      <x:c r="L2137" s="55" t="n">
        <x:v>46754933</x:v>
      </x:c>
      <x:c r="M2137" t="str">
        <x:v>20230620000249</x:v>
      </x:c>
      <x:c r="N2137" t="n">
        <x:v>45097.624999988424</x:v>
      </x:c>
      <x:c r="O2137" s="54" t="n">
        <x:v>45016</x:v>
      </x:c>
      <x:c r="P2137" t="str">
        <x:v>False</x:v>
      </x:c>
      <x:c r="Q2137" t="str">
        <x:v>f1862c7baa29ecebf9f6df1b59409dbe47c0abda6c18f53beea55fe21b2b9d5b</x:v>
      </x:c>
      <x:c r="R2137" t="str">
        <x:v>d1fa046b7d256a0b8d7f4944a0565f94f6ebfef213ee9bec3fb5f8ef8c529f7c</x:v>
      </x:c>
      <x:c r="S2137" t="n">
        <x:v>6</x:v>
      </x:c>
      <x:c r="T2137" t="str">
        <x:v>2019-03-31|2020-03-31|2021-03-31|2022-03-31|2023-03-31</x:v>
      </x:c>
      <x:c r="U2137" s="57" t="n">
        <x:v>-3365.698917189611</x:v>
      </x:c>
      <x:c r="V2137" s="57" t="n">
        <x:v>-2.9903600929566</x:v>
      </x:c>
      <x:c r="W2137"/>
      <x:c r="X2137"/>
      <x:c r="Y2137" s="38" t="n">
        <x:v>0.6409090909090909</x:v>
      </x:c>
      <x:c r="Z2137" s="38" t="n">
        <x:v>2.772612621643133</x:v>
      </x:c>
      <x:c r="AA2137" t="str">
        <x:v>NON_POSITIVE_ENTERPRISE_VALUE|NON_POSITIVE_EQUITY_VALUE|NON_POSITIVE_TERMINAL_FCF|UNRELIABLE_TERMINAL_VALUE_SHARE</x:v>
      </x:c>
    </x:row>
    <x:row r="2138">
      <x:c r="A2138" s="54" t="n">
        <x:v>45199</x:v>
      </x:c>
      <x:c r="B2138" t="n">
        <x:v>45199.624999988424</x:v>
      </x:c>
      <x:c r="C2138" t="str">
        <x:v>004770</x:v>
      </x:c>
      <x:c r="D2138" t="str">
        <x:v>써니전자</x:v>
      </x:c>
      <x:c r="E2138" t="str">
        <x:v>KOSPI</x:v>
      </x:c>
      <x:c r="F2138" t="str">
        <x:v>SMALL</x:v>
      </x:c>
      <x:c r="G2138" t="str">
        <x:v>ELIGIBLE</x:v>
      </x:c>
      <x:c r="H2138"/>
      <x:c r="I2138" s="54" t="n">
        <x:v>45196</x:v>
      </x:c>
      <x:c r="J2138" s="55" t="n">
        <x:v>2300</x:v>
      </x:c>
      <x:c r="K2138" s="55" t="n">
        <x:v>80143525300</x:v>
      </x:c>
      <x:c r="L2138" s="55" t="n">
        <x:v>34845011</x:v>
      </x:c>
      <x:c r="M2138" t="str">
        <x:v>20230317001042</x:v>
      </x:c>
      <x:c r="N2138" t="n">
        <x:v>45002.624999988424</x:v>
      </x:c>
      <x:c r="O2138" s="54" t="n">
        <x:v>44926</x:v>
      </x:c>
      <x:c r="P2138" t="str">
        <x:v>False</x:v>
      </x:c>
      <x:c r="Q2138" t="str">
        <x:v>cc9e18e07201573391b9e0b596098d83df19d635decd3634aaca4e044673cc53</x:v>
      </x:c>
      <x:c r="R2138" t="str">
        <x:v>c4c3ad3e6350fc26daab1924af6861fbb1b5d3a130f4f366730dada5ee778d80</x:v>
      </x:c>
      <x:c r="S2138" t="n">
        <x:v>6</x:v>
      </x:c>
      <x:c r="T2138" t="str">
        <x:v>2018-12-31|2019-12-31|2020-12-31|2021-12-31|2022-12-31</x:v>
      </x:c>
      <x:c r="U2138" s="57" t="n">
        <x:v>478.2864764367982</x:v>
      </x:c>
      <x:c r="V2138" s="57" t="n">
        <x:v>-0.7920493580709573</x:v>
      </x:c>
      <x:c r="W2138" t="n">
        <x:v>62</x:v>
      </x:c>
      <x:c r="X2138" t="n">
        <x:v>5</x:v>
      </x:c>
      <x:c r="Y2138" s="38" t="n">
        <x:v>0.6409090909090909</x:v>
      </x:c>
      <x:c r="Z2138" s="38" t="n">
        <x:v>0.6315063926884522</x:v>
      </x:c>
      <x:c r="AA2138"/>
    </x:row>
    <x:row r="2139">
      <x:c r="A2139" s="54" t="n">
        <x:v>45199</x:v>
      </x:c>
      <x:c r="B2139" t="n">
        <x:v>45199.624999988424</x:v>
      </x:c>
      <x:c r="C2139" t="str">
        <x:v>000890</x:v>
      </x:c>
      <x:c r="D2139" t="str">
        <x:v>보해양조</x:v>
      </x:c>
      <x:c r="E2139" t="str">
        <x:v>KOSPI</x:v>
      </x:c>
      <x:c r="F2139" t="str">
        <x:v>SMALL</x:v>
      </x:c>
      <x:c r="G2139" t="str">
        <x:v>DCF_SCREENING_EXCLUSION</x:v>
      </x:c>
      <x:c r="H2139" t="str">
        <x:v>NON_POSITIVE_ENTERPRISE_VALUE|NON_POSITIVE_EQUITY_VALUE|NON_POSITIVE_TERMINAL_FCF</x:v>
      </x:c>
      <x:c r="I2139" s="54" t="n">
        <x:v>45196</x:v>
      </x:c>
      <x:c r="J2139" s="55" t="n">
        <x:v>528</x:v>
      </x:c>
      <x:c r="K2139" s="55" t="n">
        <x:v>73455428112</x:v>
      </x:c>
      <x:c r="L2139" s="55" t="n">
        <x:v>139120129</x:v>
      </x:c>
      <x:c r="M2139" t="str">
        <x:v>20230321001480</x:v>
      </x:c>
      <x:c r="N2139" t="n">
        <x:v>45006.624999988424</x:v>
      </x:c>
      <x:c r="O2139" s="54" t="n">
        <x:v>44926</x:v>
      </x:c>
      <x:c r="P2139" t="str">
        <x:v>False</x:v>
      </x:c>
      <x:c r="Q2139" t="str">
        <x:v>139d1d577ce9fe237dde0faae0b9a2fa06044da3bca94cf24b02b00bfdd1d3e9</x:v>
      </x:c>
      <x:c r="R2139" t="str">
        <x:v>09575fe14abe819fb5a535e55c31e0ef8a1afa13684e489b978f22528599458c</x:v>
      </x:c>
      <x:c r="S2139" t="n">
        <x:v>6</x:v>
      </x:c>
      <x:c r="T2139" t="str">
        <x:v>2018-12-31|2019-12-31|2020-12-31|2021-12-31|2022-12-31</x:v>
      </x:c>
      <x:c r="U2139" s="57" t="n">
        <x:v>-171.03486766784357</x:v>
      </x:c>
      <x:c r="V2139" s="57" t="n">
        <x:v>-1.3239296736133401</x:v>
      </x:c>
      <x:c r="W2139"/>
      <x:c r="X2139"/>
      <x:c r="Y2139" s="38" t="n">
        <x:v>0.6409090909090909</x:v>
      </x:c>
      <x:c r="Z2139" s="38" t="n">
        <x:v>0.6078481490190666</x:v>
      </x:c>
      <x:c r="AA2139" t="str">
        <x:v>NON_POSITIVE_ENTERPRISE_VALUE|NON_POSITIVE_EQUITY_VALUE|NON_POSITIVE_TERMINAL_FCF</x:v>
      </x:c>
    </x:row>
    <x:row r="2140">
      <x:c r="A2140" s="54" t="n">
        <x:v>45199</x:v>
      </x:c>
      <x:c r="B2140" t="n">
        <x:v>45199.624999988424</x:v>
      </x:c>
      <x:c r="C2140" t="str">
        <x:v>021050</x:v>
      </x:c>
      <x:c r="D2140" t="str">
        <x:v>서원</x:v>
      </x:c>
      <x:c r="E2140" t="str">
        <x:v>KOSPI</x:v>
      </x:c>
      <x:c r="F2140" t="str">
        <x:v>SMALL</x:v>
      </x:c>
      <x:c r="G2140" t="str">
        <x:v>DCF_SCREENING_EXCLUSION</x:v>
      </x:c>
      <x:c r="H2140" t="str">
        <x:v>NON_POSITIVE_EQUITY_VALUE|UNRELIABLE_TERMINAL_VALUE_SHARE</x:v>
      </x:c>
      <x:c r="I2140" s="54" t="n">
        <x:v>45196</x:v>
      </x:c>
      <x:c r="J2140" s="55" t="n">
        <x:v>1760</x:v>
      </x:c>
      <x:c r="K2140" s="55" t="n">
        <x:v>83555278400</x:v>
      </x:c>
      <x:c r="L2140" s="55" t="n">
        <x:v>47474590</x:v>
      </x:c>
      <x:c r="M2140" t="str">
        <x:v>20230323000835</x:v>
      </x:c>
      <x:c r="N2140" t="n">
        <x:v>45008.624999988424</x:v>
      </x:c>
      <x:c r="O2140" s="54" t="n">
        <x:v>44926</x:v>
      </x:c>
      <x:c r="P2140" t="str">
        <x:v>False</x:v>
      </x:c>
      <x:c r="Q2140" t="str">
        <x:v>a9cc558dee1f1305ae3ff0663d41defa1f6c94547971900ba1a7e0ad20fc702e</x:v>
      </x:c>
      <x:c r="R2140" t="str">
        <x:v>b466aa7ddb7ebf232b058aab9a5d041f6a13b1b5d8600109ff915ec56721faea</x:v>
      </x:c>
      <x:c r="S2140" t="n">
        <x:v>6</x:v>
      </x:c>
      <x:c r="T2140" t="str">
        <x:v>2018-12-31|2019-12-31|2020-12-31|2021-12-31|2022-12-31</x:v>
      </x:c>
      <x:c r="U2140" s="57" t="n">
        <x:v>-950.9042094502876</x:v>
      </x:c>
      <x:c r="V2140" s="57" t="n">
        <x:v>-1.540286482642209</x:v>
      </x:c>
      <x:c r="W2140"/>
      <x:c r="X2140"/>
      <x:c r="Y2140" s="38" t="n">
        <x:v>0.6409090909090909</x:v>
      </x:c>
      <x:c r="Z2140" s="38" t="n">
        <x:v>0.9131362731117916</x:v>
      </x:c>
      <x:c r="AA2140" t="str">
        <x:v>NON_POSITIVE_EQUITY_VALUE|UNRELIABLE_TERMINAL_VALUE_SHARE</x:v>
      </x:c>
    </x:row>
    <x:row r="2141">
      <x:c r="A2141" s="54" t="n">
        <x:v>45199</x:v>
      </x:c>
      <x:c r="B2141" t="n">
        <x:v>45199.624999988424</x:v>
      </x:c>
      <x:c r="C2141" t="str">
        <x:v>134790</x:v>
      </x:c>
      <x:c r="D2141" t="str">
        <x:v>시디즈</x:v>
      </x:c>
      <x:c r="E2141" t="str">
        <x:v>KOSPI</x:v>
      </x:c>
      <x:c r="F2141" t="str">
        <x:v>SMALL</x:v>
      </x:c>
      <x:c r="G2141" t="str">
        <x:v>DCF_SCREENING_EXCLUSION</x:v>
      </x:c>
      <x:c r="H2141" t="str">
        <x:v>UNRELIABLE_TERMINAL_VALUE_SHARE</x:v>
      </x:c>
      <x:c r="I2141" s="54" t="n">
        <x:v>45196</x:v>
      </x:c>
      <x:c r="J2141" s="55" t="n">
        <x:v>28550</x:v>
      </x:c>
      <x:c r="K2141" s="55" t="n">
        <x:v>57100000000</x:v>
      </x:c>
      <x:c r="L2141" s="55" t="n">
        <x:v>2000000</x:v>
      </x:c>
      <x:c r="M2141" t="str">
        <x:v>20230316001196</x:v>
      </x:c>
      <x:c r="N2141" t="n">
        <x:v>45001.624999988424</x:v>
      </x:c>
      <x:c r="O2141" s="54" t="n">
        <x:v>44926</x:v>
      </x:c>
      <x:c r="P2141" t="str">
        <x:v>False</x:v>
      </x:c>
      <x:c r="Q2141" t="str">
        <x:v>24bdedb0d2af1bd974749f3ba26d6be1909c02eec1bbc671d567d6cdcfd329fe</x:v>
      </x:c>
      <x:c r="R2141" t="str">
        <x:v>c16e31fd1b5ca96ef0b56ac9b587438cec86a4439b9c1d1443e546566374f176</x:v>
      </x:c>
      <x:c r="S2141" t="n">
        <x:v>6</x:v>
      </x:c>
      <x:c r="T2141" t="str">
        <x:v>2018-12-31|2019-12-31|2020-12-31|2021-12-31|2022-12-31</x:v>
      </x:c>
      <x:c r="U2141" s="57" t="n">
        <x:v>37714.33973836483</x:v>
      </x:c>
      <x:c r="V2141" s="57" t="n">
        <x:v>0.3209926353192587</x:v>
      </x:c>
      <x:c r="W2141"/>
      <x:c r="X2141"/>
      <x:c r="Y2141" s="38" t="n">
        <x:v>0.6409090909090909</x:v>
      </x:c>
      <x:c r="Z2141" s="38" t="n">
        <x:v>0.8882535263746824</x:v>
      </x:c>
      <x:c r="AA2141" t="str">
        <x:v>UNRELIABLE_TERMINAL_VALUE_SHARE</x:v>
      </x:c>
    </x:row>
    <x:row r="2142">
      <x:c r="A2142" s="54" t="n">
        <x:v>45199</x:v>
      </x:c>
      <x:c r="B2142" t="n">
        <x:v>45199.624999988424</x:v>
      </x:c>
      <x:c r="C2142" t="str">
        <x:v>004920</x:v>
      </x:c>
      <x:c r="D2142" t="str">
        <x:v>씨아이테크</x:v>
      </x:c>
      <x:c r="E2142" t="str">
        <x:v>KOSPI</x:v>
      </x:c>
      <x:c r="F2142" t="str">
        <x:v>SMALL</x:v>
      </x:c>
      <x:c r="G2142" t="str">
        <x:v>DCF_SCREENING_EXCLUSION</x:v>
      </x:c>
      <x:c r="H2142" t="str">
        <x:v>NON_POSITIVE_ENTERPRISE_VALUE|NON_POSITIVE_EQUITY_VALUE|NON_POSITIVE_TERMINAL_FCF</x:v>
      </x:c>
      <x:c r="I2142" s="54" t="n">
        <x:v>45196</x:v>
      </x:c>
      <x:c r="J2142" s="55" t="n">
        <x:v>1900</x:v>
      </x:c>
      <x:c r="K2142" s="55" t="n">
        <x:v>93985012400</x:v>
      </x:c>
      <x:c r="L2142" s="55" t="n">
        <x:v>49465796</x:v>
      </x:c>
      <x:c r="M2142" t="str">
        <x:v>20230320000388</x:v>
      </x:c>
      <x:c r="N2142" t="n">
        <x:v>45005.624999988424</x:v>
      </x:c>
      <x:c r="O2142" s="54" t="n">
        <x:v>44926</x:v>
      </x:c>
      <x:c r="P2142" t="str">
        <x:v>False</x:v>
      </x:c>
      <x:c r="Q2142" t="str">
        <x:v>9d171d492d7f298cc2edf609b66dec5acde94c9a7fd778fd9b9fdec668887cd8</x:v>
      </x:c>
      <x:c r="R2142" t="str">
        <x:v>9302036e2699fc3141df99cf16ef66f975b5f1d676b5bebd06e6278c021f59d3</x:v>
      </x:c>
      <x:c r="S2142" t="n">
        <x:v>6</x:v>
      </x:c>
      <x:c r="T2142" t="str">
        <x:v>2018-12-31|2019-12-31|2020-12-31|2021-12-31|2022-12-31</x:v>
      </x:c>
      <x:c r="U2142" s="57" t="n">
        <x:v>-1052.6685761064919</x:v>
      </x:c>
      <x:c r="V2142" s="57" t="n">
        <x:v>-1.5540360926876273</x:v>
      </x:c>
      <x:c r="W2142"/>
      <x:c r="X2142"/>
      <x:c r="Y2142" s="38" t="n">
        <x:v>0.6409090909090909</x:v>
      </x:c>
      <x:c r="Z2142" s="38" t="n">
        <x:v>0.6703860416593708</x:v>
      </x:c>
      <x:c r="AA2142" t="str">
        <x:v>NON_POSITIVE_ENTERPRISE_VALUE|NON_POSITIVE_EQUITY_VALUE|NON_POSITIVE_TERMINAL_FCF</x:v>
      </x:c>
    </x:row>
    <x:row r="2143">
      <x:c r="A2143" s="54" t="n">
        <x:v>45199</x:v>
      </x:c>
      <x:c r="B2143" t="n">
        <x:v>45199.624999988424</x:v>
      </x:c>
      <x:c r="C2143" t="str">
        <x:v>058730</x:v>
      </x:c>
      <x:c r="D2143" t="str">
        <x:v>다스코</x:v>
      </x:c>
      <x:c r="E2143" t="str">
        <x:v>KOSPI</x:v>
      </x:c>
      <x:c r="F2143" t="str">
        <x:v>SMALL</x:v>
      </x:c>
      <x:c r="G2143" t="str">
        <x:v>DCF_SCREENING_EXCLUSION</x:v>
      </x:c>
      <x:c r="H2143" t="str">
        <x:v>NON_POSITIVE_ENTERPRISE_VALUE|NON_POSITIVE_EQUITY_VALUE|NON_POSITIVE_TERMINAL_FCF</x:v>
      </x:c>
      <x:c r="I2143" s="54" t="n">
        <x:v>45196</x:v>
      </x:c>
      <x:c r="J2143" s="55" t="n">
        <x:v>4440</x:v>
      </x:c>
      <x:c r="K2143" s="55" t="n">
        <x:v>86122418040</x:v>
      </x:c>
      <x:c r="L2143" s="55" t="n">
        <x:v>19396941</x:v>
      </x:c>
      <x:c r="M2143" t="str">
        <x:v>20230321001293</x:v>
      </x:c>
      <x:c r="N2143" t="n">
        <x:v>45006.624999988424</x:v>
      </x:c>
      <x:c r="O2143" s="54" t="n">
        <x:v>44926</x:v>
      </x:c>
      <x:c r="P2143" t="str">
        <x:v>False</x:v>
      </x:c>
      <x:c r="Q2143" t="str">
        <x:v>a93853e5b96927c3c21ed5c838b1026b278911aeef0d4c2f05f47251dc97e9fc</x:v>
      </x:c>
      <x:c r="R2143" t="str">
        <x:v>2e4d57025ded24437f0e3d40c2f540317ac0eca5a5741d1d78ea98501347bc29</x:v>
      </x:c>
      <x:c r="S2143" t="n">
        <x:v>7</x:v>
      </x:c>
      <x:c r="T2143" t="str">
        <x:v>2019-12-31|2020-12-31|2021-12-31|2022-12-31</x:v>
      </x:c>
      <x:c r="U2143" s="57" t="n">
        <x:v>-3657.238297158266</x:v>
      </x:c>
      <x:c r="V2143" s="57" t="n">
        <x:v>-1.8237023191797896</x:v>
      </x:c>
      <x:c r="W2143"/>
      <x:c r="X2143"/>
      <x:c r="Y2143" s="38" t="n">
        <x:v>0.6409090909090909</x:v>
      </x:c>
      <x:c r="Z2143" s="38" t="n">
        <x:v>0.7137548445491458</x:v>
      </x:c>
      <x:c r="AA2143" t="str">
        <x:v>NON_POSITIVE_ENTERPRISE_VALUE|NON_POSITIVE_EQUITY_VALUE|NON_POSITIVE_TERMINAL_FCF</x:v>
      </x:c>
    </x:row>
    <x:row r="2144">
      <x:c r="A2144" s="54" t="n">
        <x:v>45199</x:v>
      </x:c>
      <x:c r="B2144" t="n">
        <x:v>45199.624999988424</x:v>
      </x:c>
      <x:c r="C2144" t="str">
        <x:v>465770</x:v>
      </x:c>
      <x:c r="D2144" t="str">
        <x:v>STX그린로지스</x:v>
      </x:c>
      <x:c r="E2144" t="str">
        <x:v>KOSPI</x:v>
      </x:c>
      <x:c r="F2144" t="str">
        <x:v>SMALL</x:v>
      </x:c>
      <x:c r="G2144" t="str">
        <x:v>NO_PIT_FINANCIALS</x:v>
      </x:c>
      <x:c r="H2144"/>
      <x:c r="I2144" s="54" t="n">
        <x:v>45196</x:v>
      </x:c>
      <x:c r="J2144" s="55" t="n">
        <x:v>19630</x:v>
      </x:c>
      <x:c r="K2144" s="55" t="n">
        <x:v>140767358160</x:v>
      </x:c>
      <x:c r="L2144" s="55" t="n">
        <x:v>7171032</x:v>
      </x:c>
      <x:c r="M2144"/>
      <x:c r="N2144"/>
      <x:c r="O2144" s="54"/>
      <x:c r="P2144"/>
      <x:c r="Q2144"/>
      <x:c r="R2144"/>
      <x:c r="S2144"/>
      <x:c r="T2144"/>
      <x:c r="U2144" s="57"/>
      <x:c r="V2144" s="57"/>
      <x:c r="W2144"/>
      <x:c r="X2144"/>
      <x:c r="Y2144" s="38"/>
      <x:c r="Z2144" s="38"/>
      <x:c r="AA2144"/>
    </x:row>
    <x:row r="2145">
      <x:c r="A2145" s="54" t="n">
        <x:v>45199</x:v>
      </x:c>
      <x:c r="B2145" t="n">
        <x:v>45199.624999988424</x:v>
      </x:c>
      <x:c r="C2145" t="str">
        <x:v>000950</x:v>
      </x:c>
      <x:c r="D2145" t="str">
        <x:v>전방</x:v>
      </x:c>
      <x:c r="E2145" t="str">
        <x:v>KOSPI</x:v>
      </x:c>
      <x:c r="F2145" t="str">
        <x:v>SMALL</x:v>
      </x:c>
      <x:c r="G2145" t="str">
        <x:v>DCF_SCREENING_EXCLUSION</x:v>
      </x:c>
      <x:c r="H2145" t="str">
        <x:v>NON_POSITIVE_ENTERPRISE_VALUE|NON_POSITIVE_EQUITY_VALUE|NON_POSITIVE_TERMINAL_FCF</x:v>
      </x:c>
      <x:c r="I2145" s="54" t="n">
        <x:v>45196</x:v>
      </x:c>
      <x:c r="J2145" s="55" t="n">
        <x:v>22200</x:v>
      </x:c>
      <x:c r="K2145" s="55" t="n">
        <x:v>37296000000</x:v>
      </x:c>
      <x:c r="L2145" s="55" t="n">
        <x:v>1680000</x:v>
      </x:c>
      <x:c r="M2145" t="str">
        <x:v>20230317000870</x:v>
      </x:c>
      <x:c r="N2145" t="n">
        <x:v>45002.624999988424</x:v>
      </x:c>
      <x:c r="O2145" s="54" t="n">
        <x:v>44926</x:v>
      </x:c>
      <x:c r="P2145" t="str">
        <x:v>True</x:v>
      </x:c>
      <x:c r="Q2145" t="str">
        <x:v>0b962c0c6cdda1197c02ba0db4078a2f1853e6554a552e65f4d3aa08ed4c6df3</x:v>
      </x:c>
      <x:c r="R2145" t="str">
        <x:v>f9d2b2d3a4b1e69b7b0ae12db8b6dff6cd81f70cf146e86a1503071e1d5bc3a1</x:v>
      </x:c>
      <x:c r="S2145" t="n">
        <x:v>6</x:v>
      </x:c>
      <x:c r="T2145" t="str">
        <x:v>2018-12-31|2019-12-31|2020-12-31|2021-12-31|2022-12-31</x:v>
      </x:c>
      <x:c r="U2145" s="57" t="n">
        <x:v>-103939.18003410507</x:v>
      </x:c>
      <x:c r="V2145" s="57" t="n">
        <x:v>-5.681945046581309</x:v>
      </x:c>
      <x:c r="W2145"/>
      <x:c r="X2145"/>
      <x:c r="Y2145" s="38" t="n">
        <x:v>0.6409090909090909</x:v>
      </x:c>
      <x:c r="Z2145" s="38" t="n">
        <x:v>0.6246941382663442</x:v>
      </x:c>
      <x:c r="AA2145" t="str">
        <x:v>NON_POSITIVE_ENTERPRISE_VALUE|NON_POSITIVE_EQUITY_VALUE|NON_POSITIVE_TERMINAL_FCF</x:v>
      </x:c>
    </x:row>
    <x:row r="2146">
      <x:c r="A2146" s="54" t="n">
        <x:v>45199</x:v>
      </x:c>
      <x:c r="B2146" t="n">
        <x:v>45199.624999988424</x:v>
      </x:c>
      <x:c r="C2146" t="str">
        <x:v>019180</x:v>
      </x:c>
      <x:c r="D2146" t="str">
        <x:v>티에이치엔</x:v>
      </x:c>
      <x:c r="E2146" t="str">
        <x:v>KOSPI</x:v>
      </x:c>
      <x:c r="F2146" t="str">
        <x:v>SMALL</x:v>
      </x:c>
      <x:c r="G2146" t="str">
        <x:v>DCF_SCREENING_EXCLUSION</x:v>
      </x:c>
      <x:c r="H2146" t="str">
        <x:v>NON_POSITIVE_EQUITY_VALUE|UNRELIABLE_TERMINAL_VALUE_SHARE</x:v>
      </x:c>
      <x:c r="I2146" s="54" t="n">
        <x:v>45196</x:v>
      </x:c>
      <x:c r="J2146" s="55" t="n">
        <x:v>3120</x:v>
      </x:c>
      <x:c r="K2146" s="55" t="n">
        <x:v>56160000000</x:v>
      </x:c>
      <x:c r="L2146" s="55" t="n">
        <x:v>18000000</x:v>
      </x:c>
      <x:c r="M2146" t="str">
        <x:v>20230322000844</x:v>
      </x:c>
      <x:c r="N2146" t="n">
        <x:v>45007.624999988424</x:v>
      </x:c>
      <x:c r="O2146" s="54" t="n">
        <x:v>44926</x:v>
      </x:c>
      <x:c r="P2146" t="str">
        <x:v>False</x:v>
      </x:c>
      <x:c r="Q2146" t="str">
        <x:v>9dc4b92fddc4665fe50a3aeec5a1e49cc82eabe73a1ff77a1bc4eb5a27e26110</x:v>
      </x:c>
      <x:c r="R2146" t="str">
        <x:v>d96a5d66c4074cb526063939a7b8de96ff63741fdd101021983c14dedbd7150c</x:v>
      </x:c>
      <x:c r="S2146" t="n">
        <x:v>6</x:v>
      </x:c>
      <x:c r="T2146" t="str">
        <x:v>2018-12-31|2019-12-31|2020-12-31|2021-12-31|2022-12-31</x:v>
      </x:c>
      <x:c r="U2146" s="57" t="n">
        <x:v>-1273.1190101644775</x:v>
      </x:c>
      <x:c r="V2146" s="57" t="n">
        <x:v>-1.4080509647963069</x:v>
      </x:c>
      <x:c r="W2146"/>
      <x:c r="X2146"/>
      <x:c r="Y2146" s="38" t="n">
        <x:v>0.6409090909090909</x:v>
      </x:c>
      <x:c r="Z2146" s="38" t="n">
        <x:v>4.698640613538601</x:v>
      </x:c>
      <x:c r="AA2146" t="str">
        <x:v>NON_POSITIVE_EQUITY_VALUE|UNRELIABLE_TERMINAL_VALUE_SHARE</x:v>
      </x:c>
    </x:row>
    <x:row r="2147">
      <x:c r="A2147" s="54" t="n">
        <x:v>45199</x:v>
      </x:c>
      <x:c r="B2147" t="n">
        <x:v>45199.624999988424</x:v>
      </x:c>
      <x:c r="C2147" t="str">
        <x:v>020760</x:v>
      </x:c>
      <x:c r="D2147" t="str">
        <x:v>일진디스플</x:v>
      </x:c>
      <x:c r="E2147" t="str">
        <x:v>KOSPI</x:v>
      </x:c>
      <x:c r="F2147" t="str">
        <x:v>SMALL</x:v>
      </x:c>
      <x:c r="G2147" t="str">
        <x:v>DCF_SCREENING_EXCLUSION</x:v>
      </x:c>
      <x:c r="H2147" t="str">
        <x:v>NON_POSITIVE_ENTERPRISE_VALUE|NON_POSITIVE_EQUITY_VALUE|NON_POSITIVE_TERMINAL_FCF</x:v>
      </x:c>
      <x:c r="I2147" s="54" t="n">
        <x:v>45196</x:v>
      </x:c>
      <x:c r="J2147" s="55" t="n">
        <x:v>1007</x:v>
      </x:c>
      <x:c r="K2147" s="55" t="n">
        <x:v>51874337187</x:v>
      </x:c>
      <x:c r="L2147" s="55" t="n">
        <x:v>51513741</x:v>
      </x:c>
      <x:c r="M2147" t="str">
        <x:v>20230714000395</x:v>
      </x:c>
      <x:c r="N2147" t="n">
        <x:v>45121.624999988424</x:v>
      </x:c>
      <x:c r="O2147" s="54" t="n">
        <x:v>44926</x:v>
      </x:c>
      <x:c r="P2147" t="str">
        <x:v>True</x:v>
      </x:c>
      <x:c r="Q2147" t="str">
        <x:v>9e54d653aba67fb01ea8bfc004070aa48831774fa31be064cffd2eebffd606c3</x:v>
      </x:c>
      <x:c r="R2147" t="str">
        <x:v>7f8a1ab114c46f769e199f7100f23e6f98795252cb1e298728738e2bb57d0b95</x:v>
      </x:c>
      <x:c r="S2147" t="n">
        <x:v>6</x:v>
      </x:c>
      <x:c r="T2147" t="str">
        <x:v>2018-12-31|2019-12-31|2020-12-31|2021-12-31|2022-12-31</x:v>
      </x:c>
      <x:c r="U2147" s="57" t="n">
        <x:v>-3816.3539240874256</x:v>
      </x:c>
      <x:c r="V2147" s="57" t="n">
        <x:v>-4.789825148051068</x:v>
      </x:c>
      <x:c r="W2147"/>
      <x:c r="X2147"/>
      <x:c r="Y2147" s="38" t="n">
        <x:v>0.6409090909090909</x:v>
      </x:c>
      <x:c r="Z2147" s="38" t="n">
        <x:v>0.7829067383621485</x:v>
      </x:c>
      <x:c r="AA2147" t="str">
        <x:v>NON_POSITIVE_ENTERPRISE_VALUE|NON_POSITIVE_EQUITY_VALUE|NON_POSITIVE_TERMINAL_FCF</x:v>
      </x:c>
    </x:row>
    <x:row r="2148">
      <x:c r="A2148" s="54" t="n">
        <x:v>45199</x:v>
      </x:c>
      <x:c r="B2148" t="n">
        <x:v>45199.624999988424</x:v>
      </x:c>
      <x:c r="C2148" t="str">
        <x:v>069640</x:v>
      </x:c>
      <x:c r="D2148" t="str">
        <x:v>한세엠케이</x:v>
      </x:c>
      <x:c r="E2148" t="str">
        <x:v>KOSPI</x:v>
      </x:c>
      <x:c r="F2148" t="str">
        <x:v>SMALL</x:v>
      </x:c>
      <x:c r="G2148" t="str">
        <x:v>DCF_SCREENING_EXCLUSION</x:v>
      </x:c>
      <x:c r="H2148" t="str">
        <x:v>NON_POSITIVE_ENTERPRISE_VALUE|NON_POSITIVE_EQUITY_VALUE|NON_POSITIVE_TERMINAL_FCF</x:v>
      </x:c>
      <x:c r="I2148" s="54" t="n">
        <x:v>45196</x:v>
      </x:c>
      <x:c r="J2148" s="55" t="n">
        <x:v>2430</x:v>
      </x:c>
      <x:c r="K2148" s="55" t="n">
        <x:v>73158799860</x:v>
      </x:c>
      <x:c r="L2148" s="55" t="n">
        <x:v>30106502</x:v>
      </x:c>
      <x:c r="M2148" t="str">
        <x:v>20230407002948</x:v>
      </x:c>
      <x:c r="N2148" t="n">
        <x:v>45023.624999988424</x:v>
      </x:c>
      <x:c r="O2148" s="54" t="n">
        <x:v>44926</x:v>
      </x:c>
      <x:c r="P2148" t="str">
        <x:v>True</x:v>
      </x:c>
      <x:c r="Q2148" t="str">
        <x:v>b9a18c98e2b079f8b6d7294a58e5309a27bb1130b125e9ff01fef66f4892b2c5</x:v>
      </x:c>
      <x:c r="R2148" t="str">
        <x:v>42438425dc413371dbd257c705a30420c019cc09e67ce0aab88b78da87e92af8</x:v>
      </x:c>
      <x:c r="S2148" t="n">
        <x:v>6</x:v>
      </x:c>
      <x:c r="T2148" t="str">
        <x:v>2018-12-31|2019-12-31|2020-12-31|2021-12-31|2022-12-31</x:v>
      </x:c>
      <x:c r="U2148" s="57" t="n">
        <x:v>-8143.579153900665</x:v>
      </x:c>
      <x:c r="V2148" s="57" t="n">
        <x:v>-4.351267141522907</x:v>
      </x:c>
      <x:c r="W2148"/>
      <x:c r="X2148"/>
      <x:c r="Y2148" s="38" t="n">
        <x:v>0.6409090909090909</x:v>
      </x:c>
      <x:c r="Z2148" s="38" t="n">
        <x:v>0.6562779675221068</x:v>
      </x:c>
      <x:c r="AA2148" t="str">
        <x:v>NON_POSITIVE_ENTERPRISE_VALUE|NON_POSITIVE_EQUITY_VALUE|NON_POSITIVE_TERMINAL_FCF</x:v>
      </x:c>
    </x:row>
    <x:row r="2149">
      <x:c r="A2149" s="54" t="n">
        <x:v>45199</x:v>
      </x:c>
      <x:c r="B2149" t="n">
        <x:v>45199.624999988424</x:v>
      </x:c>
      <x:c r="C2149" t="str">
        <x:v>000040</x:v>
      </x:c>
      <x:c r="D2149" t="str">
        <x:v>KR모터스</x:v>
      </x:c>
      <x:c r="E2149" t="str">
        <x:v>KOSPI</x:v>
      </x:c>
      <x:c r="F2149" t="str">
        <x:v>SMALL</x:v>
      </x:c>
      <x:c r="G2149" t="str">
        <x:v>DCF_SCREENING_EXCLUSION</x:v>
      </x:c>
      <x:c r="H2149" t="str">
        <x:v>NON_POSITIVE_ENTERPRISE_VALUE|NON_POSITIVE_EQUITY_VALUE|NON_POSITIVE_TERMINAL_FCF</x:v>
      </x:c>
      <x:c r="I2149" s="54" t="n">
        <x:v>45196</x:v>
      </x:c>
      <x:c r="J2149" s="55" t="n">
        <x:v>853</x:v>
      </x:c>
      <x:c r="K2149" s="55" t="n">
        <x:v>82006110645</x:v>
      </x:c>
      <x:c r="L2149" s="55" t="n">
        <x:v>96138465</x:v>
      </x:c>
      <x:c r="M2149" t="str">
        <x:v>20230322001182</x:v>
      </x:c>
      <x:c r="N2149" t="n">
        <x:v>45007.624999988424</x:v>
      </x:c>
      <x:c r="O2149" s="54" t="n">
        <x:v>44926</x:v>
      </x:c>
      <x:c r="P2149" t="str">
        <x:v>False</x:v>
      </x:c>
      <x:c r="Q2149" t="str">
        <x:v>1dfb108dba5b711dc246d9a5c06790baa2a6f221e084c7473abddf76d00e6db2</x:v>
      </x:c>
      <x:c r="R2149" t="str">
        <x:v>ae436b124964db68b441b57116efaf8c58d9669927ab8164ed6038ae15d13578</x:v>
      </x:c>
      <x:c r="S2149" t="n">
        <x:v>5</x:v>
      </x:c>
      <x:c r="T2149" t="str">
        <x:v>2018-12-31|2019-12-31|2020-12-31|2021-12-31|2022-12-31</x:v>
      </x:c>
      <x:c r="U2149" s="57" t="n">
        <x:v>-768.6580296162379</x:v>
      </x:c>
      <x:c r="V2149" s="57" t="n">
        <x:v>-1.9011231296790596</x:v>
      </x:c>
      <x:c r="W2149"/>
      <x:c r="X2149"/>
      <x:c r="Y2149" s="38" t="n">
        <x:v>0.6409090909090909</x:v>
      </x:c>
      <x:c r="Z2149" s="38" t="n">
        <x:v>0.6257857483754615</x:v>
      </x:c>
      <x:c r="AA2149" t="str">
        <x:v>NON_POSITIVE_ENTERPRISE_VALUE|NON_POSITIVE_EQUITY_VALUE|NON_POSITIVE_TERMINAL_FCF</x:v>
      </x:c>
    </x:row>
    <x:row r="2150">
      <x:c r="A2150" s="54" t="n">
        <x:v>45199</x:v>
      </x:c>
      <x:c r="B2150" t="n">
        <x:v>45199.624999988424</x:v>
      </x:c>
      <x:c r="C2150" t="str">
        <x:v>003680</x:v>
      </x:c>
      <x:c r="D2150" t="str">
        <x:v>한성기업</x:v>
      </x:c>
      <x:c r="E2150" t="str">
        <x:v>KOSPI</x:v>
      </x:c>
      <x:c r="F2150" t="str">
        <x:v>SMALL</x:v>
      </x:c>
      <x:c r="G2150" t="str">
        <x:v>DCF_SCREENING_EXCLUSION</x:v>
      </x:c>
      <x:c r="H2150" t="str">
        <x:v>NON_POSITIVE_EQUITY_VALUE|NON_POSITIVE_TERMINAL_FCF|UNRELIABLE_TERMINAL_VALUE_SHARE</x:v>
      </x:c>
      <x:c r="I2150" s="54" t="n">
        <x:v>45196</x:v>
      </x:c>
      <x:c r="J2150" s="55" t="n">
        <x:v>5080</x:v>
      </x:c>
      <x:c r="K2150" s="55" t="n">
        <x:v>31544336200</x:v>
      </x:c>
      <x:c r="L2150" s="55" t="n">
        <x:v>6209515</x:v>
      </x:c>
      <x:c r="M2150" t="str">
        <x:v>20230320000677</x:v>
      </x:c>
      <x:c r="N2150" t="n">
        <x:v>45005.624999988424</x:v>
      </x:c>
      <x:c r="O2150" s="54" t="n">
        <x:v>44926</x:v>
      </x:c>
      <x:c r="P2150" t="str">
        <x:v>False</x:v>
      </x:c>
      <x:c r="Q2150" t="str">
        <x:v>05e2f03e39b52746fc5e9522f9d62b2523f8ec4c19f03645b3361943649c8598</x:v>
      </x:c>
      <x:c r="R2150" t="str">
        <x:v>4d6444409eaa16091089469bca726fa82df2bb54991d61ff5aaf5e5c374211c9</x:v>
      </x:c>
      <x:c r="S2150" t="n">
        <x:v>7</x:v>
      </x:c>
      <x:c r="T2150" t="str">
        <x:v>2018-12-31|2019-12-31|2020-12-31|2021-12-31|2022-12-31</x:v>
      </x:c>
      <x:c r="U2150" s="57" t="n">
        <x:v>-9458.909625227312</x:v>
      </x:c>
      <x:c r="V2150" s="57" t="n">
        <x:v>-2.861990083706164</x:v>
      </x:c>
      <x:c r="W2150"/>
      <x:c r="X2150"/>
      <x:c r="Y2150" s="38" t="n">
        <x:v>0.6409090909090909</x:v>
      </x:c>
      <x:c r="Z2150" s="38" t="n">
        <x:v>-0.3624245290136293</x:v>
      </x:c>
      <x:c r="AA2150" t="str">
        <x:v>NON_POSITIVE_EQUITY_VALUE|NON_POSITIVE_TERMINAL_FCF|UNRELIABLE_TERMINAL_VALUE_SHARE</x:v>
      </x:c>
    </x:row>
    <x:row r="2151">
      <x:c r="A2151" s="54" t="n">
        <x:v>45199</x:v>
      </x:c>
      <x:c r="B2151" t="n">
        <x:v>45199.624999988424</x:v>
      </x:c>
      <x:c r="C2151" t="str">
        <x:v>008600</x:v>
      </x:c>
      <x:c r="D2151" t="str">
        <x:v>윌비스</x:v>
      </x:c>
      <x:c r="E2151" t="str">
        <x:v>KOSPI</x:v>
      </x:c>
      <x:c r="F2151" t="str">
        <x:v>SMALL</x:v>
      </x:c>
      <x:c r="G2151" t="str">
        <x:v>DCF_SCREENING_EXCLUSION</x:v>
      </x:c>
      <x:c r="H2151" t="str">
        <x:v>NON_POSITIVE_ENTERPRISE_VALUE|NON_POSITIVE_EQUITY_VALUE|NON_POSITIVE_TERMINAL_FCF|UNRELIABLE_TERMINAL_VALUE_SHARE</x:v>
      </x:c>
      <x:c r="I2151" s="54" t="n">
        <x:v>45196</x:v>
      </x:c>
      <x:c r="J2151" s="55" t="n">
        <x:v>520</x:v>
      </x:c>
      <x:c r="K2151" s="55" t="n">
        <x:v>34962740280</x:v>
      </x:c>
      <x:c r="L2151" s="55" t="n">
        <x:v>67236039</x:v>
      </x:c>
      <x:c r="M2151" t="str">
        <x:v>20230321001489</x:v>
      </x:c>
      <x:c r="N2151" t="n">
        <x:v>45006.624999988424</x:v>
      </x:c>
      <x:c r="O2151" s="54" t="n">
        <x:v>44926</x:v>
      </x:c>
      <x:c r="P2151" t="str">
        <x:v>False</x:v>
      </x:c>
      <x:c r="Q2151" t="str">
        <x:v>291f6e8c8900a2b52d5f905f4cc6795c6414d6affa7f185fe63085aaa8684e51</x:v>
      </x:c>
      <x:c r="R2151" t="str">
        <x:v>a94986e1546add39342c296750d72bfef540954125162947acba09fed77e06df</x:v>
      </x:c>
      <x:c r="S2151" t="n">
        <x:v>6</x:v>
      </x:c>
      <x:c r="T2151" t="str">
        <x:v>2018-12-31|2019-12-31|2020-12-31|2021-12-31|2022-12-31</x:v>
      </x:c>
      <x:c r="U2151" s="57" t="n">
        <x:v>-1945.7637110453777</x:v>
      </x:c>
      <x:c r="V2151" s="57" t="n">
        <x:v>-4.74185329047188</x:v>
      </x:c>
      <x:c r="W2151"/>
      <x:c r="X2151"/>
      <x:c r="Y2151" s="38" t="n">
        <x:v>0.6409090909090909</x:v>
      </x:c>
      <x:c r="Z2151" s="38" t="n">
        <x:v>2.41537005103754</x:v>
      </x:c>
      <x:c r="AA2151" t="str">
        <x:v>NON_POSITIVE_ENTERPRISE_VALUE|NON_POSITIVE_EQUITY_VALUE|NON_POSITIVE_TERMINAL_FCF|UNRELIABLE_TERMINAL_VALUE_SHARE</x:v>
      </x:c>
    </x:row>
    <x:row r="2152">
      <x:c r="A2152" s="54" t="n">
        <x:v>45199</x:v>
      </x:c>
      <x:c r="B2152" t="n">
        <x:v>45199.624999988424</x:v>
      </x:c>
      <x:c r="C2152" t="str">
        <x:v>018310</x:v>
      </x:c>
      <x:c r="D2152" t="str">
        <x:v>삼목에스폼</x:v>
      </x:c>
      <x:c r="E2152" t="str">
        <x:v>KOSDAQ</x:v>
      </x:c>
      <x:c r="F2152" t="str">
        <x:v>MID</x:v>
      </x:c>
      <x:c r="G2152" t="str">
        <x:v>ELIGIBLE</x:v>
      </x:c>
      <x:c r="H2152"/>
      <x:c r="I2152" s="54" t="n">
        <x:v>45196</x:v>
      </x:c>
      <x:c r="J2152" s="55" t="n">
        <x:v>16340</x:v>
      </x:c>
      <x:c r="K2152" s="55" t="n">
        <x:v>240198000000</x:v>
      </x:c>
      <x:c r="L2152" s="55" t="n">
        <x:v>14700000</x:v>
      </x:c>
      <x:c r="M2152" t="str">
        <x:v>20230322000728</x:v>
      </x:c>
      <x:c r="N2152" t="n">
        <x:v>45007.624999988424</x:v>
      </x:c>
      <x:c r="O2152" s="54" t="n">
        <x:v>44926</x:v>
      </x:c>
      <x:c r="P2152" t="str">
        <x:v>False</x:v>
      </x:c>
      <x:c r="Q2152" t="str">
        <x:v>b1f9bf886f7b28ef4ef828ba6605d4f0a1447cdcacd9193c143a62028b382698</x:v>
      </x:c>
      <x:c r="R2152" t="str">
        <x:v>330f5ec98dc16120f732252f6d521b429ddcbf9a047fb51336c36f4bc1461d5e</x:v>
      </x:c>
      <x:c r="S2152" t="n">
        <x:v>6</x:v>
      </x:c>
      <x:c r="T2152" t="str">
        <x:v>2018-12-31|2019-12-31|2020-12-31|2021-12-31|2022-12-31</x:v>
      </x:c>
      <x:c r="U2152" s="57" t="n">
        <x:v>20434.041693918112</x:v>
      </x:c>
      <x:c r="V2152" s="57" t="n">
        <x:v>0.2505533472410105</x:v>
      </x:c>
      <x:c r="W2152" t="n">
        <x:v>21</x:v>
      </x:c>
      <x:c r="X2152" t="n">
        <x:v>2</x:v>
      </x:c>
      <x:c r="Y2152" s="38" t="n">
        <x:v>0.6409090909090909</x:v>
      </x:c>
      <x:c r="Z2152" s="38" t="n">
        <x:v>0.4929628453052042</x:v>
      </x:c>
      <x:c r="AA2152"/>
    </x:row>
    <x:row r="2153">
      <x:c r="A2153" s="54" t="n">
        <x:v>45199</x:v>
      </x:c>
      <x:c r="B2153" t="n">
        <x:v>45199.624999988424</x:v>
      </x:c>
      <x:c r="C2153" t="str">
        <x:v>090360</x:v>
      </x:c>
      <x:c r="D2153" t="str">
        <x:v>로보스타</x:v>
      </x:c>
      <x:c r="E2153" t="str">
        <x:v>KOSDAQ</x:v>
      </x:c>
      <x:c r="F2153" t="str">
        <x:v>MID</x:v>
      </x:c>
      <x:c r="G2153" t="str">
        <x:v>DCF_SCREENING_EXCLUSION</x:v>
      </x:c>
      <x:c r="H2153" t="str">
        <x:v>NON_POSITIVE_ENTERPRISE_VALUE|NON_POSITIVE_TERMINAL_FCF</x:v>
      </x:c>
      <x:c r="I2153" s="54" t="n">
        <x:v>45196</x:v>
      </x:c>
      <x:c r="J2153" s="55" t="n">
        <x:v>31000</x:v>
      </x:c>
      <x:c r="K2153" s="55" t="n">
        <x:v>302250000000</x:v>
      </x:c>
      <x:c r="L2153" s="55" t="n">
        <x:v>9750000</x:v>
      </x:c>
      <x:c r="M2153" t="str">
        <x:v>20230316000682</x:v>
      </x:c>
      <x:c r="N2153" t="n">
        <x:v>45001.624999988424</x:v>
      </x:c>
      <x:c r="O2153" s="54" t="n">
        <x:v>44926</x:v>
      </x:c>
      <x:c r="P2153" t="str">
        <x:v>False</x:v>
      </x:c>
      <x:c r="Q2153" t="str">
        <x:v>1f70170ba42bc9b2147378d546ec421559192d382e4ac95cfea85cc07e6b1122</x:v>
      </x:c>
      <x:c r="R2153" t="str">
        <x:v>6d409e8d29c0456773c8d20162f86775d30c7bbca2e8e671754df7486dec42bb</x:v>
      </x:c>
      <x:c r="S2153" t="n">
        <x:v>5</x:v>
      </x:c>
      <x:c r="T2153" t="str">
        <x:v>2018-12-31|2019-12-31|2020-12-31|2021-12-31|2022-12-31</x:v>
      </x:c>
      <x:c r="U2153" s="57" t="n">
        <x:v>784.1610120265144</x:v>
      </x:c>
      <x:c r="V2153" s="57" t="n">
        <x:v>-0.9747044834830156</x:v>
      </x:c>
      <x:c r="W2153"/>
      <x:c r="X2153"/>
      <x:c r="Y2153" s="38" t="n">
        <x:v>0.6409090909090909</x:v>
      </x:c>
      <x:c r="Z2153" s="38" t="n">
        <x:v>0.8266921902282445</x:v>
      </x:c>
      <x:c r="AA2153" t="str">
        <x:v>NON_POSITIVE_ENTERPRISE_VALUE|NON_POSITIVE_TERMINAL_FCF</x:v>
      </x:c>
    </x:row>
    <x:row r="2154">
      <x:c r="A2154" s="54" t="n">
        <x:v>45199</x:v>
      </x:c>
      <x:c r="B2154" t="n">
        <x:v>45199.624999988424</x:v>
      </x:c>
      <x:c r="C2154" t="str">
        <x:v>144960</x:v>
      </x:c>
      <x:c r="D2154" t="str">
        <x:v>뉴파워프라즈마</x:v>
      </x:c>
      <x:c r="E2154" t="str">
        <x:v>KOSDAQ</x:v>
      </x:c>
      <x:c r="F2154" t="str">
        <x:v>MID</x:v>
      </x:c>
      <x:c r="G2154" t="str">
        <x:v>DCF_SCREENING_EXCLUSION</x:v>
      </x:c>
      <x:c r="H2154" t="str">
        <x:v>UNRELIABLE_TERMINAL_VALUE_SHARE</x:v>
      </x:c>
      <x:c r="I2154" s="54" t="n">
        <x:v>45196</x:v>
      </x:c>
      <x:c r="J2154" s="55" t="n">
        <x:v>5580</x:v>
      </x:c>
      <x:c r="K2154" s="55" t="n">
        <x:v>243804841920</x:v>
      </x:c>
      <x:c r="L2154" s="55" t="n">
        <x:v>43692624</x:v>
      </x:c>
      <x:c r="M2154" t="str">
        <x:v>20230322001241</x:v>
      </x:c>
      <x:c r="N2154" t="n">
        <x:v>45007.624999988424</x:v>
      </x:c>
      <x:c r="O2154" s="54" t="n">
        <x:v>44926</x:v>
      </x:c>
      <x:c r="P2154" t="str">
        <x:v>False</x:v>
      </x:c>
      <x:c r="Q2154" t="str">
        <x:v>635ad4b90417c4cff17e05596ab954eff5f69df42d9e1b9ab3c05ddd80bfb46a</x:v>
      </x:c>
      <x:c r="R2154" t="str">
        <x:v>69203ec8b5e70ff9be32eb56c7c48f06eb146bfbee24ed2824d37dcfe238b276</x:v>
      </x:c>
      <x:c r="S2154" t="n">
        <x:v>6</x:v>
      </x:c>
      <x:c r="T2154" t="str">
        <x:v>2018-12-31|2019-12-31|2020-12-31|2021-12-31|2022-12-31</x:v>
      </x:c>
      <x:c r="U2154" s="57" t="n">
        <x:v>1590.4337032348958</x:v>
      </x:c>
      <x:c r="V2154" s="57" t="n">
        <x:v>-0.7149760388467928</x:v>
      </x:c>
      <x:c r="W2154"/>
      <x:c r="X2154"/>
      <x:c r="Y2154" s="38" t="n">
        <x:v>0.6409090909090909</x:v>
      </x:c>
      <x:c r="Z2154" s="38" t="n">
        <x:v>0.9789334410362668</x:v>
      </x:c>
      <x:c r="AA2154" t="str">
        <x:v>UNRELIABLE_TERMINAL_VALUE_SHARE</x:v>
      </x:c>
    </x:row>
    <x:row r="2155">
      <x:c r="A2155" s="54" t="n">
        <x:v>45199</x:v>
      </x:c>
      <x:c r="B2155" t="n">
        <x:v>45199.624999988424</x:v>
      </x:c>
      <x:c r="C2155" t="str">
        <x:v>065660</x:v>
      </x:c>
      <x:c r="D2155" t="str">
        <x:v>안트로젠</x:v>
      </x:c>
      <x:c r="E2155" t="str">
        <x:v>KOSDAQ</x:v>
      </x:c>
      <x:c r="F2155" t="str">
        <x:v>MID</x:v>
      </x:c>
      <x:c r="G2155" t="str">
        <x:v>DCF_SCREENING_EXCLUSION</x:v>
      </x:c>
      <x:c r="H2155" t="str">
        <x:v>NON_POSITIVE_ENTERPRISE_VALUE|NON_POSITIVE_EQUITY_VALUE|NON_POSITIVE_TERMINAL_FCF</x:v>
      </x:c>
      <x:c r="I2155" s="54" t="n">
        <x:v>45196</x:v>
      </x:c>
      <x:c r="J2155" s="55" t="n">
        <x:v>14060</x:v>
      </x:c>
      <x:c r="K2155" s="55" t="n">
        <x:v>136823104380</x:v>
      </x:c>
      <x:c r="L2155" s="55" t="n">
        <x:v>9731373</x:v>
      </x:c>
      <x:c r="M2155" t="str">
        <x:v>20220308000561</x:v>
      </x:c>
      <x:c r="N2155" t="n">
        <x:v>44628.624999988424</x:v>
      </x:c>
      <x:c r="O2155" s="54" t="n">
        <x:v>44561</x:v>
      </x:c>
      <x:c r="P2155" t="str">
        <x:v>False</x:v>
      </x:c>
      <x:c r="Q2155" t="str">
        <x:v>ca8cc1135227c8e4226125c29bdedc099d8a54cc791afacfe1af303aff51c30e</x:v>
      </x:c>
      <x:c r="R2155" t="str">
        <x:v>13f8c889046bf7ebd27422fe30c0fb9dc9a262859e07f3464507af3c877cf08d</x:v>
      </x:c>
      <x:c r="S2155" t="n">
        <x:v>6</x:v>
      </x:c>
      <x:c r="T2155" t="str">
        <x:v>2018-12-31|2019-12-31|2020-12-31|2021-12-31</x:v>
      </x:c>
      <x:c r="U2155" s="57" t="n">
        <x:v>-3287.833989215215</x:v>
      </x:c>
      <x:c r="V2155" s="57" t="n">
        <x:v>-1.2338431002286783</x:v>
      </x:c>
      <x:c r="W2155"/>
      <x:c r="X2155"/>
      <x:c r="Y2155" s="38" t="n">
        <x:v>0.6409090909090909</x:v>
      </x:c>
      <x:c r="Z2155" s="38" t="n">
        <x:v>0.6635957394517747</x:v>
      </x:c>
      <x:c r="AA2155" t="str">
        <x:v>NON_POSITIVE_ENTERPRISE_VALUE|NON_POSITIVE_EQUITY_VALUE|NON_POSITIVE_TERMINAL_FCF</x:v>
      </x:c>
    </x:row>
    <x:row r="2156">
      <x:c r="A2156" s="54" t="n">
        <x:v>45199</x:v>
      </x:c>
      <x:c r="B2156" t="n">
        <x:v>45199.624999988424</x:v>
      </x:c>
      <x:c r="C2156" t="str">
        <x:v>255220</x:v>
      </x:c>
      <x:c r="D2156" t="str">
        <x:v>SG</x:v>
      </x:c>
      <x:c r="E2156" t="str">
        <x:v>KOSDAQ</x:v>
      </x:c>
      <x:c r="F2156" t="str">
        <x:v>MID</x:v>
      </x:c>
      <x:c r="G2156" t="str">
        <x:v>DCF_SCREENING_EXCLUSION</x:v>
      </x:c>
      <x:c r="H2156" t="str">
        <x:v>NON_POSITIVE_EQUITY_VALUE|UNRELIABLE_TERMINAL_VALUE_SHARE</x:v>
      </x:c>
      <x:c r="I2156" s="54" t="n">
        <x:v>45196</x:v>
      </x:c>
      <x:c r="J2156" s="55" t="n">
        <x:v>1146</x:v>
      </x:c>
      <x:c r="K2156" s="55" t="n">
        <x:v>54483998376</x:v>
      </x:c>
      <x:c r="L2156" s="55" t="n">
        <x:v>47542756</x:v>
      </x:c>
      <x:c r="M2156" t="str">
        <x:v>20230316001293</x:v>
      </x:c>
      <x:c r="N2156" t="n">
        <x:v>45001.624999988424</x:v>
      </x:c>
      <x:c r="O2156" s="54" t="n">
        <x:v>44926</x:v>
      </x:c>
      <x:c r="P2156" t="str">
        <x:v>False</x:v>
      </x:c>
      <x:c r="Q2156" t="str">
        <x:v>631d9d315ac00217b6fe4645a31d406967b4205835ede9d3b22f391d7a88e02a</x:v>
      </x:c>
      <x:c r="R2156" t="str">
        <x:v>e32b35b09ec4a050d18aedf8cbdc20f159b8d42b997f6c042d213690cacc5888</x:v>
      </x:c>
      <x:c r="S2156" t="n">
        <x:v>6</x:v>
      </x:c>
      <x:c r="T2156" t="str">
        <x:v>2018-12-31|2019-12-31|2020-12-31|2021-12-31|2022-12-31</x:v>
      </x:c>
      <x:c r="U2156" s="57" t="n">
        <x:v>-867.5752557201481</x:v>
      </x:c>
      <x:c r="V2156" s="57" t="n">
        <x:v>-1.7570464709599896</x:v>
      </x:c>
      <x:c r="W2156"/>
      <x:c r="X2156"/>
      <x:c r="Y2156" s="38" t="n">
        <x:v>0.6409090909090909</x:v>
      </x:c>
      <x:c r="Z2156" s="38" t="n">
        <x:v>1.3939827942896779</x:v>
      </x:c>
      <x:c r="AA2156" t="str">
        <x:v>NON_POSITIVE_EQUITY_VALUE|UNRELIABLE_TERMINAL_VALUE_SHARE</x:v>
      </x:c>
    </x:row>
    <x:row r="2157">
      <x:c r="A2157" s="54" t="n">
        <x:v>45199</x:v>
      </x:c>
      <x:c r="B2157" t="n">
        <x:v>45199.624999988424</x:v>
      </x:c>
      <x:c r="C2157" t="str">
        <x:v>356680</x:v>
      </x:c>
      <x:c r="D2157" t="str">
        <x:v>엑스게이트</x:v>
      </x:c>
      <x:c r="E2157" t="str">
        <x:v>KOSDAQ</x:v>
      </x:c>
      <x:c r="F2157" t="str">
        <x:v>MID</x:v>
      </x:c>
      <x:c r="G2157" t="str">
        <x:v>ELIGIBLE</x:v>
      </x:c>
      <x:c r="H2157"/>
      <x:c r="I2157" s="54" t="n">
        <x:v>45196</x:v>
      </x:c>
      <x:c r="J2157" s="55" t="n">
        <x:v>4495</x:v>
      </x:c>
      <x:c r="K2157" s="55" t="n">
        <x:v>127965871540</x:v>
      </x:c>
      <x:c r="L2157" s="55" t="n">
        <x:v>28468492</x:v>
      </x:c>
      <x:c r="M2157" t="str">
        <x:v>20230322001072</x:v>
      </x:c>
      <x:c r="N2157" t="n">
        <x:v>45007.624999988424</x:v>
      </x:c>
      <x:c r="O2157" s="54" t="n">
        <x:v>44926</x:v>
      </x:c>
      <x:c r="P2157" t="str">
        <x:v>False</x:v>
      </x:c>
      <x:c r="Q2157" t="str">
        <x:v>45256a084497b9c996839f196ba6dc245c7da61fcdee587232be7941f75bf104</x:v>
      </x:c>
      <x:c r="R2157" t="str">
        <x:v>07146b039b96ffec2a30b11a2dd31f93d4f550ae30ff89a73d225d488c988d83</x:v>
      </x:c>
      <x:c r="S2157" t="n">
        <x:v>7</x:v>
      </x:c>
      <x:c r="T2157" t="str">
        <x:v>2022-12-31</x:v>
      </x:c>
      <x:c r="U2157" s="57" t="n">
        <x:v>1702.2119178780692</x:v>
      </x:c>
      <x:c r="V2157" s="57" t="n">
        <x:v>-0.6213099181583828</x:v>
      </x:c>
      <x:c r="W2157" t="n">
        <x:v>51</x:v>
      </x:c>
      <x:c r="X2157" t="n">
        <x:v>4</x:v>
      </x:c>
      <x:c r="Y2157" s="38" t="n">
        <x:v>0.6409090909090909</x:v>
      </x:c>
      <x:c r="Z2157" s="38" t="n">
        <x:v>0.6701769222689359</x:v>
      </x:c>
      <x:c r="AA2157"/>
    </x:row>
    <x:row r="2158">
      <x:c r="A2158" s="54" t="n">
        <x:v>45199</x:v>
      </x:c>
      <x:c r="B2158" t="n">
        <x:v>45199.624999988424</x:v>
      </x:c>
      <x:c r="C2158" t="str">
        <x:v>038390</x:v>
      </x:c>
      <x:c r="D2158" t="str">
        <x:v>레드캡투어</x:v>
      </x:c>
      <x:c r="E2158" t="str">
        <x:v>KOSDAQ</x:v>
      </x:c>
      <x:c r="F2158" t="str">
        <x:v>MID</x:v>
      </x:c>
      <x:c r="G2158" t="str">
        <x:v>ELIGIBLE</x:v>
      </x:c>
      <x:c r="H2158"/>
      <x:c r="I2158" s="54" t="n">
        <x:v>45196</x:v>
      </x:c>
      <x:c r="J2158" s="55" t="n">
        <x:v>15040</x:v>
      </x:c>
      <x:c r="K2158" s="55" t="n">
        <x:v>129185779200</x:v>
      </x:c>
      <x:c r="L2158" s="55" t="n">
        <x:v>8589480</x:v>
      </x:c>
      <x:c r="M2158" t="str">
        <x:v>20230316001413</x:v>
      </x:c>
      <x:c r="N2158" t="n">
        <x:v>45001.624999988424</x:v>
      </x:c>
      <x:c r="O2158" s="54" t="n">
        <x:v>44926</x:v>
      </x:c>
      <x:c r="P2158" t="str">
        <x:v>False</x:v>
      </x:c>
      <x:c r="Q2158" t="str">
        <x:v>6500420a9c0c7cb8b0822920c111922a787b3827c6dfb04dd784e0d4bc2d01c2</x:v>
      </x:c>
      <x:c r="R2158" t="str">
        <x:v>b4bd991fc9b846dae9046715ad744afdcd835bc5ca8b51a9b64f74f9fa316356</x:v>
      </x:c>
      <x:c r="S2158" t="n">
        <x:v>6</x:v>
      </x:c>
      <x:c r="T2158" t="str">
        <x:v>2018-12-31|2019-12-31|2020-12-31|2021-12-31|2022-12-31</x:v>
      </x:c>
      <x:c r="U2158" s="57" t="n">
        <x:v>16138.328056645201</x:v>
      </x:c>
      <x:c r="V2158" s="57" t="n">
        <x:v>0.07302713142587772</x:v>
      </x:c>
      <x:c r="W2158" t="n">
        <x:v>24</x:v>
      </x:c>
      <x:c r="X2158" t="n">
        <x:v>2</x:v>
      </x:c>
      <x:c r="Y2158" s="38" t="n">
        <x:v>0.6409090909090909</x:v>
      </x:c>
      <x:c r="Z2158" s="38" t="n">
        <x:v>0.6232987678852291</x:v>
      </x:c>
      <x:c r="AA2158"/>
    </x:row>
    <x:row r="2159">
      <x:c r="A2159" s="54" t="n">
        <x:v>45199</x:v>
      </x:c>
      <x:c r="B2159" t="n">
        <x:v>45199.624999988424</x:v>
      </x:c>
      <x:c r="C2159" t="str">
        <x:v>083930</x:v>
      </x:c>
      <x:c r="D2159" t="str">
        <x:v>아바코</x:v>
      </x:c>
      <x:c r="E2159" t="str">
        <x:v>KOSDAQ</x:v>
      </x:c>
      <x:c r="F2159" t="str">
        <x:v>MID</x:v>
      </x:c>
      <x:c r="G2159" t="str">
        <x:v>ELIGIBLE</x:v>
      </x:c>
      <x:c r="H2159"/>
      <x:c r="I2159" s="54" t="n">
        <x:v>45196</x:v>
      </x:c>
      <x:c r="J2159" s="55" t="n">
        <x:v>16120</x:v>
      </x:c>
      <x:c r="K2159" s="55" t="n">
        <x:v>248454303760</x:v>
      </x:c>
      <x:c r="L2159" s="55" t="n">
        <x:v>15412798</x:v>
      </x:c>
      <x:c r="M2159" t="str">
        <x:v>20230321001021</x:v>
      </x:c>
      <x:c r="N2159" t="n">
        <x:v>45006.624999988424</x:v>
      </x:c>
      <x:c r="O2159" s="54" t="n">
        <x:v>44926</x:v>
      </x:c>
      <x:c r="P2159" t="str">
        <x:v>False</x:v>
      </x:c>
      <x:c r="Q2159" t="str">
        <x:v>51d45d71cda3f9d61f6b6bb2b78909cdf8916f5bbd371569386df61c1ede7656</x:v>
      </x:c>
      <x:c r="R2159" t="str">
        <x:v>3eba896975bc12fee3681ba5c4f04960ff86743b2d3872656c84a542c300d8d0</x:v>
      </x:c>
      <x:c r="S2159" t="n">
        <x:v>7</x:v>
      </x:c>
      <x:c r="T2159" t="str">
        <x:v>2018-12-31|2019-12-31|2020-12-31|2021-12-31|2022-12-31</x:v>
      </x:c>
      <x:c r="U2159" s="57" t="n">
        <x:v>9553.050368237855</x:v>
      </x:c>
      <x:c r="V2159" s="57" t="n">
        <x:v>-0.40737900941452515</x:v>
      </x:c>
      <x:c r="W2159" t="n">
        <x:v>41</x:v>
      </x:c>
      <x:c r="X2159" t="n">
        <x:v>3</x:v>
      </x:c>
      <x:c r="Y2159" s="38" t="n">
        <x:v>0.6409090909090909</x:v>
      </x:c>
      <x:c r="Z2159" s="38" t="n">
        <x:v>0.6252138108817894</x:v>
      </x:c>
      <x:c r="AA2159"/>
    </x:row>
    <x:row r="2160">
      <x:c r="A2160" s="54" t="n">
        <x:v>45199</x:v>
      </x:c>
      <x:c r="B2160" t="n">
        <x:v>45199.624999988424</x:v>
      </x:c>
      <x:c r="C2160" t="str">
        <x:v>089600</x:v>
      </x:c>
      <x:c r="D2160" t="str">
        <x:v>KT나스미디어</x:v>
      </x:c>
      <x:c r="E2160" t="str">
        <x:v>KOSDAQ</x:v>
      </x:c>
      <x:c r="F2160" t="str">
        <x:v>MID</x:v>
      </x:c>
      <x:c r="G2160" t="str">
        <x:v>ELIGIBLE</x:v>
      </x:c>
      <x:c r="H2160"/>
      <x:c r="I2160" s="54" t="n">
        <x:v>45196</x:v>
      </x:c>
      <x:c r="J2160" s="55" t="n">
        <x:v>18580</x:v>
      </x:c>
      <x:c r="K2160" s="55" t="n">
        <x:v>214936468540</x:v>
      </x:c>
      <x:c r="L2160" s="55" t="n">
        <x:v>11568163</x:v>
      </x:c>
      <x:c r="M2160" t="str">
        <x:v>20230323000424</x:v>
      </x:c>
      <x:c r="N2160" t="n">
        <x:v>45008.624999988424</x:v>
      </x:c>
      <x:c r="O2160" s="54" t="n">
        <x:v>44926</x:v>
      </x:c>
      <x:c r="P2160" t="str">
        <x:v>False</x:v>
      </x:c>
      <x:c r="Q2160" t="str">
        <x:v>a29cdc151488a733c822f4c21c776e7e2d0f670736a57ef1f9162f4b760e2bf9</x:v>
      </x:c>
      <x:c r="R2160" t="str">
        <x:v>9182469e51b5cad7d6b8d177a7d6d9d31f3920ea8169205aafb066f017026287</x:v>
      </x:c>
      <x:c r="S2160" t="n">
        <x:v>6</x:v>
      </x:c>
      <x:c r="T2160" t="str">
        <x:v>2019-12-31|2020-12-31|2021-12-31|2022-12-31</x:v>
      </x:c>
      <x:c r="U2160" s="57" t="n">
        <x:v>40246.19529115332</x:v>
      </x:c>
      <x:c r="V2160" s="57" t="n">
        <x:v>1.1661030834851087</x:v>
      </x:c>
      <x:c r="W2160" t="n">
        <x:v>11</x:v>
      </x:c>
      <x:c r="X2160" t="n">
        <x:v>1</x:v>
      </x:c>
      <x:c r="Y2160" s="38" t="n">
        <x:v>0.6409090909090909</x:v>
      </x:c>
      <x:c r="Z2160" s="38" t="n">
        <x:v>0.706343261712411</x:v>
      </x:c>
      <x:c r="AA2160"/>
    </x:row>
    <x:row r="2161">
      <x:c r="A2161" s="54" t="n">
        <x:v>45199</x:v>
      </x:c>
      <x:c r="B2161" t="n">
        <x:v>45199.624999988424</x:v>
      </x:c>
      <x:c r="C2161" t="str">
        <x:v>091120</x:v>
      </x:c>
      <x:c r="D2161" t="str">
        <x:v>이엠텍</x:v>
      </x:c>
      <x:c r="E2161" t="str">
        <x:v>KOSDAQ</x:v>
      </x:c>
      <x:c r="F2161" t="str">
        <x:v>MID</x:v>
      </x:c>
      <x:c r="G2161" t="str">
        <x:v>ELIGIBLE</x:v>
      </x:c>
      <x:c r="H2161"/>
      <x:c r="I2161" s="54" t="n">
        <x:v>45196</x:v>
      </x:c>
      <x:c r="J2161" s="55" t="n">
        <x:v>49950</x:v>
      </x:c>
      <x:c r="K2161" s="55" t="n">
        <x:v>855790153200</x:v>
      </x:c>
      <x:c r="L2161" s="55" t="n">
        <x:v>17132936</x:v>
      </x:c>
      <x:c r="M2161" t="str">
        <x:v>20230314000840</x:v>
      </x:c>
      <x:c r="N2161" t="n">
        <x:v>44999.624999988424</x:v>
      </x:c>
      <x:c r="O2161" s="54" t="n">
        <x:v>44926</x:v>
      </x:c>
      <x:c r="P2161" t="str">
        <x:v>False</x:v>
      </x:c>
      <x:c r="Q2161" t="str">
        <x:v>8fccbe5a66751953a409231fc37bc1852ba075cda52f991cc8c77b5562fa08b1</x:v>
      </x:c>
      <x:c r="R2161" t="str">
        <x:v>73525dd9894ad6355da7197449cb770bef9f2afb9183eef534b0f89f18503e8d</x:v>
      </x:c>
      <x:c r="S2161" t="n">
        <x:v>6</x:v>
      </x:c>
      <x:c r="T2161" t="str">
        <x:v>2018-12-31|2019-12-31|2020-12-31|2021-12-31|2022-12-31</x:v>
      </x:c>
      <x:c r="U2161" s="57" t="n">
        <x:v>7849.310012839665</x:v>
      </x:c>
      <x:c r="V2161" s="57" t="n">
        <x:v>-0.8428566563996063</x:v>
      </x:c>
      <x:c r="W2161" t="n">
        <x:v>66</x:v>
      </x:c>
      <x:c r="X2161" t="n">
        <x:v>5</x:v>
      </x:c>
      <x:c r="Y2161" s="38" t="n">
        <x:v>0.6409090909090909</x:v>
      </x:c>
      <x:c r="Z2161" s="38" t="n">
        <x:v>0.6666569941414513</x:v>
      </x:c>
      <x:c r="AA2161"/>
    </x:row>
    <x:row r="2162">
      <x:c r="A2162" s="54" t="n">
        <x:v>45199</x:v>
      </x:c>
      <x:c r="B2162" t="n">
        <x:v>45199.624999988424</x:v>
      </x:c>
      <x:c r="C2162" t="str">
        <x:v>353810</x:v>
      </x:c>
      <x:c r="D2162" t="str">
        <x:v>이지바이오</x:v>
      </x:c>
      <x:c r="E2162" t="str">
        <x:v>KOSDAQ</x:v>
      </x:c>
      <x:c r="F2162" t="str">
        <x:v>MID</x:v>
      </x:c>
      <x:c r="G2162" t="str">
        <x:v>ELIGIBLE</x:v>
      </x:c>
      <x:c r="H2162"/>
      <x:c r="I2162" s="54" t="n">
        <x:v>45196</x:v>
      </x:c>
      <x:c r="J2162" s="55" t="n">
        <x:v>3270</x:v>
      </x:c>
      <x:c r="K2162" s="55" t="n">
        <x:v>111806924400</x:v>
      </x:c>
      <x:c r="L2162" s="55" t="n">
        <x:v>34191720</x:v>
      </x:c>
      <x:c r="M2162" t="str">
        <x:v>20230323001202</x:v>
      </x:c>
      <x:c r="N2162" t="n">
        <x:v>45008.624999988424</x:v>
      </x:c>
      <x:c r="O2162" s="54" t="n">
        <x:v>44926</x:v>
      </x:c>
      <x:c r="P2162" t="str">
        <x:v>False</x:v>
      </x:c>
      <x:c r="Q2162" t="str">
        <x:v>c0fd4e20c1d6af3aabd5e0aeaad8673427f57ef110dee4754c1824db2704a706</x:v>
      </x:c>
      <x:c r="R2162" t="str">
        <x:v>438b19d1cc5b29656f99777a21914259bc127b97f4418b53984845b353597e76</x:v>
      </x:c>
      <x:c r="S2162" t="n">
        <x:v>6</x:v>
      </x:c>
      <x:c r="T2162" t="str">
        <x:v>2021-12-31|2022-12-31</x:v>
      </x:c>
      <x:c r="U2162" s="57" t="n">
        <x:v>4432.380049842225</x:v>
      </x:c>
      <x:c r="V2162" s="57" t="n">
        <x:v>0.3554679051505276</x:v>
      </x:c>
      <x:c r="W2162" t="n">
        <x:v>18</x:v>
      </x:c>
      <x:c r="X2162" t="n">
        <x:v>2</x:v>
      </x:c>
      <x:c r="Y2162" s="38" t="n">
        <x:v>0.6409090909090909</x:v>
      </x:c>
      <x:c r="Z2162" s="38" t="n">
        <x:v>0.7560673660909806</x:v>
      </x:c>
      <x:c r="AA2162"/>
    </x:row>
    <x:row r="2163">
      <x:c r="A2163" s="54" t="n">
        <x:v>45199</x:v>
      </x:c>
      <x:c r="B2163" t="n">
        <x:v>45199.624999988424</x:v>
      </x:c>
      <x:c r="C2163" t="str">
        <x:v>203650</x:v>
      </x:c>
      <x:c r="D2163" t="str">
        <x:v>드림시큐리티</x:v>
      </x:c>
      <x:c r="E2163" t="str">
        <x:v>KOSDAQ</x:v>
      </x:c>
      <x:c r="F2163" t="str">
        <x:v>MID</x:v>
      </x:c>
      <x:c r="G2163" t="str">
        <x:v>ELIGIBLE</x:v>
      </x:c>
      <x:c r="H2163"/>
      <x:c r="I2163" s="54" t="n">
        <x:v>45196</x:v>
      </x:c>
      <x:c r="J2163" s="55" t="n">
        <x:v>3260</x:v>
      </x:c>
      <x:c r="K2163" s="55" t="n">
        <x:v>164974758040</x:v>
      </x:c>
      <x:c r="L2163" s="55" t="n">
        <x:v>50605754</x:v>
      </x:c>
      <x:c r="M2163" t="str">
        <x:v>20230320001053</x:v>
      </x:c>
      <x:c r="N2163" t="n">
        <x:v>45005.624999988424</x:v>
      </x:c>
      <x:c r="O2163" s="54" t="n">
        <x:v>44926</x:v>
      </x:c>
      <x:c r="P2163" t="str">
        <x:v>False</x:v>
      </x:c>
      <x:c r="Q2163" t="str">
        <x:v>34289534fe1bab0ef563c0c6e0b3801653fbb5285a3f840605ec66e0ad4d5b86</x:v>
      </x:c>
      <x:c r="R2163" t="str">
        <x:v>a295f60795f5538f197595de041e9e15f565d0ffd21244275b939d950d2bedb1</x:v>
      </x:c>
      <x:c r="S2163" t="n">
        <x:v>6</x:v>
      </x:c>
      <x:c r="T2163" t="str">
        <x:v>2018-12-31|2019-12-31|2020-12-31|2021-12-31|2022-12-31</x:v>
      </x:c>
      <x:c r="U2163" s="57" t="n">
        <x:v>2245.64212473627</x:v>
      </x:c>
      <x:c r="V2163" s="57" t="n">
        <x:v>-0.31115272247353687</x:v>
      </x:c>
      <x:c r="W2163" t="n">
        <x:v>32</x:v>
      </x:c>
      <x:c r="X2163" t="n">
        <x:v>3</x:v>
      </x:c>
      <x:c r="Y2163" s="38" t="n">
        <x:v>0.6409090909090909</x:v>
      </x:c>
      <x:c r="Z2163" s="38" t="n">
        <x:v>0.6619022306471682</x:v>
      </x:c>
      <x:c r="AA2163"/>
    </x:row>
    <x:row r="2164">
      <x:c r="A2164" s="54" t="n">
        <x:v>45199</x:v>
      </x:c>
      <x:c r="B2164" t="n">
        <x:v>45199.624999988424</x:v>
      </x:c>
      <x:c r="C2164" t="str">
        <x:v>251120</x:v>
      </x:c>
      <x:c r="D2164" t="str">
        <x:v>바이오에프디엔씨</x:v>
      </x:c>
      <x:c r="E2164" t="str">
        <x:v>KOSDAQ</x:v>
      </x:c>
      <x:c r="F2164" t="str">
        <x:v>MID</x:v>
      </x:c>
      <x:c r="G2164" t="str">
        <x:v>ELIGIBLE</x:v>
      </x:c>
      <x:c r="H2164"/>
      <x:c r="I2164" s="54" t="n">
        <x:v>45196</x:v>
      </x:c>
      <x:c r="J2164" s="55" t="n">
        <x:v>13540</x:v>
      </x:c>
      <x:c r="K2164" s="55" t="n">
        <x:v>117739778000</x:v>
      </x:c>
      <x:c r="L2164" s="55" t="n">
        <x:v>8695700</x:v>
      </x:c>
      <x:c r="M2164" t="str">
        <x:v>20230323000550</x:v>
      </x:c>
      <x:c r="N2164" t="n">
        <x:v>45008.624999988424</x:v>
      </x:c>
      <x:c r="O2164" s="54" t="n">
        <x:v>44926</x:v>
      </x:c>
      <x:c r="P2164" t="str">
        <x:v>False</x:v>
      </x:c>
      <x:c r="Q2164" t="str">
        <x:v>457a8311ddb92eff6410ce12ddac4bff11e07f014260711e66f0b7059be85f1e</x:v>
      </x:c>
      <x:c r="R2164" t="str">
        <x:v>77f741f2d11ad012d851efe62bb45bbb62abc053fd2cbebb9cad9af222fcb971</x:v>
      </x:c>
      <x:c r="S2164" t="n">
        <x:v>5</x:v>
      </x:c>
      <x:c r="T2164" t="str">
        <x:v>2021-12-31|2022-12-31</x:v>
      </x:c>
      <x:c r="U2164" s="57" t="n">
        <x:v>6898.290174105601</x:v>
      </x:c>
      <x:c r="V2164" s="57" t="n">
        <x:v>-0.49052509792425397</x:v>
      </x:c>
      <x:c r="W2164" t="n">
        <x:v>44</x:v>
      </x:c>
      <x:c r="X2164" t="n">
        <x:v>4</x:v>
      </x:c>
      <x:c r="Y2164" s="38" t="n">
        <x:v>0.6409090909090909</x:v>
      </x:c>
      <x:c r="Z2164" s="38" t="n">
        <x:v>0.6825532650903761</x:v>
      </x:c>
      <x:c r="AA2164"/>
    </x:row>
    <x:row r="2165">
      <x:c r="A2165" s="54" t="n">
        <x:v>45199</x:v>
      </x:c>
      <x:c r="B2165" t="n">
        <x:v>45199.624999988424</x:v>
      </x:c>
      <x:c r="C2165" t="str">
        <x:v>094820</x:v>
      </x:c>
      <x:c r="D2165" t="str">
        <x:v>일진파워</x:v>
      </x:c>
      <x:c r="E2165" t="str">
        <x:v>KOSDAQ</x:v>
      </x:c>
      <x:c r="F2165" t="str">
        <x:v>MID</x:v>
      </x:c>
      <x:c r="G2165" t="str">
        <x:v>ELIGIBLE</x:v>
      </x:c>
      <x:c r="H2165"/>
      <x:c r="I2165" s="54" t="n">
        <x:v>45196</x:v>
      </x:c>
      <x:c r="J2165" s="55" t="n">
        <x:v>12300</x:v>
      </x:c>
      <x:c r="K2165" s="55" t="n">
        <x:v>185468120700</x:v>
      </x:c>
      <x:c r="L2165" s="55" t="n">
        <x:v>15078709</x:v>
      </x:c>
      <x:c r="M2165" t="str">
        <x:v>20230725000269</x:v>
      </x:c>
      <x:c r="N2165" t="n">
        <x:v>45132.624999988424</x:v>
      </x:c>
      <x:c r="O2165" s="54" t="n">
        <x:v>44926</x:v>
      </x:c>
      <x:c r="P2165" t="str">
        <x:v>True</x:v>
      </x:c>
      <x:c r="Q2165" t="str">
        <x:v>37675484d80981029a96bf3a3c635bcd3634d73029b9bf2babafddf433ba77f7</x:v>
      </x:c>
      <x:c r="R2165" t="str">
        <x:v>2553c311cfb76db051b1ddd3cd458ff87132d703b9b175b5878b79f6e513f522</x:v>
      </x:c>
      <x:c r="S2165" t="n">
        <x:v>6</x:v>
      </x:c>
      <x:c r="T2165" t="str">
        <x:v>2018-12-31|2019-12-31|2020-12-31|2021-12-31|2022-12-31</x:v>
      </x:c>
      <x:c r="U2165" s="57" t="n">
        <x:v>14568.71822737499</x:v>
      </x:c>
      <x:c r="V2165" s="57" t="n">
        <x:v>0.18444863637195036</x:v>
      </x:c>
      <x:c r="W2165" t="n">
        <x:v>22</x:v>
      </x:c>
      <x:c r="X2165" t="n">
        <x:v>2</x:v>
      </x:c>
      <x:c r="Y2165" s="38" t="n">
        <x:v>0.6409090909090909</x:v>
      </x:c>
      <x:c r="Z2165" s="38" t="n">
        <x:v>0.6848982614778122</x:v>
      </x:c>
      <x:c r="AA2165"/>
    </x:row>
    <x:row r="2166">
      <x:c r="A2166" s="54" t="n">
        <x:v>45199</x:v>
      </x:c>
      <x:c r="B2166" t="n">
        <x:v>45199.624999988424</x:v>
      </x:c>
      <x:c r="C2166" t="str">
        <x:v>333430</x:v>
      </x:c>
      <x:c r="D2166" t="str">
        <x:v>일승</x:v>
      </x:c>
      <x:c r="E2166" t="str">
        <x:v>KOSDAQ</x:v>
      </x:c>
      <x:c r="F2166" t="str">
        <x:v>MID</x:v>
      </x:c>
      <x:c r="G2166" t="str">
        <x:v>DCF_SCREENING_EXCLUSION</x:v>
      </x:c>
      <x:c r="H2166" t="str">
        <x:v>NON_POSITIVE_ENTERPRISE_VALUE|NON_POSITIVE_EQUITY_VALUE|NON_POSITIVE_TERMINAL_FCF</x:v>
      </x:c>
      <x:c r="I2166" s="54" t="n">
        <x:v>45196</x:v>
      </x:c>
      <x:c r="J2166" s="55" t="n">
        <x:v>3195</x:v>
      </x:c>
      <x:c r="K2166" s="55" t="n">
        <x:v>98171956665</x:v>
      </x:c>
      <x:c r="L2166" s="55" t="n">
        <x:v>30726747</x:v>
      </x:c>
      <x:c r="M2166" t="str">
        <x:v>20230321001139</x:v>
      </x:c>
      <x:c r="N2166" t="n">
        <x:v>45006.624999988424</x:v>
      </x:c>
      <x:c r="O2166" s="54" t="n">
        <x:v>44926</x:v>
      </x:c>
      <x:c r="P2166" t="str">
        <x:v>False</x:v>
      </x:c>
      <x:c r="Q2166" t="str">
        <x:v>d7502cdcc3c654ca1d1940655519e09ad8b56e302692e749b0328b7e843bbf89</x:v>
      </x:c>
      <x:c r="R2166" t="str">
        <x:v>abd71ec1474faa0eba46763bdc83340ccdae6f0942644b6b38714fe131032813</x:v>
      </x:c>
      <x:c r="S2166" t="n">
        <x:v>6</x:v>
      </x:c>
      <x:c r="T2166" t="str">
        <x:v>2021-12-31|2022-12-31</x:v>
      </x:c>
      <x:c r="U2166" s="57" t="n">
        <x:v>-611.6882297528869</x:v>
      </x:c>
      <x:c r="V2166" s="57" t="n">
        <x:v>-1.191451715102625</x:v>
      </x:c>
      <x:c r="W2166"/>
      <x:c r="X2166"/>
      <x:c r="Y2166" s="38" t="n">
        <x:v>0.6409090909090909</x:v>
      </x:c>
      <x:c r="Z2166" s="38" t="n">
        <x:v>0.32596597928319837</x:v>
      </x:c>
      <x:c r="AA2166" t="str">
        <x:v>NON_POSITIVE_ENTERPRISE_VALUE|NON_POSITIVE_EQUITY_VALUE|NON_POSITIVE_TERMINAL_FCF</x:v>
      </x:c>
    </x:row>
    <x:row r="2167">
      <x:c r="A2167" s="54" t="n">
        <x:v>45199</x:v>
      </x:c>
      <x:c r="B2167" t="n">
        <x:v>45199.624999988424</x:v>
      </x:c>
      <x:c r="C2167" t="str">
        <x:v>041440</x:v>
      </x:c>
      <x:c r="D2167" t="str">
        <x:v>현대에버다임</x:v>
      </x:c>
      <x:c r="E2167" t="str">
        <x:v>KOSDAQ</x:v>
      </x:c>
      <x:c r="F2167" t="str">
        <x:v>MID</x:v>
      </x:c>
      <x:c r="G2167" t="str">
        <x:v>DCF_SCREENING_EXCLUSION</x:v>
      </x:c>
      <x:c r="H2167" t="str">
        <x:v>NON_POSITIVE_ENTERPRISE_VALUE|NON_POSITIVE_EQUITY_VALUE|NON_POSITIVE_TERMINAL_FCF</x:v>
      </x:c>
      <x:c r="I2167" s="54" t="n">
        <x:v>45196</x:v>
      </x:c>
      <x:c r="J2167" s="55" t="n">
        <x:v>6310</x:v>
      </x:c>
      <x:c r="K2167" s="55" t="n">
        <x:v>113049606640</x:v>
      </x:c>
      <x:c r="L2167" s="55" t="n">
        <x:v>17915944</x:v>
      </x:c>
      <x:c r="M2167" t="str">
        <x:v>20230320000982</x:v>
      </x:c>
      <x:c r="N2167" t="n">
        <x:v>45005.624999988424</x:v>
      </x:c>
      <x:c r="O2167" s="54" t="n">
        <x:v>44926</x:v>
      </x:c>
      <x:c r="P2167" t="str">
        <x:v>False</x:v>
      </x:c>
      <x:c r="Q2167" t="str">
        <x:v>8c3d9a83fb6c517a8cd313377559d3dea4a69bedff0db9c303c7595a8f32a66a</x:v>
      </x:c>
      <x:c r="R2167" t="str">
        <x:v>41baf22bd69a11eba2250fb647f80bfaea0394015173ea0819971eea359f9329</x:v>
      </x:c>
      <x:c r="S2167" t="n">
        <x:v>7</x:v>
      </x:c>
      <x:c r="T2167" t="str">
        <x:v>2018-12-31|2019-12-31|2020-12-31|2021-12-31|2022-12-31</x:v>
      </x:c>
      <x:c r="U2167" s="57" t="n">
        <x:v>-7160.384465012425</x:v>
      </x:c>
      <x:c r="V2167" s="57" t="n">
        <x:v>-2.134767744059021</x:v>
      </x:c>
      <x:c r="W2167"/>
      <x:c r="X2167"/>
      <x:c r="Y2167" s="38" t="n">
        <x:v>0.6409090909090909</x:v>
      </x:c>
      <x:c r="Z2167" s="38" t="n">
        <x:v>0.6118890122114707</x:v>
      </x:c>
      <x:c r="AA2167" t="str">
        <x:v>NON_POSITIVE_ENTERPRISE_VALUE|NON_POSITIVE_EQUITY_VALUE|NON_POSITIVE_TERMINAL_FCF</x:v>
      </x:c>
    </x:row>
    <x:row r="2168">
      <x:c r="A2168" s="54" t="n">
        <x:v>45199</x:v>
      </x:c>
      <x:c r="B2168" t="n">
        <x:v>45199.624999988424</x:v>
      </x:c>
      <x:c r="C2168" t="str">
        <x:v>067990</x:v>
      </x:c>
      <x:c r="D2168" t="str">
        <x:v>도이치모터스</x:v>
      </x:c>
      <x:c r="E2168" t="str">
        <x:v>KOSDAQ</x:v>
      </x:c>
      <x:c r="F2168" t="str">
        <x:v>MID</x:v>
      </x:c>
      <x:c r="G2168" t="str">
        <x:v>DCF_SCREENING_EXCLUSION</x:v>
      </x:c>
      <x:c r="H2168" t="str">
        <x:v>NON_POSITIVE_EQUITY_VALUE</x:v>
      </x:c>
      <x:c r="I2168" s="54" t="n">
        <x:v>45196</x:v>
      </x:c>
      <x:c r="J2168" s="55" t="n">
        <x:v>5530</x:v>
      </x:c>
      <x:c r="K2168" s="55" t="n">
        <x:v>177963971500</x:v>
      </x:c>
      <x:c r="L2168" s="55" t="n">
        <x:v>32181550</x:v>
      </x:c>
      <x:c r="M2168" t="str">
        <x:v>20230317000760</x:v>
      </x:c>
      <x:c r="N2168" t="n">
        <x:v>45002.624999988424</x:v>
      </x:c>
      <x:c r="O2168" s="54" t="n">
        <x:v>44926</x:v>
      </x:c>
      <x:c r="P2168" t="str">
        <x:v>False</x:v>
      </x:c>
      <x:c r="Q2168" t="str">
        <x:v>7f959e11e8485d180ff361123246abc52f32d0d6ca7b3df433db63b2e3a91ba1</x:v>
      </x:c>
      <x:c r="R2168" t="str">
        <x:v>0081b4ef6ace73aa22d0a80b8d24b0d7cf9195fdeaba6e597eaab64df0a7b488</x:v>
      </x:c>
      <x:c r="S2168" t="n">
        <x:v>6</x:v>
      </x:c>
      <x:c r="T2168" t="str">
        <x:v>2016-12-31|2018-12-31|2019-12-31|2020-12-31|2021-12-31|2022-12-31</x:v>
      </x:c>
      <x:c r="U2168" s="57" t="n">
        <x:v>-9085.783444268378</x:v>
      </x:c>
      <x:c r="V2168" s="57" t="n">
        <x:v>-2.6429988145150776</x:v>
      </x:c>
      <x:c r="W2168"/>
      <x:c r="X2168"/>
      <x:c r="Y2168" s="38" t="n">
        <x:v>0.6409090909090909</x:v>
      </x:c>
      <x:c r="Z2168" s="38" t="n">
        <x:v>0.7697478293952159</x:v>
      </x:c>
      <x:c r="AA2168" t="str">
        <x:v>NON_POSITIVE_EQUITY_VALUE</x:v>
      </x:c>
    </x:row>
    <x:row r="2169">
      <x:c r="A2169" s="54" t="n">
        <x:v>45199</x:v>
      </x:c>
      <x:c r="B2169" t="n">
        <x:v>45199.624999988424</x:v>
      </x:c>
      <x:c r="C2169" t="str">
        <x:v>037070</x:v>
      </x:c>
      <x:c r="D2169" t="str">
        <x:v>파세코</x:v>
      </x:c>
      <x:c r="E2169" t="str">
        <x:v>KOSDAQ</x:v>
      </x:c>
      <x:c r="F2169" t="str">
        <x:v>MID</x:v>
      </x:c>
      <x:c r="G2169" t="str">
        <x:v>ELIGIBLE</x:v>
      </x:c>
      <x:c r="H2169"/>
      <x:c r="I2169" s="54" t="n">
        <x:v>45196</x:v>
      </x:c>
      <x:c r="J2169" s="55" t="n">
        <x:v>10310</x:v>
      </x:c>
      <x:c r="K2169" s="55" t="n">
        <x:v>206200000000</x:v>
      </x:c>
      <x:c r="L2169" s="55" t="n">
        <x:v>20000000</x:v>
      </x:c>
      <x:c r="M2169" t="str">
        <x:v>20230322000475</x:v>
      </x:c>
      <x:c r="N2169" t="n">
        <x:v>45007.624999988424</x:v>
      </x:c>
      <x:c r="O2169" s="54" t="n">
        <x:v>44926</x:v>
      </x:c>
      <x:c r="P2169" t="str">
        <x:v>False</x:v>
      </x:c>
      <x:c r="Q2169" t="str">
        <x:v>e0e628c1c4f3d44105afad67f3e241489cd6e09b190059e31bcca1cc8e91cefc</x:v>
      </x:c>
      <x:c r="R2169" t="str">
        <x:v>534a5be0bc61d177fbac066d23e10beac9b6d143754bed0f9c80fb43ba461c7d</x:v>
      </x:c>
      <x:c r="S2169" t="n">
        <x:v>7</x:v>
      </x:c>
      <x:c r="T2169" t="str">
        <x:v>2018-12-31|2019-12-31|2020-12-31|2021-12-31|2022-12-31</x:v>
      </x:c>
      <x:c r="U2169" s="57" t="n">
        <x:v>6820.926575942535</x:v>
      </x:c>
      <x:c r="V2169" s="57" t="n">
        <x:v>-0.3384164329832653</x:v>
      </x:c>
      <x:c r="W2169" t="n">
        <x:v>35</x:v>
      </x:c>
      <x:c r="X2169" t="n">
        <x:v>3</x:v>
      </x:c>
      <x:c r="Y2169" s="38" t="n">
        <x:v>0.6409090909090909</x:v>
      </x:c>
      <x:c r="Z2169" s="38" t="n">
        <x:v>0.7394480833327476</x:v>
      </x:c>
      <x:c r="AA2169"/>
    </x:row>
    <x:row r="2170">
      <x:c r="A2170" s="54" t="n">
        <x:v>45199</x:v>
      </x:c>
      <x:c r="B2170" t="n">
        <x:v>45199.624999988424</x:v>
      </x:c>
      <x:c r="C2170" t="str">
        <x:v>365330</x:v>
      </x:c>
      <x:c r="D2170" t="str">
        <x:v>에스와이스틸텍</x:v>
      </x:c>
      <x:c r="E2170" t="str">
        <x:v>KOSDAQ</x:v>
      </x:c>
      <x:c r="F2170" t="str">
        <x:v>MID</x:v>
      </x:c>
      <x:c r="G2170" t="str">
        <x:v>NOT_LISTED_OR_NO_PRICE</x:v>
      </x:c>
      <x:c r="H2170"/>
      <x:c r="I2170" s="54"/>
      <x:c r="J2170" s="55"/>
      <x:c r="K2170" s="55"/>
      <x:c r="L2170" s="55"/>
      <x:c r="M2170"/>
      <x:c r="N2170"/>
      <x:c r="O2170" s="54"/>
      <x:c r="P2170"/>
      <x:c r="Q2170"/>
      <x:c r="R2170"/>
      <x:c r="S2170"/>
      <x:c r="T2170"/>
      <x:c r="U2170" s="57"/>
      <x:c r="V2170" s="57"/>
      <x:c r="W2170"/>
      <x:c r="X2170"/>
      <x:c r="Y2170" s="38"/>
      <x:c r="Z2170" s="38"/>
      <x:c r="AA2170"/>
    </x:row>
    <x:row r="2171">
      <x:c r="A2171" s="54" t="n">
        <x:v>45199</x:v>
      </x:c>
      <x:c r="B2171" t="n">
        <x:v>45199.624999988424</x:v>
      </x:c>
      <x:c r="C2171" t="str">
        <x:v>086960</x:v>
      </x:c>
      <x:c r="D2171" t="str">
        <x:v>MDS테크</x:v>
      </x:c>
      <x:c r="E2171" t="str">
        <x:v>KOSDAQ</x:v>
      </x:c>
      <x:c r="F2171" t="str">
        <x:v>MID</x:v>
      </x:c>
      <x:c r="G2171" t="str">
        <x:v>ELIGIBLE</x:v>
      </x:c>
      <x:c r="H2171"/>
      <x:c r="I2171" s="54" t="n">
        <x:v>45196</x:v>
      </x:c>
      <x:c r="J2171" s="55" t="n">
        <x:v>1702</x:v>
      </x:c>
      <x:c r="K2171" s="55" t="n">
        <x:v>149058668272</x:v>
      </x:c>
      <x:c r="L2171" s="55" t="n">
        <x:v>87578536</x:v>
      </x:c>
      <x:c r="M2171" t="str">
        <x:v>20230321001394</x:v>
      </x:c>
      <x:c r="N2171" t="n">
        <x:v>45006.624999988424</x:v>
      </x:c>
      <x:c r="O2171" s="54" t="n">
        <x:v>44926</x:v>
      </x:c>
      <x:c r="P2171" t="str">
        <x:v>False</x:v>
      </x:c>
      <x:c r="Q2171" t="str">
        <x:v>6de65259a3d072f42d0fca3d53001c4393de76a7b6785d72709e18e8e2184e5d</x:v>
      </x:c>
      <x:c r="R2171" t="str">
        <x:v>0a064b5a48ddc0c295a1489d2b419a5c1fb6e4d178bb4e529a768d64682b58d6</x:v>
      </x:c>
      <x:c r="S2171" t="n">
        <x:v>6</x:v>
      </x:c>
      <x:c r="T2171" t="str">
        <x:v>2018-12-31|2019-12-31|2020-12-31|2021-12-31|2022-12-31</x:v>
      </x:c>
      <x:c r="U2171" s="57" t="n">
        <x:v>635.7667233708745</x:v>
      </x:c>
      <x:c r="V2171" s="57" t="n">
        <x:v>-0.6264590344471948</x:v>
      </x:c>
      <x:c r="W2171" t="n">
        <x:v>52</x:v>
      </x:c>
      <x:c r="X2171" t="n">
        <x:v>4</x:v>
      </x:c>
      <x:c r="Y2171" s="38" t="n">
        <x:v>0.6409090909090909</x:v>
      </x:c>
      <x:c r="Z2171" s="38" t="n">
        <x:v>0.503297506332927</x:v>
      </x:c>
      <x:c r="AA2171"/>
    </x:row>
    <x:row r="2172">
      <x:c r="A2172" s="54" t="n">
        <x:v>45199</x:v>
      </x:c>
      <x:c r="B2172" t="n">
        <x:v>45199.624999988424</x:v>
      </x:c>
      <x:c r="C2172" t="str">
        <x:v>014970</x:v>
      </x:c>
      <x:c r="D2172" t="str">
        <x:v>삼륭물산</x:v>
      </x:c>
      <x:c r="E2172" t="str">
        <x:v>KOSDAQ</x:v>
      </x:c>
      <x:c r="F2172" t="str">
        <x:v>MID</x:v>
      </x:c>
      <x:c r="G2172" t="str">
        <x:v>DCF_SCREENING_EXCLUSION</x:v>
      </x:c>
      <x:c r="H2172" t="str">
        <x:v>NON_POSITIVE_ENTERPRISE_VALUE|NON_POSITIVE_EQUITY_VALUE|NON_POSITIVE_TERMINAL_FCF</x:v>
      </x:c>
      <x:c r="I2172" s="54" t="n">
        <x:v>45196</x:v>
      </x:c>
      <x:c r="J2172" s="55" t="n">
        <x:v>3650</x:v>
      </x:c>
      <x:c r="K2172" s="55" t="n">
        <x:v>55206250000</x:v>
      </x:c>
      <x:c r="L2172" s="55" t="n">
        <x:v>15125000</x:v>
      </x:c>
      <x:c r="M2172" t="str">
        <x:v>20230321000886</x:v>
      </x:c>
      <x:c r="N2172" t="n">
        <x:v>45006.624999988424</x:v>
      </x:c>
      <x:c r="O2172" s="54" t="n">
        <x:v>44926</x:v>
      </x:c>
      <x:c r="P2172" t="str">
        <x:v>False</x:v>
      </x:c>
      <x:c r="Q2172" t="str">
        <x:v>883e85ca54d69019d753f75ff70bd82e9ec95c7f381af4f7070b658bf9977127</x:v>
      </x:c>
      <x:c r="R2172" t="str">
        <x:v>6aead4fd53b27da53ce0040d23d43dbcaede491dd27efb33c775b4235ae6877b</x:v>
      </x:c>
      <x:c r="S2172" t="n">
        <x:v>6</x:v>
      </x:c>
      <x:c r="T2172" t="str">
        <x:v>2018-12-31|2019-12-31|2020-12-31|2021-12-31|2022-12-31</x:v>
      </x:c>
      <x:c r="U2172" s="57" t="n">
        <x:v>-2342.5038501299105</x:v>
      </x:c>
      <x:c r="V2172" s="57" t="n">
        <x:v>-1.6417818767479206</x:v>
      </x:c>
      <x:c r="W2172"/>
      <x:c r="X2172"/>
      <x:c r="Y2172" s="38" t="n">
        <x:v>0.6409090909090909</x:v>
      </x:c>
      <x:c r="Z2172" s="38" t="n">
        <x:v>0.38695392197793776</x:v>
      </x:c>
      <x:c r="AA2172" t="str">
        <x:v>NON_POSITIVE_ENTERPRISE_VALUE|NON_POSITIVE_EQUITY_VALUE|NON_POSITIVE_TERMINAL_FCF</x:v>
      </x:c>
    </x:row>
    <x:row r="2173">
      <x:c r="A2173" s="54" t="n">
        <x:v>45199</x:v>
      </x:c>
      <x:c r="B2173" t="n">
        <x:v>45199.624999988424</x:v>
      </x:c>
      <x:c r="C2173" t="str">
        <x:v>088390</x:v>
      </x:c>
      <x:c r="D2173" t="str">
        <x:v>이녹스</x:v>
      </x:c>
      <x:c r="E2173" t="str">
        <x:v>KOSDAQ</x:v>
      </x:c>
      <x:c r="F2173" t="str">
        <x:v>MID</x:v>
      </x:c>
      <x:c r="G2173" t="str">
        <x:v>ELIGIBLE</x:v>
      </x:c>
      <x:c r="H2173"/>
      <x:c r="I2173" s="54" t="n">
        <x:v>45196</x:v>
      </x:c>
      <x:c r="J2173" s="55" t="n">
        <x:v>25350</x:v>
      </x:c>
      <x:c r="K2173" s="55" t="n">
        <x:v>237931145400</x:v>
      </x:c>
      <x:c r="L2173" s="55" t="n">
        <x:v>9385844</x:v>
      </x:c>
      <x:c r="M2173" t="str">
        <x:v>20230321000937</x:v>
      </x:c>
      <x:c r="N2173" t="n">
        <x:v>45006.624999988424</x:v>
      </x:c>
      <x:c r="O2173" s="54" t="n">
        <x:v>44926</x:v>
      </x:c>
      <x:c r="P2173" t="str">
        <x:v>False</x:v>
      </x:c>
      <x:c r="Q2173" t="str">
        <x:v>c806ff3b25a78008817dea909ba8d87907b897404702a945415dc8bddf5a3bba</x:v>
      </x:c>
      <x:c r="R2173" t="str">
        <x:v>a334546554aa10b611102f8d42eec0e13da704c6535d6c2253ec83dd0adcbc43</x:v>
      </x:c>
      <x:c r="S2173" t="n">
        <x:v>6</x:v>
      </x:c>
      <x:c r="T2173" t="str">
        <x:v>2018-12-31|2019-12-31|2020-12-31|2021-12-31|2022-12-31</x:v>
      </x:c>
      <x:c r="U2173" s="57" t="n">
        <x:v>20179.33646225463</x:v>
      </x:c>
      <x:c r="V2173" s="57" t="n">
        <x:v>-0.2039709482345314</x:v>
      </x:c>
      <x:c r="W2173" t="n">
        <x:v>30</x:v>
      </x:c>
      <x:c r="X2173" t="n">
        <x:v>3</x:v>
      </x:c>
      <x:c r="Y2173" s="38" t="n">
        <x:v>0.6409090909090909</x:v>
      </x:c>
      <x:c r="Z2173" s="38" t="n">
        <x:v>0.6559585112822673</x:v>
      </x:c>
      <x:c r="AA2173"/>
    </x:row>
    <x:row r="2174">
      <x:c r="A2174" s="54" t="n">
        <x:v>45199</x:v>
      </x:c>
      <x:c r="B2174" t="n">
        <x:v>45199.624999988424</x:v>
      </x:c>
      <x:c r="C2174" t="str">
        <x:v>170920</x:v>
      </x:c>
      <x:c r="D2174" t="str">
        <x:v>엘티씨</x:v>
      </x:c>
      <x:c r="E2174" t="str">
        <x:v>KOSDAQ</x:v>
      </x:c>
      <x:c r="F2174" t="str">
        <x:v>MID</x:v>
      </x:c>
      <x:c r="G2174" t="str">
        <x:v>DCF_SCREENING_EXCLUSION</x:v>
      </x:c>
      <x:c r="H2174" t="str">
        <x:v>NON_POSITIVE_EQUITY_VALUE</x:v>
      </x:c>
      <x:c r="I2174" s="54" t="n">
        <x:v>45196</x:v>
      </x:c>
      <x:c r="J2174" s="55" t="n">
        <x:v>8950</x:v>
      </x:c>
      <x:c r="K2174" s="55" t="n">
        <x:v>78975283300</x:v>
      </x:c>
      <x:c r="L2174" s="55" t="n">
        <x:v>8824054</x:v>
      </x:c>
      <x:c r="M2174" t="str">
        <x:v>20230321001487</x:v>
      </x:c>
      <x:c r="N2174" t="n">
        <x:v>45006.624999988424</x:v>
      </x:c>
      <x:c r="O2174" s="54" t="n">
        <x:v>44926</x:v>
      </x:c>
      <x:c r="P2174" t="str">
        <x:v>False</x:v>
      </x:c>
      <x:c r="Q2174" t="str">
        <x:v>a5dae5e20cb63a18e32c98947b4715639d1167f521be8482e4df15e45dbc7a5e</x:v>
      </x:c>
      <x:c r="R2174" t="str">
        <x:v>669ac794f9aa2ef10105bd2f3cb42ba26f6dca949e57c990abb8149f25d8a938</x:v>
      </x:c>
      <x:c r="S2174" t="n">
        <x:v>6</x:v>
      </x:c>
      <x:c r="T2174" t="str">
        <x:v>2018-12-31|2019-12-31|2020-12-31|2021-12-31|2022-12-31</x:v>
      </x:c>
      <x:c r="U2174" s="57" t="n">
        <x:v>-524.950426338027</x:v>
      </x:c>
      <x:c r="V2174" s="57" t="n">
        <x:v>-1.05865367892045</x:v>
      </x:c>
      <x:c r="W2174"/>
      <x:c r="X2174"/>
      <x:c r="Y2174" s="38" t="n">
        <x:v>0.6409090909090909</x:v>
      </x:c>
      <x:c r="Z2174" s="38" t="n">
        <x:v>0.6063381050684947</x:v>
      </x:c>
      <x:c r="AA2174" t="str">
        <x:v>NON_POSITIVE_EQUITY_VALUE</x:v>
      </x:c>
    </x:row>
    <x:row r="2175">
      <x:c r="A2175" s="54" t="n">
        <x:v>45199</x:v>
      </x:c>
      <x:c r="B2175" t="n">
        <x:v>45199.624999988424</x:v>
      </x:c>
      <x:c r="C2175" t="str">
        <x:v>021080</x:v>
      </x:c>
      <x:c r="D2175" t="str">
        <x:v>에이티넘인베스트</x:v>
      </x:c>
      <x:c r="E2175" t="str">
        <x:v>KOSDAQ</x:v>
      </x:c>
      <x:c r="F2175" t="str">
        <x:v>MID</x:v>
      </x:c>
      <x:c r="G2175" t="str">
        <x:v>ELIGIBLE</x:v>
      </x:c>
      <x:c r="H2175"/>
      <x:c r="I2175" s="54" t="n">
        <x:v>45196</x:v>
      </x:c>
      <x:c r="J2175" s="55" t="n">
        <x:v>2900</x:v>
      </x:c>
      <x:c r="K2175" s="55" t="n">
        <x:v>139200000000</x:v>
      </x:c>
      <x:c r="L2175" s="55" t="n">
        <x:v>48000000</x:v>
      </x:c>
      <x:c r="M2175" t="str">
        <x:v>20230314001059</x:v>
      </x:c>
      <x:c r="N2175" t="n">
        <x:v>44999.624999988424</x:v>
      </x:c>
      <x:c r="O2175" s="54" t="n">
        <x:v>44926</x:v>
      </x:c>
      <x:c r="P2175" t="str">
        <x:v>False</x:v>
      </x:c>
      <x:c r="Q2175" t="str">
        <x:v>8c5d66bc32cae6aaea39b9031902bfd89e3a6ffd612bd13d18956e5d3c55b227</x:v>
      </x:c>
      <x:c r="R2175" t="str">
        <x:v>25932feee45d4f34e5d899bbfdb4236433277e2205d191def6fb07776ac1872f</x:v>
      </x:c>
      <x:c r="S2175" t="n">
        <x:v>4</x:v>
      </x:c>
      <x:c r="T2175" t="str">
        <x:v>2018-12-31|2019-12-31|2020-12-31|2021-12-31|2022-12-31</x:v>
      </x:c>
      <x:c r="U2175" s="57" t="n">
        <x:v>9406.736948369926</x:v>
      </x:c>
      <x:c r="V2175" s="57" t="n">
        <x:v>2.2437023959896294</x:v>
      </x:c>
      <x:c r="W2175" t="n">
        <x:v>8</x:v>
      </x:c>
      <x:c r="X2175" t="n">
        <x:v>1</x:v>
      </x:c>
      <x:c r="Y2175" s="38" t="n">
        <x:v>0.6409090909090909</x:v>
      </x:c>
      <x:c r="Z2175" s="38" t="n">
        <x:v>0.6853837104206245</x:v>
      </x:c>
      <x:c r="AA2175"/>
    </x:row>
    <x:row r="2176">
      <x:c r="A2176" s="54" t="n">
        <x:v>45199</x:v>
      </x:c>
      <x:c r="B2176" t="n">
        <x:v>45199.624999988424</x:v>
      </x:c>
      <x:c r="C2176" t="str">
        <x:v>302550</x:v>
      </x:c>
      <x:c r="D2176" t="str">
        <x:v>리메드</x:v>
      </x:c>
      <x:c r="E2176" t="str">
        <x:v>KOSDAQ</x:v>
      </x:c>
      <x:c r="F2176" t="str">
        <x:v>MID</x:v>
      </x:c>
      <x:c r="G2176" t="str">
        <x:v>ELIGIBLE</x:v>
      </x:c>
      <x:c r="H2176"/>
      <x:c r="I2176" s="54" t="n">
        <x:v>45196</x:v>
      </x:c>
      <x:c r="J2176" s="55" t="n">
        <x:v>18200</x:v>
      </x:c>
      <x:c r="K2176" s="55" t="n">
        <x:v>111522611200</x:v>
      </x:c>
      <x:c r="L2176" s="55" t="n">
        <x:v>6127616</x:v>
      </x:c>
      <x:c r="M2176" t="str">
        <x:v>20230712000076</x:v>
      </x:c>
      <x:c r="N2176" t="n">
        <x:v>45119.624999988424</x:v>
      </x:c>
      <x:c r="O2176" s="54" t="n">
        <x:v>44926</x:v>
      </x:c>
      <x:c r="P2176" t="str">
        <x:v>True</x:v>
      </x:c>
      <x:c r="Q2176" t="str">
        <x:v>2696cb4a23bf61a69eae1203094ad6ef054f124c385ab3ed7cb3badc732e56ea</x:v>
      </x:c>
      <x:c r="R2176" t="str">
        <x:v>e324af1e445581034711bdcbf297ec383f60b2407cd91b67ee5229b470556ea0</x:v>
      </x:c>
      <x:c r="S2176" t="n">
        <x:v>5</x:v>
      </x:c>
      <x:c r="T2176" t="str">
        <x:v>2019-12-31|2020-12-31|2021-12-31|2022-12-31</x:v>
      </x:c>
      <x:c r="U2176" s="57" t="n">
        <x:v>3933.783904575903</x:v>
      </x:c>
      <x:c r="V2176" s="57" t="n">
        <x:v>-0.7838580272211042</x:v>
      </x:c>
      <x:c r="W2176" t="n">
        <x:v>61</x:v>
      </x:c>
      <x:c r="X2176" t="n">
        <x:v>5</x:v>
      </x:c>
      <x:c r="Y2176" s="38" t="n">
        <x:v>0.6409090909090909</x:v>
      </x:c>
      <x:c r="Z2176" s="38" t="n">
        <x:v>0.6901126110971331</x:v>
      </x:c>
      <x:c r="AA2176"/>
    </x:row>
    <x:row r="2177">
      <x:c r="A2177" s="54" t="n">
        <x:v>45199</x:v>
      </x:c>
      <x:c r="B2177" t="n">
        <x:v>45199.624999988424</x:v>
      </x:c>
      <x:c r="C2177" t="str">
        <x:v>011760</x:v>
      </x:c>
      <x:c r="D2177" t="str">
        <x:v>현대코퍼레이션</x:v>
      </x:c>
      <x:c r="E2177" t="str">
        <x:v>KOSPI</x:v>
      </x:c>
      <x:c r="F2177" t="str">
        <x:v>MID</x:v>
      </x:c>
      <x:c r="G2177" t="str">
        <x:v>ELIGIBLE</x:v>
      </x:c>
      <x:c r="H2177"/>
      <x:c r="I2177" s="54" t="n">
        <x:v>45196</x:v>
      </x:c>
      <x:c r="J2177" s="55" t="n">
        <x:v>19040</x:v>
      </x:c>
      <x:c r="K2177" s="55" t="n">
        <x:v>251879512640</x:v>
      </x:c>
      <x:c r="L2177" s="55" t="n">
        <x:v>13228966</x:v>
      </x:c>
      <x:c r="M2177" t="str">
        <x:v>20230321001082</x:v>
      </x:c>
      <x:c r="N2177" t="n">
        <x:v>45006.624999988424</x:v>
      </x:c>
      <x:c r="O2177" s="54" t="n">
        <x:v>44926</x:v>
      </x:c>
      <x:c r="P2177" t="str">
        <x:v>False</x:v>
      </x:c>
      <x:c r="Q2177" t="str">
        <x:v>7497290dfb7df1cdb145ded0dcd43d2219860d472f25d57ceb52cf8da7a1f19d</x:v>
      </x:c>
      <x:c r="R2177" t="str">
        <x:v>e44d414fb883ec676e3c561de4b1c48d84619c9565a5962f170a9145182b85c8</x:v>
      </x:c>
      <x:c r="S2177" t="n">
        <x:v>6</x:v>
      </x:c>
      <x:c r="T2177" t="str">
        <x:v>2018-12-31|2019-12-31|2020-12-31|2021-12-31|2022-12-31</x:v>
      </x:c>
      <x:c r="U2177" s="57" t="n">
        <x:v>35512.0741871538</x:v>
      </x:c>
      <x:c r="V2177" s="57" t="n">
        <x:v>0.865129946804296</x:v>
      </x:c>
      <x:c r="W2177" t="n">
        <x:v>12</x:v>
      </x:c>
      <x:c r="X2177" t="n">
        <x:v>1</x:v>
      </x:c>
      <x:c r="Y2177" s="38" t="n">
        <x:v>0.6409090909090909</x:v>
      </x:c>
      <x:c r="Z2177" s="38" t="n">
        <x:v>0.6771245069754701</x:v>
      </x:c>
      <x:c r="AA2177"/>
    </x:row>
    <x:row r="2178">
      <x:c r="A2178" s="54" t="n">
        <x:v>45199</x:v>
      </x:c>
      <x:c r="B2178" t="n">
        <x:v>45199.624999988424</x:v>
      </x:c>
      <x:c r="C2178" t="str">
        <x:v>010690</x:v>
      </x:c>
      <x:c r="D2178" t="str">
        <x:v>화신</x:v>
      </x:c>
      <x:c r="E2178" t="str">
        <x:v>KOSPI</x:v>
      </x:c>
      <x:c r="F2178" t="str">
        <x:v>MID</x:v>
      </x:c>
      <x:c r="G2178" t="str">
        <x:v>DCF_SCREENING_EXCLUSION</x:v>
      </x:c>
      <x:c r="H2178" t="str">
        <x:v>NON_POSITIVE_ENTERPRISE_VALUE|NON_POSITIVE_EQUITY_VALUE|NON_POSITIVE_TERMINAL_FCF|UNRELIABLE_TERMINAL_VALUE_SHARE</x:v>
      </x:c>
      <x:c r="I2178" s="54" t="n">
        <x:v>45196</x:v>
      </x:c>
      <x:c r="J2178" s="55" t="n">
        <x:v>12810</x:v>
      </x:c>
      <x:c r="K2178" s="55" t="n">
        <x:v>447330452100</x:v>
      </x:c>
      <x:c r="L2178" s="55" t="n">
        <x:v>34920410</x:v>
      </x:c>
      <x:c r="M2178" t="str">
        <x:v>20230320000645</x:v>
      </x:c>
      <x:c r="N2178" t="n">
        <x:v>45005.624999988424</x:v>
      </x:c>
      <x:c r="O2178" s="54" t="n">
        <x:v>44926</x:v>
      </x:c>
      <x:c r="P2178" t="str">
        <x:v>False</x:v>
      </x:c>
      <x:c r="Q2178" t="str">
        <x:v>ace030b5867bd40c85d08d8079564b6f1adba8cb64ce5247769c40f3cb666f0c</x:v>
      </x:c>
      <x:c r="R2178" t="str">
        <x:v>c8947a650432b8d7fe4195798251d6392cac5b504010a72e30232a3fa75037ce</x:v>
      </x:c>
      <x:c r="S2178" t="n">
        <x:v>6</x:v>
      </x:c>
      <x:c r="T2178" t="str">
        <x:v>2018-12-31|2019-12-31|2020-12-31|2021-12-31|2022-12-31</x:v>
      </x:c>
      <x:c r="U2178" s="57" t="n">
        <x:v>-17045.32296634363</x:v>
      </x:c>
      <x:c r="V2178" s="57" t="n">
        <x:v>-2.330626304944858</x:v>
      </x:c>
      <x:c r="W2178"/>
      <x:c r="X2178"/>
      <x:c r="Y2178" s="38" t="n">
        <x:v>0.6409090909090909</x:v>
      </x:c>
      <x:c r="Z2178" s="38" t="n">
        <x:v>0.8696011390894546</x:v>
      </x:c>
      <x:c r="AA2178" t="str">
        <x:v>NON_POSITIVE_ENTERPRISE_VALUE|NON_POSITIVE_EQUITY_VALUE|NON_POSITIVE_TERMINAL_FCF|UNRELIABLE_TERMINAL_VALUE_SHARE</x:v>
      </x:c>
    </x:row>
    <x:row r="2179">
      <x:c r="A2179" s="54" t="n">
        <x:v>45199</x:v>
      </x:c>
      <x:c r="B2179" t="n">
        <x:v>45199.624999988424</x:v>
      </x:c>
      <x:c r="C2179" t="str">
        <x:v>029460</x:v>
      </x:c>
      <x:c r="D2179" t="str">
        <x:v>케이씨</x:v>
      </x:c>
      <x:c r="E2179" t="str">
        <x:v>KOSPI</x:v>
      </x:c>
      <x:c r="F2179" t="str">
        <x:v>MID</x:v>
      </x:c>
      <x:c r="G2179" t="str">
        <x:v>ELIGIBLE</x:v>
      </x:c>
      <x:c r="H2179"/>
      <x:c r="I2179" s="54" t="n">
        <x:v>45196</x:v>
      </x:c>
      <x:c r="J2179" s="55" t="n">
        <x:v>16340</x:v>
      </x:c>
      <x:c r="K2179" s="55" t="n">
        <x:v>221473078960</x:v>
      </x:c>
      <x:c r="L2179" s="55" t="n">
        <x:v>13554044</x:v>
      </x:c>
      <x:c r="M2179" t="str">
        <x:v>20230321001309</x:v>
      </x:c>
      <x:c r="N2179" t="n">
        <x:v>45006.624999988424</x:v>
      </x:c>
      <x:c r="O2179" s="54" t="n">
        <x:v>44926</x:v>
      </x:c>
      <x:c r="P2179" t="str">
        <x:v>False</x:v>
      </x:c>
      <x:c r="Q2179" t="str">
        <x:v>58e2d472bbe37e0e42e1f560f9d3acf2a30dbfda1ffdbc268c79157babdb6d9e</x:v>
      </x:c>
      <x:c r="R2179" t="str">
        <x:v>4f1107530bcbdbfdb99fcbe552d55f3f95991ae8735eae7990d0fb52b4e43364</x:v>
      </x:c>
      <x:c r="S2179" t="n">
        <x:v>7</x:v>
      </x:c>
      <x:c r="T2179" t="str">
        <x:v>2018-12-31|2019-12-31|2020-12-31|2021-12-31|2022-12-31</x:v>
      </x:c>
      <x:c r="U2179" s="57" t="n">
        <x:v>57723.94566201972</x:v>
      </x:c>
      <x:c r="V2179" s="57" t="n">
        <x:v>2.532677213097902</x:v>
      </x:c>
      <x:c r="W2179" t="n">
        <x:v>6</x:v>
      </x:c>
      <x:c r="X2179" t="n">
        <x:v>1</x:v>
      </x:c>
      <x:c r="Y2179" s="38" t="n">
        <x:v>0.6409090909090909</x:v>
      </x:c>
      <x:c r="Z2179" s="38" t="n">
        <x:v>0.6872369630522922</x:v>
      </x:c>
      <x:c r="AA2179"/>
    </x:row>
    <x:row r="2180">
      <x:c r="A2180" s="54" t="n">
        <x:v>45199</x:v>
      </x:c>
      <x:c r="B2180" t="n">
        <x:v>45199.624999988424</x:v>
      </x:c>
      <x:c r="C2180" t="str">
        <x:v>122900</x:v>
      </x:c>
      <x:c r="D2180" t="str">
        <x:v>아이마켓코리아</x:v>
      </x:c>
      <x:c r="E2180" t="str">
        <x:v>KOSPI</x:v>
      </x:c>
      <x:c r="F2180" t="str">
        <x:v>MID</x:v>
      </x:c>
      <x:c r="G2180" t="str">
        <x:v>ELIGIBLE</x:v>
      </x:c>
      <x:c r="H2180"/>
      <x:c r="I2180" s="54" t="n">
        <x:v>45196</x:v>
      </x:c>
      <x:c r="J2180" s="55" t="n">
        <x:v>8860</x:v>
      </x:c>
      <x:c r="K2180" s="55" t="n">
        <x:v>296179522400</x:v>
      </x:c>
      <x:c r="L2180" s="55" t="n">
        <x:v>33428840</x:v>
      </x:c>
      <x:c r="M2180" t="str">
        <x:v>20230322000722</x:v>
      </x:c>
      <x:c r="N2180" t="n">
        <x:v>45007.624999988424</x:v>
      </x:c>
      <x:c r="O2180" s="54" t="n">
        <x:v>44926</x:v>
      </x:c>
      <x:c r="P2180" t="str">
        <x:v>False</x:v>
      </x:c>
      <x:c r="Q2180" t="str">
        <x:v>541510e32a7f5e0c3289b935df9aa47469db852b3e2332ec4d4887ad0a8a3a00</x:v>
      </x:c>
      <x:c r="R2180" t="str">
        <x:v>d3db2a9e5647450f49beda7b3bbce417ea59264baaa424912ee59324b698a5a1</x:v>
      </x:c>
      <x:c r="S2180" t="n">
        <x:v>7</x:v>
      </x:c>
      <x:c r="T2180" t="str">
        <x:v>2018-12-31|2019-12-31|2020-12-31|2021-12-31|2022-12-31</x:v>
      </x:c>
      <x:c r="U2180" s="57" t="n">
        <x:v>11510.344845218757</x:v>
      </x:c>
      <x:c r="V2180" s="57" t="n">
        <x:v>0.2991359870450065</x:v>
      </x:c>
      <x:c r="W2180" t="n">
        <x:v>19</x:v>
      </x:c>
      <x:c r="X2180" t="n">
        <x:v>2</x:v>
      </x:c>
      <x:c r="Y2180" s="38" t="n">
        <x:v>0.6409090909090909</x:v>
      </x:c>
      <x:c r="Z2180" s="38" t="n">
        <x:v>0.6565126915691513</x:v>
      </x:c>
      <x:c r="AA2180"/>
    </x:row>
    <x:row r="2181">
      <x:c r="A2181" s="54" t="n">
        <x:v>45199</x:v>
      </x:c>
      <x:c r="B2181" t="n">
        <x:v>45199.624999988424</x:v>
      </x:c>
      <x:c r="C2181" t="str">
        <x:v>001820</x:v>
      </x:c>
      <x:c r="D2181" t="str">
        <x:v>삼화콘덴서</x:v>
      </x:c>
      <x:c r="E2181" t="str">
        <x:v>KOSPI</x:v>
      </x:c>
      <x:c r="F2181" t="str">
        <x:v>MID</x:v>
      </x:c>
      <x:c r="G2181" t="str">
        <x:v>ELIGIBLE</x:v>
      </x:c>
      <x:c r="H2181"/>
      <x:c r="I2181" s="54" t="n">
        <x:v>45196</x:v>
      </x:c>
      <x:c r="J2181" s="55" t="n">
        <x:v>36000</x:v>
      </x:c>
      <x:c r="K2181" s="55" t="n">
        <x:v>374220000000</x:v>
      </x:c>
      <x:c r="L2181" s="55" t="n">
        <x:v>10395000</x:v>
      </x:c>
      <x:c r="M2181" t="str">
        <x:v>20230316001232</x:v>
      </x:c>
      <x:c r="N2181" t="n">
        <x:v>45001.624999988424</x:v>
      </x:c>
      <x:c r="O2181" s="54" t="n">
        <x:v>44926</x:v>
      </x:c>
      <x:c r="P2181" t="str">
        <x:v>False</x:v>
      </x:c>
      <x:c r="Q2181" t="str">
        <x:v>21c9a7489bf916d34448a0cf4023d4b2918aa14f06fa7fbfecdc791aad0d3a25</x:v>
      </x:c>
      <x:c r="R2181" t="str">
        <x:v>d98eb8030c6a8d0bd488a289243d1d793ce24874b738ec97734a7be617eeb5ec</x:v>
      </x:c>
      <x:c r="S2181" t="n">
        <x:v>6</x:v>
      </x:c>
      <x:c r="T2181" t="str">
        <x:v>2018-12-31|2019-12-31|2020-12-31|2021-12-31|2022-12-31</x:v>
      </x:c>
      <x:c r="U2181" s="57" t="n">
        <x:v>23344.60615683926</x:v>
      </x:c>
      <x:c r="V2181" s="57" t="n">
        <x:v>-0.35153871786557606</x:v>
      </x:c>
      <x:c r="W2181" t="n">
        <x:v>36</x:v>
      </x:c>
      <x:c r="X2181" t="n">
        <x:v>3</x:v>
      </x:c>
      <x:c r="Y2181" s="38" t="n">
        <x:v>0.6409090909090909</x:v>
      </x:c>
      <x:c r="Z2181" s="38" t="n">
        <x:v>0.6774188039585555</x:v>
      </x:c>
      <x:c r="AA2181"/>
    </x:row>
    <x:row r="2182">
      <x:c r="A2182" s="54" t="n">
        <x:v>45199</x:v>
      </x:c>
      <x:c r="B2182" t="n">
        <x:v>45199.624999988424</x:v>
      </x:c>
      <x:c r="C2182" t="str">
        <x:v>001790</x:v>
      </x:c>
      <x:c r="D2182" t="str">
        <x:v>대한제당</x:v>
      </x:c>
      <x:c r="E2182" t="str">
        <x:v>KOSPI</x:v>
      </x:c>
      <x:c r="F2182" t="str">
        <x:v>MID</x:v>
      </x:c>
      <x:c r="G2182" t="str">
        <x:v>ELIGIBLE</x:v>
      </x:c>
      <x:c r="H2182"/>
      <x:c r="I2182" s="54" t="n">
        <x:v>45196</x:v>
      </x:c>
      <x:c r="J2182" s="55" t="n">
        <x:v>3205</x:v>
      </x:c>
      <x:c r="K2182" s="55" t="n">
        <x:v>287477538900</x:v>
      </x:c>
      <x:c r="L2182" s="55" t="n">
        <x:v>89696580</x:v>
      </x:c>
      <x:c r="M2182" t="str">
        <x:v>20230316001046</x:v>
      </x:c>
      <x:c r="N2182" t="n">
        <x:v>45001.624999988424</x:v>
      </x:c>
      <x:c r="O2182" s="54" t="n">
        <x:v>44926</x:v>
      </x:c>
      <x:c r="P2182" t="str">
        <x:v>False</x:v>
      </x:c>
      <x:c r="Q2182" t="str">
        <x:v>1470941c191c19b84c7adee1ef3cb8a6631abd9d9946815fd4a3cfdcb7c9afd7</x:v>
      </x:c>
      <x:c r="R2182" t="str">
        <x:v>52b38e27ecd11fb1c266f904ac3caa5b13eab576bbf5e087693bb0ea6fb7b3d8</x:v>
      </x:c>
      <x:c r="S2182" t="n">
        <x:v>6</x:v>
      </x:c>
      <x:c r="T2182" t="str">
        <x:v>2018-12-31|2019-12-31|2020-12-31|2021-12-31|2022-12-31</x:v>
      </x:c>
      <x:c r="U2182" s="57" t="n">
        <x:v>2512.5220368220816</x:v>
      </x:c>
      <x:c r="V2182" s="57" t="n">
        <x:v>-0.2160617669821898</x:v>
      </x:c>
      <x:c r="W2182" t="n">
        <x:v>31</x:v>
      </x:c>
      <x:c r="X2182" t="n">
        <x:v>3</x:v>
      </x:c>
      <x:c r="Y2182" s="38" t="n">
        <x:v>0.6409090909090909</x:v>
      </x:c>
      <x:c r="Z2182" s="38" t="n">
        <x:v>0.6758534661559685</x:v>
      </x:c>
      <x:c r="AA2182"/>
    </x:row>
    <x:row r="2183">
      <x:c r="A2183" s="54" t="n">
        <x:v>45199</x:v>
      </x:c>
      <x:c r="B2183" t="n">
        <x:v>45199.624999988424</x:v>
      </x:c>
      <x:c r="C2183" t="str">
        <x:v>001340</x:v>
      </x:c>
      <x:c r="D2183" t="str">
        <x:v>PKC</x:v>
      </x:c>
      <x:c r="E2183" t="str">
        <x:v>KOSPI</x:v>
      </x:c>
      <x:c r="F2183" t="str">
        <x:v>MID</x:v>
      </x:c>
      <x:c r="G2183" t="str">
        <x:v>ELIGIBLE</x:v>
      </x:c>
      <x:c r="H2183"/>
      <x:c r="I2183" s="54" t="n">
        <x:v>45196</x:v>
      </x:c>
      <x:c r="J2183" s="55" t="n">
        <x:v>7790</x:v>
      </x:c>
      <x:c r="K2183" s="55" t="n">
        <x:v>349914390530</x:v>
      </x:c>
      <x:c r="L2183" s="55" t="n">
        <x:v>44918407</x:v>
      </x:c>
      <x:c r="M2183" t="str">
        <x:v>20230831001561</x:v>
      </x:c>
      <x:c r="N2183" t="n">
        <x:v>45169.624999988424</x:v>
      </x:c>
      <x:c r="O2183" s="54" t="n">
        <x:v>44926</x:v>
      </x:c>
      <x:c r="P2183" t="str">
        <x:v>True</x:v>
      </x:c>
      <x:c r="Q2183" t="str">
        <x:v>7b9604182ac3bfec816ccdc8bbfe5da5a296b6db9dbe6f438a436c85dba90369</x:v>
      </x:c>
      <x:c r="R2183" t="str">
        <x:v>c56b476c7d4968ae1a6dd2ed3da5ab97c848e1ea4b77fb15386d09c645c4287f</x:v>
      </x:c>
      <x:c r="S2183" t="n">
        <x:v>6</x:v>
      </x:c>
      <x:c r="T2183" t="str">
        <x:v>2016-12-31|2017-12-31|2018-12-31|2019-12-31|2020-12-31|2021-12-31|2022-12-31</x:v>
      </x:c>
      <x:c r="U2183" s="57" t="n">
        <x:v>175.82934072008524</x:v>
      </x:c>
      <x:c r="V2183" s="57" t="n">
        <x:v>-0.9774288394454319</x:v>
      </x:c>
      <x:c r="W2183" t="n">
        <x:v>68</x:v>
      </x:c>
      <x:c r="X2183" t="n">
        <x:v>5</x:v>
      </x:c>
      <x:c r="Y2183" s="38" t="n">
        <x:v>0.6409090909090909</x:v>
      </x:c>
      <x:c r="Z2183" s="38" t="n">
        <x:v>0.6026278080829884</x:v>
      </x:c>
      <x:c r="AA2183"/>
    </x:row>
    <x:row r="2184">
      <x:c r="A2184" s="54" t="n">
        <x:v>45199</x:v>
      </x:c>
      <x:c r="B2184" t="n">
        <x:v>45199.624999988424</x:v>
      </x:c>
      <x:c r="C2184" t="str">
        <x:v>096760</x:v>
      </x:c>
      <x:c r="D2184" t="str">
        <x:v>JW홀딩스</x:v>
      </x:c>
      <x:c r="E2184" t="str">
        <x:v>KOSPI</x:v>
      </x:c>
      <x:c r="F2184" t="str">
        <x:v>MID</x:v>
      </x:c>
      <x:c r="G2184" t="str">
        <x:v>EXCLUDED_ARCHETYPE</x:v>
      </x:c>
      <x:c r="H2184" t="str">
        <x:v>FCFF_NOT_COMPARABLE_FOR_FINANCE_OR_HOLDING_HINT</x:v>
      </x:c>
      <x:c r="I2184" s="54"/>
      <x:c r="J2184" s="55"/>
      <x:c r="K2184" s="55"/>
      <x:c r="L2184" s="55"/>
      <x:c r="M2184"/>
      <x:c r="N2184"/>
      <x:c r="O2184" s="54"/>
      <x:c r="P2184"/>
      <x:c r="Q2184"/>
      <x:c r="R2184"/>
      <x:c r="S2184"/>
      <x:c r="T2184"/>
      <x:c r="U2184" s="57"/>
      <x:c r="V2184" s="57"/>
      <x:c r="W2184"/>
      <x:c r="X2184"/>
      <x:c r="Y2184" s="38"/>
      <x:c r="Z2184" s="38"/>
      <x:c r="AA2184"/>
    </x:row>
    <x:row r="2185">
      <x:c r="A2185" s="54" t="n">
        <x:v>45199</x:v>
      </x:c>
      <x:c r="B2185" t="n">
        <x:v>45199.624999988424</x:v>
      </x:c>
      <x:c r="C2185" t="str">
        <x:v>005010</x:v>
      </x:c>
      <x:c r="D2185" t="str">
        <x:v>휴스틸</x:v>
      </x:c>
      <x:c r="E2185" t="str">
        <x:v>KOSPI</x:v>
      </x:c>
      <x:c r="F2185" t="str">
        <x:v>MID</x:v>
      </x:c>
      <x:c r="G2185" t="str">
        <x:v>ELIGIBLE</x:v>
      </x:c>
      <x:c r="H2185"/>
      <x:c r="I2185" s="54" t="n">
        <x:v>45196</x:v>
      </x:c>
      <x:c r="J2185" s="55" t="n">
        <x:v>5240</x:v>
      </x:c>
      <x:c r="K2185" s="55" t="n">
        <x:v>294425513000</x:v>
      </x:c>
      <x:c r="L2185" s="55" t="n">
        <x:v>56188075</x:v>
      </x:c>
      <x:c r="M2185" t="str">
        <x:v>20230322001091</x:v>
      </x:c>
      <x:c r="N2185" t="n">
        <x:v>45007.624999988424</x:v>
      </x:c>
      <x:c r="O2185" s="54" t="n">
        <x:v>44926</x:v>
      </x:c>
      <x:c r="P2185" t="str">
        <x:v>False</x:v>
      </x:c>
      <x:c r="Q2185" t="str">
        <x:v>d9dbeeef1aa4a18fb7e1b286713e7ac56f27f2bee80e9f7c8abb669a235538b9</x:v>
      </x:c>
      <x:c r="R2185" t="str">
        <x:v>91116ae41a3d9d36dbef495a4667f91436e1b440d9c3b340c7d4d4493ba79f39</x:v>
      </x:c>
      <x:c r="S2185" t="n">
        <x:v>7</x:v>
      </x:c>
      <x:c r="T2185" t="str">
        <x:v>2018-12-31|2019-12-31|2020-12-31|2021-12-31|2022-12-31</x:v>
      </x:c>
      <x:c r="U2185" s="57" t="n">
        <x:v>16959.49964400331</x:v>
      </x:c>
      <x:c r="V2185" s="57" t="n">
        <x:v>2.2365457335884176</x:v>
      </x:c>
      <x:c r="W2185" t="n">
        <x:v>9</x:v>
      </x:c>
      <x:c r="X2185" t="n">
        <x:v>1</x:v>
      </x:c>
      <x:c r="Y2185" s="38" t="n">
        <x:v>0.6409090909090909</x:v>
      </x:c>
      <x:c r="Z2185" s="38" t="n">
        <x:v>0.3282955912636518</x:v>
      </x:c>
      <x:c r="AA2185"/>
    </x:row>
    <x:row r="2186">
      <x:c r="A2186" s="54" t="n">
        <x:v>45199</x:v>
      </x:c>
      <x:c r="B2186" t="n">
        <x:v>45199.624999988424</x:v>
      </x:c>
      <x:c r="C2186" t="str">
        <x:v>001630</x:v>
      </x:c>
      <x:c r="D2186" t="str">
        <x:v>종근당홀딩스</x:v>
      </x:c>
      <x:c r="E2186" t="str">
        <x:v>KOSPI</x:v>
      </x:c>
      <x:c r="F2186" t="str">
        <x:v>MID</x:v>
      </x:c>
      <x:c r="G2186" t="str">
        <x:v>EXCLUDED_ARCHETYPE</x:v>
      </x:c>
      <x:c r="H2186" t="str">
        <x:v>FCFF_NOT_COMPARABLE_FOR_FINANCE_OR_HOLDING_HINT</x:v>
      </x:c>
      <x:c r="I2186" s="54"/>
      <x:c r="J2186" s="55"/>
      <x:c r="K2186" s="55"/>
      <x:c r="L2186" s="55"/>
      <x:c r="M2186"/>
      <x:c r="N2186"/>
      <x:c r="O2186" s="54"/>
      <x:c r="P2186"/>
      <x:c r="Q2186"/>
      <x:c r="R2186"/>
      <x:c r="S2186"/>
      <x:c r="T2186"/>
      <x:c r="U2186" s="57"/>
      <x:c r="V2186" s="57"/>
      <x:c r="W2186"/>
      <x:c r="X2186"/>
      <x:c r="Y2186" s="38"/>
      <x:c r="Z2186" s="38"/>
      <x:c r="AA2186"/>
    </x:row>
    <x:row r="2187">
      <x:c r="A2187" s="54" t="n">
        <x:v>45199</x:v>
      </x:c>
      <x:c r="B2187" t="n">
        <x:v>45199.624999988424</x:v>
      </x:c>
      <x:c r="C2187" t="str">
        <x:v>005680</x:v>
      </x:c>
      <x:c r="D2187" t="str">
        <x:v>삼영전자</x:v>
      </x:c>
      <x:c r="E2187" t="str">
        <x:v>KOSPI</x:v>
      </x:c>
      <x:c r="F2187" t="str">
        <x:v>MID</x:v>
      </x:c>
      <x:c r="G2187" t="str">
        <x:v>ELIGIBLE</x:v>
      </x:c>
      <x:c r="H2187"/>
      <x:c r="I2187" s="54" t="n">
        <x:v>45196</x:v>
      </x:c>
      <x:c r="J2187" s="55" t="n">
        <x:v>8240</x:v>
      </x:c>
      <x:c r="K2187" s="55" t="n">
        <x:v>164800000000</x:v>
      </x:c>
      <x:c r="L2187" s="55" t="n">
        <x:v>20000000</x:v>
      </x:c>
      <x:c r="M2187" t="str">
        <x:v>20230316001053</x:v>
      </x:c>
      <x:c r="N2187" t="n">
        <x:v>45001.624999988424</x:v>
      </x:c>
      <x:c r="O2187" s="54" t="n">
        <x:v>44926</x:v>
      </x:c>
      <x:c r="P2187" t="str">
        <x:v>False</x:v>
      </x:c>
      <x:c r="Q2187" t="str">
        <x:v>f6f53cbc5e755b70045095c5cd06f68b16c68540d3609c68bab92de4870f062f</x:v>
      </x:c>
      <x:c r="R2187" t="str">
        <x:v>40b84c17d0e1515ac32414a83e0f689da42513eab824b0ec81b4bde2f62b8829</x:v>
      </x:c>
      <x:c r="S2187" t="n">
        <x:v>5</x:v>
      </x:c>
      <x:c r="T2187" t="str">
        <x:v>2018-12-31|2019-12-31|2020-12-31|2021-12-31|2022-12-31</x:v>
      </x:c>
      <x:c r="U2187" s="57" t="n">
        <x:v>5661.292335764469</x:v>
      </x:c>
      <x:c r="V2187" s="57" t="n">
        <x:v>-0.3129499592518849</x:v>
      </x:c>
      <x:c r="W2187" t="n">
        <x:v>33</x:v>
      </x:c>
      <x:c r="X2187" t="n">
        <x:v>3</x:v>
      </x:c>
      <x:c r="Y2187" s="38" t="n">
        <x:v>0.6409090909090909</x:v>
      </x:c>
      <x:c r="Z2187" s="38" t="n">
        <x:v>0.556459738548656</x:v>
      </x:c>
      <x:c r="AA2187"/>
    </x:row>
    <x:row r="2188">
      <x:c r="A2188" s="54" t="n">
        <x:v>45199</x:v>
      </x:c>
      <x:c r="B2188" t="n">
        <x:v>45199.624999988424</x:v>
      </x:c>
      <x:c r="C2188" t="str">
        <x:v>028100</x:v>
      </x:c>
      <x:c r="D2188" t="str">
        <x:v>동아지질</x:v>
      </x:c>
      <x:c r="E2188" t="str">
        <x:v>KOSPI</x:v>
      </x:c>
      <x:c r="F2188" t="str">
        <x:v>MID</x:v>
      </x:c>
      <x:c r="G2188" t="str">
        <x:v>DCF_SCREENING_EXCLUSION</x:v>
      </x:c>
      <x:c r="H2188" t="str">
        <x:v>NON_POSITIVE_ENTERPRISE_VALUE|UNRELIABLE_TERMINAL_VALUE_SHARE</x:v>
      </x:c>
      <x:c r="I2188" s="54" t="n">
        <x:v>45196</x:v>
      </x:c>
      <x:c r="J2188" s="55" t="n">
        <x:v>12380</x:v>
      </x:c>
      <x:c r="K2188" s="55" t="n">
        <x:v>173971757480</x:v>
      </x:c>
      <x:c r="L2188" s="55" t="n">
        <x:v>14052646</x:v>
      </x:c>
      <x:c r="M2188" t="str">
        <x:v>20230320001020</x:v>
      </x:c>
      <x:c r="N2188" t="n">
        <x:v>45005.624999988424</x:v>
      </x:c>
      <x:c r="O2188" s="54" t="n">
        <x:v>44926</x:v>
      </x:c>
      <x:c r="P2188" t="str">
        <x:v>False</x:v>
      </x:c>
      <x:c r="Q2188" t="str">
        <x:v>6e65a0fcc2a189fcbec262b72a3f07926633a5c762d0eefd84569fab16aca765</x:v>
      </x:c>
      <x:c r="R2188" t="str">
        <x:v>d05ece4bde6ad05c2afcdf647b432d935396efd2a851de8022649169af90a3b1</x:v>
      </x:c>
      <x:c r="S2188" t="n">
        <x:v>7</x:v>
      </x:c>
      <x:c r="T2188" t="str">
        <x:v>2018-12-31|2019-12-31|2020-12-31|2021-12-31|2022-12-31</x:v>
      </x:c>
      <x:c r="U2188" s="57" t="n">
        <x:v>4342.027108793265</x:v>
      </x:c>
      <x:c r="V2188" s="57" t="n">
        <x:v>-0.6492708312767961</x:v>
      </x:c>
      <x:c r="W2188"/>
      <x:c r="X2188"/>
      <x:c r="Y2188" s="38" t="n">
        <x:v>0.6409090909090909</x:v>
      </x:c>
      <x:c r="Z2188" s="38" t="n">
        <x:v>-0.5251607053909674</x:v>
      </x:c>
      <x:c r="AA2188" t="str">
        <x:v>NON_POSITIVE_ENTERPRISE_VALUE|UNRELIABLE_TERMINAL_VALUE_SHARE</x:v>
      </x:c>
    </x:row>
    <x:row r="2189">
      <x:c r="A2189" s="54" t="n">
        <x:v>45199</x:v>
      </x:c>
      <x:c r="B2189" t="n">
        <x:v>45199.624999988424</x:v>
      </x:c>
      <x:c r="C2189" t="str">
        <x:v>001750</x:v>
      </x:c>
      <x:c r="D2189" t="str">
        <x:v>한양증권</x:v>
      </x:c>
      <x:c r="E2189" t="str">
        <x:v>KOSPI</x:v>
      </x:c>
      <x:c r="F2189" t="str">
        <x:v>MID</x:v>
      </x:c>
      <x:c r="G2189" t="str">
        <x:v>EXCLUDED_ARCHETYPE</x:v>
      </x:c>
      <x:c r="H2189" t="str">
        <x:v>FCFF_NOT_COMPARABLE_FOR_FINANCE_OR_HOLDING_HINT</x:v>
      </x:c>
      <x:c r="I2189" s="54"/>
      <x:c r="J2189" s="55"/>
      <x:c r="K2189" s="55"/>
      <x:c r="L2189" s="55"/>
      <x:c r="M2189"/>
      <x:c r="N2189"/>
      <x:c r="O2189" s="54"/>
      <x:c r="P2189"/>
      <x:c r="Q2189"/>
      <x:c r="R2189"/>
      <x:c r="S2189"/>
      <x:c r="T2189"/>
      <x:c r="U2189" s="57"/>
      <x:c r="V2189" s="57"/>
      <x:c r="W2189"/>
      <x:c r="X2189"/>
      <x:c r="Y2189" s="38"/>
      <x:c r="Z2189" s="38"/>
      <x:c r="AA2189"/>
    </x:row>
    <x:row r="2190">
      <x:c r="A2190" s="54" t="n">
        <x:v>45199</x:v>
      </x:c>
      <x:c r="B2190" t="n">
        <x:v>45199.624999988424</x:v>
      </x:c>
      <x:c r="C2190" t="str">
        <x:v>102460</x:v>
      </x:c>
      <x:c r="D2190" t="str">
        <x:v>이연제약</x:v>
      </x:c>
      <x:c r="E2190" t="str">
        <x:v>KOSPI</x:v>
      </x:c>
      <x:c r="F2190" t="str">
        <x:v>MID</x:v>
      </x:c>
      <x:c r="G2190" t="str">
        <x:v>ELIGIBLE</x:v>
      </x:c>
      <x:c r="H2190"/>
      <x:c r="I2190" s="54" t="n">
        <x:v>45196</x:v>
      </x:c>
      <x:c r="J2190" s="55" t="n">
        <x:v>15910</x:v>
      </x:c>
      <x:c r="K2190" s="55" t="n">
        <x:v>295716163010</x:v>
      </x:c>
      <x:c r="L2190" s="55" t="n">
        <x:v>18586811</x:v>
      </x:c>
      <x:c r="M2190" t="str">
        <x:v>20230323001335</x:v>
      </x:c>
      <x:c r="N2190" t="n">
        <x:v>45008.624999988424</x:v>
      </x:c>
      <x:c r="O2190" s="54" t="n">
        <x:v>44926</x:v>
      </x:c>
      <x:c r="P2190" t="str">
        <x:v>False</x:v>
      </x:c>
      <x:c r="Q2190" t="str">
        <x:v>61a1387cb297808c9d3141c45d4550f4c28659bb02db2066736810a3b83a60bb</x:v>
      </x:c>
      <x:c r="R2190" t="str">
        <x:v>b63896e76489cae32b5212b326b1267152a737bc0690e097b2df269e0abd93ba</x:v>
      </x:c>
      <x:c r="S2190" t="n">
        <x:v>4</x:v>
      </x:c>
      <x:c r="T2190" t="str">
        <x:v>2018-12-31|2019-12-31|2020-12-31|2021-12-31|2022-12-31</x:v>
      </x:c>
      <x:c r="U2190" s="57" t="n">
        <x:v>2502.952026727259</x:v>
      </x:c>
      <x:c r="V2190" s="57" t="n">
        <x:v>-0.8426805765727681</x:v>
      </x:c>
      <x:c r="W2190" t="n">
        <x:v>65</x:v>
      </x:c>
      <x:c r="X2190" t="n">
        <x:v>5</x:v>
      </x:c>
      <x:c r="Y2190" s="38" t="n">
        <x:v>0.6409090909090909</x:v>
      </x:c>
      <x:c r="Z2190" s="38" t="n">
        <x:v>0.5571094878374717</x:v>
      </x:c>
      <x:c r="AA2190"/>
    </x:row>
    <x:row r="2191">
      <x:c r="A2191" s="54" t="n">
        <x:v>45199</x:v>
      </x:c>
      <x:c r="B2191" t="n">
        <x:v>45199.624999988424</x:v>
      </x:c>
      <x:c r="C2191" t="str">
        <x:v>053690</x:v>
      </x:c>
      <x:c r="D2191" t="str">
        <x:v>한미글로벌</x:v>
      </x:c>
      <x:c r="E2191" t="str">
        <x:v>KOSPI</x:v>
      </x:c>
      <x:c r="F2191" t="str">
        <x:v>MID</x:v>
      </x:c>
      <x:c r="G2191" t="str">
        <x:v>ELIGIBLE</x:v>
      </x:c>
      <x:c r="H2191"/>
      <x:c r="I2191" s="54" t="n">
        <x:v>45196</x:v>
      </x:c>
      <x:c r="J2191" s="55" t="n">
        <x:v>26400</x:v>
      </x:c>
      <x:c r="K2191" s="55" t="n">
        <x:v>289279320000</x:v>
      </x:c>
      <x:c r="L2191" s="55" t="n">
        <x:v>10957550</x:v>
      </x:c>
      <x:c r="M2191" t="str">
        <x:v>20230316001135</x:v>
      </x:c>
      <x:c r="N2191" t="n">
        <x:v>45001.624999988424</x:v>
      </x:c>
      <x:c r="O2191" s="54" t="n">
        <x:v>44926</x:v>
      </x:c>
      <x:c r="P2191" t="str">
        <x:v>False</x:v>
      </x:c>
      <x:c r="Q2191" t="str">
        <x:v>8a1d81ce5d798ee907ad59ea4b72e7aa15cbc5d6b3d4060a72883648f6cf66fe</x:v>
      </x:c>
      <x:c r="R2191" t="str">
        <x:v>67ed112098f1faf397ccc8a2ad4edb937e42e1db14b8de6cbea2080f1d2e816f</x:v>
      </x:c>
      <x:c r="S2191" t="n">
        <x:v>6</x:v>
      </x:c>
      <x:c r="T2191" t="str">
        <x:v>2018-12-31|2019-12-31|2020-12-31|2021-12-31|2022-12-31</x:v>
      </x:c>
      <x:c r="U2191" s="57" t="n">
        <x:v>27771.42853009523</x:v>
      </x:c>
      <x:c r="V2191" s="57" t="n">
        <x:v>0.05194805038239504</x:v>
      </x:c>
      <x:c r="W2191" t="n">
        <x:v>25</x:v>
      </x:c>
      <x:c r="X2191" t="n">
        <x:v>2</x:v>
      </x:c>
      <x:c r="Y2191" s="38" t="n">
        <x:v>0.6409090909090909</x:v>
      </x:c>
      <x:c r="Z2191" s="38" t="n">
        <x:v>0.6748613228024413</x:v>
      </x:c>
      <x:c r="AA2191"/>
    </x:row>
    <x:row r="2192">
      <x:c r="A2192" s="54" t="n">
        <x:v>45199</x:v>
      </x:c>
      <x:c r="B2192" t="n">
        <x:v>45199.624999988424</x:v>
      </x:c>
      <x:c r="C2192" t="str">
        <x:v>213500</x:v>
      </x:c>
      <x:c r="D2192" t="str">
        <x:v>한솔제지</x:v>
      </x:c>
      <x:c r="E2192" t="str">
        <x:v>KOSPI</x:v>
      </x:c>
      <x:c r="F2192" t="str">
        <x:v>MID</x:v>
      </x:c>
      <x:c r="G2192" t="str">
        <x:v>ELIGIBLE</x:v>
      </x:c>
      <x:c r="H2192"/>
      <x:c r="I2192" s="54" t="n">
        <x:v>45196</x:v>
      </x:c>
      <x:c r="J2192" s="55" t="n">
        <x:v>10450</x:v>
      </x:c>
      <x:c r="K2192" s="55" t="n">
        <x:v>248716019200</x:v>
      </x:c>
      <x:c r="L2192" s="55" t="n">
        <x:v>23800576</x:v>
      </x:c>
      <x:c r="M2192" t="str">
        <x:v>20230314001205</x:v>
      </x:c>
      <x:c r="N2192" t="n">
        <x:v>44999.624999988424</x:v>
      </x:c>
      <x:c r="O2192" s="54" t="n">
        <x:v>44926</x:v>
      </x:c>
      <x:c r="P2192" t="str">
        <x:v>False</x:v>
      </x:c>
      <x:c r="Q2192" t="str">
        <x:v>a50c047ba7dfd21d7c902f99c4c38cf444b0d46f22f882fca2024b3b4244c3f0</x:v>
      </x:c>
      <x:c r="R2192" t="str">
        <x:v>dd9ffddb2f871f8b927f0c1c41f6ef438a6142cc850c5a2c80d50f686e3d941d</x:v>
      </x:c>
      <x:c r="S2192" t="n">
        <x:v>6</x:v>
      </x:c>
      <x:c r="T2192" t="str">
        <x:v>2018-12-31|2019-12-31|2020-12-31|2021-12-31|2022-12-31</x:v>
      </x:c>
      <x:c r="U2192" s="57" t="n">
        <x:v>17157.835892810886</x:v>
      </x:c>
      <x:c r="V2192" s="57" t="n">
        <x:v>0.6418981715608503</x:v>
      </x:c>
      <x:c r="W2192" t="n">
        <x:v>13</x:v>
      </x:c>
      <x:c r="X2192" t="n">
        <x:v>1</x:v>
      </x:c>
      <x:c r="Y2192" s="38" t="n">
        <x:v>0.6409090909090909</x:v>
      </x:c>
      <x:c r="Z2192" s="38" t="n">
        <x:v>0.7470788974033864</x:v>
      </x:c>
      <x:c r="AA2192"/>
    </x:row>
    <x:row r="2193">
      <x:c r="A2193" s="54" t="n">
        <x:v>45199</x:v>
      </x:c>
      <x:c r="B2193" t="n">
        <x:v>45199.624999988424</x:v>
      </x:c>
      <x:c r="C2193" t="str">
        <x:v>005430</x:v>
      </x:c>
      <x:c r="D2193" t="str">
        <x:v>한국공항</x:v>
      </x:c>
      <x:c r="E2193" t="str">
        <x:v>KOSPI</x:v>
      </x:c>
      <x:c r="F2193" t="str">
        <x:v>MID</x:v>
      </x:c>
      <x:c r="G2193" t="str">
        <x:v>ELIGIBLE</x:v>
      </x:c>
      <x:c r="H2193"/>
      <x:c r="I2193" s="54" t="n">
        <x:v>45196</x:v>
      </x:c>
      <x:c r="J2193" s="55" t="n">
        <x:v>40150</x:v>
      </x:c>
      <x:c r="K2193" s="55" t="n">
        <x:v>127129153250</x:v>
      </x:c>
      <x:c r="L2193" s="55" t="n">
        <x:v>3166355</x:v>
      </x:c>
      <x:c r="M2193" t="str">
        <x:v>20230314001107</x:v>
      </x:c>
      <x:c r="N2193" t="n">
        <x:v>44999.624999988424</x:v>
      </x:c>
      <x:c r="O2193" s="54" t="n">
        <x:v>44926</x:v>
      </x:c>
      <x:c r="P2193" t="str">
        <x:v>False</x:v>
      </x:c>
      <x:c r="Q2193" t="str">
        <x:v>7e72a94f54fe1628153cab3ed308f8d08fae1827ce09290b8a6dd620486ffafc</x:v>
      </x:c>
      <x:c r="R2193" t="str">
        <x:v>5f89e7cc3af26ccf5b7a51e6bbf343c2dbcb329d3112199a3d85c127a1ec734e</x:v>
      </x:c>
      <x:c r="S2193" t="n">
        <x:v>7</x:v>
      </x:c>
      <x:c r="T2193" t="str">
        <x:v>2018-12-31|2019-12-31|2020-12-31|2021-12-31|2022-12-31</x:v>
      </x:c>
      <x:c r="U2193" s="57" t="n">
        <x:v>23902.01168093522</x:v>
      </x:c>
      <x:c r="V2193" s="57" t="n">
        <x:v>-0.4046821499144404</x:v>
      </x:c>
      <x:c r="W2193" t="n">
        <x:v>40</x:v>
      </x:c>
      <x:c r="X2193" t="n">
        <x:v>3</x:v>
      </x:c>
      <x:c r="Y2193" s="38" t="n">
        <x:v>0.6409090909090909</x:v>
      </x:c>
      <x:c r="Z2193" s="38" t="n">
        <x:v>0.6772841438809504</x:v>
      </x:c>
      <x:c r="AA2193"/>
    </x:row>
    <x:row r="2194">
      <x:c r="A2194" s="54" t="n">
        <x:v>45199</x:v>
      </x:c>
      <x:c r="B2194" t="n">
        <x:v>45199.624999988424</x:v>
      </x:c>
      <x:c r="C2194" t="str">
        <x:v>003460</x:v>
      </x:c>
      <x:c r="D2194" t="str">
        <x:v>유화증권</x:v>
      </x:c>
      <x:c r="E2194" t="str">
        <x:v>KOSPI</x:v>
      </x:c>
      <x:c r="F2194" t="str">
        <x:v>MID</x:v>
      </x:c>
      <x:c r="G2194" t="str">
        <x:v>EXCLUDED_ARCHETYPE</x:v>
      </x:c>
      <x:c r="H2194" t="str">
        <x:v>FCFF_NOT_COMPARABLE_FOR_FINANCE_OR_HOLDING_HINT</x:v>
      </x:c>
      <x:c r="I2194" s="54"/>
      <x:c r="J2194" s="55"/>
      <x:c r="K2194" s="55"/>
      <x:c r="L2194" s="55"/>
      <x:c r="M2194"/>
      <x:c r="N2194"/>
      <x:c r="O2194" s="54"/>
      <x:c r="P2194"/>
      <x:c r="Q2194"/>
      <x:c r="R2194"/>
      <x:c r="S2194"/>
      <x:c r="T2194"/>
      <x:c r="U2194" s="57"/>
      <x:c r="V2194" s="57"/>
      <x:c r="W2194"/>
      <x:c r="X2194"/>
      <x:c r="Y2194" s="38"/>
      <x:c r="Z2194" s="38"/>
      <x:c r="AA2194"/>
    </x:row>
    <x:row r="2195">
      <x:c r="A2195" s="54" t="n">
        <x:v>45199</x:v>
      </x:c>
      <x:c r="B2195" t="n">
        <x:v>45199.624999988424</x:v>
      </x:c>
      <x:c r="C2195" t="str">
        <x:v>004140</x:v>
      </x:c>
      <x:c r="D2195" t="str">
        <x:v>동방</x:v>
      </x:c>
      <x:c r="E2195" t="str">
        <x:v>KOSPI</x:v>
      </x:c>
      <x:c r="F2195" t="str">
        <x:v>MID</x:v>
      </x:c>
      <x:c r="G2195" t="str">
        <x:v>DCF_SCREENING_EXCLUSION</x:v>
      </x:c>
      <x:c r="H2195" t="str">
        <x:v>NON_POSITIVE_ENTERPRISE_VALUE|NON_POSITIVE_EQUITY_VALUE|NON_POSITIVE_TERMINAL_FCF|UNRELIABLE_TERMINAL_VALUE_SHARE</x:v>
      </x:c>
      <x:c r="I2195" s="54" t="n">
        <x:v>45196</x:v>
      </x:c>
      <x:c r="J2195" s="55" t="n">
        <x:v>1945</x:v>
      </x:c>
      <x:c r="K2195" s="55" t="n">
        <x:v>93305084870</x:v>
      </x:c>
      <x:c r="L2195" s="55" t="n">
        <x:v>47971766</x:v>
      </x:c>
      <x:c r="M2195" t="str">
        <x:v>20230323001509</x:v>
      </x:c>
      <x:c r="N2195" t="n">
        <x:v>45008.624999988424</x:v>
      </x:c>
      <x:c r="O2195" s="54" t="n">
        <x:v>44926</x:v>
      </x:c>
      <x:c r="P2195" t="str">
        <x:v>False</x:v>
      </x:c>
      <x:c r="Q2195" t="str">
        <x:v>e186b2712d7c1b08c3556170f49756edd04a784aed5c14672578a652817c6ce4</x:v>
      </x:c>
      <x:c r="R2195" t="str">
        <x:v>90cde25da68280288819811ba20727aa93cf69fef754d5d1b246a20e2e78738a</x:v>
      </x:c>
      <x:c r="S2195" t="n">
        <x:v>7</x:v>
      </x:c>
      <x:c r="T2195" t="str">
        <x:v>2013-12-31|2014-12-31|2015-12-31|2016-12-31|2018-12-31|2019-12-31|2020-12-31|2021-12-31|2022-12-31</x:v>
      </x:c>
      <x:c r="U2195" s="57" t="n">
        <x:v>-2135.56968712535</x:v>
      </x:c>
      <x:c r="V2195" s="57" t="n">
        <x:v>-2.097979273586298</x:v>
      </x:c>
      <x:c r="W2195"/>
      <x:c r="X2195"/>
      <x:c r="Y2195" s="38" t="n">
        <x:v>0.6409090909090909</x:v>
      </x:c>
      <x:c r="Z2195" s="38" t="n">
        <x:v>2.078775280915033</x:v>
      </x:c>
      <x:c r="AA2195" t="str">
        <x:v>NON_POSITIVE_ENTERPRISE_VALUE|NON_POSITIVE_EQUITY_VALUE|NON_POSITIVE_TERMINAL_FCF|UNRELIABLE_TERMINAL_VALUE_SHARE</x:v>
      </x:c>
    </x:row>
    <x:row r="2196">
      <x:c r="A2196" s="54" t="n">
        <x:v>45199</x:v>
      </x:c>
      <x:c r="B2196" t="n">
        <x:v>45199.624999988424</x:v>
      </x:c>
      <x:c r="C2196" t="str">
        <x:v>317400</x:v>
      </x:c>
      <x:c r="D2196" t="str">
        <x:v>자이에스앤디</x:v>
      </x:c>
      <x:c r="E2196" t="str">
        <x:v>KOSPI</x:v>
      </x:c>
      <x:c r="F2196" t="str">
        <x:v>MID</x:v>
      </x:c>
      <x:c r="G2196" t="str">
        <x:v>ELIGIBLE</x:v>
      </x:c>
      <x:c r="H2196"/>
      <x:c r="I2196" s="54" t="n">
        <x:v>45196</x:v>
      </x:c>
      <x:c r="J2196" s="55" t="n">
        <x:v>5100</x:v>
      </x:c>
      <x:c r="K2196" s="55" t="n">
        <x:v>197790852000</x:v>
      </x:c>
      <x:c r="L2196" s="55" t="n">
        <x:v>38782520</x:v>
      </x:c>
      <x:c r="M2196" t="str">
        <x:v>20230714000214</x:v>
      </x:c>
      <x:c r="N2196" t="n">
        <x:v>45121.624999988424</x:v>
      </x:c>
      <x:c r="O2196" s="54" t="n">
        <x:v>44926</x:v>
      </x:c>
      <x:c r="P2196" t="str">
        <x:v>True</x:v>
      </x:c>
      <x:c r="Q2196" t="str">
        <x:v>1dd603b34bc6b642118e438f2810ed4901d0500fca4e427ffb3bec9b41813903</x:v>
      </x:c>
      <x:c r="R2196" t="str">
        <x:v>62e7406495c0d0de22e59da0765720acf41610ba6efb161149251cf1e56f61bc</x:v>
      </x:c>
      <x:c r="S2196" t="n">
        <x:v>6</x:v>
      </x:c>
      <x:c r="T2196" t="str">
        <x:v>2019-12-31|2020-12-31|2021-12-31|2022-12-31</x:v>
      </x:c>
      <x:c r="U2196" s="57" t="n">
        <x:v>51417.61894696431</x:v>
      </x:c>
      <x:c r="V2196" s="57" t="n">
        <x:v>9.081886068032217</x:v>
      </x:c>
      <x:c r="W2196" t="n">
        <x:v>1</x:v>
      </x:c>
      <x:c r="X2196" t="n">
        <x:v>1</x:v>
      </x:c>
      <x:c r="Y2196" s="38" t="n">
        <x:v>0.6409090909090909</x:v>
      </x:c>
      <x:c r="Z2196" s="38" t="n">
        <x:v>0.7270850964725074</x:v>
      </x:c>
      <x:c r="AA2196"/>
    </x:row>
    <x:row r="2197">
      <x:c r="A2197" s="54" t="n">
        <x:v>45199</x:v>
      </x:c>
      <x:c r="B2197" t="n">
        <x:v>45199.624999988424</x:v>
      </x:c>
      <x:c r="C2197" t="str">
        <x:v>077500</x:v>
      </x:c>
      <x:c r="D2197" t="str">
        <x:v>유니퀘스트</x:v>
      </x:c>
      <x:c r="E2197" t="str">
        <x:v>KOSPI</x:v>
      </x:c>
      <x:c r="F2197" t="str">
        <x:v>MID</x:v>
      </x:c>
      <x:c r="G2197" t="str">
        <x:v>ELIGIBLE</x:v>
      </x:c>
      <x:c r="H2197"/>
      <x:c r="I2197" s="54" t="n">
        <x:v>45196</x:v>
      </x:c>
      <x:c r="J2197" s="55" t="n">
        <x:v>18400</x:v>
      </x:c>
      <x:c r="K2197" s="55" t="n">
        <x:v>481490059200</x:v>
      </x:c>
      <x:c r="L2197" s="55" t="n">
        <x:v>26167938</x:v>
      </x:c>
      <x:c r="M2197" t="str">
        <x:v>20230323001413</x:v>
      </x:c>
      <x:c r="N2197" t="n">
        <x:v>45008.624999988424</x:v>
      </x:c>
      <x:c r="O2197" s="54" t="n">
        <x:v>44926</x:v>
      </x:c>
      <x:c r="P2197" t="str">
        <x:v>False</x:v>
      </x:c>
      <x:c r="Q2197" t="str">
        <x:v>3761b5b0678b0666017399c48956a02c3a6784143d060aeac355c1c247fc6994</x:v>
      </x:c>
      <x:c r="R2197" t="str">
        <x:v>6759ca705081069bc9e4d839024d708f82a3addadcec712cb5b36b2b8beec42e</x:v>
      </x:c>
      <x:c r="S2197" t="n">
        <x:v>6</x:v>
      </x:c>
      <x:c r="T2197" t="str">
        <x:v>2011-12-31|2012-12-31|2013-12-31|2014-12-31|2015-12-31|2016-12-31|2017-12-31|2018-12-31|2019-12-31|2020-12-31|2021-12-31|2022-12-31</x:v>
      </x:c>
      <x:c r="U2197" s="57" t="n">
        <x:v>7038.137418311146</x:v>
      </x:c>
      <x:c r="V2197" s="57" t="n">
        <x:v>-0.6174925316135247</x:v>
      </x:c>
      <x:c r="W2197" t="n">
        <x:v>50</x:v>
      </x:c>
      <x:c r="X2197" t="n">
        <x:v>4</x:v>
      </x:c>
      <x:c r="Y2197" s="38" t="n">
        <x:v>0.6409090909090909</x:v>
      </x:c>
      <x:c r="Z2197" s="38" t="n">
        <x:v>0.6090445049107983</x:v>
      </x:c>
      <x:c r="AA2197"/>
    </x:row>
    <x:row r="2198">
      <x:c r="A2198" s="54" t="n">
        <x:v>45199</x:v>
      </x:c>
      <x:c r="B2198" t="n">
        <x:v>45199.624999988424</x:v>
      </x:c>
      <x:c r="C2198" t="str">
        <x:v>012800</x:v>
      </x:c>
      <x:c r="D2198" t="str">
        <x:v>대창</x:v>
      </x:c>
      <x:c r="E2198" t="str">
        <x:v>KOSPI</x:v>
      </x:c>
      <x:c r="F2198" t="str">
        <x:v>MID</x:v>
      </x:c>
      <x:c r="G2198" t="str">
        <x:v>DCF_SCREENING_EXCLUSION</x:v>
      </x:c>
      <x:c r="H2198" t="str">
        <x:v>NON_POSITIVE_EQUITY_VALUE</x:v>
      </x:c>
      <x:c r="I2198" s="54" t="n">
        <x:v>45196</x:v>
      </x:c>
      <x:c r="J2198" s="55" t="n">
        <x:v>1341</x:v>
      </x:c>
      <x:c r="K2198" s="55" t="n">
        <x:v>122219409159</x:v>
      </x:c>
      <x:c r="L2198" s="55" t="n">
        <x:v>91140499</x:v>
      </x:c>
      <x:c r="M2198" t="str">
        <x:v>20230321001144</x:v>
      </x:c>
      <x:c r="N2198" t="n">
        <x:v>45006.624999988424</x:v>
      </x:c>
      <x:c r="O2198" s="54" t="n">
        <x:v>44926</x:v>
      </x:c>
      <x:c r="P2198" t="str">
        <x:v>False</x:v>
      </x:c>
      <x:c r="Q2198" t="str">
        <x:v>14ce9aacc52382aecaaf7a194b3a1d1f6c7f31cc0dc71373f73354f107367c3b</x:v>
      </x:c>
      <x:c r="R2198" t="str">
        <x:v>290109a872b708495432f48fbbbcfedc2b0dc92d11db17ac1f46d61cfa8c2806</x:v>
      </x:c>
      <x:c r="S2198" t="n">
        <x:v>6</x:v>
      </x:c>
      <x:c r="T2198" t="str">
        <x:v>2018-12-31|2019-12-31|2020-12-31|2021-12-31|2022-12-31</x:v>
      </x:c>
      <x:c r="U2198" s="57" t="n">
        <x:v>-975.2321422402201</x:v>
      </x:c>
      <x:c r="V2198" s="57" t="n">
        <x:v>-1.7272424625206713</x:v>
      </x:c>
      <x:c r="W2198"/>
      <x:c r="X2198"/>
      <x:c r="Y2198" s="38" t="n">
        <x:v>0.6409090909090909</x:v>
      </x:c>
      <x:c r="Z2198" s="38" t="n">
        <x:v>0.8488956221932996</x:v>
      </x:c>
      <x:c r="AA2198" t="str">
        <x:v>NON_POSITIVE_EQUITY_VALUE</x:v>
      </x:c>
    </x:row>
    <x:row r="2199">
      <x:c r="A2199" s="54" t="n">
        <x:v>45199</x:v>
      </x:c>
      <x:c r="B2199" t="n">
        <x:v>45199.624999988424</x:v>
      </x:c>
      <x:c r="C2199" t="str">
        <x:v>063160</x:v>
      </x:c>
      <x:c r="D2199" t="str">
        <x:v>종근당바이오</x:v>
      </x:c>
      <x:c r="E2199" t="str">
        <x:v>KOSPI</x:v>
      </x:c>
      <x:c r="F2199" t="str">
        <x:v>MID</x:v>
      </x:c>
      <x:c r="G2199" t="str">
        <x:v>DCF_SCREENING_EXCLUSION</x:v>
      </x:c>
      <x:c r="H2199" t="str">
        <x:v>NON_POSITIVE_ENTERPRISE_VALUE|NON_POSITIVE_EQUITY_VALUE|NON_POSITIVE_TERMINAL_FCF</x:v>
      </x:c>
      <x:c r="I2199" s="54" t="n">
        <x:v>45196</x:v>
      </x:c>
      <x:c r="J2199" s="55" t="n">
        <x:v>22900</x:v>
      </x:c>
      <x:c r="K2199" s="55" t="n">
        <x:v>125628529800</x:v>
      </x:c>
      <x:c r="L2199" s="55" t="n">
        <x:v>5485962</x:v>
      </x:c>
      <x:c r="M2199" t="str">
        <x:v>20230314000316</x:v>
      </x:c>
      <x:c r="N2199" t="n">
        <x:v>44999.624999988424</x:v>
      </x:c>
      <x:c r="O2199" s="54" t="n">
        <x:v>44926</x:v>
      </x:c>
      <x:c r="P2199" t="str">
        <x:v>False</x:v>
      </x:c>
      <x:c r="Q2199" t="str">
        <x:v>66325b8d872636b293e0f8b2a0e97daecaf4a8313c7cfa3de870a6cdf6d09cbc</x:v>
      </x:c>
      <x:c r="R2199" t="str">
        <x:v>1bf389ec5dde5bba1a177b27cc7d293fa5900131fbde3f439202d4b529b82815</x:v>
      </x:c>
      <x:c r="S2199" t="n">
        <x:v>6</x:v>
      </x:c>
      <x:c r="T2199" t="str">
        <x:v>2018-12-31|2019-12-31|2020-12-31|2021-12-31|2022-12-31</x:v>
      </x:c>
      <x:c r="U2199" s="57" t="n">
        <x:v>-22583.012002133524</x:v>
      </x:c>
      <x:c r="V2199" s="57" t="n">
        <x:v>-1.986157729350809</x:v>
      </x:c>
      <x:c r="W2199"/>
      <x:c r="X2199"/>
      <x:c r="Y2199" s="38" t="n">
        <x:v>0.6409090909090909</x:v>
      </x:c>
      <x:c r="Z2199" s="38" t="n">
        <x:v>0.16792377152461097</x:v>
      </x:c>
      <x:c r="AA2199" t="str">
        <x:v>NON_POSITIVE_ENTERPRISE_VALUE|NON_POSITIVE_EQUITY_VALUE|NON_POSITIVE_TERMINAL_FCF</x:v>
      </x:c>
    </x:row>
    <x:row r="2200">
      <x:c r="A2200" s="54" t="n">
        <x:v>45199</x:v>
      </x:c>
      <x:c r="B2200" t="n">
        <x:v>45199.624999988424</x:v>
      </x:c>
      <x:c r="C2200" t="str">
        <x:v>013570</x:v>
      </x:c>
      <x:c r="D2200" t="str">
        <x:v>디와이</x:v>
      </x:c>
      <x:c r="E2200" t="str">
        <x:v>KOSPI</x:v>
      </x:c>
      <x:c r="F2200" t="str">
        <x:v>MID</x:v>
      </x:c>
      <x:c r="G2200" t="str">
        <x:v>ELIGIBLE</x:v>
      </x:c>
      <x:c r="H2200"/>
      <x:c r="I2200" s="54" t="n">
        <x:v>45196</x:v>
      </x:c>
      <x:c r="J2200" s="55" t="n">
        <x:v>6650</x:v>
      </x:c>
      <x:c r="K2200" s="55" t="n">
        <x:v>175025559450</x:v>
      </x:c>
      <x:c r="L2200" s="55" t="n">
        <x:v>26319633</x:v>
      </x:c>
      <x:c r="M2200" t="str">
        <x:v>20230315001400</x:v>
      </x:c>
      <x:c r="N2200" t="n">
        <x:v>45000.624999988424</x:v>
      </x:c>
      <x:c r="O2200" s="54" t="n">
        <x:v>44926</x:v>
      </x:c>
      <x:c r="P2200" t="str">
        <x:v>False</x:v>
      </x:c>
      <x:c r="Q2200" t="str">
        <x:v>865364d66fb039806408dde3fbeec053144f3de8cfd524fef6f9e085cdbe1ae2</x:v>
      </x:c>
      <x:c r="R2200" t="str">
        <x:v>cbd956d98e43133b4d0fcf64fbc7e1df57876bea4a6c48bb5e05c59325213fbe</x:v>
      </x:c>
      <x:c r="S2200" t="n">
        <x:v>6</x:v>
      </x:c>
      <x:c r="T2200" t="str">
        <x:v>2018-12-31|2019-12-31|2020-12-31|2021-12-31|2022-12-31</x:v>
      </x:c>
      <x:c r="U2200" s="57" t="n">
        <x:v>9073.022857441467</x:v>
      </x:c>
      <x:c r="V2200" s="57" t="n">
        <x:v>0.36436433946488217</x:v>
      </x:c>
      <x:c r="W2200" t="n">
        <x:v>17</x:v>
      </x:c>
      <x:c r="X2200" t="n">
        <x:v>2</x:v>
      </x:c>
      <x:c r="Y2200" s="38" t="n">
        <x:v>0.6409090909090909</x:v>
      </x:c>
      <x:c r="Z2200" s="38" t="n">
        <x:v>0.7856628812893495</x:v>
      </x:c>
      <x:c r="AA2200"/>
    </x:row>
    <x:row r="2201">
      <x:c r="A2201" s="54" t="n">
        <x:v>45199</x:v>
      </x:c>
      <x:c r="B2201" t="n">
        <x:v>45199.624999988424</x:v>
      </x:c>
      <x:c r="C2201" t="str">
        <x:v>227840</x:v>
      </x:c>
      <x:c r="D2201" t="str">
        <x:v>현대코퍼레이션홀딩스</x:v>
      </x:c>
      <x:c r="E2201" t="str">
        <x:v>KOSPI</x:v>
      </x:c>
      <x:c r="F2201" t="str">
        <x:v>MID</x:v>
      </x:c>
      <x:c r="G2201" t="str">
        <x:v>EXCLUDED_ARCHETYPE</x:v>
      </x:c>
      <x:c r="H2201" t="str">
        <x:v>FCFF_NOT_COMPARABLE_FOR_FINANCE_OR_HOLDING_HINT</x:v>
      </x:c>
      <x:c r="I2201" s="54"/>
      <x:c r="J2201" s="55"/>
      <x:c r="K2201" s="55"/>
      <x:c r="L2201" s="55"/>
      <x:c r="M2201"/>
      <x:c r="N2201"/>
      <x:c r="O2201" s="54"/>
      <x:c r="P2201"/>
      <x:c r="Q2201"/>
      <x:c r="R2201"/>
      <x:c r="S2201"/>
      <x:c r="T2201"/>
      <x:c r="U2201" s="57"/>
      <x:c r="V2201" s="57"/>
      <x:c r="W2201"/>
      <x:c r="X2201"/>
      <x:c r="Y2201" s="38"/>
      <x:c r="Z2201" s="38"/>
      <x:c r="AA2201"/>
    </x:row>
    <x:row r="2202">
      <x:c r="A2202" s="54" t="n">
        <x:v>45199</x:v>
      </x:c>
      <x:c r="B2202" t="n">
        <x:v>45199.624999988424</x:v>
      </x:c>
      <x:c r="C2202" t="str">
        <x:v>247540</x:v>
      </x:c>
      <x:c r="D2202" t="str">
        <x:v>에코프로비엠</x:v>
      </x:c>
      <x:c r="E2202" t="str">
        <x:v>KOSDAQ</x:v>
      </x:c>
      <x:c r="F2202" t="str">
        <x:v>LARGE</x:v>
      </x:c>
      <x:c r="G2202" t="str">
        <x:v>ELIGIBLE</x:v>
      </x:c>
      <x:c r="H2202"/>
      <x:c r="I2202" s="54" t="n">
        <x:v>45196</x:v>
      </x:c>
      <x:c r="J2202" s="55" t="n">
        <x:v>253000</x:v>
      </x:c>
      <x:c r="K2202" s="55" t="n">
        <x:v>24743740032000</x:v>
      </x:c>
      <x:c r="L2202" s="55" t="n">
        <x:v>97801344</x:v>
      </x:c>
      <x:c r="M2202" t="str">
        <x:v>20230321001436</x:v>
      </x:c>
      <x:c r="N2202" t="n">
        <x:v>45006.624999988424</x:v>
      </x:c>
      <x:c r="O2202" s="54" t="n">
        <x:v>44926</x:v>
      </x:c>
      <x:c r="P2202" t="str">
        <x:v>False</x:v>
      </x:c>
      <x:c r="Q2202" t="str">
        <x:v>22a057b9b068170602e9e6baa55a77f766db50edbd138b4850cc07aa625e3694</x:v>
      </x:c>
      <x:c r="R2202" t="str">
        <x:v>d1a6b1539ae09067f39b7ea706381d7b1279f0adfcf22990e9b9ece1ca7a4dfe</x:v>
      </x:c>
      <x:c r="S2202" t="n">
        <x:v>5</x:v>
      </x:c>
      <x:c r="T2202" t="str">
        <x:v>2018-12-31|2019-12-31|2020-12-31|2021-12-31|2022-12-31</x:v>
      </x:c>
      <x:c r="U2202" s="57" t="n">
        <x:v>4896.710898961431</x:v>
      </x:c>
      <x:c r="V2202" s="57" t="n">
        <x:v>-0.9806454114665556</x:v>
      </x:c>
      <x:c r="W2202" t="n">
        <x:v>69</x:v>
      </x:c>
      <x:c r="X2202" t="n">
        <x:v>5</x:v>
      </x:c>
      <x:c r="Y2202" s="38" t="n">
        <x:v>0.6409090909090909</x:v>
      </x:c>
      <x:c r="Z2202" s="38" t="n">
        <x:v>0.7476188571473295</x:v>
      </x:c>
      <x:c r="AA2202"/>
    </x:row>
    <x:row r="2203">
      <x:c r="A2203" s="54" t="n">
        <x:v>45199</x:v>
      </x:c>
      <x:c r="B2203" t="n">
        <x:v>45199.624999988424</x:v>
      </x:c>
      <x:c r="C2203" t="str">
        <x:v>086520</x:v>
      </x:c>
      <x:c r="D2203" t="str">
        <x:v>에코프로</x:v>
      </x:c>
      <x:c r="E2203" t="str">
        <x:v>KOSDAQ</x:v>
      </x:c>
      <x:c r="F2203" t="str">
        <x:v>LARGE</x:v>
      </x:c>
      <x:c r="G2203" t="str">
        <x:v>ELIGIBLE</x:v>
      </x:c>
      <x:c r="H2203"/>
      <x:c r="I2203" s="54" t="n">
        <x:v>45196</x:v>
      </x:c>
      <x:c r="J2203" s="55" t="n">
        <x:v>901000</x:v>
      </x:c>
      <x:c r="K2203" s="55" t="n">
        <x:v>23991528868000</x:v>
      </x:c>
      <x:c r="L2203" s="55" t="n">
        <x:v>26627668</x:v>
      </x:c>
      <x:c r="M2203" t="str">
        <x:v>20230322001113</x:v>
      </x:c>
      <x:c r="N2203" t="n">
        <x:v>45007.624999988424</x:v>
      </x:c>
      <x:c r="O2203" s="54" t="n">
        <x:v>44926</x:v>
      </x:c>
      <x:c r="P2203" t="str">
        <x:v>False</x:v>
      </x:c>
      <x:c r="Q2203" t="str">
        <x:v>d5ca0cf44d61c76d9b6bab2b826b979e9a59e209be138b6baca1b16651adc0d2</x:v>
      </x:c>
      <x:c r="R2203" t="str">
        <x:v>d5ed80d4185417e74758aa37a2b38b9078553f7876fa22a2d06c1540bbfb810b</x:v>
      </x:c>
      <x:c r="S2203" t="n">
        <x:v>6</x:v>
      </x:c>
      <x:c r="T2203" t="str">
        <x:v>2018-12-31|2019-12-31|2020-12-31|2021-12-31|2022-12-31</x:v>
      </x:c>
      <x:c r="U2203" s="57" t="n">
        <x:v>49452.94065479767</x:v>
      </x:c>
      <x:c r="V2203" s="57" t="n">
        <x:v>-0.9451132734130991</x:v>
      </x:c>
      <x:c r="W2203" t="n">
        <x:v>67</x:v>
      </x:c>
      <x:c r="X2203" t="n">
        <x:v>5</x:v>
      </x:c>
      <x:c r="Y2203" s="38" t="n">
        <x:v>0.6409090909090909</x:v>
      </x:c>
      <x:c r="Z2203" s="38" t="n">
        <x:v>0.688241253837696</x:v>
      </x:c>
      <x:c r="AA2203"/>
    </x:row>
    <x:row r="2204">
      <x:c r="A2204" s="54" t="n">
        <x:v>45199</x:v>
      </x:c>
      <x:c r="B2204" t="n">
        <x:v>45199.624999988424</x:v>
      </x:c>
      <x:c r="C2204" t="str">
        <x:v>214450</x:v>
      </x:c>
      <x:c r="D2204" t="str">
        <x:v>파마리서치</x:v>
      </x:c>
      <x:c r="E2204" t="str">
        <x:v>KOSDAQ</x:v>
      </x:c>
      <x:c r="F2204" t="str">
        <x:v>LARGE</x:v>
      </x:c>
      <x:c r="G2204" t="str">
        <x:v>ELIGIBLE</x:v>
      </x:c>
      <x:c r="H2204"/>
      <x:c r="I2204" s="54" t="n">
        <x:v>45196</x:v>
      </x:c>
      <x:c r="J2204" s="55" t="n">
        <x:v>126500</x:v>
      </x:c>
      <x:c r="K2204" s="55" t="n">
        <x:v>1304527455000</x:v>
      </x:c>
      <x:c r="L2204" s="55" t="n">
        <x:v>10312470</x:v>
      </x:c>
      <x:c r="M2204" t="str">
        <x:v>20230322001252</x:v>
      </x:c>
      <x:c r="N2204" t="n">
        <x:v>45007.624999988424</x:v>
      </x:c>
      <x:c r="O2204" s="54" t="n">
        <x:v>44926</x:v>
      </x:c>
      <x:c r="P2204" t="str">
        <x:v>False</x:v>
      </x:c>
      <x:c r="Q2204" t="str">
        <x:v>d1d8571bd746fd5df22b5f79322e5712d56ee303146ab140e9a8e3c7300a808b</x:v>
      </x:c>
      <x:c r="R2204" t="str">
        <x:v>0ab9ae1cb427dfc6dad3cedf05daf5415b444fb66fad6b777a97db7198b3ad65</x:v>
      </x:c>
      <x:c r="S2204" t="n">
        <x:v>6</x:v>
      </x:c>
      <x:c r="T2204" t="str">
        <x:v>2018-12-31|2019-12-31|2020-12-31|2021-12-31|2022-12-31</x:v>
      </x:c>
      <x:c r="U2204" s="57" t="n">
        <x:v>68051.92653104092</x:v>
      </x:c>
      <x:c r="V2204" s="57" t="n">
        <x:v>-0.46204010647398475</x:v>
      </x:c>
      <x:c r="W2204" t="n">
        <x:v>42</x:v>
      </x:c>
      <x:c r="X2204" t="n">
        <x:v>3</x:v>
      </x:c>
      <x:c r="Y2204" s="38" t="n">
        <x:v>0.6409090909090909</x:v>
      </x:c>
      <x:c r="Z2204" s="38" t="n">
        <x:v>0.705727109259069</x:v>
      </x:c>
      <x:c r="AA2204"/>
    </x:row>
    <x:row r="2205">
      <x:c r="A2205" s="54" t="n">
        <x:v>45199</x:v>
      </x:c>
      <x:c r="B2205" t="n">
        <x:v>45199.624999988424</x:v>
      </x:c>
      <x:c r="C2205" t="str">
        <x:v>277810</x:v>
      </x:c>
      <x:c r="D2205" t="str">
        <x:v>레인보우로보틱스</x:v>
      </x:c>
      <x:c r="E2205" t="str">
        <x:v>KOSDAQ</x:v>
      </x:c>
      <x:c r="F2205" t="str">
        <x:v>LARGE</x:v>
      </x:c>
      <x:c r="G2205" t="str">
        <x:v>DCF_SCREENING_EXCLUSION</x:v>
      </x:c>
      <x:c r="H2205" t="str">
        <x:v>NON_POSITIVE_ENTERPRISE_VALUE|NON_POSITIVE_TERMINAL_FCF</x:v>
      </x:c>
      <x:c r="I2205" s="54" t="n">
        <x:v>45196</x:v>
      </x:c>
      <x:c r="J2205" s="55" t="n">
        <x:v>168600</x:v>
      </x:c>
      <x:c r="K2205" s="55" t="n">
        <x:v>3245709495600</x:v>
      </x:c>
      <x:c r="L2205" s="55" t="n">
        <x:v>19250946</x:v>
      </x:c>
      <x:c r="M2205" t="str">
        <x:v>20230323000602</x:v>
      </x:c>
      <x:c r="N2205" t="n">
        <x:v>45008.624999988424</x:v>
      </x:c>
      <x:c r="O2205" s="54" t="n">
        <x:v>44926</x:v>
      </x:c>
      <x:c r="P2205" t="str">
        <x:v>False</x:v>
      </x:c>
      <x:c r="Q2205" t="str">
        <x:v>2ada5eb1eccaeeee7c97c8e4c631cdb13c91ada276de9a8e71821b6a745cd9ce</x:v>
      </x:c>
      <x:c r="R2205" t="str">
        <x:v>e1c32ad386de325e7e750ae92420e0a475250cb7acbc9087da92a2b830e058d6</x:v>
      </x:c>
      <x:c r="S2205" t="n">
        <x:v>6</x:v>
      </x:c>
      <x:c r="T2205" t="str">
        <x:v>2020-12-31|2021-12-31|2022-12-31</x:v>
      </x:c>
      <x:c r="U2205" s="57" t="n">
        <x:v>845.4065448988899</x:v>
      </x:c>
      <x:c r="V2205" s="57" t="n">
        <x:v>-0.9949857263054633</x:v>
      </x:c>
      <x:c r="W2205"/>
      <x:c r="X2205"/>
      <x:c r="Y2205" s="38" t="n">
        <x:v>0.6409090909090909</x:v>
      </x:c>
      <x:c r="Z2205" s="38" t="n">
        <x:v>0.8425512038979058</x:v>
      </x:c>
      <x:c r="AA2205" t="str">
        <x:v>NON_POSITIVE_ENTERPRISE_VALUE|NON_POSITIVE_TERMINAL_FCF</x:v>
      </x:c>
    </x:row>
    <x:row r="2206">
      <x:c r="A2206" s="54" t="n">
        <x:v>45199</x:v>
      </x:c>
      <x:c r="B2206" t="n">
        <x:v>45199.624999988424</x:v>
      </x:c>
      <x:c r="C2206" t="str">
        <x:v>310210</x:v>
      </x:c>
      <x:c r="D2206" t="str">
        <x:v>보로노이</x:v>
      </x:c>
      <x:c r="E2206" t="str">
        <x:v>KOSDAQ</x:v>
      </x:c>
      <x:c r="F2206" t="str">
        <x:v>LARGE</x:v>
      </x:c>
      <x:c r="G2206" t="str">
        <x:v>DCF_SCREENING_EXCLUSION</x:v>
      </x:c>
      <x:c r="H2206" t="str">
        <x:v>NON_POSITIVE_ENTERPRISE_VALUE|NON_POSITIVE_EQUITY_VALUE|NON_POSITIVE_TERMINAL_FCF</x:v>
      </x:c>
      <x:c r="I2206" s="54" t="n">
        <x:v>45196</x:v>
      </x:c>
      <x:c r="J2206" s="55" t="n">
        <x:v>53400</x:v>
      </x:c>
      <x:c r="K2206" s="55" t="n">
        <x:v>764179044600</x:v>
      </x:c>
      <x:c r="L2206" s="55" t="n">
        <x:v>14310469</x:v>
      </x:c>
      <x:c r="M2206" t="str">
        <x:v>20230323001447</x:v>
      </x:c>
      <x:c r="N2206" t="n">
        <x:v>45008.624999988424</x:v>
      </x:c>
      <x:c r="O2206" s="54" t="n">
        <x:v>44926</x:v>
      </x:c>
      <x:c r="P2206" t="str">
        <x:v>False</x:v>
      </x:c>
      <x:c r="Q2206" t="str">
        <x:v>38d2b1f5e9c968f4f6fa965d42cb2f1a325c069332624c3eed7a50315d302dcc</x:v>
      </x:c>
      <x:c r="R2206" t="str">
        <x:v>576c97c4daed21efafcbd8890e5b797da413a5a092541c93f1595fcf7c74e341</x:v>
      </x:c>
      <x:c r="S2206" t="n">
        <x:v>5</x:v>
      </x:c>
      <x:c r="T2206" t="str">
        <x:v>2022-12-31</x:v>
      </x:c>
      <x:c r="U2206" s="57" t="n">
        <x:v>-2595.7129860300174</x:v>
      </x:c>
      <x:c r="V2206" s="57" t="n">
        <x:v>-1.0486088574162924</x:v>
      </x:c>
      <x:c r="W2206"/>
      <x:c r="X2206"/>
      <x:c r="Y2206" s="38" t="n">
        <x:v>0.6409090909090909</x:v>
      </x:c>
      <x:c r="Z2206" s="38" t="n">
        <x:v>0.7013426708992583</x:v>
      </x:c>
      <x:c r="AA2206" t="str">
        <x:v>NON_POSITIVE_ENTERPRISE_VALUE|NON_POSITIVE_EQUITY_VALUE|NON_POSITIVE_TERMINAL_FCF</x:v>
      </x:c>
    </x:row>
    <x:row r="2207">
      <x:c r="A2207" s="54" t="n">
        <x:v>45199</x:v>
      </x:c>
      <x:c r="B2207" t="n">
        <x:v>45199.624999988424</x:v>
      </x:c>
      <x:c r="C2207" t="str">
        <x:v>195940</x:v>
      </x:c>
      <x:c r="D2207" t="str">
        <x:v>HK이노엔</x:v>
      </x:c>
      <x:c r="E2207" t="str">
        <x:v>KOSDAQ</x:v>
      </x:c>
      <x:c r="F2207" t="str">
        <x:v>LARGE</x:v>
      </x:c>
      <x:c r="G2207" t="str">
        <x:v>ELIGIBLE</x:v>
      </x:c>
      <x:c r="H2207"/>
      <x:c r="I2207" s="54" t="n">
        <x:v>45196</x:v>
      </x:c>
      <x:c r="J2207" s="55" t="n">
        <x:v>42100</x:v>
      </x:c>
      <x:c r="K2207" s="55" t="n">
        <x:v>1192688411100</x:v>
      </x:c>
      <x:c r="L2207" s="55" t="n">
        <x:v>28329891</x:v>
      </x:c>
      <x:c r="M2207" t="str">
        <x:v>20230320001014</x:v>
      </x:c>
      <x:c r="N2207" t="n">
        <x:v>45005.624999988424</x:v>
      </x:c>
      <x:c r="O2207" s="54" t="n">
        <x:v>44926</x:v>
      </x:c>
      <x:c r="P2207" t="str">
        <x:v>False</x:v>
      </x:c>
      <x:c r="Q2207" t="str">
        <x:v>4f6a0806e0e5fd9c2cd2d393c888771faba743176534f676c421f01bd70e632b</x:v>
      </x:c>
      <x:c r="R2207" t="str">
        <x:v>3c6c5321d38ea949af4f9c43ff725d1d6f97d8e872f740bed5c3b8ba843d6006</x:v>
      </x:c>
      <x:c r="S2207" t="n">
        <x:v>6</x:v>
      </x:c>
      <x:c r="T2207" t="str">
        <x:v>2021-12-31|2022-12-31</x:v>
      </x:c>
      <x:c r="U2207" s="57" t="n">
        <x:v>11886.658464352715</x:v>
      </x:c>
      <x:c r="V2207" s="57" t="n">
        <x:v>-0.7176565685426909</x:v>
      </x:c>
      <x:c r="W2207" t="n">
        <x:v>58</x:v>
      </x:c>
      <x:c r="X2207" t="n">
        <x:v>5</x:v>
      </x:c>
      <x:c r="Y2207" s="38" t="n">
        <x:v>0.6409090909090909</x:v>
      </x:c>
      <x:c r="Z2207" s="38" t="n">
        <x:v>0.7290831375167371</x:v>
      </x:c>
      <x:c r="AA2207"/>
    </x:row>
    <x:row r="2208">
      <x:c r="A2208" s="54" t="n">
        <x:v>45199</x:v>
      </x:c>
      <x:c r="B2208" t="n">
        <x:v>45199.624999988424</x:v>
      </x:c>
      <x:c r="C2208" t="str">
        <x:v>039200</x:v>
      </x:c>
      <x:c r="D2208" t="str">
        <x:v>오스코텍</x:v>
      </x:c>
      <x:c r="E2208" t="str">
        <x:v>KOSDAQ</x:v>
      </x:c>
      <x:c r="F2208" t="str">
        <x:v>LARGE</x:v>
      </x:c>
      <x:c r="G2208" t="str">
        <x:v>DCF_SCREENING_EXCLUSION</x:v>
      </x:c>
      <x:c r="H2208" t="str">
        <x:v>NON_POSITIVE_ENTERPRISE_VALUE|NON_POSITIVE_EQUITY_VALUE|NON_POSITIVE_TERMINAL_FCF</x:v>
      </x:c>
      <x:c r="I2208" s="54" t="n">
        <x:v>45196</x:v>
      </x:c>
      <x:c r="J2208" s="55" t="n">
        <x:v>29200</x:v>
      </x:c>
      <x:c r="K2208" s="55" t="n">
        <x:v>1109131573600</x:v>
      </x:c>
      <x:c r="L2208" s="55" t="n">
        <x:v>37983958</x:v>
      </x:c>
      <x:c r="M2208" t="str">
        <x:v>20230814001738</x:v>
      </x:c>
      <x:c r="N2208" t="n">
        <x:v>45152.624999988424</x:v>
      </x:c>
      <x:c r="O2208" s="54" t="n">
        <x:v>44926</x:v>
      </x:c>
      <x:c r="P2208" t="str">
        <x:v>True</x:v>
      </x:c>
      <x:c r="Q2208" t="str">
        <x:v>e0b41c243d18f9306d2dfd295fac4b25c57cea7b363ac8caab97149bf3b24f94</x:v>
      </x:c>
      <x:c r="R2208" t="str">
        <x:v>0b25fcca6bf60d5d326782e94d404d5d036ca216e9afb5bba785a4f3c0cf4549</x:v>
      </x:c>
      <x:c r="S2208" t="n">
        <x:v>6</x:v>
      </x:c>
      <x:c r="T2208" t="str">
        <x:v>2018-12-31|2019-12-31|2020-12-31|2021-12-31|2022-12-31</x:v>
      </x:c>
      <x:c r="U2208" s="57" t="n">
        <x:v>-189.62783704262927</x:v>
      </x:c>
      <x:c r="V2208" s="57" t="n">
        <x:v>-1.0064941040083093</x:v>
      </x:c>
      <x:c r="W2208"/>
      <x:c r="X2208"/>
      <x:c r="Y2208" s="38" t="n">
        <x:v>0.6409090909090909</x:v>
      </x:c>
      <x:c r="Z2208" s="38" t="n">
        <x:v>0.6865240790654953</x:v>
      </x:c>
      <x:c r="AA2208" t="str">
        <x:v>NON_POSITIVE_ENTERPRISE_VALUE|NON_POSITIVE_EQUITY_VALUE|NON_POSITIVE_TERMINAL_FCF</x:v>
      </x:c>
    </x:row>
    <x:row r="2209">
      <x:c r="A2209" s="54" t="n">
        <x:v>45199</x:v>
      </x:c>
      <x:c r="B2209" t="n">
        <x:v>45199.624999988424</x:v>
      </x:c>
      <x:c r="C2209" t="str">
        <x:v>084370</x:v>
      </x:c>
      <x:c r="D2209" t="str">
        <x:v>유진테크</x:v>
      </x:c>
      <x:c r="E2209" t="str">
        <x:v>KOSDAQ</x:v>
      </x:c>
      <x:c r="F2209" t="str">
        <x:v>LARGE</x:v>
      </x:c>
      <x:c r="G2209" t="str">
        <x:v>ELIGIBLE</x:v>
      </x:c>
      <x:c r="H2209"/>
      <x:c r="I2209" s="54" t="n">
        <x:v>45196</x:v>
      </x:c>
      <x:c r="J2209" s="55" t="n">
        <x:v>38550</x:v>
      </x:c>
      <x:c r="K2209" s="55" t="n">
        <x:v>883413419100</x:v>
      </x:c>
      <x:c r="L2209" s="55" t="n">
        <x:v>22916042</x:v>
      </x:c>
      <x:c r="M2209" t="str">
        <x:v>20230316001233</x:v>
      </x:c>
      <x:c r="N2209" t="n">
        <x:v>45001.624999988424</x:v>
      </x:c>
      <x:c r="O2209" s="54" t="n">
        <x:v>44926</x:v>
      </x:c>
      <x:c r="P2209" t="str">
        <x:v>False</x:v>
      </x:c>
      <x:c r="Q2209" t="str">
        <x:v>6e7015a76630b4a93d0421f2c9948a15f4da48771a5c08d854eaca8d07cf61c9</x:v>
      </x:c>
      <x:c r="R2209" t="str">
        <x:v>9c185bb5f99aa044f90ce49fec10ec432336d91250cf3fab5cc4f9990d78fcc5</x:v>
      </x:c>
      <x:c r="S2209" t="n">
        <x:v>5</x:v>
      </x:c>
      <x:c r="T2209" t="str">
        <x:v>2018-12-31|2019-12-31|2020-12-31|2021-12-31|2022-12-31</x:v>
      </x:c>
      <x:c r="U2209" s="57" t="n">
        <x:v>18249.84920785422</x:v>
      </x:c>
      <x:c r="V2209" s="57" t="n">
        <x:v>-0.5265927572541059</x:v>
      </x:c>
      <x:c r="W2209" t="n">
        <x:v>47</x:v>
      </x:c>
      <x:c r="X2209" t="n">
        <x:v>4</x:v>
      </x:c>
      <x:c r="Y2209" s="38" t="n">
        <x:v>0.6409090909090909</x:v>
      </x:c>
      <x:c r="Z2209" s="38" t="n">
        <x:v>0.6758527692215439</x:v>
      </x:c>
      <x:c r="AA2209"/>
    </x:row>
    <x:row r="2210">
      <x:c r="A2210" s="54" t="n">
        <x:v>45199</x:v>
      </x:c>
      <x:c r="B2210" t="n">
        <x:v>45199.624999988424</x:v>
      </x:c>
      <x:c r="C2210" t="str">
        <x:v>160190</x:v>
      </x:c>
      <x:c r="D2210" t="str">
        <x:v>하이젠알앤엠</x:v>
      </x:c>
      <x:c r="E2210" t="str">
        <x:v>KOSDAQ</x:v>
      </x:c>
      <x:c r="F2210" t="str">
        <x:v>LARGE</x:v>
      </x:c>
      <x:c r="G2210" t="str">
        <x:v>NOT_LISTED_OR_NO_PRICE</x:v>
      </x:c>
      <x:c r="H2210"/>
      <x:c r="I2210" s="54"/>
      <x:c r="J2210" s="55"/>
      <x:c r="K2210" s="55"/>
      <x:c r="L2210" s="55"/>
      <x:c r="M2210"/>
      <x:c r="N2210"/>
      <x:c r="O2210" s="54"/>
      <x:c r="P2210"/>
      <x:c r="Q2210"/>
      <x:c r="R2210"/>
      <x:c r="S2210"/>
      <x:c r="T2210"/>
      <x:c r="U2210" s="57"/>
      <x:c r="V2210" s="57"/>
      <x:c r="W2210"/>
      <x:c r="X2210"/>
      <x:c r="Y2210" s="38"/>
      <x:c r="Z2210" s="38"/>
      <x:c r="AA2210"/>
    </x:row>
    <x:row r="2211">
      <x:c r="A2211" s="54" t="n">
        <x:v>45199</x:v>
      </x:c>
      <x:c r="B2211" t="n">
        <x:v>45199.624999988424</x:v>
      </x:c>
      <x:c r="C2211" t="str">
        <x:v>281740</x:v>
      </x:c>
      <x:c r="D2211" t="str">
        <x:v>레이크머티리얼즈</x:v>
      </x:c>
      <x:c r="E2211" t="str">
        <x:v>KOSDAQ</x:v>
      </x:c>
      <x:c r="F2211" t="str">
        <x:v>LARGE</x:v>
      </x:c>
      <x:c r="G2211" t="str">
        <x:v>ELIGIBLE</x:v>
      </x:c>
      <x:c r="H2211"/>
      <x:c r="I2211" s="54" t="n">
        <x:v>45196</x:v>
      </x:c>
      <x:c r="J2211" s="55" t="n">
        <x:v>14050</x:v>
      </x:c>
      <x:c r="K2211" s="55" t="n">
        <x:v>923514199400</x:v>
      </x:c>
      <x:c r="L2211" s="55" t="n">
        <x:v>65730548</x:v>
      </x:c>
      <x:c r="M2211" t="str">
        <x:v>20230321000462</x:v>
      </x:c>
      <x:c r="N2211" t="n">
        <x:v>45006.624999988424</x:v>
      </x:c>
      <x:c r="O2211" s="54" t="n">
        <x:v>44926</x:v>
      </x:c>
      <x:c r="P2211" t="str">
        <x:v>False</x:v>
      </x:c>
      <x:c r="Q2211" t="str">
        <x:v>bd38aecc65af0a0b98e5da1731778b2438d37a8d11b5ff932f845ba7958b093a</x:v>
      </x:c>
      <x:c r="R2211" t="str">
        <x:v>9e75f2c145a26e2dcd1f3b04d00d2a651834392252b0fc71a6e537449c01c449</x:v>
      </x:c>
      <x:c r="S2211" t="n">
        <x:v>6</x:v>
      </x:c>
      <x:c r="T2211" t="str">
        <x:v>2020-12-31|2021-12-31|2022-12-31</x:v>
      </x:c>
      <x:c r="U2211" s="57" t="n">
        <x:v>4485.628453028402</x:v>
      </x:c>
      <x:c r="V2211" s="57" t="n">
        <x:v>-0.680738188396555</x:v>
      </x:c>
      <x:c r="W2211" t="n">
        <x:v>57</x:v>
      </x:c>
      <x:c r="X2211" t="n">
        <x:v>5</x:v>
      </x:c>
      <x:c r="Y2211" s="38" t="n">
        <x:v>0.6409090909090909</x:v>
      </x:c>
      <x:c r="Z2211" s="38" t="n">
        <x:v>0.726801270847002</x:v>
      </x:c>
      <x:c r="AA2211"/>
    </x:row>
    <x:row r="2212">
      <x:c r="A2212" s="54" t="n">
        <x:v>45199</x:v>
      </x:c>
      <x:c r="B2212" t="n">
        <x:v>45199.624999988424</x:v>
      </x:c>
      <x:c r="C2212" t="str">
        <x:v>078130</x:v>
      </x:c>
      <x:c r="D2212" t="str">
        <x:v>국일제지</x:v>
      </x:c>
      <x:c r="E2212" t="str">
        <x:v>KOSDAQ</x:v>
      </x:c>
      <x:c r="F2212" t="str">
        <x:v>LARGE</x:v>
      </x:c>
      <x:c r="G2212" t="str">
        <x:v>DCF_SCREENING_EXCLUSION</x:v>
      </x:c>
      <x:c r="H2212" t="str">
        <x:v>NON_POSITIVE_ENTERPRISE_VALUE|NON_POSITIVE_EQUITY_VALUE|UNRELIABLE_TERMINAL_VALUE_SHARE</x:v>
      </x:c>
      <x:c r="I2212" s="54" t="n">
        <x:v>45196</x:v>
      </x:c>
      <x:c r="J2212" s="55" t="n">
        <x:v>800</x:v>
      </x:c>
      <x:c r="K2212" s="55" t="n">
        <x:v>102093978400</x:v>
      </x:c>
      <x:c r="L2212" s="55" t="n">
        <x:v>127617473</x:v>
      </x:c>
      <x:c r="M2212" t="str">
        <x:v>20230714000203</x:v>
      </x:c>
      <x:c r="N2212" t="n">
        <x:v>45121.624999988424</x:v>
      </x:c>
      <x:c r="O2212" s="54" t="n">
        <x:v>44926</x:v>
      </x:c>
      <x:c r="P2212" t="str">
        <x:v>True</x:v>
      </x:c>
      <x:c r="Q2212" t="str">
        <x:v>13056fe84538dc3c279dc4cdc76345bd96eacbc95b29dff0c1d9b89d11a7f860</x:v>
      </x:c>
      <x:c r="R2212" t="str">
        <x:v>041daa119fbababf0e3caa8226161f005a29100514a1f95ce246c7ab44215863</x:v>
      </x:c>
      <x:c r="S2212" t="n">
        <x:v>7</x:v>
      </x:c>
      <x:c r="T2212" t="str">
        <x:v>2018-12-31|2019-12-31|2020-12-31|2021-12-31|2022-12-31</x:v>
      </x:c>
      <x:c r="U2212" s="57" t="n">
        <x:v>-478.81412463368326</x:v>
      </x:c>
      <x:c r="V2212" s="57" t="n">
        <x:v>-1.5985176557921041</x:v>
      </x:c>
      <x:c r="W2212"/>
      <x:c r="X2212"/>
      <x:c r="Y2212" s="38" t="n">
        <x:v>0.6409090909090909</x:v>
      </x:c>
      <x:c r="Z2212" s="38" t="n">
        <x:v>-1.0062491104711333</x:v>
      </x:c>
      <x:c r="AA2212" t="str">
        <x:v>NON_POSITIVE_ENTERPRISE_VALUE|NON_POSITIVE_EQUITY_VALUE|UNRELIABLE_TERMINAL_VALUE_SHARE</x:v>
      </x:c>
    </x:row>
    <x:row r="2213">
      <x:c r="A2213" s="54" t="n">
        <x:v>45199</x:v>
      </x:c>
      <x:c r="B2213" t="n">
        <x:v>45199.624999988424</x:v>
      </x:c>
      <x:c r="C2213" t="str">
        <x:v>131970</x:v>
      </x:c>
      <x:c r="D2213" t="str">
        <x:v>두산테스나</x:v>
      </x:c>
      <x:c r="E2213" t="str">
        <x:v>KOSDAQ</x:v>
      </x:c>
      <x:c r="F2213" t="str">
        <x:v>LARGE</x:v>
      </x:c>
      <x:c r="G2213" t="str">
        <x:v>ELIGIBLE</x:v>
      </x:c>
      <x:c r="H2213"/>
      <x:c r="I2213" s="54" t="n">
        <x:v>45196</x:v>
      </x:c>
      <x:c r="J2213" s="55" t="n">
        <x:v>44100</x:v>
      </x:c>
      <x:c r="K2213" s="55" t="n">
        <x:v>650897345700</x:v>
      </x:c>
      <x:c r="L2213" s="55" t="n">
        <x:v>14759577</x:v>
      </x:c>
      <x:c r="M2213" t="str">
        <x:v>20230321001018</x:v>
      </x:c>
      <x:c r="N2213" t="n">
        <x:v>45006.624999988424</x:v>
      </x:c>
      <x:c r="O2213" s="54" t="n">
        <x:v>44926</x:v>
      </x:c>
      <x:c r="P2213" t="str">
        <x:v>False</x:v>
      </x:c>
      <x:c r="Q2213" t="str">
        <x:v>884fb42e0046a241832b9dc400722b5050999bfc4acbe2eaab4a2b72708a1eef</x:v>
      </x:c>
      <x:c r="R2213" t="str">
        <x:v>1bab9f86ce7bb62761af67a64415208e4f1003be2995a07128c9ce04910ba75f</x:v>
      </x:c>
      <x:c r="S2213" t="n">
        <x:v>5</x:v>
      </x:c>
      <x:c r="T2213" t="str">
        <x:v>2018-12-31|2019-12-31|2020-12-31|2021-12-31|2022-12-31</x:v>
      </x:c>
      <x:c r="U2213" s="57" t="n">
        <x:v>42781.078535170804</x:v>
      </x:c>
      <x:c r="V2213" s="57" t="n">
        <x:v>-0.02990751620927886</x:v>
      </x:c>
      <x:c r="W2213" t="n">
        <x:v>26</x:v>
      </x:c>
      <x:c r="X2213" t="n">
        <x:v>2</x:v>
      </x:c>
      <x:c r="Y2213" s="38" t="n">
        <x:v>0.6409090909090909</x:v>
      </x:c>
      <x:c r="Z2213" s="38" t="n">
        <x:v>0.7192854801003423</x:v>
      </x:c>
      <x:c r="AA2213"/>
    </x:row>
    <x:row r="2214">
      <x:c r="A2214" s="54" t="n">
        <x:v>45199</x:v>
      </x:c>
      <x:c r="B2214" t="n">
        <x:v>45199.624999988424</x:v>
      </x:c>
      <x:c r="C2214" t="str">
        <x:v>025320</x:v>
      </x:c>
      <x:c r="D2214" t="str">
        <x:v>시노펙스</x:v>
      </x:c>
      <x:c r="E2214" t="str">
        <x:v>KOSDAQ</x:v>
      </x:c>
      <x:c r="F2214" t="str">
        <x:v>LARGE</x:v>
      </x:c>
      <x:c r="G2214" t="str">
        <x:v>DCF_SCREENING_EXCLUSION</x:v>
      </x:c>
      <x:c r="H2214" t="str">
        <x:v>NON_POSITIVE_ENTERPRISE_VALUE|NON_POSITIVE_EQUITY_VALUE|NON_POSITIVE_TERMINAL_FCF|UNRELIABLE_TERMINAL_VALUE_SHARE</x:v>
      </x:c>
      <x:c r="I2214" s="54" t="n">
        <x:v>45196</x:v>
      </x:c>
      <x:c r="J2214" s="55" t="n">
        <x:v>3610</x:v>
      </x:c>
      <x:c r="K2214" s="55" t="n">
        <x:v>287036348940</x:v>
      </x:c>
      <x:c r="L2214" s="55" t="n">
        <x:v>79511454</x:v>
      </x:c>
      <x:c r="M2214" t="str">
        <x:v>20230317000970</x:v>
      </x:c>
      <x:c r="N2214" t="n">
        <x:v>45002.624999988424</x:v>
      </x:c>
      <x:c r="O2214" s="54" t="n">
        <x:v>44926</x:v>
      </x:c>
      <x:c r="P2214" t="str">
        <x:v>False</x:v>
      </x:c>
      <x:c r="Q2214" t="str">
        <x:v>97a0662bef0951eeb8bc249158ded53f5a4107f03ae195e85190408a71b2e159</x:v>
      </x:c>
      <x:c r="R2214" t="str">
        <x:v>13398546743628923b374842f994b42a0375ba9d3b6cd96f7a523999333258dc</x:v>
      </x:c>
      <x:c r="S2214" t="n">
        <x:v>6</x:v>
      </x:c>
      <x:c r="T2214" t="str">
        <x:v>2018-12-31|2019-12-31|2020-12-31|2021-12-31|2022-12-31</x:v>
      </x:c>
      <x:c r="U2214" s="57" t="n">
        <x:v>-1033.2938568439533</x:v>
      </x:c>
      <x:c r="V2214" s="57" t="n">
        <x:v>-1.2862309852753333</x:v>
      </x:c>
      <x:c r="W2214"/>
      <x:c r="X2214"/>
      <x:c r="Y2214" s="38" t="n">
        <x:v>0.6409090909090909</x:v>
      </x:c>
      <x:c r="Z2214" s="38" t="n">
        <x:v>0.8633040140644538</x:v>
      </x:c>
      <x:c r="AA2214" t="str">
        <x:v>NON_POSITIVE_ENTERPRISE_VALUE|NON_POSITIVE_EQUITY_VALUE|NON_POSITIVE_TERMINAL_FCF|UNRELIABLE_TERMINAL_VALUE_SHARE</x:v>
      </x:c>
    </x:row>
    <x:row r="2215">
      <x:c r="A2215" s="54" t="n">
        <x:v>45199</x:v>
      </x:c>
      <x:c r="B2215" t="n">
        <x:v>45199.624999988424</x:v>
      </x:c>
      <x:c r="C2215" t="str">
        <x:v>347700</x:v>
      </x:c>
      <x:c r="D2215" t="str">
        <x:v>스피어</x:v>
      </x:c>
      <x:c r="E2215" t="str">
        <x:v>KOSDAQ</x:v>
      </x:c>
      <x:c r="F2215" t="str">
        <x:v>LARGE</x:v>
      </x:c>
      <x:c r="G2215" t="str">
        <x:v>DCF_SCREENING_EXCLUSION</x:v>
      </x:c>
      <x:c r="H2215" t="str">
        <x:v>NON_POSITIVE_ENTERPRISE_VALUE|NON_POSITIVE_EQUITY_VALUE|NON_POSITIVE_TERMINAL_FCF</x:v>
      </x:c>
      <x:c r="I2215" s="54" t="n">
        <x:v>45196</x:v>
      </x:c>
      <x:c r="J2215" s="55" t="n">
        <x:v>4265</x:v>
      </x:c>
      <x:c r="K2215" s="55" t="n">
        <x:v>43622206750</x:v>
      </x:c>
      <x:c r="L2215" s="55" t="n">
        <x:v>10227950</x:v>
      </x:c>
      <x:c r="M2215" t="str">
        <x:v>20230323000910</x:v>
      </x:c>
      <x:c r="N2215" t="n">
        <x:v>45008.624999988424</x:v>
      </x:c>
      <x:c r="O2215" s="54" t="n">
        <x:v>44926</x:v>
      </x:c>
      <x:c r="P2215" t="str">
        <x:v>False</x:v>
      </x:c>
      <x:c r="Q2215" t="str">
        <x:v>318d5308ddf30d65b03f9b30626610bf5f1602f10d1d079262c739572e450b01</x:v>
      </x:c>
      <x:c r="R2215" t="str">
        <x:v>8a688877140876da0088777346eecbce820b2f714829b67ca13a2fee8b6668fe</x:v>
      </x:c>
      <x:c r="S2215" t="n">
        <x:v>6</x:v>
      </x:c>
      <x:c r="T2215" t="str">
        <x:v>2020-12-31|2021-12-31|2022-12-31</x:v>
      </x:c>
      <x:c r="U2215" s="57" t="n">
        <x:v>-289.88693562945383</x:v>
      </x:c>
      <x:c r="V2215" s="57" t="n">
        <x:v>-1.0679688008509856</x:v>
      </x:c>
      <x:c r="W2215"/>
      <x:c r="X2215"/>
      <x:c r="Y2215" s="38" t="n">
        <x:v>0.6409090909090909</x:v>
      </x:c>
      <x:c r="Z2215" s="38" t="n">
        <x:v>0.7147392814804288</x:v>
      </x:c>
      <x:c r="AA2215" t="str">
        <x:v>NON_POSITIVE_ENTERPRISE_VALUE|NON_POSITIVE_EQUITY_VALUE|NON_POSITIVE_TERMINAL_FCF</x:v>
      </x:c>
    </x:row>
    <x:row r="2216">
      <x:c r="A2216" s="54" t="n">
        <x:v>45199</x:v>
      </x:c>
      <x:c r="B2216" t="n">
        <x:v>45199.624999988424</x:v>
      </x:c>
      <x:c r="C2216" t="str">
        <x:v>119850</x:v>
      </x:c>
      <x:c r="D2216" t="str">
        <x:v>지엔씨에너지</x:v>
      </x:c>
      <x:c r="E2216" t="str">
        <x:v>KOSDAQ</x:v>
      </x:c>
      <x:c r="F2216" t="str">
        <x:v>LARGE</x:v>
      </x:c>
      <x:c r="G2216" t="str">
        <x:v>ELIGIBLE</x:v>
      </x:c>
      <x:c r="H2216"/>
      <x:c r="I2216" s="54" t="n">
        <x:v>45196</x:v>
      </x:c>
      <x:c r="J2216" s="55" t="n">
        <x:v>4015</x:v>
      </x:c>
      <x:c r="K2216" s="55" t="n">
        <x:v>66042369635</x:v>
      </x:c>
      <x:c r="L2216" s="55" t="n">
        <x:v>16448909</x:v>
      </x:c>
      <x:c r="M2216" t="str">
        <x:v>20230321000381</x:v>
      </x:c>
      <x:c r="N2216" t="n">
        <x:v>45006.624999988424</x:v>
      </x:c>
      <x:c r="O2216" s="54" t="n">
        <x:v>44926</x:v>
      </x:c>
      <x:c r="P2216" t="str">
        <x:v>False</x:v>
      </x:c>
      <x:c r="Q2216" t="str">
        <x:v>f632a6eceb0fdf2b827e41df44c7ef1919a43190db51c5383dd7414638425ef9</x:v>
      </x:c>
      <x:c r="R2216" t="str">
        <x:v>0a80b286f39c459231cb877b726cd5f89c30b847d32dfbfd48b8c1753d8cb348</x:v>
      </x:c>
      <x:c r="S2216" t="n">
        <x:v>6</x:v>
      </x:c>
      <x:c r="T2216" t="str">
        <x:v>2018-12-31|2019-12-31|2020-12-31|2021-12-31|2022-12-31</x:v>
      </x:c>
      <x:c r="U2216" s="57" t="n">
        <x:v>2550.7016156046448</x:v>
      </x:c>
      <x:c r="V2216" s="57" t="n">
        <x:v>-0.364706945054883</x:v>
      </x:c>
      <x:c r="W2216" t="n">
        <x:v>38</x:v>
      </x:c>
      <x:c r="X2216" t="n">
        <x:v>3</x:v>
      </x:c>
      <x:c r="Y2216" s="38" t="n">
        <x:v>0.6409090909090909</x:v>
      </x:c>
      <x:c r="Z2216" s="38" t="n">
        <x:v>0.6992378881812492</x:v>
      </x:c>
      <x:c r="AA2216"/>
    </x:row>
    <x:row r="2217">
      <x:c r="A2217" s="54" t="n">
        <x:v>45199</x:v>
      </x:c>
      <x:c r="B2217" t="n">
        <x:v>45199.624999988424</x:v>
      </x:c>
      <x:c r="C2217" t="str">
        <x:v>084110</x:v>
      </x:c>
      <x:c r="D2217" t="str">
        <x:v>휴온스글로벌</x:v>
      </x:c>
      <x:c r="E2217" t="str">
        <x:v>KOSDAQ</x:v>
      </x:c>
      <x:c r="F2217" t="str">
        <x:v>LARGE</x:v>
      </x:c>
      <x:c r="G2217" t="str">
        <x:v>ELIGIBLE</x:v>
      </x:c>
      <x:c r="H2217"/>
      <x:c r="I2217" s="54" t="n">
        <x:v>45196</x:v>
      </x:c>
      <x:c r="J2217" s="55" t="n">
        <x:v>22600</x:v>
      </x:c>
      <x:c r="K2217" s="55" t="n">
        <x:v>285245719200</x:v>
      </x:c>
      <x:c r="L2217" s="55" t="n">
        <x:v>12621492</x:v>
      </x:c>
      <x:c r="M2217" t="str">
        <x:v>20230323001526</x:v>
      </x:c>
      <x:c r="N2217" t="n">
        <x:v>45008.624999988424</x:v>
      </x:c>
      <x:c r="O2217" s="54" t="n">
        <x:v>44926</x:v>
      </x:c>
      <x:c r="P2217" t="str">
        <x:v>False</x:v>
      </x:c>
      <x:c r="Q2217" t="str">
        <x:v>541fb198584f283efa69044182a66d8d3bbb27bc4598abf29f13a82efd236391</x:v>
      </x:c>
      <x:c r="R2217" t="str">
        <x:v>c07edab6f2b7838ef3c0f5e884bea46a9a06b1d5c364f4fd38131be15dc9749b</x:v>
      </x:c>
      <x:c r="S2217" t="n">
        <x:v>6</x:v>
      </x:c>
      <x:c r="T2217" t="str">
        <x:v>2018-12-31|2019-12-31|2020-12-31|2021-12-31|2022-12-31</x:v>
      </x:c>
      <x:c r="U2217" s="57" t="n">
        <x:v>79529.11555752518</x:v>
      </x:c>
      <x:c r="V2217" s="57" t="n">
        <x:v>2.5189874140497865</x:v>
      </x:c>
      <x:c r="W2217" t="n">
        <x:v>7</x:v>
      </x:c>
      <x:c r="X2217" t="n">
        <x:v>1</x:v>
      </x:c>
      <x:c r="Y2217" s="38" t="n">
        <x:v>0.6409090909090909</x:v>
      </x:c>
      <x:c r="Z2217" s="38" t="n">
        <x:v>0.7695258922995936</x:v>
      </x:c>
      <x:c r="AA2217"/>
    </x:row>
    <x:row r="2218">
      <x:c r="A2218" s="54" t="n">
        <x:v>45199</x:v>
      </x:c>
      <x:c r="B2218" t="n">
        <x:v>45199.624999988424</x:v>
      </x:c>
      <x:c r="C2218" t="str">
        <x:v>206650</x:v>
      </x:c>
      <x:c r="D2218" t="str">
        <x:v>유바이오로직스</x:v>
      </x:c>
      <x:c r="E2218" t="str">
        <x:v>KOSDAQ</x:v>
      </x:c>
      <x:c r="F2218" t="str">
        <x:v>LARGE</x:v>
      </x:c>
      <x:c r="G2218" t="str">
        <x:v>DCF_SCREENING_EXCLUSION</x:v>
      </x:c>
      <x:c r="H2218" t="str">
        <x:v>NON_POSITIVE_ENTERPRISE_VALUE|NON_POSITIVE_EQUITY_VALUE|NON_POSITIVE_TERMINAL_FCF</x:v>
      </x:c>
      <x:c r="I2218" s="54" t="n">
        <x:v>45196</x:v>
      </x:c>
      <x:c r="J2218" s="55" t="n">
        <x:v>10520</x:v>
      </x:c>
      <x:c r="K2218" s="55" t="n">
        <x:v>383399369640</x:v>
      </x:c>
      <x:c r="L2218" s="55" t="n">
        <x:v>36444807</x:v>
      </x:c>
      <x:c r="M2218" t="str">
        <x:v>20230321001064</x:v>
      </x:c>
      <x:c r="N2218" t="n">
        <x:v>45006.624999988424</x:v>
      </x:c>
      <x:c r="O2218" s="54" t="n">
        <x:v>44926</x:v>
      </x:c>
      <x:c r="P2218" t="str">
        <x:v>False</x:v>
      </x:c>
      <x:c r="Q2218" t="str">
        <x:v>fca3a941392c1e401dfc5d056354175a8f59736f1a8bacec99d6d2306060f340</x:v>
      </x:c>
      <x:c r="R2218" t="str">
        <x:v>22d1af952e5a4ad209a1848f1b2b48aa9efb1ad0649ef925f5aefaeff4e9a84d</x:v>
      </x:c>
      <x:c r="S2218" t="n">
        <x:v>5</x:v>
      </x:c>
      <x:c r="T2218" t="str">
        <x:v>2018-12-31|2019-12-31|2020-12-31|2021-12-31|2022-12-31</x:v>
      </x:c>
      <x:c r="U2218" s="57" t="n">
        <x:v>-1919.2372989946105</x:v>
      </x:c>
      <x:c r="V2218" s="57" t="n">
        <x:v>-1.1824370056078526</x:v>
      </x:c>
      <x:c r="W2218"/>
      <x:c r="X2218"/>
      <x:c r="Y2218" s="38" t="n">
        <x:v>0.6409090909090909</x:v>
      </x:c>
      <x:c r="Z2218" s="38" t="n">
        <x:v>0.6636833148664109</x:v>
      </x:c>
      <x:c r="AA2218" t="str">
        <x:v>NON_POSITIVE_ENTERPRISE_VALUE|NON_POSITIVE_EQUITY_VALUE|NON_POSITIVE_TERMINAL_FCF</x:v>
      </x:c>
    </x:row>
    <x:row r="2219">
      <x:c r="A2219" s="54" t="n">
        <x:v>45199</x:v>
      </x:c>
      <x:c r="B2219" t="n">
        <x:v>45199.624999988424</x:v>
      </x:c>
      <x:c r="C2219" t="str">
        <x:v>365340</x:v>
      </x:c>
      <x:c r="D2219" t="str">
        <x:v>성일하이텍</x:v>
      </x:c>
      <x:c r="E2219" t="str">
        <x:v>KOSDAQ</x:v>
      </x:c>
      <x:c r="F2219" t="str">
        <x:v>LARGE</x:v>
      </x:c>
      <x:c r="G2219" t="str">
        <x:v>ELIGIBLE</x:v>
      </x:c>
      <x:c r="H2219"/>
      <x:c r="I2219" s="54" t="n">
        <x:v>45196</x:v>
      </x:c>
      <x:c r="J2219" s="55" t="n">
        <x:v>111800</x:v>
      </x:c>
      <x:c r="K2219" s="55" t="n">
        <x:v>1343411160000</x:v>
      </x:c>
      <x:c r="L2219" s="55" t="n">
        <x:v>12016200</x:v>
      </x:c>
      <x:c r="M2219" t="str">
        <x:v>20230323000846</x:v>
      </x:c>
      <x:c r="N2219" t="n">
        <x:v>45008.624999988424</x:v>
      </x:c>
      <x:c r="O2219" s="54" t="n">
        <x:v>44926</x:v>
      </x:c>
      <x:c r="P2219" t="str">
        <x:v>False</x:v>
      </x:c>
      <x:c r="Q2219" t="str">
        <x:v>7d0abe3c2db2e67cce557f8d247cbcd238617d90a80745b9f2e537f2c3a0b014</x:v>
      </x:c>
      <x:c r="R2219" t="str">
        <x:v>3d7693e5f2fb4d7dbf0d2eae00ebc360e9d376c7695fd488602225ac72151361</x:v>
      </x:c>
      <x:c r="S2219" t="n">
        <x:v>6</x:v>
      </x:c>
      <x:c r="T2219" t="str">
        <x:v>2022-12-31</x:v>
      </x:c>
      <x:c r="U2219" s="57" t="n">
        <x:v>38199.37441173016</x:v>
      </x:c>
      <x:c r="V2219" s="57" t="n">
        <x:v>-0.6583240213619842</x:v>
      </x:c>
      <x:c r="W2219" t="n">
        <x:v>54</x:v>
      </x:c>
      <x:c r="X2219" t="n">
        <x:v>4</x:v>
      </x:c>
      <x:c r="Y2219" s="38" t="n">
        <x:v>0.6409090909090909</x:v>
      </x:c>
      <x:c r="Z2219" s="38" t="n">
        <x:v>0.7013426708992583</x:v>
      </x:c>
      <x:c r="AA2219"/>
    </x:row>
    <x:row r="2220">
      <x:c r="A2220" s="54" t="n">
        <x:v>45199</x:v>
      </x:c>
      <x:c r="B2220" t="n">
        <x:v>45199.624999988424</x:v>
      </x:c>
      <x:c r="C2220" t="str">
        <x:v>030530</x:v>
      </x:c>
      <x:c r="D2220" t="str">
        <x:v>원익홀딩스</x:v>
      </x:c>
      <x:c r="E2220" t="str">
        <x:v>KOSDAQ</x:v>
      </x:c>
      <x:c r="F2220" t="str">
        <x:v>LARGE</x:v>
      </x:c>
      <x:c r="G2220" t="str">
        <x:v>EXCLUDED_ARCHETYPE</x:v>
      </x:c>
      <x:c r="H2220" t="str">
        <x:v>FCFF_NOT_COMPARABLE_FOR_FINANCE_OR_HOLDING_HINT</x:v>
      </x:c>
      <x:c r="I2220" s="54"/>
      <x:c r="J2220" s="55"/>
      <x:c r="K2220" s="55"/>
      <x:c r="L2220" s="55"/>
      <x:c r="M2220"/>
      <x:c r="N2220"/>
      <x:c r="O2220" s="54"/>
      <x:c r="P2220"/>
      <x:c r="Q2220"/>
      <x:c r="R2220"/>
      <x:c r="S2220"/>
      <x:c r="T2220"/>
      <x:c r="U2220" s="57"/>
      <x:c r="V2220" s="57"/>
      <x:c r="W2220"/>
      <x:c r="X2220"/>
      <x:c r="Y2220" s="38"/>
      <x:c r="Z2220" s="38"/>
      <x:c r="AA2220"/>
    </x:row>
    <x:row r="2221">
      <x:c r="A2221" s="54" t="n">
        <x:v>45199</x:v>
      </x:c>
      <x:c r="B2221" t="n">
        <x:v>45199.624999988424</x:v>
      </x:c>
      <x:c r="C2221" t="str">
        <x:v>220100</x:v>
      </x:c>
      <x:c r="D2221" t="str">
        <x:v>퓨쳐켐</x:v>
      </x:c>
      <x:c r="E2221" t="str">
        <x:v>KOSDAQ</x:v>
      </x:c>
      <x:c r="F2221" t="str">
        <x:v>LARGE</x:v>
      </x:c>
      <x:c r="G2221" t="str">
        <x:v>DCF_SCREENING_EXCLUSION</x:v>
      </x:c>
      <x:c r="H2221" t="str">
        <x:v>NON_POSITIVE_ENTERPRISE_VALUE|NON_POSITIVE_EQUITY_VALUE|NON_POSITIVE_TERMINAL_FCF</x:v>
      </x:c>
      <x:c r="I2221" s="54" t="n">
        <x:v>45196</x:v>
      </x:c>
      <x:c r="J2221" s="55" t="n">
        <x:v>12810</x:v>
      </x:c>
      <x:c r="K2221" s="55" t="n">
        <x:v>283128605550</x:v>
      </x:c>
      <x:c r="L2221" s="55" t="n">
        <x:v>22102155</x:v>
      </x:c>
      <x:c r="M2221" t="str">
        <x:v>20230712000184</x:v>
      </x:c>
      <x:c r="N2221" t="n">
        <x:v>45119.624999988424</x:v>
      </x:c>
      <x:c r="O2221" s="54" t="n">
        <x:v>44926</x:v>
      </x:c>
      <x:c r="P2221" t="str">
        <x:v>True</x:v>
      </x:c>
      <x:c r="Q2221" t="str">
        <x:v>44f6f0144638c3a6d8b788f1cda9181339fbbabe776668aef15c315441f74b68</x:v>
      </x:c>
      <x:c r="R2221" t="str">
        <x:v>611b48516d2e0c5f98fbc91c8c0c9a8820dd91a4310bd3d84463f5f238f857e4</x:v>
      </x:c>
      <x:c r="S2221" t="n">
        <x:v>5</x:v>
      </x:c>
      <x:c r="T2221" t="str">
        <x:v>2018-12-31|2019-12-31|2020-12-31|2021-12-31|2022-12-31</x:v>
      </x:c>
      <x:c r="U2221" s="57" t="n">
        <x:v>-1905.7420247249058</x:v>
      </x:c>
      <x:c r="V2221" s="57" t="n">
        <x:v>-1.1487698692213042</x:v>
      </x:c>
      <x:c r="W2221"/>
      <x:c r="X2221"/>
      <x:c r="Y2221" s="38" t="n">
        <x:v>0.6409090909090909</x:v>
      </x:c>
      <x:c r="Z2221" s="38" t="n">
        <x:v>0.71127269721301</x:v>
      </x:c>
      <x:c r="AA2221" t="str">
        <x:v>NON_POSITIVE_ENTERPRISE_VALUE|NON_POSITIVE_EQUITY_VALUE|NON_POSITIVE_TERMINAL_FCF</x:v>
      </x:c>
    </x:row>
    <x:row r="2222">
      <x:c r="A2222" s="54" t="n">
        <x:v>45199</x:v>
      </x:c>
      <x:c r="B2222" t="n">
        <x:v>45199.624999988424</x:v>
      </x:c>
      <x:c r="C2222" t="str">
        <x:v>416180</x:v>
      </x:c>
      <x:c r="D2222" t="str">
        <x:v>신성에스티</x:v>
      </x:c>
      <x:c r="E2222" t="str">
        <x:v>KOSDAQ</x:v>
      </x:c>
      <x:c r="F2222" t="str">
        <x:v>LARGE</x:v>
      </x:c>
      <x:c r="G2222" t="str">
        <x:v>NOT_LISTED_OR_NO_PRICE</x:v>
      </x:c>
      <x:c r="H2222"/>
      <x:c r="I2222" s="54"/>
      <x:c r="J2222" s="55"/>
      <x:c r="K2222" s="55"/>
      <x:c r="L2222" s="55"/>
      <x:c r="M2222"/>
      <x:c r="N2222"/>
      <x:c r="O2222" s="54"/>
      <x:c r="P2222"/>
      <x:c r="Q2222"/>
      <x:c r="R2222"/>
      <x:c r="S2222"/>
      <x:c r="T2222"/>
      <x:c r="U2222" s="57"/>
      <x:c r="V2222" s="57"/>
      <x:c r="W2222"/>
      <x:c r="X2222"/>
      <x:c r="Y2222" s="38"/>
      <x:c r="Z2222" s="38"/>
      <x:c r="AA2222"/>
    </x:row>
    <x:row r="2223">
      <x:c r="A2223" s="54" t="n">
        <x:v>45199</x:v>
      </x:c>
      <x:c r="B2223" t="n">
        <x:v>45199.624999988424</x:v>
      </x:c>
      <x:c r="C2223" t="str">
        <x:v>082800</x:v>
      </x:c>
      <x:c r="D2223" t="str">
        <x:v>비보존제약</x:v>
      </x:c>
      <x:c r="E2223" t="str">
        <x:v>KOSDAQ</x:v>
      </x:c>
      <x:c r="F2223" t="str">
        <x:v>LARGE</x:v>
      </x:c>
      <x:c r="G2223" t="str">
        <x:v>DCF_SCREENING_EXCLUSION</x:v>
      </x:c>
      <x:c r="H2223" t="str">
        <x:v>NON_POSITIVE_ENTERPRISE_VALUE|NON_POSITIVE_EQUITY_VALUE|NON_POSITIVE_TERMINAL_FCF</x:v>
      </x:c>
      <x:c r="I2223" s="54" t="n">
        <x:v>45196</x:v>
      </x:c>
      <x:c r="J2223" s="55" t="n">
        <x:v>612</x:v>
      </x:c>
      <x:c r="K2223" s="55" t="n">
        <x:v>147527849124</x:v>
      </x:c>
      <x:c r="L2223" s="55" t="n">
        <x:v>241058577</x:v>
      </x:c>
      <x:c r="M2223" t="str">
        <x:v>20230728000019</x:v>
      </x:c>
      <x:c r="N2223" t="n">
        <x:v>45135.624999988424</x:v>
      </x:c>
      <x:c r="O2223" s="54" t="n">
        <x:v>44926</x:v>
      </x:c>
      <x:c r="P2223" t="str">
        <x:v>True</x:v>
      </x:c>
      <x:c r="Q2223" t="str">
        <x:v>9441247efcb40f5059e0fe56d23a72d4e6e9cc139733e0595dae19c1c0a48c6d</x:v>
      </x:c>
      <x:c r="R2223" t="str">
        <x:v>d7078be3a6ce13bca825721f5f46e1f3d57dfdefd55217a766d4a46b1670ecca</x:v>
      </x:c>
      <x:c r="S2223" t="n">
        <x:v>7</x:v>
      </x:c>
      <x:c r="T2223" t="str">
        <x:v>2018-12-31|2019-12-31|2020-12-31|2021-12-31|2022-12-31</x:v>
      </x:c>
      <x:c r="U2223" s="57" t="n">
        <x:v>-1061.0065593308473</x:v>
      </x:c>
      <x:c r="V2223" s="57" t="n">
        <x:v>-2.733670848579816</x:v>
      </x:c>
      <x:c r="W2223"/>
      <x:c r="X2223"/>
      <x:c r="Y2223" s="38" t="n">
        <x:v>0.6409090909090909</x:v>
      </x:c>
      <x:c r="Z2223" s="38" t="n">
        <x:v>0.7001447440711783</x:v>
      </x:c>
      <x:c r="AA2223" t="str">
        <x:v>NON_POSITIVE_ENTERPRISE_VALUE|NON_POSITIVE_EQUITY_VALUE|NON_POSITIVE_TERMINAL_FCF</x:v>
      </x:c>
    </x:row>
    <x:row r="2224">
      <x:c r="A2224" s="54" t="n">
        <x:v>45199</x:v>
      </x:c>
      <x:c r="B2224" t="n">
        <x:v>45199.624999988424</x:v>
      </x:c>
      <x:c r="C2224" t="str">
        <x:v>204620</x:v>
      </x:c>
      <x:c r="D2224" t="str">
        <x:v>글로벌텍스프리</x:v>
      </x:c>
      <x:c r="E2224" t="str">
        <x:v>KOSDAQ</x:v>
      </x:c>
      <x:c r="F2224" t="str">
        <x:v>LARGE</x:v>
      </x:c>
      <x:c r="G2224" t="str">
        <x:v>DCF_SCREENING_EXCLUSION</x:v>
      </x:c>
      <x:c r="H2224" t="str">
        <x:v>NON_POSITIVE_ENTERPRISE_VALUE|NON_POSITIVE_TERMINAL_FCF</x:v>
      </x:c>
      <x:c r="I2224" s="54" t="n">
        <x:v>45196</x:v>
      </x:c>
      <x:c r="J2224" s="55" t="n">
        <x:v>6780</x:v>
      </x:c>
      <x:c r="K2224" s="55" t="n">
        <x:v>378677766840</x:v>
      </x:c>
      <x:c r="L2224" s="55" t="n">
        <x:v>55852178</x:v>
      </x:c>
      <x:c r="M2224" t="str">
        <x:v>20230323001090</x:v>
      </x:c>
      <x:c r="N2224" t="n">
        <x:v>45008.624999988424</x:v>
      </x:c>
      <x:c r="O2224" s="54" t="n">
        <x:v>44926</x:v>
      </x:c>
      <x:c r="P2224" t="str">
        <x:v>False</x:v>
      </x:c>
      <x:c r="Q2224" t="str">
        <x:v>3ec95d2ebe9fca319c0986b7bead3941ac9505f4f62a24cf138d1287a6a6cc0a</x:v>
      </x:c>
      <x:c r="R2224" t="str">
        <x:v>92f5112f4f8c2ba9c3ff7f14625986b8716d92099e4ee1715fb8a21915a1fb2b</x:v>
      </x:c>
      <x:c r="S2224" t="n">
        <x:v>7</x:v>
      </x:c>
      <x:c r="T2224" t="str">
        <x:v>2018-12-31|2019-12-31|2020-12-31|2021-12-31|2022-12-31</x:v>
      </x:c>
      <x:c r="U2224" s="57" t="n">
        <x:v>270.3671349178356</x:v>
      </x:c>
      <x:c r="V2224" s="57" t="n">
        <x:v>-0.9601228414575463</x:v>
      </x:c>
      <x:c r="W2224"/>
      <x:c r="X2224"/>
      <x:c r="Y2224" s="38" t="n">
        <x:v>0.6409090909090909</x:v>
      </x:c>
      <x:c r="Z2224" s="38" t="n">
        <x:v>0.6756613006844315</x:v>
      </x:c>
      <x:c r="AA2224" t="str">
        <x:v>NON_POSITIVE_ENTERPRISE_VALUE|NON_POSITIVE_TERMINAL_FCF</x:v>
      </x:c>
    </x:row>
    <x:row r="2225">
      <x:c r="A2225" s="54" t="n">
        <x:v>45199</x:v>
      </x:c>
      <x:c r="B2225" t="n">
        <x:v>45199.624999988424</x:v>
      </x:c>
      <x:c r="C2225" t="str">
        <x:v>445090</x:v>
      </x:c>
      <x:c r="D2225" t="str">
        <x:v>에이직랜드</x:v>
      </x:c>
      <x:c r="E2225" t="str">
        <x:v>KOSDAQ</x:v>
      </x:c>
      <x:c r="F2225" t="str">
        <x:v>LARGE</x:v>
      </x:c>
      <x:c r="G2225" t="str">
        <x:v>NOT_LISTED_OR_NO_PRICE</x:v>
      </x:c>
      <x:c r="H2225"/>
      <x:c r="I2225" s="54"/>
      <x:c r="J2225" s="55"/>
      <x:c r="K2225" s="55"/>
      <x:c r="L2225" s="55"/>
      <x:c r="M2225"/>
      <x:c r="N2225"/>
      <x:c r="O2225" s="54"/>
      <x:c r="P2225"/>
      <x:c r="Q2225"/>
      <x:c r="R2225"/>
      <x:c r="S2225"/>
      <x:c r="T2225"/>
      <x:c r="U2225" s="57"/>
      <x:c r="V2225" s="57"/>
      <x:c r="W2225"/>
      <x:c r="X2225"/>
      <x:c r="Y2225" s="38"/>
      <x:c r="Z2225" s="38"/>
      <x:c r="AA2225"/>
    </x:row>
    <x:row r="2226">
      <x:c r="A2226" s="54" t="n">
        <x:v>45199</x:v>
      </x:c>
      <x:c r="B2226" t="n">
        <x:v>45199.624999988424</x:v>
      </x:c>
      <x:c r="C2226" t="str">
        <x:v>115450</x:v>
      </x:c>
      <x:c r="D2226" t="str">
        <x:v>HLB테라퓨틱스</x:v>
      </x:c>
      <x:c r="E2226" t="str">
        <x:v>KOSDAQ</x:v>
      </x:c>
      <x:c r="F2226" t="str">
        <x:v>LARGE</x:v>
      </x:c>
      <x:c r="G2226" t="str">
        <x:v>DCF_SCREENING_EXCLUSION</x:v>
      </x:c>
      <x:c r="H2226" t="str">
        <x:v>NON_POSITIVE_ENTERPRISE_VALUE|NON_POSITIVE_EQUITY_VALUE|NON_POSITIVE_TERMINAL_FCF</x:v>
      </x:c>
      <x:c r="I2226" s="54" t="n">
        <x:v>45196</x:v>
      </x:c>
      <x:c r="J2226" s="55" t="n">
        <x:v>3440</x:v>
      </x:c>
      <x:c r="K2226" s="55" t="n">
        <x:v>252176754240</x:v>
      </x:c>
      <x:c r="L2226" s="55" t="n">
        <x:v>73307196</x:v>
      </x:c>
      <x:c r="M2226" t="str">
        <x:v>20230320000967</x:v>
      </x:c>
      <x:c r="N2226" t="n">
        <x:v>45005.624999988424</x:v>
      </x:c>
      <x:c r="O2226" s="54" t="n">
        <x:v>44926</x:v>
      </x:c>
      <x:c r="P2226" t="str">
        <x:v>False</x:v>
      </x:c>
      <x:c r="Q2226" t="str">
        <x:v>43c5581a84ff782cb63aa1b77c3733defee328c638dfc4028f3f09e0f4ea871c</x:v>
      </x:c>
      <x:c r="R2226" t="str">
        <x:v>097a8615af1a7c06ecd02ca9150f146d7b07109487f1f952d6ab4959fca8168e</x:v>
      </x:c>
      <x:c r="S2226" t="n">
        <x:v>6</x:v>
      </x:c>
      <x:c r="T2226" t="str">
        <x:v>2018-12-31|2019-12-31|2020-12-31|2021-12-31|2022-12-31</x:v>
      </x:c>
      <x:c r="U2226" s="57" t="n">
        <x:v>-1634.791301014091</x:v>
      </x:c>
      <x:c r="V2226" s="57" t="n">
        <x:v>-1.4752300293645613</x:v>
      </x:c>
      <x:c r="W2226"/>
      <x:c r="X2226"/>
      <x:c r="Y2226" s="38" t="n">
        <x:v>0.6409090909090909</x:v>
      </x:c>
      <x:c r="Z2226" s="38" t="n">
        <x:v>0.7057538470399946</x:v>
      </x:c>
      <x:c r="AA2226" t="str">
        <x:v>NON_POSITIVE_ENTERPRISE_VALUE|NON_POSITIVE_EQUITY_VALUE|NON_POSITIVE_TERMINAL_FCF</x:v>
      </x:c>
    </x:row>
    <x:row r="2227">
      <x:c r="A2227" s="54" t="n">
        <x:v>45199</x:v>
      </x:c>
      <x:c r="B2227" t="n">
        <x:v>45199.624999988424</x:v>
      </x:c>
      <x:c r="C2227" t="str">
        <x:v>035420</x:v>
      </x:c>
      <x:c r="D2227" t="str">
        <x:v>NAVER</x:v>
      </x:c>
      <x:c r="E2227" t="str">
        <x:v>KOSPI</x:v>
      </x:c>
      <x:c r="F2227" t="str">
        <x:v>LARGE</x:v>
      </x:c>
      <x:c r="G2227" t="str">
        <x:v>ELIGIBLE</x:v>
      </x:c>
      <x:c r="H2227"/>
      <x:c r="I2227" s="54" t="n">
        <x:v>45196</x:v>
      </x:c>
      <x:c r="J2227" s="55" t="n">
        <x:v>201500</x:v>
      </x:c>
      <x:c r="K2227" s="55" t="n">
        <x:v>33055890627500</x:v>
      </x:c>
      <x:c r="L2227" s="55" t="n">
        <x:v>164049085</x:v>
      </x:c>
      <x:c r="M2227" t="str">
        <x:v>20230314001049</x:v>
      </x:c>
      <x:c r="N2227" t="n">
        <x:v>44999.624999988424</x:v>
      </x:c>
      <x:c r="O2227" s="54" t="n">
        <x:v>44926</x:v>
      </x:c>
      <x:c r="P2227" t="str">
        <x:v>False</x:v>
      </x:c>
      <x:c r="Q2227" t="str">
        <x:v>fc1ed41d4fc38278f26529d9a3d8cba8cd6ea9d8f903f6e93c018269280cc70f</x:v>
      </x:c>
      <x:c r="R2227" t="str">
        <x:v>3d165e6cc6c8fdaa49338afbad87f1bd4bc43eadb4a29de48fa6421d0cb02ca0</x:v>
      </x:c>
      <x:c r="S2227" t="n">
        <x:v>6</x:v>
      </x:c>
      <x:c r="T2227" t="str">
        <x:v>2018-12-31|2019-12-31|2020-12-31|2021-12-31|2022-12-31</x:v>
      </x:c>
      <x:c r="U2227" s="57" t="n">
        <x:v>89111.16136054214</x:v>
      </x:c>
      <x:c r="V2227" s="57" t="n">
        <x:v>-0.5577609858037611</x:v>
      </x:c>
      <x:c r="W2227" t="n">
        <x:v>48</x:v>
      </x:c>
      <x:c r="X2227" t="n">
        <x:v>4</x:v>
      </x:c>
      <x:c r="Y2227" s="38" t="n">
        <x:v>0.6409090909090909</x:v>
      </x:c>
      <x:c r="Z2227" s="38" t="n">
        <x:v>0.7279878466368126</x:v>
      </x:c>
      <x:c r="AA2227"/>
    </x:row>
    <x:row r="2228">
      <x:c r="A2228" s="54" t="n">
        <x:v>45199</x:v>
      </x:c>
      <x:c r="B2228" t="n">
        <x:v>45199.624999988424</x:v>
      </x:c>
      <x:c r="C2228" t="str">
        <x:v>030200</x:v>
      </x:c>
      <x:c r="D2228" t="str">
        <x:v>KT</x:v>
      </x:c>
      <x:c r="E2228" t="str">
        <x:v>KOSPI</x:v>
      </x:c>
      <x:c r="F2228" t="str">
        <x:v>LARGE</x:v>
      </x:c>
      <x:c r="G2228" t="str">
        <x:v>ELIGIBLE</x:v>
      </x:c>
      <x:c r="H2228"/>
      <x:c r="I2228" s="54" t="n">
        <x:v>45196</x:v>
      </x:c>
      <x:c r="J2228" s="55" t="n">
        <x:v>33150</x:v>
      </x:c>
      <x:c r="K2228" s="55" t="n">
        <x:v>8548084194000</x:v>
      </x:c>
      <x:c r="L2228" s="55" t="n">
        <x:v>257860760</x:v>
      </x:c>
      <x:c r="M2228" t="str">
        <x:v>20230323001449</x:v>
      </x:c>
      <x:c r="N2228" t="n">
        <x:v>45008.624999988424</x:v>
      </x:c>
      <x:c r="O2228" s="54" t="n">
        <x:v>44926</x:v>
      </x:c>
      <x:c r="P2228" t="str">
        <x:v>False</x:v>
      </x:c>
      <x:c r="Q2228" t="str">
        <x:v>044f2849ec1d04bd36d5ed48f040e70c583ee294c9e797bbe2e14dddb88b758c</x:v>
      </x:c>
      <x:c r="R2228" t="str">
        <x:v>59fdbb73f815bf3eefdbccd654c56048e5d9d74e941b63292c3ca1c415ceece8</x:v>
      </x:c>
      <x:c r="S2228" t="n">
        <x:v>6</x:v>
      </x:c>
      <x:c r="T2228" t="str">
        <x:v>2018-12-31|2019-12-31|2020-12-31|2021-12-31|2022-12-31</x:v>
      </x:c>
      <x:c r="U2228" s="57" t="n">
        <x:v>52378.408486256165</x:v>
      </x:c>
      <x:c r="V2228" s="57" t="n">
        <x:v>0.5800424882731874</x:v>
      </x:c>
      <x:c r="W2228" t="n">
        <x:v>14</x:v>
      </x:c>
      <x:c r="X2228" t="n">
        <x:v>1</x:v>
      </x:c>
      <x:c r="Y2228" s="38" t="n">
        <x:v>0.6409090909090909</x:v>
      </x:c>
      <x:c r="Z2228" s="38" t="n">
        <x:v>0.6742753945181887</x:v>
      </x:c>
      <x:c r="AA2228"/>
    </x:row>
    <x:row r="2229">
      <x:c r="A2229" s="54" t="n">
        <x:v>45199</x:v>
      </x:c>
      <x:c r="B2229" t="n">
        <x:v>45199.624999988424</x:v>
      </x:c>
      <x:c r="C2229" t="str">
        <x:v>018260</x:v>
      </x:c>
      <x:c r="D2229" t="str">
        <x:v>삼성에스디에스</x:v>
      </x:c>
      <x:c r="E2229" t="str">
        <x:v>KOSPI</x:v>
      </x:c>
      <x:c r="F2229" t="str">
        <x:v>LARGE</x:v>
      </x:c>
      <x:c r="G2229" t="str">
        <x:v>ELIGIBLE</x:v>
      </x:c>
      <x:c r="H2229"/>
      <x:c r="I2229" s="54" t="n">
        <x:v>45196</x:v>
      </x:c>
      <x:c r="J2229" s="55" t="n">
        <x:v>135200</x:v>
      </x:c>
      <x:c r="K2229" s="55" t="n">
        <x:v>10461478560000</x:v>
      </x:c>
      <x:c r="L2229" s="55" t="n">
        <x:v>77377800</x:v>
      </x:c>
      <x:c r="M2229" t="str">
        <x:v>20230307000606</x:v>
      </x:c>
      <x:c r="N2229" t="n">
        <x:v>44992.624999988424</x:v>
      </x:c>
      <x:c r="O2229" s="54" t="n">
        <x:v>44926</x:v>
      </x:c>
      <x:c r="P2229" t="str">
        <x:v>False</x:v>
      </x:c>
      <x:c r="Q2229" t="str">
        <x:v>64f48f5dc4db2a5a6c8ec62f6705c13326df4d2e701965db8b07c8fef246a2dc</x:v>
      </x:c>
      <x:c r="R2229" t="str">
        <x:v>f72238505a70cc0304f142443e7c469fd8f851e9f0178ce5f2b070e999040cd9</x:v>
      </x:c>
      <x:c r="S2229" t="n">
        <x:v>6</x:v>
      </x:c>
      <x:c r="T2229" t="str">
        <x:v>2018-12-31|2019-12-31|2020-12-31|2021-12-31|2022-12-31</x:v>
      </x:c>
      <x:c r="U2229" s="57" t="n">
        <x:v>203958.71563335948</x:v>
      </x:c>
      <x:c r="V2229" s="57" t="n">
        <x:v>0.5085703819035465</x:v>
      </x:c>
      <x:c r="W2229" t="n">
        <x:v>15</x:v>
      </x:c>
      <x:c r="X2229" t="n">
        <x:v>2</x:v>
      </x:c>
      <x:c r="Y2229" s="38" t="n">
        <x:v>0.6409090909090909</x:v>
      </x:c>
      <x:c r="Z2229" s="38" t="n">
        <x:v>0.7570259880761849</x:v>
      </x:c>
      <x:c r="AA2229"/>
    </x:row>
    <x:row r="2230">
      <x:c r="A2230" s="54" t="n">
        <x:v>45199</x:v>
      </x:c>
      <x:c r="B2230" t="n">
        <x:v>45199.624999988424</x:v>
      </x:c>
      <x:c r="C2230" t="str">
        <x:v>090430</x:v>
      </x:c>
      <x:c r="D2230" t="str">
        <x:v>아모레퍼시픽</x:v>
      </x:c>
      <x:c r="E2230" t="str">
        <x:v>KOSPI</x:v>
      </x:c>
      <x:c r="F2230" t="str">
        <x:v>LARGE</x:v>
      </x:c>
      <x:c r="G2230" t="str">
        <x:v>ELIGIBLE</x:v>
      </x:c>
      <x:c r="H2230"/>
      <x:c r="I2230" s="54" t="n">
        <x:v>45196</x:v>
      </x:c>
      <x:c r="J2230" s="55" t="n">
        <x:v>122000</x:v>
      </x:c>
      <x:c r="K2230" s="55" t="n">
        <x:v>7136116598000</x:v>
      </x:c>
      <x:c r="L2230" s="55" t="n">
        <x:v>58492759</x:v>
      </x:c>
      <x:c r="M2230" t="str">
        <x:v>20230309000802</x:v>
      </x:c>
      <x:c r="N2230" t="n">
        <x:v>44994.624999988424</x:v>
      </x:c>
      <x:c r="O2230" s="54" t="n">
        <x:v>44926</x:v>
      </x:c>
      <x:c r="P2230" t="str">
        <x:v>False</x:v>
      </x:c>
      <x:c r="Q2230" t="str">
        <x:v>d6b5343ded45a0ed3298fbb883de270c52464aa84e6334b3918e7aeca0ab6d2c</x:v>
      </x:c>
      <x:c r="R2230" t="str">
        <x:v>e168759bcf1a4f13c49c3a66ce21aa55fdb69f49dd3eb886f3afa090ca1b0a33</x:v>
      </x:c>
      <x:c r="S2230" t="n">
        <x:v>6</x:v>
      </x:c>
      <x:c r="T2230" t="str">
        <x:v>2018-12-31|2019-12-31|2020-12-31|2021-12-31|2022-12-31</x:v>
      </x:c>
      <x:c r="U2230" s="57" t="n">
        <x:v>31271.886517952382</x:v>
      </x:c>
      <x:c r="V2230" s="57" t="n">
        <x:v>-0.7436730613282592</x:v>
      </x:c>
      <x:c r="W2230" t="n">
        <x:v>59</x:v>
      </x:c>
      <x:c r="X2230" t="n">
        <x:v>5</x:v>
      </x:c>
      <x:c r="Y2230" s="38" t="n">
        <x:v>0.6409090909090909</x:v>
      </x:c>
      <x:c r="Z2230" s="38" t="n">
        <x:v>0.7230246318925964</x:v>
      </x:c>
      <x:c r="AA2230"/>
    </x:row>
    <x:row r="2231">
      <x:c r="A2231" s="54" t="n">
        <x:v>45199</x:v>
      </x:c>
      <x:c r="B2231" t="n">
        <x:v>45199.624999988424</x:v>
      </x:c>
      <x:c r="C2231" t="str">
        <x:v>278470</x:v>
      </x:c>
      <x:c r="D2231" t="str">
        <x:v>에이피알</x:v>
      </x:c>
      <x:c r="E2231" t="str">
        <x:v>KOSPI</x:v>
      </x:c>
      <x:c r="F2231" t="str">
        <x:v>LARGE</x:v>
      </x:c>
      <x:c r="G2231" t="str">
        <x:v>NOT_LISTED_OR_NO_PRICE</x:v>
      </x:c>
      <x:c r="H2231"/>
      <x:c r="I2231" s="54"/>
      <x:c r="J2231" s="55"/>
      <x:c r="K2231" s="55"/>
      <x:c r="L2231" s="55"/>
      <x:c r="M2231"/>
      <x:c r="N2231"/>
      <x:c r="O2231" s="54"/>
      <x:c r="P2231"/>
      <x:c r="Q2231"/>
      <x:c r="R2231"/>
      <x:c r="S2231"/>
      <x:c r="T2231"/>
      <x:c r="U2231" s="57"/>
      <x:c r="V2231" s="57"/>
      <x:c r="W2231"/>
      <x:c r="X2231"/>
      <x:c r="Y2231" s="38"/>
      <x:c r="Z2231" s="38"/>
      <x:c r="AA2231"/>
    </x:row>
    <x:row r="2232">
      <x:c r="A2232" s="54" t="n">
        <x:v>45199</x:v>
      </x:c>
      <x:c r="B2232" t="n">
        <x:v>45199.624999988424</x:v>
      </x:c>
      <x:c r="C2232" t="str">
        <x:v>006260</x:v>
      </x:c>
      <x:c r="D2232" t="str">
        <x:v>LS</x:v>
      </x:c>
      <x:c r="E2232" t="str">
        <x:v>KOSPI</x:v>
      </x:c>
      <x:c r="F2232" t="str">
        <x:v>LARGE</x:v>
      </x:c>
      <x:c r="G2232" t="str">
        <x:v>ELIGIBLE</x:v>
      </x:c>
      <x:c r="H2232"/>
      <x:c r="I2232" s="54" t="n">
        <x:v>45196</x:v>
      </x:c>
      <x:c r="J2232" s="55" t="n">
        <x:v>101600</x:v>
      </x:c>
      <x:c r="K2232" s="55" t="n">
        <x:v>3271520000000</x:v>
      </x:c>
      <x:c r="L2232" s="55" t="n">
        <x:v>32200000</x:v>
      </x:c>
      <x:c r="M2232" t="str">
        <x:v>20230328001040</x:v>
      </x:c>
      <x:c r="N2232" t="n">
        <x:v>45013.624999988424</x:v>
      </x:c>
      <x:c r="O2232" s="54" t="n">
        <x:v>44926</x:v>
      </x:c>
      <x:c r="P2232" t="str">
        <x:v>True</x:v>
      </x:c>
      <x:c r="Q2232" t="str">
        <x:v>2c4903a558903f24909349b79c110c56cce7532e60a36029b95b0778a9705d3d</x:v>
      </x:c>
      <x:c r="R2232" t="str">
        <x:v>a6c68d2073430c99706b76a0100fe777df594ac87daaf851aff9b27330b79c3e</x:v>
      </x:c>
      <x:c r="S2232" t="n">
        <x:v>6</x:v>
      </x:c>
      <x:c r="T2232" t="str">
        <x:v>2017-12-31|2018-12-31|2019-12-31|2020-12-31|2021-12-31|2022-12-31</x:v>
      </x:c>
      <x:c r="U2232" s="57" t="n">
        <x:v>49400.48191858793</x:v>
      </x:c>
      <x:c r="V2232" s="57" t="n">
        <x:v>-0.5137747842658668</x:v>
      </x:c>
      <x:c r="W2232" t="n">
        <x:v>46</x:v>
      </x:c>
      <x:c r="X2232" t="n">
        <x:v>4</x:v>
      </x:c>
      <x:c r="Y2232" s="38" t="n">
        <x:v>0.6409090909090909</x:v>
      </x:c>
      <x:c r="Z2232" s="38" t="n">
        <x:v>0.7624837205709267</x:v>
      </x:c>
      <x:c r="AA2232"/>
    </x:row>
    <x:row r="2233">
      <x:c r="A2233" s="54" t="n">
        <x:v>45199</x:v>
      </x:c>
      <x:c r="B2233" t="n">
        <x:v>45199.624999988424</x:v>
      </x:c>
      <x:c r="C2233" t="str">
        <x:v>454910</x:v>
      </x:c>
      <x:c r="D2233" t="str">
        <x:v>두산로보틱스</x:v>
      </x:c>
      <x:c r="E2233" t="str">
        <x:v>KOSPI</x:v>
      </x:c>
      <x:c r="F2233" t="str">
        <x:v>LARGE</x:v>
      </x:c>
      <x:c r="G2233" t="str">
        <x:v>NOT_LISTED_OR_NO_PRICE</x:v>
      </x:c>
      <x:c r="H2233"/>
      <x:c r="I2233" s="54"/>
      <x:c r="J2233" s="55"/>
      <x:c r="K2233" s="55"/>
      <x:c r="L2233" s="55"/>
      <x:c r="M2233"/>
      <x:c r="N2233"/>
      <x:c r="O2233" s="54"/>
      <x:c r="P2233"/>
      <x:c r="Q2233"/>
      <x:c r="R2233"/>
      <x:c r="S2233"/>
      <x:c r="T2233"/>
      <x:c r="U2233" s="57"/>
      <x:c r="V2233" s="57"/>
      <x:c r="W2233"/>
      <x:c r="X2233"/>
      <x:c r="Y2233" s="38"/>
      <x:c r="Z2233" s="38"/>
      <x:c r="AA2233"/>
    </x:row>
    <x:row r="2234">
      <x:c r="A2234" s="54" t="n">
        <x:v>45199</x:v>
      </x:c>
      <x:c r="B2234" t="n">
        <x:v>45199.624999988424</x:v>
      </x:c>
      <x:c r="C2234" t="str">
        <x:v>012750</x:v>
      </x:c>
      <x:c r="D2234" t="str">
        <x:v>에스원</x:v>
      </x:c>
      <x:c r="E2234" t="str">
        <x:v>KOSPI</x:v>
      </x:c>
      <x:c r="F2234" t="str">
        <x:v>LARGE</x:v>
      </x:c>
      <x:c r="G2234" t="str">
        <x:v>ELIGIBLE</x:v>
      </x:c>
      <x:c r="H2234"/>
      <x:c r="I2234" s="54" t="n">
        <x:v>45196</x:v>
      </x:c>
      <x:c r="J2234" s="55" t="n">
        <x:v>56600</x:v>
      </x:c>
      <x:c r="K2234" s="55" t="n">
        <x:v>2150753474800</x:v>
      </x:c>
      <x:c r="L2234" s="55" t="n">
        <x:v>37999178</x:v>
      </x:c>
      <x:c r="M2234" t="str">
        <x:v>20230307000691</x:v>
      </x:c>
      <x:c r="N2234" t="n">
        <x:v>44992.624999988424</x:v>
      </x:c>
      <x:c r="O2234" s="54" t="n">
        <x:v>44926</x:v>
      </x:c>
      <x:c r="P2234" t="str">
        <x:v>False</x:v>
      </x:c>
      <x:c r="Q2234" t="str">
        <x:v>692fe957e6126787948d2eba7f313adcccbc5912515ff301764369c6d68d027a</x:v>
      </x:c>
      <x:c r="R2234" t="str">
        <x:v>e45d058dc9691180d1bb7d7114ec52a51d42759bd68e49625f812715c828d7ff</x:v>
      </x:c>
      <x:c r="S2234" t="n">
        <x:v>6</x:v>
      </x:c>
      <x:c r="T2234" t="str">
        <x:v>2018-12-31|2019-12-31|2020-12-31|2021-12-31|2022-12-31</x:v>
      </x:c>
      <x:c r="U2234" s="57" t="n">
        <x:v>52495.34633590365</x:v>
      </x:c>
      <x:c r="V2234" s="57" t="n">
        <x:v>-0.07252038275788612</x:v>
      </x:c>
      <x:c r="W2234" t="n">
        <x:v>28</x:v>
      </x:c>
      <x:c r="X2234" t="n">
        <x:v>2</x:v>
      </x:c>
      <x:c r="Y2234" s="38" t="n">
        <x:v>0.6409090909090909</x:v>
      </x:c>
      <x:c r="Z2234" s="38" t="n">
        <x:v>0.7199494637119179</x:v>
      </x:c>
      <x:c r="AA2234"/>
    </x:row>
    <x:row r="2235">
      <x:c r="A2235" s="54" t="n">
        <x:v>45199</x:v>
      </x:c>
      <x:c r="B2235" t="n">
        <x:v>45199.624999988424</x:v>
      </x:c>
      <x:c r="C2235" t="str">
        <x:v>081660</x:v>
      </x:c>
      <x:c r="D2235" t="str">
        <x:v>미스토홀딩스</x:v>
      </x:c>
      <x:c r="E2235" t="str">
        <x:v>KOSPI</x:v>
      </x:c>
      <x:c r="F2235" t="str">
        <x:v>LARGE</x:v>
      </x:c>
      <x:c r="G2235" t="str">
        <x:v>EXCLUDED_ARCHETYPE</x:v>
      </x:c>
      <x:c r="H2235" t="str">
        <x:v>FCFF_NOT_COMPARABLE_FOR_FINANCE_OR_HOLDING_HINT</x:v>
      </x:c>
      <x:c r="I2235" s="54"/>
      <x:c r="J2235" s="55"/>
      <x:c r="K2235" s="55"/>
      <x:c r="L2235" s="55"/>
      <x:c r="M2235"/>
      <x:c r="N2235"/>
      <x:c r="O2235" s="54"/>
      <x:c r="P2235"/>
      <x:c r="Q2235"/>
      <x:c r="R2235"/>
      <x:c r="S2235"/>
      <x:c r="T2235"/>
      <x:c r="U2235" s="57"/>
      <x:c r="V2235" s="57"/>
      <x:c r="W2235"/>
      <x:c r="X2235"/>
      <x:c r="Y2235" s="38"/>
      <x:c r="Z2235" s="38"/>
      <x:c r="AA2235"/>
    </x:row>
    <x:row r="2236">
      <x:c r="A2236" s="54" t="n">
        <x:v>45199</x:v>
      </x:c>
      <x:c r="B2236" t="n">
        <x:v>45199.624999988424</x:v>
      </x:c>
      <x:c r="C2236" t="str">
        <x:v>282330</x:v>
      </x:c>
      <x:c r="D2236" t="str">
        <x:v>BGF리테일</x:v>
      </x:c>
      <x:c r="E2236" t="str">
        <x:v>KOSPI</x:v>
      </x:c>
      <x:c r="F2236" t="str">
        <x:v>LARGE</x:v>
      </x:c>
      <x:c r="G2236" t="str">
        <x:v>ELIGIBLE</x:v>
      </x:c>
      <x:c r="H2236"/>
      <x:c r="I2236" s="54" t="n">
        <x:v>45196</x:v>
      </x:c>
      <x:c r="J2236" s="55" t="n">
        <x:v>141000</x:v>
      </x:c>
      <x:c r="K2236" s="55" t="n">
        <x:v>2437030746000</x:v>
      </x:c>
      <x:c r="L2236" s="55" t="n">
        <x:v>17283906</x:v>
      </x:c>
      <x:c r="M2236" t="str">
        <x:v>20230320000886</x:v>
      </x:c>
      <x:c r="N2236" t="n">
        <x:v>45005.624999988424</x:v>
      </x:c>
      <x:c r="O2236" s="54" t="n">
        <x:v>44926</x:v>
      </x:c>
      <x:c r="P2236" t="str">
        <x:v>False</x:v>
      </x:c>
      <x:c r="Q2236" t="str">
        <x:v>92306acfdc30eed7e30ba47d2a8102d3b3e5a1df1837216303162f05ac868521</x:v>
      </x:c>
      <x:c r="R2236" t="str">
        <x:v>5d1419fc0c2ceb7a4ac8fbdc531e5d805f10edde74f547d123acd9092e75b90c</x:v>
      </x:c>
      <x:c r="S2236" t="n">
        <x:v>6</x:v>
      </x:c>
      <x:c r="T2236" t="str">
        <x:v>2018-12-31|2019-12-31|2020-12-31|2021-12-31|2022-12-31</x:v>
      </x:c>
      <x:c r="U2236" s="57" t="n">
        <x:v>123697.22461208185</x:v>
      </x:c>
      <x:c r="V2236" s="57" t="n">
        <x:v>-0.12271471906324935</x:v>
      </x:c>
      <x:c r="W2236" t="n">
        <x:v>29</x:v>
      </x:c>
      <x:c r="X2236" t="n">
        <x:v>3</x:v>
      </x:c>
      <x:c r="Y2236" s="38" t="n">
        <x:v>0.6409090909090909</x:v>
      </x:c>
      <x:c r="Z2236" s="38" t="n">
        <x:v>0.7049844647428032</x:v>
      </x:c>
      <x:c r="AA2236"/>
    </x:row>
    <x:row r="2237">
      <x:c r="A2237" s="54" t="n">
        <x:v>45199</x:v>
      </x:c>
      <x:c r="B2237" t="n">
        <x:v>45199.624999988424</x:v>
      </x:c>
      <x:c r="C2237" t="str">
        <x:v>023590</x:v>
      </x:c>
      <x:c r="D2237" t="str">
        <x:v>다우기술</x:v>
      </x:c>
      <x:c r="E2237" t="str">
        <x:v>KOSPI</x:v>
      </x:c>
      <x:c r="F2237" t="str">
        <x:v>LARGE</x:v>
      </x:c>
      <x:c r="G2237" t="str">
        <x:v>ELIGIBLE</x:v>
      </x:c>
      <x:c r="H2237"/>
      <x:c r="I2237" s="54" t="n">
        <x:v>45196</x:v>
      </x:c>
      <x:c r="J2237" s="55" t="n">
        <x:v>17450</x:v>
      </x:c>
      <x:c r="K2237" s="55" t="n">
        <x:v>782922466650</x:v>
      </x:c>
      <x:c r="L2237" s="55" t="n">
        <x:v>44866617</x:v>
      </x:c>
      <x:c r="M2237" t="str">
        <x:v>20230321001409</x:v>
      </x:c>
      <x:c r="N2237" t="n">
        <x:v>45006.624999988424</x:v>
      </x:c>
      <x:c r="O2237" s="54" t="n">
        <x:v>44926</x:v>
      </x:c>
      <x:c r="P2237" t="str">
        <x:v>False</x:v>
      </x:c>
      <x:c r="Q2237" t="str">
        <x:v>43f9011e13a6c1104f14f228418743de4a4f532e7fb65eb01013e548ec249b88</x:v>
      </x:c>
      <x:c r="R2237" t="str">
        <x:v>fd2c2d3ef3c201d1d36a6b87ac06dfad453770cb20a0e62775793f590facd783</x:v>
      </x:c>
      <x:c r="S2237" t="n">
        <x:v>7</x:v>
      </x:c>
      <x:c r="T2237" t="str">
        <x:v>2015-12-31|2016-12-31|2017-12-31|2018-12-31|2019-12-31|2020-12-31|2021-12-31|2022-12-31</x:v>
      </x:c>
      <x:c r="U2237" s="57" t="n">
        <x:v>159110.39953523592</x:v>
      </x:c>
      <x:c r="V2237" s="57" t="n">
        <x:v>8.11807447193329</x:v>
      </x:c>
      <x:c r="W2237" t="n">
        <x:v>2</x:v>
      </x:c>
      <x:c r="X2237" t="n">
        <x:v>1</x:v>
      </x:c>
      <x:c r="Y2237" s="38" t="n">
        <x:v>0.6409090909090909</x:v>
      </x:c>
      <x:c r="Z2237" s="38" t="n">
        <x:v>0.792819241127968</x:v>
      </x:c>
      <x:c r="AA2237"/>
    </x:row>
    <x:row r="2238">
      <x:c r="A2238" s="54" t="n">
        <x:v>45199</x:v>
      </x:c>
      <x:c r="B2238" t="n">
        <x:v>45199.624999988424</x:v>
      </x:c>
      <x:c r="C2238" t="str">
        <x:v>300720</x:v>
      </x:c>
      <x:c r="D2238" t="str">
        <x:v>한일시멘트</x:v>
      </x:c>
      <x:c r="E2238" t="str">
        <x:v>KOSPI</x:v>
      </x:c>
      <x:c r="F2238" t="str">
        <x:v>LARGE</x:v>
      </x:c>
      <x:c r="G2238" t="str">
        <x:v>ELIGIBLE</x:v>
      </x:c>
      <x:c r="H2238"/>
      <x:c r="I2238" s="54" t="n">
        <x:v>45196</x:v>
      </x:c>
      <x:c r="J2238" s="55" t="n">
        <x:v>12010</x:v>
      </x:c>
      <x:c r="K2238" s="55" t="n">
        <x:v>831831095400</x:v>
      </x:c>
      <x:c r="L2238" s="55" t="n">
        <x:v>69261540</x:v>
      </x:c>
      <x:c r="M2238" t="str">
        <x:v>20230317000994</x:v>
      </x:c>
      <x:c r="N2238" t="n">
        <x:v>45002.624999988424</x:v>
      </x:c>
      <x:c r="O2238" s="54" t="n">
        <x:v>44926</x:v>
      </x:c>
      <x:c r="P2238" t="str">
        <x:v>False</x:v>
      </x:c>
      <x:c r="Q2238" t="str">
        <x:v>6abc801668d3125de27188d6f1996b6de4fd33cf47871ff5d1e5999d43751c2b</x:v>
      </x:c>
      <x:c r="R2238" t="str">
        <x:v>d650e81aaea73c9bc1854d36faa62b92d9063f3dd9d2746db2e30d0ff1bf699d</x:v>
      </x:c>
      <x:c r="S2238" t="n">
        <x:v>6</x:v>
      </x:c>
      <x:c r="T2238" t="str">
        <x:v>2019-12-31|2020-12-31|2021-12-31|2022-12-31</x:v>
      </x:c>
      <x:c r="U2238" s="57" t="n">
        <x:v>17781.56488950039</x:v>
      </x:c>
      <x:c r="V2238" s="57" t="n">
        <x:v>0.48056327139886695</x:v>
      </x:c>
      <x:c r="W2238" t="n">
        <x:v>16</x:v>
      </x:c>
      <x:c r="X2238" t="n">
        <x:v>2</x:v>
      </x:c>
      <x:c r="Y2238" s="38" t="n">
        <x:v>0.6409090909090909</x:v>
      </x:c>
      <x:c r="Z2238" s="38" t="n">
        <x:v>0.7311050710300705</x:v>
      </x:c>
      <x:c r="AA2238"/>
    </x:row>
    <x:row r="2239">
      <x:c r="A2239" s="54" t="n">
        <x:v>45199</x:v>
      </x:c>
      <x:c r="B2239" t="n">
        <x:v>45199.624999988424</x:v>
      </x:c>
      <x:c r="C2239" t="str">
        <x:v>007070</x:v>
      </x:c>
      <x:c r="D2239" t="str">
        <x:v>GS리테일</x:v>
      </x:c>
      <x:c r="E2239" t="str">
        <x:v>KOSPI</x:v>
      </x:c>
      <x:c r="F2239" t="str">
        <x:v>LARGE</x:v>
      </x:c>
      <x:c r="G2239" t="str">
        <x:v>DCF_SCREENING_EXCLUSION</x:v>
      </x:c>
      <x:c r="H2239" t="str">
        <x:v>NON_POSITIVE_EQUITY_VALUE</x:v>
      </x:c>
      <x:c r="I2239" s="54" t="n">
        <x:v>45196</x:v>
      </x:c>
      <x:c r="J2239" s="55" t="n">
        <x:v>23650</x:v>
      </x:c>
      <x:c r="K2239" s="55" t="n">
        <x:v>2476578855300</x:v>
      </x:c>
      <x:c r="L2239" s="55" t="n">
        <x:v>104717922</x:v>
      </x:c>
      <x:c r="M2239" t="str">
        <x:v>20230315001215</x:v>
      </x:c>
      <x:c r="N2239" t="n">
        <x:v>45000.624999988424</x:v>
      </x:c>
      <x:c r="O2239" s="54" t="n">
        <x:v>44926</x:v>
      </x:c>
      <x:c r="P2239" t="str">
        <x:v>False</x:v>
      </x:c>
      <x:c r="Q2239" t="str">
        <x:v>2d7330d69501024633830936227f955a3c3dffcecc607f130145b446e60fe28b</x:v>
      </x:c>
      <x:c r="R2239" t="str">
        <x:v>0ea87851572f603449d33f189fa59967316ad8c41d2b2703c3aa0c2a1942827b</x:v>
      </x:c>
      <x:c r="S2239" t="n">
        <x:v>6</x:v>
      </x:c>
      <x:c r="T2239" t="str">
        <x:v>2018-12-31|2019-12-31|2020-12-31|2021-12-31|2022-12-31</x:v>
      </x:c>
      <x:c r="U2239" s="57" t="n">
        <x:v>-2540.8003151724643</x:v>
      </x:c>
      <x:c r="V2239" s="57" t="n">
        <x:v>-1.1074334171320281</x:v>
      </x:c>
      <x:c r="W2239"/>
      <x:c r="X2239"/>
      <x:c r="Y2239" s="38" t="n">
        <x:v>0.6409090909090909</x:v>
      </x:c>
      <x:c r="Z2239" s="38" t="n">
        <x:v>0.7067535791273925</x:v>
      </x:c>
      <x:c r="AA2239" t="str">
        <x:v>NON_POSITIVE_EQUITY_VALUE</x:v>
      </x:c>
    </x:row>
    <x:row r="2240">
      <x:c r="A2240" s="54" t="n">
        <x:v>45199</x:v>
      </x:c>
      <x:c r="B2240" t="n">
        <x:v>45199.624999988424</x:v>
      </x:c>
      <x:c r="C2240" t="str">
        <x:v>280360</x:v>
      </x:c>
      <x:c r="D2240" t="str">
        <x:v>롯데웰푸드</x:v>
      </x:c>
      <x:c r="E2240" t="str">
        <x:v>KOSPI</x:v>
      </x:c>
      <x:c r="F2240" t="str">
        <x:v>LARGE</x:v>
      </x:c>
      <x:c r="G2240" t="str">
        <x:v>DCF_SCREENING_EXCLUSION</x:v>
      </x:c>
      <x:c r="H2240" t="str">
        <x:v>UNRELIABLE_TERMINAL_VALUE_SHARE</x:v>
      </x:c>
      <x:c r="I2240" s="54" t="n">
        <x:v>45196</x:v>
      </x:c>
      <x:c r="J2240" s="55" t="n">
        <x:v>109200</x:v>
      </x:c>
      <x:c r="K2240" s="55" t="n">
        <x:v>1030255480800</x:v>
      </x:c>
      <x:c r="L2240" s="55" t="n">
        <x:v>9434574</x:v>
      </x:c>
      <x:c r="M2240" t="str">
        <x:v>20230315000646</x:v>
      </x:c>
      <x:c r="N2240" t="n">
        <x:v>45000.624999988424</x:v>
      </x:c>
      <x:c r="O2240" s="54" t="n">
        <x:v>44926</x:v>
      </x:c>
      <x:c r="P2240" t="str">
        <x:v>False</x:v>
      </x:c>
      <x:c r="Q2240" t="str">
        <x:v>10f30e62b31742bca727517f591556aaa9ec4be0a56450b7db79201b0ee4446a</x:v>
      </x:c>
      <x:c r="R2240" t="str">
        <x:v>879f7d72c889790a08f4bf20b1e1957bf79fb9c95911863ba6e8e9b8081eb7ee</x:v>
      </x:c>
      <x:c r="S2240" t="n">
        <x:v>4</x:v>
      </x:c>
      <x:c r="T2240" t="str">
        <x:v>2018-12-31|2019-12-31|2020-12-31|2021-12-31|2022-12-31</x:v>
      </x:c>
      <x:c r="U2240" s="57" t="n">
        <x:v>138556.21929962153</x:v>
      </x:c>
      <x:c r="V2240" s="57" t="n">
        <x:v>0.26882984706613133</x:v>
      </x:c>
      <x:c r="W2240"/>
      <x:c r="X2240"/>
      <x:c r="Y2240" s="38" t="n">
        <x:v>0.6409090909090909</x:v>
      </x:c>
      <x:c r="Z2240" s="38" t="n">
        <x:v>0.894990688431959</x:v>
      </x:c>
      <x:c r="AA2240" t="str">
        <x:v>UNRELIABLE_TERMINAL_VALUE_SHARE</x:v>
      </x:c>
    </x:row>
    <x:row r="2241">
      <x:c r="A2241" s="54" t="n">
        <x:v>45199</x:v>
      </x:c>
      <x:c r="B2241" t="n">
        <x:v>45199.624999988424</x:v>
      </x:c>
      <x:c r="C2241" t="str">
        <x:v>039130</x:v>
      </x:c>
      <x:c r="D2241" t="str">
        <x:v>하나투어</x:v>
      </x:c>
      <x:c r="E2241" t="str">
        <x:v>KOSPI</x:v>
      </x:c>
      <x:c r="F2241" t="str">
        <x:v>LARGE</x:v>
      </x:c>
      <x:c r="G2241" t="str">
        <x:v>DCF_SCREENING_EXCLUSION</x:v>
      </x:c>
      <x:c r="H2241" t="str">
        <x:v>NON_POSITIVE_ENTERPRISE_VALUE|NON_POSITIVE_EQUITY_VALUE|NON_POSITIVE_TERMINAL_FCF</x:v>
      </x:c>
      <x:c r="I2241" s="54" t="n">
        <x:v>45196</x:v>
      </x:c>
      <x:c r="J2241" s="55" t="n">
        <x:v>46550</x:v>
      </x:c>
      <x:c r="K2241" s="55" t="n">
        <x:v>746624061750</x:v>
      </x:c>
      <x:c r="L2241" s="55" t="n">
        <x:v>16039185</x:v>
      </x:c>
      <x:c r="M2241" t="str">
        <x:v>20230316001406</x:v>
      </x:c>
      <x:c r="N2241" t="n">
        <x:v>45001.624999988424</x:v>
      </x:c>
      <x:c r="O2241" s="54" t="n">
        <x:v>44926</x:v>
      </x:c>
      <x:c r="P2241" t="str">
        <x:v>True</x:v>
      </x:c>
      <x:c r="Q2241" t="str">
        <x:v>ee4faff7dacd9f73b520be6bf2ecd02b4a4ed5e29c63b6887801b9262a840d42</x:v>
      </x:c>
      <x:c r="R2241" t="str">
        <x:v>412374455c2cd4cf469871c2a375efe394741ea84a2c4406db919e8326fdca61</x:v>
      </x:c>
      <x:c r="S2241" t="n">
        <x:v>5</x:v>
      </x:c>
      <x:c r="T2241" t="str">
        <x:v>2018-12-31|2019-12-31|2020-12-31|2021-12-31|2022-12-31</x:v>
      </x:c>
      <x:c r="U2241" s="57" t="n">
        <x:v>-14375.31685533445</x:v>
      </x:c>
      <x:c r="V2241" s="57" t="n">
        <x:v>-1.3088145403938658</x:v>
      </x:c>
      <x:c r="W2241"/>
      <x:c r="X2241"/>
      <x:c r="Y2241" s="38" t="n">
        <x:v>0.6409090909090909</x:v>
      </x:c>
      <x:c r="Z2241" s="38" t="n">
        <x:v>0.6865240790654953</x:v>
      </x:c>
      <x:c r="AA2241" t="str">
        <x:v>NON_POSITIVE_ENTERPRISE_VALUE|NON_POSITIVE_EQUITY_VALUE|NON_POSITIVE_TERMINAL_FCF</x:v>
      </x:c>
    </x:row>
    <x:row r="2242">
      <x:c r="A2242" s="54" t="n">
        <x:v>45199</x:v>
      </x:c>
      <x:c r="B2242" t="n">
        <x:v>45199.624999988424</x:v>
      </x:c>
      <x:c r="C2242" t="str">
        <x:v>005690</x:v>
      </x:c>
      <x:c r="D2242" t="str">
        <x:v>파미셀</x:v>
      </x:c>
      <x:c r="E2242" t="str">
        <x:v>KOSPI</x:v>
      </x:c>
      <x:c r="F2242" t="str">
        <x:v>LARGE</x:v>
      </x:c>
      <x:c r="G2242" t="str">
        <x:v>ELIGIBLE</x:v>
      </x:c>
      <x:c r="H2242"/>
      <x:c r="I2242" s="54" t="n">
        <x:v>45196</x:v>
      </x:c>
      <x:c r="J2242" s="55" t="n">
        <x:v>7220</x:v>
      </x:c>
      <x:c r="K2242" s="55" t="n">
        <x:v>433322480080</x:v>
      </x:c>
      <x:c r="L2242" s="55" t="n">
        <x:v>60016964</x:v>
      </x:c>
      <x:c r="M2242" t="str">
        <x:v>20230314000892</x:v>
      </x:c>
      <x:c r="N2242" t="n">
        <x:v>44999.624999988424</x:v>
      </x:c>
      <x:c r="O2242" s="54" t="n">
        <x:v>44926</x:v>
      </x:c>
      <x:c r="P2242" t="str">
        <x:v>False</x:v>
      </x:c>
      <x:c r="Q2242" t="str">
        <x:v>98492915788ab7195a6c88bcda45ea3f1fdbc07964a29cdabf73f0d90b082955</x:v>
      </x:c>
      <x:c r="R2242" t="str">
        <x:v>184cd24b6e7c5654a2fd5bb26690df637710c3f69810be0a044cc23da1ece73f</x:v>
      </x:c>
      <x:c r="S2242" t="n">
        <x:v>6</x:v>
      </x:c>
      <x:c r="T2242" t="str">
        <x:v>2018-12-31|2019-12-31|2020-12-31|2021-12-31|2022-12-31</x:v>
      </x:c>
      <x:c r="U2242" s="57" t="n">
        <x:v>1298.8740338899447</x:v>
      </x:c>
      <x:c r="V2242" s="57" t="n">
        <x:v>-0.8201005493227224</x:v>
      </x:c>
      <x:c r="W2242" t="n">
        <x:v>63</x:v>
      </x:c>
      <x:c r="X2242" t="n">
        <x:v>5</x:v>
      </x:c>
      <x:c r="Y2242" s="38" t="n">
        <x:v>0.6409090909090909</x:v>
      </x:c>
      <x:c r="Z2242" s="38" t="n">
        <x:v>0.7713774959621981</x:v>
      </x:c>
      <x:c r="AA2242"/>
    </x:row>
    <x:row r="2243">
      <x:c r="A2243" s="54" t="n">
        <x:v>45199</x:v>
      </x:c>
      <x:c r="B2243" t="n">
        <x:v>45199.624999988424</x:v>
      </x:c>
      <x:c r="C2243" t="str">
        <x:v>002030</x:v>
      </x:c>
      <x:c r="D2243" t="str">
        <x:v>아세아</x:v>
      </x:c>
      <x:c r="E2243" t="str">
        <x:v>KOSPI</x:v>
      </x:c>
      <x:c r="F2243" t="str">
        <x:v>LARGE</x:v>
      </x:c>
      <x:c r="G2243" t="str">
        <x:v>ELIGIBLE</x:v>
      </x:c>
      <x:c r="H2243"/>
      <x:c r="I2243" s="54" t="n">
        <x:v>45196</x:v>
      </x:c>
      <x:c r="J2243" s="55" t="n">
        <x:v>172400</x:v>
      </x:c>
      <x:c r="K2243" s="55" t="n">
        <x:v>368247089600</x:v>
      </x:c>
      <x:c r="L2243" s="55" t="n">
        <x:v>2136004</x:v>
      </x:c>
      <x:c r="M2243" t="str">
        <x:v>20230315001365</x:v>
      </x:c>
      <x:c r="N2243" t="n">
        <x:v>45000.624999988424</x:v>
      </x:c>
      <x:c r="O2243" s="54" t="n">
        <x:v>44926</x:v>
      </x:c>
      <x:c r="P2243" t="str">
        <x:v>False</x:v>
      </x:c>
      <x:c r="Q2243" t="str">
        <x:v>e0890f2d2e6dfb7c22d319ae58a87dc100e309f6526cc4192f20ff9113fa3363</x:v>
      </x:c>
      <x:c r="R2243" t="str">
        <x:v>119fac793ff8d6dff4b5d7360cdc3c80191e9fb62fec01ffc60009ea7d05d450</x:v>
      </x:c>
      <x:c r="S2243" t="n">
        <x:v>6</x:v>
      </x:c>
      <x:c r="T2243" t="str">
        <x:v>2018-12-31|2019-12-31|2020-12-31|2021-12-31|2022-12-31</x:v>
      </x:c>
      <x:c r="U2243" s="57" t="n">
        <x:v>872857.6300643758</x:v>
      </x:c>
      <x:c r="V2243" s="57" t="n">
        <x:v>4.062979292716797</x:v>
      </x:c>
      <x:c r="W2243" t="n">
        <x:v>4</x:v>
      </x:c>
      <x:c r="X2243" t="n">
        <x:v>1</x:v>
      </x:c>
      <x:c r="Y2243" s="38" t="n">
        <x:v>0.6409090909090909</x:v>
      </x:c>
      <x:c r="Z2243" s="38" t="n">
        <x:v>0.7121292748012337</x:v>
      </x:c>
      <x:c r="AA2243"/>
    </x:row>
    <x:row r="2244">
      <x:c r="A2244" s="54" t="n">
        <x:v>45199</x:v>
      </x:c>
      <x:c r="B2244" t="n">
        <x:v>45199.624999988424</x:v>
      </x:c>
      <x:c r="C2244" t="str">
        <x:v>009410</x:v>
      </x:c>
      <x:c r="D2244" t="str">
        <x:v>태영건설</x:v>
      </x:c>
      <x:c r="E2244" t="str">
        <x:v>KOSPI</x:v>
      </x:c>
      <x:c r="F2244" t="str">
        <x:v>LARGE</x:v>
      </x:c>
      <x:c r="G2244" t="str">
        <x:v>ELIGIBLE</x:v>
      </x:c>
      <x:c r="H2244"/>
      <x:c r="I2244" s="54" t="n">
        <x:v>45196</x:v>
      </x:c>
      <x:c r="J2244" s="55" t="n">
        <x:v>3550</x:v>
      </x:c>
      <x:c r="K2244" s="55" t="n">
        <x:v>138091797900</x:v>
      </x:c>
      <x:c r="L2244" s="55" t="n">
        <x:v>38899098</x:v>
      </x:c>
      <x:c r="M2244" t="str">
        <x:v>20230317000233</x:v>
      </x:c>
      <x:c r="N2244" t="n">
        <x:v>45002.624999988424</x:v>
      </x:c>
      <x:c r="O2244" s="54" t="n">
        <x:v>44926</x:v>
      </x:c>
      <x:c r="P2244" t="str">
        <x:v>True</x:v>
      </x:c>
      <x:c r="Q2244" t="str">
        <x:v>103b596db89b21c273649a92bfc0bb7a51688640f038c4797332fb64665a2707</x:v>
      </x:c>
      <x:c r="R2244" t="str">
        <x:v>101aa4769133f6baf604eeb702cd027fc6b437e7459d39cb1d8f0d6a0888bba3</x:v>
      </x:c>
      <x:c r="S2244" t="n">
        <x:v>6</x:v>
      </x:c>
      <x:c r="T2244" t="str">
        <x:v>2018-12-31|2019-12-31|2020-12-31|2021-12-31|2022-12-31</x:v>
      </x:c>
      <x:c r="U2244" s="57" t="n">
        <x:v>31140.589691674773</x:v>
      </x:c>
      <x:c r="V2244" s="57" t="n">
        <x:v>7.771997096246415</x:v>
      </x:c>
      <x:c r="W2244" t="n">
        <x:v>3</x:v>
      </x:c>
      <x:c r="X2244" t="n">
        <x:v>1</x:v>
      </x:c>
      <x:c r="Y2244" s="38" t="n">
        <x:v>0.6409090909090909</x:v>
      </x:c>
      <x:c r="Z2244" s="38" t="n">
        <x:v>0.7740306072639747</x:v>
      </x:c>
      <x:c r="AA2244"/>
    </x:row>
    <x:row r="2245">
      <x:c r="A2245" s="54" t="n">
        <x:v>45199</x:v>
      </x:c>
      <x:c r="B2245" t="n">
        <x:v>45199.624999988424</x:v>
      </x:c>
      <x:c r="C2245" t="str">
        <x:v>010780</x:v>
      </x:c>
      <x:c r="D2245" t="str">
        <x:v>아이에스동서</x:v>
      </x:c>
      <x:c r="E2245" t="str">
        <x:v>KOSPI</x:v>
      </x:c>
      <x:c r="F2245" t="str">
        <x:v>LARGE</x:v>
      </x:c>
      <x:c r="G2245" t="str">
        <x:v>ELIGIBLE</x:v>
      </x:c>
      <x:c r="H2245"/>
      <x:c r="I2245" s="54" t="n">
        <x:v>45196</x:v>
      </x:c>
      <x:c r="J2245" s="55" t="n">
        <x:v>28700</x:v>
      </x:c>
      <x:c r="K2245" s="55" t="n">
        <x:v>886617792200</x:v>
      </x:c>
      <x:c r="L2245" s="55" t="n">
        <x:v>30892606</x:v>
      </x:c>
      <x:c r="M2245" t="str">
        <x:v>20230323001296</x:v>
      </x:c>
      <x:c r="N2245" t="n">
        <x:v>45008.624999988424</x:v>
      </x:c>
      <x:c r="O2245" s="54" t="n">
        <x:v>44926</x:v>
      </x:c>
      <x:c r="P2245" t="str">
        <x:v>False</x:v>
      </x:c>
      <x:c r="Q2245" t="str">
        <x:v>7d114b7511c1b3638091e578e145b06fadfb0fdf027a432a55155199fe3f629a</x:v>
      </x:c>
      <x:c r="R2245" t="str">
        <x:v>b5f936b28ba5d7800af28fa97aba41ecf08e13c3dae468cb39e72c8796dbfb36</x:v>
      </x:c>
      <x:c r="S2245" t="n">
        <x:v>6</x:v>
      </x:c>
      <x:c r="T2245" t="str">
        <x:v>2018-12-31|2019-12-31|2020-12-31|2021-12-31|2022-12-31</x:v>
      </x:c>
      <x:c r="U2245" s="57" t="n">
        <x:v>125413.3451544752</x:v>
      </x:c>
      <x:c r="V2245" s="57" t="n">
        <x:v>3.369802967054885</x:v>
      </x:c>
      <x:c r="W2245" t="n">
        <x:v>5</x:v>
      </x:c>
      <x:c r="X2245" t="n">
        <x:v>1</x:v>
      </x:c>
      <x:c r="Y2245" s="38" t="n">
        <x:v>0.6409090909090909</x:v>
      </x:c>
      <x:c r="Z2245" s="38" t="n">
        <x:v>0.76949860650151</x:v>
      </x:c>
      <x:c r="AA2245"/>
    </x:row>
    <x:row r="2246">
      <x:c r="A2246" s="54" t="n">
        <x:v>45199</x:v>
      </x:c>
      <x:c r="B2246" t="n">
        <x:v>45199.624999988424</x:v>
      </x:c>
      <x:c r="C2246" t="str">
        <x:v>453340</x:v>
      </x:c>
      <x:c r="D2246" t="str">
        <x:v>현대그린푸드</x:v>
      </x:c>
      <x:c r="E2246" t="str">
        <x:v>KOSPI</x:v>
      </x:c>
      <x:c r="F2246" t="str">
        <x:v>LARGE</x:v>
      </x:c>
      <x:c r="G2246" t="str">
        <x:v>NO_PIT_FINANCIALS</x:v>
      </x:c>
      <x:c r="H2246"/>
      <x:c r="I2246" s="54" t="n">
        <x:v>45196</x:v>
      </x:c>
      <x:c r="J2246" s="55" t="n">
        <x:v>11240</x:v>
      </x:c>
      <x:c r="K2246" s="55" t="n">
        <x:v>380821473360</x:v>
      </x:c>
      <x:c r="L2246" s="55" t="n">
        <x:v>33880914</x:v>
      </x:c>
      <x:c r="M2246"/>
      <x:c r="N2246"/>
      <x:c r="O2246" s="54"/>
      <x:c r="P2246"/>
      <x:c r="Q2246"/>
      <x:c r="R2246"/>
      <x:c r="S2246"/>
      <x:c r="T2246"/>
      <x:c r="U2246" s="57"/>
      <x:c r="V2246" s="57"/>
      <x:c r="W2246"/>
      <x:c r="X2246"/>
      <x:c r="Y2246" s="38"/>
      <x:c r="Z2246" s="38"/>
      <x:c r="AA2246"/>
    </x:row>
    <x:row r="2247">
      <x:c r="A2247" s="54" t="n">
        <x:v>45199</x:v>
      </x:c>
      <x:c r="B2247" t="n">
        <x:v>45199.624999988424</x:v>
      </x:c>
      <x:c r="C2247" t="str">
        <x:v>006220</x:v>
      </x:c>
      <x:c r="D2247" t="str">
        <x:v>제주은행</x:v>
      </x:c>
      <x:c r="E2247" t="str">
        <x:v>KOSPI</x:v>
      </x:c>
      <x:c r="F2247" t="str">
        <x:v>LARGE</x:v>
      </x:c>
      <x:c r="G2247" t="str">
        <x:v>EXCLUDED_ARCHETYPE</x:v>
      </x:c>
      <x:c r="H2247" t="str">
        <x:v>FCFF_NOT_COMPARABLE_FOR_FINANCE_OR_HOLDING_HINT</x:v>
      </x:c>
      <x:c r="I2247" s="54"/>
      <x:c r="J2247" s="55"/>
      <x:c r="K2247" s="55"/>
      <x:c r="L2247" s="55"/>
      <x:c r="M2247"/>
      <x:c r="N2247"/>
      <x:c r="O2247" s="54"/>
      <x:c r="P2247"/>
      <x:c r="Q2247"/>
      <x:c r="R2247"/>
      <x:c r="S2247"/>
      <x:c r="T2247"/>
      <x:c r="U2247" s="57"/>
      <x:c r="V2247" s="57"/>
      <x:c r="W2247"/>
      <x:c r="X2247"/>
      <x:c r="Y2247" s="38"/>
      <x:c r="Z2247" s="38"/>
      <x:c r="AA2247"/>
    </x:row>
    <x:row r="2248">
      <x:c r="A2248" s="54" t="n">
        <x:v>45199</x:v>
      </x:c>
      <x:c r="B2248" t="n">
        <x:v>45199.624999988424</x:v>
      </x:c>
      <x:c r="C2248" t="str">
        <x:v>094800</x:v>
      </x:c>
      <x:c r="D2248" t="str">
        <x:v>맵스리얼티1</x:v>
      </x:c>
      <x:c r="E2248" t="str">
        <x:v>KOSPI</x:v>
      </x:c>
      <x:c r="F2248" t="str">
        <x:v>LARGE</x:v>
      </x:c>
      <x:c r="G2248" t="str">
        <x:v>NO_PIT_FINANCIALS</x:v>
      </x:c>
      <x:c r="H2248"/>
      <x:c r="I2248" s="54" t="n">
        <x:v>45196</x:v>
      </x:c>
      <x:c r="J2248" s="55" t="n">
        <x:v>3955</x:v>
      </x:c>
      <x:c r="K2248" s="55" t="n">
        <x:v>367159779105</x:v>
      </x:c>
      <x:c r="L2248" s="55" t="n">
        <x:v>92834331</x:v>
      </x:c>
      <x:c r="M2248"/>
      <x:c r="N2248"/>
      <x:c r="O2248" s="54"/>
      <x:c r="P2248"/>
      <x:c r="Q2248"/>
      <x:c r="R2248"/>
      <x:c r="S2248"/>
      <x:c r="T2248"/>
      <x:c r="U2248" s="57"/>
      <x:c r="V2248" s="57"/>
      <x:c r="W2248"/>
      <x:c r="X2248"/>
      <x:c r="Y2248" s="38"/>
      <x:c r="Z2248" s="38"/>
      <x:c r="AA2248"/>
    </x:row>
    <x:row r="2249">
      <x:c r="A2249" s="54" t="n">
        <x:v>45199</x:v>
      </x:c>
      <x:c r="B2249" t="n">
        <x:v>45199.624999988424</x:v>
      </x:c>
      <x:c r="C2249" t="str">
        <x:v>003160</x:v>
      </x:c>
      <x:c r="D2249" t="str">
        <x:v>디아이</x:v>
      </x:c>
      <x:c r="E2249" t="str">
        <x:v>KOSPI</x:v>
      </x:c>
      <x:c r="F2249" t="str">
        <x:v>LARGE</x:v>
      </x:c>
      <x:c r="G2249" t="str">
        <x:v>DCF_SCREENING_EXCLUSION</x:v>
      </x:c>
      <x:c r="H2249" t="str">
        <x:v>UNRELIABLE_TERMINAL_VALUE_SHARE</x:v>
      </x:c>
      <x:c r="I2249" s="54" t="n">
        <x:v>45196</x:v>
      </x:c>
      <x:c r="J2249" s="55" t="n">
        <x:v>7250</x:v>
      </x:c>
      <x:c r="K2249" s="55" t="n">
        <x:v>205175000000</x:v>
      </x:c>
      <x:c r="L2249" s="55" t="n">
        <x:v>28300000</x:v>
      </x:c>
      <x:c r="M2249" t="str">
        <x:v>20230316001051</x:v>
      </x:c>
      <x:c r="N2249" t="n">
        <x:v>45001.624999988424</x:v>
      </x:c>
      <x:c r="O2249" s="54" t="n">
        <x:v>44926</x:v>
      </x:c>
      <x:c r="P2249" t="str">
        <x:v>False</x:v>
      </x:c>
      <x:c r="Q2249" t="str">
        <x:v>c3314c782bd213bf0f690a4a153322df04993fdf6ba5a7e070a25e69e89fa233</x:v>
      </x:c>
      <x:c r="R2249" t="str">
        <x:v>56ec92b454b2728efa9deb96b014030a62a4ff515bac9deeec6482afbb35e210</x:v>
      </x:c>
      <x:c r="S2249" t="n">
        <x:v>6</x:v>
      </x:c>
      <x:c r="T2249" t="str">
        <x:v>2013-12-31|2014-12-31|2015-12-31|2016-12-31|2017-12-31|2018-12-31|2019-12-31|2020-12-31|2021-12-31|2022-12-31</x:v>
      </x:c>
      <x:c r="U2249" s="57" t="n">
        <x:v>2116.9630922186993</x:v>
      </x:c>
      <x:c r="V2249" s="57" t="n">
        <x:v>-0.7080050907284553</x:v>
      </x:c>
      <x:c r="W2249"/>
      <x:c r="X2249"/>
      <x:c r="Y2249" s="38" t="n">
        <x:v>0.6409090909090909</x:v>
      </x:c>
      <x:c r="Z2249" s="38" t="n">
        <x:v>0.9176728578066332</x:v>
      </x:c>
      <x:c r="AA2249" t="str">
        <x:v>UNRELIABLE_TERMINAL_VALUE_SHARE</x:v>
      </x:c>
    </x:row>
    <x:row r="2250">
      <x:c r="A2250" s="54" t="n">
        <x:v>45199</x:v>
      </x:c>
      <x:c r="B2250" t="n">
        <x:v>45199.624999988424</x:v>
      </x:c>
      <x:c r="C2250" t="str">
        <x:v>001940</x:v>
      </x:c>
      <x:c r="D2250" t="str">
        <x:v>KISCO홀딩스</x:v>
      </x:c>
      <x:c r="E2250" t="str">
        <x:v>KOSPI</x:v>
      </x:c>
      <x:c r="F2250" t="str">
        <x:v>LARGE</x:v>
      </x:c>
      <x:c r="G2250" t="str">
        <x:v>EXCLUDED_ARCHETYPE</x:v>
      </x:c>
      <x:c r="H2250" t="str">
        <x:v>FCFF_NOT_COMPARABLE_FOR_FINANCE_OR_HOLDING_HINT</x:v>
      </x:c>
      <x:c r="I2250" s="54"/>
      <x:c r="J2250" s="55"/>
      <x:c r="K2250" s="55"/>
      <x:c r="L2250" s="55"/>
      <x:c r="M2250"/>
      <x:c r="N2250"/>
      <x:c r="O2250" s="54"/>
      <x:c r="P2250"/>
      <x:c r="Q2250"/>
      <x:c r="R2250"/>
      <x:c r="S2250"/>
      <x:c r="T2250"/>
      <x:c r="U2250" s="57"/>
      <x:c r="V2250" s="57"/>
      <x:c r="W2250"/>
      <x:c r="X2250"/>
      <x:c r="Y2250" s="38"/>
      <x:c r="Z2250" s="38"/>
      <x:c r="AA2250"/>
    </x:row>
    <x:row r="2251">
      <x:c r="A2251" s="54" t="n">
        <x:v>45199</x:v>
      </x:c>
      <x:c r="B2251" t="n">
        <x:v>45199.624999988424</x:v>
      </x:c>
      <x:c r="C2251" t="str">
        <x:v>009290</x:v>
      </x:c>
      <x:c r="D2251" t="str">
        <x:v>광동제약</x:v>
      </x:c>
      <x:c r="E2251" t="str">
        <x:v>KOSPI</x:v>
      </x:c>
      <x:c r="F2251" t="str">
        <x:v>LARGE</x:v>
      </x:c>
      <x:c r="G2251" t="str">
        <x:v>ELIGIBLE</x:v>
      </x:c>
      <x:c r="H2251"/>
      <x:c r="I2251" s="54" t="n">
        <x:v>45196</x:v>
      </x:c>
      <x:c r="J2251" s="55" t="n">
        <x:v>5950</x:v>
      </x:c>
      <x:c r="K2251" s="55" t="n">
        <x:v>311904063450</x:v>
      </x:c>
      <x:c r="L2251" s="55" t="n">
        <x:v>52420851</x:v>
      </x:c>
      <x:c r="M2251" t="str">
        <x:v>20230321001353</x:v>
      </x:c>
      <x:c r="N2251" t="n">
        <x:v>45006.624999988424</x:v>
      </x:c>
      <x:c r="O2251" s="54" t="n">
        <x:v>44926</x:v>
      </x:c>
      <x:c r="P2251" t="str">
        <x:v>True</x:v>
      </x:c>
      <x:c r="Q2251" t="str">
        <x:v>5e14db92215cd2259f3a8da0057c2250df7271ff3eb90199fc22396cb3aef981</x:v>
      </x:c>
      <x:c r="R2251" t="str">
        <x:v>120369bfc0391fc9f998718d7c824a6f35ff609faa8c3fa784c72180748501b8</x:v>
      </x:c>
      <x:c r="S2251" t="n">
        <x:v>6</x:v>
      </x:c>
      <x:c r="T2251" t="str">
        <x:v>2018-12-31|2019-12-31|2020-12-31|2021-12-31|2022-12-31</x:v>
      </x:c>
      <x:c r="U2251" s="57" t="n">
        <x:v>6588.062294286922</x:v>
      </x:c>
      <x:c r="V2251" s="57" t="n">
        <x:v>0.10723736038435672</x:v>
      </x:c>
      <x:c r="W2251" t="n">
        <x:v>23</x:v>
      </x:c>
      <x:c r="X2251" t="n">
        <x:v>2</x:v>
      </x:c>
      <x:c r="Y2251" s="38" t="n">
        <x:v>0.6409090909090909</x:v>
      </x:c>
      <x:c r="Z2251" s="38" t="n">
        <x:v>0.7695546290256253</x:v>
      </x:c>
      <x:c r="AA2251"/>
    </x:row>
    <x:row r="2252">
      <x:c r="A2252" s="54" t="n">
        <x:v>45291</x:v>
      </x:c>
      <x:c r="B2252" t="n">
        <x:v>45291.624999988424</x:v>
      </x:c>
      <x:c r="C2252" t="str">
        <x:v>168330</x:v>
      </x:c>
      <x:c r="D2252" t="str">
        <x:v>내츄럴엔도텍</x:v>
      </x:c>
      <x:c r="E2252" t="str">
        <x:v>KOSDAQ</x:v>
      </x:c>
      <x:c r="F2252" t="str">
        <x:v>SMALL</x:v>
      </x:c>
      <x:c r="G2252" t="str">
        <x:v>DCF_SCREENING_EXCLUSION</x:v>
      </x:c>
      <x:c r="H2252" t="str">
        <x:v>NON_POSITIVE_ENTERPRISE_VALUE|NON_POSITIVE_EQUITY_VALUE|NON_POSITIVE_TERMINAL_FCF</x:v>
      </x:c>
      <x:c r="I2252" s="54" t="n">
        <x:v>45288</x:v>
      </x:c>
      <x:c r="J2252" s="55" t="n">
        <x:v>2005</x:v>
      </x:c>
      <x:c r="K2252" s="55" t="n">
        <x:v>63668574500</x:v>
      </x:c>
      <x:c r="L2252" s="55" t="n">
        <x:v>31754900</x:v>
      </x:c>
      <x:c r="M2252" t="str">
        <x:v>20230321001074</x:v>
      </x:c>
      <x:c r="N2252" t="n">
        <x:v>45006.624999988424</x:v>
      </x:c>
      <x:c r="O2252" s="54" t="n">
        <x:v>44926</x:v>
      </x:c>
      <x:c r="P2252" t="str">
        <x:v>True</x:v>
      </x:c>
      <x:c r="Q2252" t="str">
        <x:v>8b7b63b2e9d87ee2b8cb2a101f790a8fe4a1ba8733d715f2813a48ef21a9d0d7</x:v>
      </x:c>
      <x:c r="R2252" t="str">
        <x:v>7362824419076d995f4260deca5f7ac7990f333cf0cb4a5e3565afeb34b0ce55</x:v>
      </x:c>
      <x:c r="S2252" t="n">
        <x:v>6</x:v>
      </x:c>
      <x:c r="T2252" t="str">
        <x:v>2018-12-31|2019-12-31|2020-12-31|2021-12-31|2022-12-31</x:v>
      </x:c>
      <x:c r="U2252" s="57" t="n">
        <x:v>-809.6155189523597</x:v>
      </x:c>
      <x:c r="V2252" s="57" t="n">
        <x:v>-1.4037982638166382</x:v>
      </x:c>
      <x:c r="W2252"/>
      <x:c r="X2252"/>
      <x:c r="Y2252" s="38" t="n">
        <x:v>0.6409090909090909</x:v>
      </x:c>
      <x:c r="Z2252" s="38" t="n">
        <x:v>0.6263033331985346</x:v>
      </x:c>
      <x:c r="AA2252" t="str">
        <x:v>NON_POSITIVE_ENTERPRISE_VALUE|NON_POSITIVE_EQUITY_VALUE|NON_POSITIVE_TERMINAL_FCF</x:v>
      </x:c>
    </x:row>
    <x:row r="2253">
      <x:c r="A2253" s="54" t="n">
        <x:v>45291</x:v>
      </x:c>
      <x:c r="B2253" t="n">
        <x:v>45291.624999988424</x:v>
      </x:c>
      <x:c r="C2253" t="str">
        <x:v>120240</x:v>
      </x:c>
      <x:c r="D2253" t="str">
        <x:v>대정화금</x:v>
      </x:c>
      <x:c r="E2253" t="str">
        <x:v>KOSDAQ</x:v>
      </x:c>
      <x:c r="F2253" t="str">
        <x:v>SMALL</x:v>
      </x:c>
      <x:c r="G2253" t="str">
        <x:v>ELIGIBLE</x:v>
      </x:c>
      <x:c r="H2253"/>
      <x:c r="I2253" s="54" t="n">
        <x:v>45288</x:v>
      </x:c>
      <x:c r="J2253" s="55" t="n">
        <x:v>16720</x:v>
      </x:c>
      <x:c r="K2253" s="55" t="n">
        <x:v>120223337520</x:v>
      </x:c>
      <x:c r="L2253" s="55" t="n">
        <x:v>7190391</x:v>
      </x:c>
      <x:c r="M2253" t="str">
        <x:v>20230315000243</x:v>
      </x:c>
      <x:c r="N2253" t="n">
        <x:v>45000.624999988424</x:v>
      </x:c>
      <x:c r="O2253" s="54" t="n">
        <x:v>44926</x:v>
      </x:c>
      <x:c r="P2253" t="str">
        <x:v>False</x:v>
      </x:c>
      <x:c r="Q2253" t="str">
        <x:v>68db51702cbb66e1932f1b7fabf608e23517a3348d4093addeb79e2dc6330ca0</x:v>
      </x:c>
      <x:c r="R2253" t="str">
        <x:v>7398d2eee8f80021d748a5c944d2b143c5a1316ab9edb5c3a9329eeba433e245</x:v>
      </x:c>
      <x:c r="S2253" t="n">
        <x:v>7</x:v>
      </x:c>
      <x:c r="T2253" t="str">
        <x:v>2018-12-31|2019-12-31|2020-12-31|2021-12-31|2022-12-31</x:v>
      </x:c>
      <x:c r="U2253" s="57" t="n">
        <x:v>5621.2189273541435</x:v>
      </x:c>
      <x:c r="V2253" s="57" t="n">
        <x:v>-0.6638026957324077</x:v>
      </x:c>
      <x:c r="W2253" t="n">
        <x:v>54</x:v>
      </x:c>
      <x:c r="X2253" t="n">
        <x:v>4</x:v>
      </x:c>
      <x:c r="Y2253" s="38" t="n">
        <x:v>0.6409090909090909</x:v>
      </x:c>
      <x:c r="Z2253" s="38" t="n">
        <x:v>0.6742906559018058</x:v>
      </x:c>
      <x:c r="AA2253"/>
    </x:row>
    <x:row r="2254">
      <x:c r="A2254" s="54" t="n">
        <x:v>45291</x:v>
      </x:c>
      <x:c r="B2254" t="n">
        <x:v>45291.624999988424</x:v>
      </x:c>
      <x:c r="C2254" t="str">
        <x:v>348350</x:v>
      </x:c>
      <x:c r="D2254" t="str">
        <x:v>위드텍</x:v>
      </x:c>
      <x:c r="E2254" t="str">
        <x:v>KOSDAQ</x:v>
      </x:c>
      <x:c r="F2254" t="str">
        <x:v>SMALL</x:v>
      </x:c>
      <x:c r="G2254" t="str">
        <x:v>ELIGIBLE</x:v>
      </x:c>
      <x:c r="H2254"/>
      <x:c r="I2254" s="54" t="n">
        <x:v>45288</x:v>
      </x:c>
      <x:c r="J2254" s="55" t="n">
        <x:v>10310</x:v>
      </x:c>
      <x:c r="K2254" s="55" t="n">
        <x:v>104992916000</x:v>
      </x:c>
      <x:c r="L2254" s="55" t="n">
        <x:v>10183600</x:v>
      </x:c>
      <x:c r="M2254" t="str">
        <x:v>20230315001322</x:v>
      </x:c>
      <x:c r="N2254" t="n">
        <x:v>45000.624999988424</x:v>
      </x:c>
      <x:c r="O2254" s="54" t="n">
        <x:v>44926</x:v>
      </x:c>
      <x:c r="P2254" t="str">
        <x:v>False</x:v>
      </x:c>
      <x:c r="Q2254" t="str">
        <x:v>5a6323619d7ad35f7de29006ad26b51d53afa3f1b5ef1e1bafd08da40b7fc115</x:v>
      </x:c>
      <x:c r="R2254" t="str">
        <x:v>579dfd7d0e61d41b5d29bb6598c374909b901fe4a1cbfa2870ace192e3cae039</x:v>
      </x:c>
      <x:c r="S2254" t="n">
        <x:v>5</x:v>
      </x:c>
      <x:c r="T2254" t="str">
        <x:v>2020-12-31|2021-12-31|2022-12-31</x:v>
      </x:c>
      <x:c r="U2254" s="57" t="n">
        <x:v>14309.903984827863</x:v>
      </x:c>
      <x:c r="V2254" s="57" t="n">
        <x:v>0.387963529081267</x:v>
      </x:c>
      <x:c r="W2254" t="n">
        <x:v>18</x:v>
      </x:c>
      <x:c r="X2254" t="n">
        <x:v>2</x:v>
      </x:c>
      <x:c r="Y2254" s="38" t="n">
        <x:v>0.6409090909090909</x:v>
      </x:c>
      <x:c r="Z2254" s="38" t="n">
        <x:v>0.6261496378896817</x:v>
      </x:c>
      <x:c r="AA2254"/>
    </x:row>
    <x:row r="2255">
      <x:c r="A2255" s="54" t="n">
        <x:v>45291</x:v>
      </x:c>
      <x:c r="B2255" t="n">
        <x:v>45291.624999988424</x:v>
      </x:c>
      <x:c r="C2255" t="str">
        <x:v>226330</x:v>
      </x:c>
      <x:c r="D2255" t="str">
        <x:v>신테카바이오</x:v>
      </x:c>
      <x:c r="E2255" t="str">
        <x:v>KOSDAQ</x:v>
      </x:c>
      <x:c r="F2255" t="str">
        <x:v>SMALL</x:v>
      </x:c>
      <x:c r="G2255" t="str">
        <x:v>DCF_SCREENING_EXCLUSION</x:v>
      </x:c>
      <x:c r="H2255" t="str">
        <x:v>NON_POSITIVE_ENTERPRISE_VALUE|NON_POSITIVE_TERMINAL_FCF</x:v>
      </x:c>
      <x:c r="I2255" s="54" t="n">
        <x:v>45288</x:v>
      </x:c>
      <x:c r="J2255" s="55" t="n">
        <x:v>14240</x:v>
      </x:c>
      <x:c r="K2255" s="55" t="n">
        <x:v>216881964000</x:v>
      </x:c>
      <x:c r="L2255" s="55" t="n">
        <x:v>15230475</x:v>
      </x:c>
      <x:c r="M2255" t="str">
        <x:v>20230323000653</x:v>
      </x:c>
      <x:c r="N2255" t="n">
        <x:v>45008.624999988424</x:v>
      </x:c>
      <x:c r="O2255" s="54" t="n">
        <x:v>44926</x:v>
      </x:c>
      <x:c r="P2255" t="str">
        <x:v>False</x:v>
      </x:c>
      <x:c r="Q2255" t="str">
        <x:v>3f0afb59cfe07770c1283a502c76f24874ee173ff49359e807bfb2d2d4a2e6c6</x:v>
      </x:c>
      <x:c r="R2255" t="str">
        <x:v>e20c085f47adc6aba0b57bd8ba5a40bae1d01c8d84ef9521ecf3f82c9b87e1ca</x:v>
      </x:c>
      <x:c r="S2255" t="n">
        <x:v>5</x:v>
      </x:c>
      <x:c r="T2255" t="str">
        <x:v>2019-12-31|2020-12-31|2021-12-31|2022-12-31</x:v>
      </x:c>
      <x:c r="U2255" s="57" t="n">
        <x:v>1609.802461445019</x:v>
      </x:c>
      <x:c r="V2255" s="57" t="n">
        <x:v>-0.8869520743367262</x:v>
      </x:c>
      <x:c r="W2255"/>
      <x:c r="X2255"/>
      <x:c r="Y2255" s="38" t="n">
        <x:v>0.6409090909090909</x:v>
      </x:c>
      <x:c r="Z2255" s="38" t="n">
        <x:v>0.6095054406520231</x:v>
      </x:c>
      <x:c r="AA2255" t="str">
        <x:v>NON_POSITIVE_ENTERPRISE_VALUE|NON_POSITIVE_TERMINAL_FCF</x:v>
      </x:c>
    </x:row>
    <x:row r="2256">
      <x:c r="A2256" s="54" t="n">
        <x:v>45291</x:v>
      </x:c>
      <x:c r="B2256" t="n">
        <x:v>45291.624999988424</x:v>
      </x:c>
      <x:c r="C2256" t="str">
        <x:v>215090</x:v>
      </x:c>
      <x:c r="D2256" t="str">
        <x:v>솔디펜스</x:v>
      </x:c>
      <x:c r="E2256" t="str">
        <x:v>KOSDAQ</x:v>
      </x:c>
      <x:c r="F2256" t="str">
        <x:v>SMALL</x:v>
      </x:c>
      <x:c r="G2256" t="str">
        <x:v>DCF_SCREENING_EXCLUSION</x:v>
      </x:c>
      <x:c r="H2256" t="str">
        <x:v>NON_POSITIVE_ENTERPRISE_VALUE|NON_POSITIVE_EQUITY_VALUE|NON_POSITIVE_TERMINAL_FCF</x:v>
      </x:c>
      <x:c r="I2256" s="54" t="n">
        <x:v>45288</x:v>
      </x:c>
      <x:c r="J2256" s="55" t="n">
        <x:v>1505</x:v>
      </x:c>
      <x:c r="K2256" s="55" t="n">
        <x:v>120843123170</x:v>
      </x:c>
      <x:c r="L2256" s="55" t="n">
        <x:v>80294434</x:v>
      </x:c>
      <x:c r="M2256" t="str">
        <x:v>20231226000470</x:v>
      </x:c>
      <x:c r="N2256" t="n">
        <x:v>45286.624999988424</x:v>
      </x:c>
      <x:c r="O2256" s="54" t="n">
        <x:v>44926</x:v>
      </x:c>
      <x:c r="P2256" t="str">
        <x:v>True</x:v>
      </x:c>
      <x:c r="Q2256" t="str">
        <x:v>e0b6628d5a6cfe20809a917da538377d87e04a807c2d338015b8d3c83abf539d</x:v>
      </x:c>
      <x:c r="R2256" t="str">
        <x:v>e35f49a2683c1289910a9023a01d091960dc8e30ef9d7d07c1afbac3f7b7f73e</x:v>
      </x:c>
      <x:c r="S2256" t="n">
        <x:v>5</x:v>
      </x:c>
      <x:c r="T2256" t="str">
        <x:v>2018-12-31|2019-12-31|2020-12-31|2021-12-31|2022-12-31</x:v>
      </x:c>
      <x:c r="U2256" s="57" t="n">
        <x:v>-232.01041989817307</x:v>
      </x:c>
      <x:c r="V2256" s="57" t="n">
        <x:v>-1.1541597474406466</x:v>
      </x:c>
      <x:c r="W2256"/>
      <x:c r="X2256"/>
      <x:c r="Y2256" s="38" t="n">
        <x:v>0.6409090909090909</x:v>
      </x:c>
      <x:c r="Z2256" s="38" t="n">
        <x:v>0.6395156116933054</x:v>
      </x:c>
      <x:c r="AA2256" t="str">
        <x:v>NON_POSITIVE_ENTERPRISE_VALUE|NON_POSITIVE_EQUITY_VALUE|NON_POSITIVE_TERMINAL_FCF</x:v>
      </x:c>
    </x:row>
    <x:row r="2257">
      <x:c r="A2257" s="54" t="n">
        <x:v>45291</x:v>
      </x:c>
      <x:c r="B2257" t="n">
        <x:v>45291.624999988424</x:v>
      </x:c>
      <x:c r="C2257" t="str">
        <x:v>185490</x:v>
      </x:c>
      <x:c r="D2257" t="str">
        <x:v>아이진</x:v>
      </x:c>
      <x:c r="E2257" t="str">
        <x:v>KOSDAQ</x:v>
      </x:c>
      <x:c r="F2257" t="str">
        <x:v>SMALL</x:v>
      </x:c>
      <x:c r="G2257" t="str">
        <x:v>DCF_SCREENING_EXCLUSION</x:v>
      </x:c>
      <x:c r="H2257" t="str">
        <x:v>NON_POSITIVE_ENTERPRISE_VALUE|NON_POSITIVE_EQUITY_VALUE|NON_POSITIVE_TERMINAL_FCF</x:v>
      </x:c>
      <x:c r="I2257" s="54" t="n">
        <x:v>45288</x:v>
      </x:c>
      <x:c r="J2257" s="55" t="n">
        <x:v>4265</x:v>
      </x:c>
      <x:c r="K2257" s="55" t="n">
        <x:v>91605120100</x:v>
      </x:c>
      <x:c r="L2257" s="55" t="n">
        <x:v>21478340</x:v>
      </x:c>
      <x:c r="M2257" t="str">
        <x:v>20230315001401</x:v>
      </x:c>
      <x:c r="N2257" t="n">
        <x:v>45000.624999988424</x:v>
      </x:c>
      <x:c r="O2257" s="54" t="n">
        <x:v>44926</x:v>
      </x:c>
      <x:c r="P2257" t="str">
        <x:v>False</x:v>
      </x:c>
      <x:c r="Q2257" t="str">
        <x:v>c397debbd0091ddd6bf16e6dad441fccd47f73cbda2a1ac5840236e1bac6e11e</x:v>
      </x:c>
      <x:c r="R2257" t="str">
        <x:v>0c1ac31c89c8343ee44ab9a488672232a714c97ffe3c101f7ff030a79b21b038</x:v>
      </x:c>
      <x:c r="S2257" t="n">
        <x:v>5</x:v>
      </x:c>
      <x:c r="T2257" t="str">
        <x:v>2018-12-31|2019-12-31|2020-12-31|2021-12-31|2022-12-31</x:v>
      </x:c>
      <x:c r="U2257" s="57" t="n">
        <x:v>-486.7578203776162</x:v>
      </x:c>
      <x:c r="V2257" s="57" t="n">
        <x:v>-1.1141284455750566</x:v>
      </x:c>
      <x:c r="W2257"/>
      <x:c r="X2257"/>
      <x:c r="Y2257" s="38" t="n">
        <x:v>0.6409090909090909</x:v>
      </x:c>
      <x:c r="Z2257" s="38" t="n">
        <x:v>0.6422566574366064</x:v>
      </x:c>
      <x:c r="AA2257" t="str">
        <x:v>NON_POSITIVE_ENTERPRISE_VALUE|NON_POSITIVE_EQUITY_VALUE|NON_POSITIVE_TERMINAL_FCF</x:v>
      </x:c>
    </x:row>
    <x:row r="2258">
      <x:c r="A2258" s="54" t="n">
        <x:v>45291</x:v>
      </x:c>
      <x:c r="B2258" t="n">
        <x:v>45291.624999988424</x:v>
      </x:c>
      <x:c r="C2258" t="str">
        <x:v>333620</x:v>
      </x:c>
      <x:c r="D2258" t="str">
        <x:v>엔시스</x:v>
      </x:c>
      <x:c r="E2258" t="str">
        <x:v>KOSDAQ</x:v>
      </x:c>
      <x:c r="F2258" t="str">
        <x:v>SMALL</x:v>
      </x:c>
      <x:c r="G2258" t="str">
        <x:v>ELIGIBLE</x:v>
      </x:c>
      <x:c r="H2258"/>
      <x:c r="I2258" s="54" t="n">
        <x:v>45288</x:v>
      </x:c>
      <x:c r="J2258" s="55" t="n">
        <x:v>10040</x:v>
      </x:c>
      <x:c r="K2258" s="55" t="n">
        <x:v>105985693760</x:v>
      </x:c>
      <x:c r="L2258" s="55" t="n">
        <x:v>10556344</x:v>
      </x:c>
      <x:c r="M2258" t="str">
        <x:v>20230321000024</x:v>
      </x:c>
      <x:c r="N2258" t="n">
        <x:v>45006.624999988424</x:v>
      </x:c>
      <x:c r="O2258" s="54" t="n">
        <x:v>44926</x:v>
      </x:c>
      <x:c r="P2258" t="str">
        <x:v>False</x:v>
      </x:c>
      <x:c r="Q2258" t="str">
        <x:v>31dbb21ddcad5b2ad28ed0a4aae3e0ceb52e21841557c50d5019d74a8dfa12f3</x:v>
      </x:c>
      <x:c r="R2258" t="str">
        <x:v>fb45111f1e452f88a6c98d51a0b0da00a152d33af3a5e75b5b7a9b9e7df64078</x:v>
      </x:c>
      <x:c r="S2258" t="n">
        <x:v>6</x:v>
      </x:c>
      <x:c r="T2258" t="str">
        <x:v>2020-12-31|2021-12-31|2022-12-31</x:v>
      </x:c>
      <x:c r="U2258" s="57" t="n">
        <x:v>3754.6810911879898</x:v>
      </x:c>
      <x:c r="V2258" s="57" t="n">
        <x:v>-0.6260277797621524</x:v>
      </x:c>
      <x:c r="W2258" t="n">
        <x:v>50</x:v>
      </x:c>
      <x:c r="X2258" t="n">
        <x:v>4</x:v>
      </x:c>
      <x:c r="Y2258" s="38" t="n">
        <x:v>0.6409090909090909</x:v>
      </x:c>
      <x:c r="Z2258" s="38" t="n">
        <x:v>0.7689778383906659</x:v>
      </x:c>
      <x:c r="AA2258"/>
    </x:row>
    <x:row r="2259">
      <x:c r="A2259" s="54" t="n">
        <x:v>45291</x:v>
      </x:c>
      <x:c r="B2259" t="n">
        <x:v>45291.624999988424</x:v>
      </x:c>
      <x:c r="C2259" t="str">
        <x:v>036710</x:v>
      </x:c>
      <x:c r="D2259" t="str">
        <x:v>심텍홀딩스</x:v>
      </x:c>
      <x:c r="E2259" t="str">
        <x:v>KOSDAQ</x:v>
      </x:c>
      <x:c r="F2259" t="str">
        <x:v>SMALL</x:v>
      </x:c>
      <x:c r="G2259" t="str">
        <x:v>EXCLUDED_ARCHETYPE</x:v>
      </x:c>
      <x:c r="H2259" t="str">
        <x:v>FCFF_NOT_COMPARABLE_FOR_FINANCE_OR_HOLDING_HINT</x:v>
      </x:c>
      <x:c r="I2259" s="54"/>
      <x:c r="J2259" s="55"/>
      <x:c r="K2259" s="55"/>
      <x:c r="L2259" s="55"/>
      <x:c r="M2259"/>
      <x:c r="N2259"/>
      <x:c r="O2259" s="54"/>
      <x:c r="P2259"/>
      <x:c r="Q2259"/>
      <x:c r="R2259"/>
      <x:c r="S2259"/>
      <x:c r="T2259"/>
      <x:c r="U2259" s="57"/>
      <x:c r="V2259" s="57"/>
      <x:c r="W2259"/>
      <x:c r="X2259"/>
      <x:c r="Y2259" s="38"/>
      <x:c r="Z2259" s="38"/>
      <x:c r="AA2259"/>
    </x:row>
    <x:row r="2260">
      <x:c r="A2260" s="54" t="n">
        <x:v>45291</x:v>
      </x:c>
      <x:c r="B2260" t="n">
        <x:v>45291.624999988424</x:v>
      </x:c>
      <x:c r="C2260" t="str">
        <x:v>049480</x:v>
      </x:c>
      <x:c r="D2260" t="str">
        <x:v>오픈베이스</x:v>
      </x:c>
      <x:c r="E2260" t="str">
        <x:v>KOSDAQ</x:v>
      </x:c>
      <x:c r="F2260" t="str">
        <x:v>SMALL</x:v>
      </x:c>
      <x:c r="G2260" t="str">
        <x:v>ELIGIBLE</x:v>
      </x:c>
      <x:c r="H2260"/>
      <x:c r="I2260" s="54" t="n">
        <x:v>45288</x:v>
      </x:c>
      <x:c r="J2260" s="55" t="n">
        <x:v>2640</x:v>
      </x:c>
      <x:c r="K2260" s="55" t="n">
        <x:v>82955091120</x:v>
      </x:c>
      <x:c r="L2260" s="55" t="n">
        <x:v>31422383</x:v>
      </x:c>
      <x:c r="M2260" t="str">
        <x:v>20230327000282</x:v>
      </x:c>
      <x:c r="N2260" t="n">
        <x:v>45012.624999988424</x:v>
      </x:c>
      <x:c r="O2260" s="54" t="n">
        <x:v>44926</x:v>
      </x:c>
      <x:c r="P2260" t="str">
        <x:v>True</x:v>
      </x:c>
      <x:c r="Q2260" t="str">
        <x:v>42ea968732c68af704538b6a96069c24f471922e6900275570ae4010b40edc5d</x:v>
      </x:c>
      <x:c r="R2260" t="str">
        <x:v>ab09784fda9d75cc8b97f3d5bb38041a05710bed737db030285a8ac9556f54a0</x:v>
      </x:c>
      <x:c r="S2260" t="n">
        <x:v>6</x:v>
      </x:c>
      <x:c r="T2260" t="str">
        <x:v>2018-12-31|2019-12-31|2020-12-31|2021-12-31|2022-12-31</x:v>
      </x:c>
      <x:c r="U2260" s="57" t="n">
        <x:v>1803.8821154458892</x:v>
      </x:c>
      <x:c r="V2260" s="57" t="n">
        <x:v>-0.3167113199068602</x:v>
      </x:c>
      <x:c r="W2260" t="n">
        <x:v>32</x:v>
      </x:c>
      <x:c r="X2260" t="n">
        <x:v>3</x:v>
      </x:c>
      <x:c r="Y2260" s="38" t="n">
        <x:v>0.6409090909090909</x:v>
      </x:c>
      <x:c r="Z2260" s="38" t="n">
        <x:v>0.5306461642500262</x:v>
      </x:c>
      <x:c r="AA2260"/>
    </x:row>
    <x:row r="2261">
      <x:c r="A2261" s="54" t="n">
        <x:v>45291</x:v>
      </x:c>
      <x:c r="B2261" t="n">
        <x:v>45291.624999988424</x:v>
      </x:c>
      <x:c r="C2261" t="str">
        <x:v>302430</x:v>
      </x:c>
      <x:c r="D2261" t="str">
        <x:v>이노메트리</x:v>
      </x:c>
      <x:c r="E2261" t="str">
        <x:v>KOSDAQ</x:v>
      </x:c>
      <x:c r="F2261" t="str">
        <x:v>SMALL</x:v>
      </x:c>
      <x:c r="G2261" t="str">
        <x:v>ELIGIBLE</x:v>
      </x:c>
      <x:c r="H2261"/>
      <x:c r="I2261" s="54" t="n">
        <x:v>45288</x:v>
      </x:c>
      <x:c r="J2261" s="55" t="n">
        <x:v>11290</x:v>
      </x:c>
      <x:c r="K2261" s="55" t="n">
        <x:v>111016918320</x:v>
      </x:c>
      <x:c r="L2261" s="55" t="n">
        <x:v>9833208</x:v>
      </x:c>
      <x:c r="M2261" t="str">
        <x:v>20230317000534</x:v>
      </x:c>
      <x:c r="N2261" t="n">
        <x:v>45002.624999988424</x:v>
      </x:c>
      <x:c r="O2261" s="54" t="n">
        <x:v>44926</x:v>
      </x:c>
      <x:c r="P2261" t="str">
        <x:v>False</x:v>
      </x:c>
      <x:c r="Q2261" t="str">
        <x:v>de9546fda28c65a23fad6628de7853535b6651560757ff0fe1a52b30730cfc03</x:v>
      </x:c>
      <x:c r="R2261" t="str">
        <x:v>8a26ebe85de001e6143797cb929271694b60af9589b3044f81aa89f0fdecc7a9</x:v>
      </x:c>
      <x:c r="S2261" t="n">
        <x:v>6</x:v>
      </x:c>
      <x:c r="T2261" t="str">
        <x:v>2018-12-31|2019-12-31|2020-12-31|2021-12-31|2022-12-31</x:v>
      </x:c>
      <x:c r="U2261" s="57" t="n">
        <x:v>2561.2579654535784</x:v>
      </x:c>
      <x:c r="V2261" s="57" t="n">
        <x:v>-0.7731392413238637</x:v>
      </x:c>
      <x:c r="W2261" t="n">
        <x:v>60</x:v>
      </x:c>
      <x:c r="X2261" t="n">
        <x:v>5</x:v>
      </x:c>
      <x:c r="Y2261" s="38" t="n">
        <x:v>0.6409090909090909</x:v>
      </x:c>
      <x:c r="Z2261" s="38" t="n">
        <x:v>0.6743683677875997</x:v>
      </x:c>
      <x:c r="AA2261"/>
    </x:row>
    <x:row r="2262">
      <x:c r="A2262" s="54" t="n">
        <x:v>45291</x:v>
      </x:c>
      <x:c r="B2262" t="n">
        <x:v>45291.624999988424</x:v>
      </x:c>
      <x:c r="C2262" t="str">
        <x:v>288620</x:v>
      </x:c>
      <x:c r="D2262" t="str">
        <x:v>에스퓨얼셀</x:v>
      </x:c>
      <x:c r="E2262" t="str">
        <x:v>KOSDAQ</x:v>
      </x:c>
      <x:c r="F2262" t="str">
        <x:v>SMALL</x:v>
      </x:c>
      <x:c r="G2262" t="str">
        <x:v>DCF_SCREENING_EXCLUSION</x:v>
      </x:c>
      <x:c r="H2262" t="str">
        <x:v>NON_POSITIVE_EQUITY_VALUE|UNRELIABLE_TERMINAL_VALUE_SHARE</x:v>
      </x:c>
      <x:c r="I2262" s="54" t="n">
        <x:v>45288</x:v>
      </x:c>
      <x:c r="J2262" s="55" t="n">
        <x:v>17050</x:v>
      </x:c>
      <x:c r="K2262" s="55" t="n">
        <x:v>118997337800</x:v>
      </x:c>
      <x:c r="L2262" s="55" t="n">
        <x:v>6979316</x:v>
      </x:c>
      <x:c r="M2262" t="str">
        <x:v>20230316001373</x:v>
      </x:c>
      <x:c r="N2262" t="n">
        <x:v>45001.624999988424</x:v>
      </x:c>
      <x:c r="O2262" s="54" t="n">
        <x:v>44926</x:v>
      </x:c>
      <x:c r="P2262" t="str">
        <x:v>False</x:v>
      </x:c>
      <x:c r="Q2262" t="str">
        <x:v>a0f73bf5abd07b28ebfb12fc1090d5d41c37644288eda61745064e3c381d57bf</x:v>
      </x:c>
      <x:c r="R2262" t="str">
        <x:v>26d9f4961fa261b2f033fa38cfe5ebffffd8a8571e51064c9347559a92b11917</x:v>
      </x:c>
      <x:c r="S2262" t="n">
        <x:v>6</x:v>
      </x:c>
      <x:c r="T2262" t="str">
        <x:v>2018-12-31|2019-12-31|2020-12-31|2021-12-31|2022-12-31</x:v>
      </x:c>
      <x:c r="U2262" s="57" t="n">
        <x:v>-4375.150495693731</x:v>
      </x:c>
      <x:c r="V2262" s="57" t="n">
        <x:v>-1.2566070671961131</x:v>
      </x:c>
      <x:c r="W2262"/>
      <x:c r="X2262"/>
      <x:c r="Y2262" s="38" t="n">
        <x:v>0.6409090909090909</x:v>
      </x:c>
      <x:c r="Z2262" s="38" t="n">
        <x:v>2.269399089417067</x:v>
      </x:c>
      <x:c r="AA2262" t="str">
        <x:v>NON_POSITIVE_EQUITY_VALUE|UNRELIABLE_TERMINAL_VALUE_SHARE</x:v>
      </x:c>
    </x:row>
    <x:row r="2263">
      <x:c r="A2263" s="54" t="n">
        <x:v>45291</x:v>
      </x:c>
      <x:c r="B2263" t="n">
        <x:v>45291.624999988424</x:v>
      </x:c>
      <x:c r="C2263" t="str">
        <x:v>094840</x:v>
      </x:c>
      <x:c r="D2263" t="str">
        <x:v>슈프리마에이치큐</x:v>
      </x:c>
      <x:c r="E2263" t="str">
        <x:v>KOSDAQ</x:v>
      </x:c>
      <x:c r="F2263" t="str">
        <x:v>SMALL</x:v>
      </x:c>
      <x:c r="G2263" t="str">
        <x:v>ELIGIBLE</x:v>
      </x:c>
      <x:c r="H2263"/>
      <x:c r="I2263" s="54" t="n">
        <x:v>45288</x:v>
      </x:c>
      <x:c r="J2263" s="55" t="n">
        <x:v>6730</x:v>
      </x:c>
      <x:c r="K2263" s="55" t="n">
        <x:v>70475483200</x:v>
      </x:c>
      <x:c r="L2263" s="55" t="n">
        <x:v>10471840</x:v>
      </x:c>
      <x:c r="M2263" t="str">
        <x:v>20230314001299</x:v>
      </x:c>
      <x:c r="N2263" t="n">
        <x:v>45000.624999988424</x:v>
      </x:c>
      <x:c r="O2263" s="54" t="n">
        <x:v>44926</x:v>
      </x:c>
      <x:c r="P2263" t="str">
        <x:v>False</x:v>
      </x:c>
      <x:c r="Q2263" t="str">
        <x:v>68dfd4440b2c2afb80c1e44c2b622c1d51d9f1ed97fd061ad39acf1a13ff5528</x:v>
      </x:c>
      <x:c r="R2263" t="str">
        <x:v>401bf4b2f3290e8a8fc1738434ddb00df3d9594339b6b1eadcd9cc44f8c9e7ea</x:v>
      </x:c>
      <x:c r="S2263" t="n">
        <x:v>6</x:v>
      </x:c>
      <x:c r="T2263" t="str">
        <x:v>2018-12-31|2019-12-31|2020-12-31|2021-12-31|2022-12-31</x:v>
      </x:c>
      <x:c r="U2263" s="57" t="n">
        <x:v>6313.964112199713</x:v>
      </x:c>
      <x:c r="V2263" s="57" t="n">
        <x:v>-0.06181811111445568</x:v>
      </x:c>
      <x:c r="W2263" t="n">
        <x:v>27</x:v>
      </x:c>
      <x:c r="X2263" t="n">
        <x:v>2</x:v>
      </x:c>
      <x:c r="Y2263" s="38" t="n">
        <x:v>0.6409090909090909</x:v>
      </x:c>
      <x:c r="Z2263" s="38" t="n">
        <x:v>0.628344919435413</x:v>
      </x:c>
      <x:c r="AA2263"/>
    </x:row>
    <x:row r="2264">
      <x:c r="A2264" s="54" t="n">
        <x:v>45291</x:v>
      </x:c>
      <x:c r="B2264" t="n">
        <x:v>45291.624999988424</x:v>
      </x:c>
      <x:c r="C2264" t="str">
        <x:v>019990</x:v>
      </x:c>
      <x:c r="D2264" t="str">
        <x:v>에너토크</x:v>
      </x:c>
      <x:c r="E2264" t="str">
        <x:v>KOSDAQ</x:v>
      </x:c>
      <x:c r="F2264" t="str">
        <x:v>SMALL</x:v>
      </x:c>
      <x:c r="G2264" t="str">
        <x:v>DCF_SCREENING_EXCLUSION</x:v>
      </x:c>
      <x:c r="H2264" t="str">
        <x:v>NON_POSITIVE_ENTERPRISE_VALUE|NON_POSITIVE_EQUITY_VALUE|NON_POSITIVE_TERMINAL_FCF</x:v>
      </x:c>
      <x:c r="I2264" s="54" t="n">
        <x:v>45288</x:v>
      </x:c>
      <x:c r="J2264" s="55" t="n">
        <x:v>6450</x:v>
      </x:c>
      <x:c r="K2264" s="55" t="n">
        <x:v>62926767600</x:v>
      </x:c>
      <x:c r="L2264" s="55" t="n">
        <x:v>9756088</x:v>
      </x:c>
      <x:c r="M2264" t="str">
        <x:v>20230316001528</x:v>
      </x:c>
      <x:c r="N2264" t="n">
        <x:v>45001.624999988424</x:v>
      </x:c>
      <x:c r="O2264" s="54" t="n">
        <x:v>44926</x:v>
      </x:c>
      <x:c r="P2264" t="str">
        <x:v>False</x:v>
      </x:c>
      <x:c r="Q2264" t="str">
        <x:v>356862a864c2f3ffb6ca902df021f84b186b7c85c77a19c2ad6191de38eaafb4</x:v>
      </x:c>
      <x:c r="R2264" t="str">
        <x:v>7637dddb3a954b6add6c7848290a7d97e844c67b392b0325bf98adcb6b1393bf</x:v>
      </x:c>
      <x:c r="S2264" t="n">
        <x:v>7</x:v>
      </x:c>
      <x:c r="T2264" t="str">
        <x:v>2018-12-31|2019-12-31|2020-12-31|2021-12-31|2022-12-31</x:v>
      </x:c>
      <x:c r="U2264" s="57" t="n">
        <x:v>-384.5998941714026</x:v>
      </x:c>
      <x:c r="V2264" s="57" t="n">
        <x:v>-1.0596278905692098</x:v>
      </x:c>
      <x:c r="W2264"/>
      <x:c r="X2264"/>
      <x:c r="Y2264" s="38" t="n">
        <x:v>0.6409090909090909</x:v>
      </x:c>
      <x:c r="Z2264" s="38" t="n">
        <x:v>0.6560443368251093</x:v>
      </x:c>
      <x:c r="AA2264" t="str">
        <x:v>NON_POSITIVE_ENTERPRISE_VALUE|NON_POSITIVE_EQUITY_VALUE|NON_POSITIVE_TERMINAL_FCF</x:v>
      </x:c>
    </x:row>
    <x:row r="2265">
      <x:c r="A2265" s="54" t="n">
        <x:v>45291</x:v>
      </x:c>
      <x:c r="B2265" t="n">
        <x:v>45291.624999988424</x:v>
      </x:c>
      <x:c r="C2265" t="str">
        <x:v>024740</x:v>
      </x:c>
      <x:c r="D2265" t="str">
        <x:v>한일단조</x:v>
      </x:c>
      <x:c r="E2265" t="str">
        <x:v>KOSDAQ</x:v>
      </x:c>
      <x:c r="F2265" t="str">
        <x:v>SMALL</x:v>
      </x:c>
      <x:c r="G2265" t="str">
        <x:v>DCF_SCREENING_EXCLUSION</x:v>
      </x:c>
      <x:c r="H2265" t="str">
        <x:v>NON_POSITIVE_ENTERPRISE_VALUE|NON_POSITIVE_EQUITY_VALUE|NON_POSITIVE_TERMINAL_FCF|UNRELIABLE_TERMINAL_VALUE_SHARE</x:v>
      </x:c>
      <x:c r="I2265" s="54" t="n">
        <x:v>45288</x:v>
      </x:c>
      <x:c r="J2265" s="55" t="n">
        <x:v>2290</x:v>
      </x:c>
      <x:c r="K2265" s="55" t="n">
        <x:v>72209530340</x:v>
      </x:c>
      <x:c r="L2265" s="55" t="n">
        <x:v>31532546</x:v>
      </x:c>
      <x:c r="M2265" t="str">
        <x:v>20230321000435</x:v>
      </x:c>
      <x:c r="N2265" t="n">
        <x:v>45006.624999988424</x:v>
      </x:c>
      <x:c r="O2265" s="54" t="n">
        <x:v>44926</x:v>
      </x:c>
      <x:c r="P2265" t="str">
        <x:v>False</x:v>
      </x:c>
      <x:c r="Q2265" t="str">
        <x:v>97953ed9acfd97d0245326a28cf1ae40c3d9a06af7da7dfeb127ad1c8bbeff11</x:v>
      </x:c>
      <x:c r="R2265" t="str">
        <x:v>ae141a7e675b2d9a9bd9222cc2215d2d08b187aedad3f8881d7275d4ad8cb8d5</x:v>
      </x:c>
      <x:c r="S2265" t="n">
        <x:v>7</x:v>
      </x:c>
      <x:c r="T2265" t="str">
        <x:v>2018-12-31|2019-12-31|2020-12-31|2021-12-31|2022-12-31</x:v>
      </x:c>
      <x:c r="U2265" s="57" t="n">
        <x:v>-2512.352483521721</x:v>
      </x:c>
      <x:c r="V2265" s="57" t="n">
        <x:v>-2.0970971543762973</x:v>
      </x:c>
      <x:c r="W2265"/>
      <x:c r="X2265"/>
      <x:c r="Y2265" s="38" t="n">
        <x:v>0.6409090909090909</x:v>
      </x:c>
      <x:c r="Z2265" s="38" t="n">
        <x:v>2.0506706664207273</x:v>
      </x:c>
      <x:c r="AA2265" t="str">
        <x:v>NON_POSITIVE_ENTERPRISE_VALUE|NON_POSITIVE_EQUITY_VALUE|NON_POSITIVE_TERMINAL_FCF|UNRELIABLE_TERMINAL_VALUE_SHARE</x:v>
      </x:c>
    </x:row>
    <x:row r="2266">
      <x:c r="A2266" s="54" t="n">
        <x:v>45291</x:v>
      </x:c>
      <x:c r="B2266" t="n">
        <x:v>45291.624999988424</x:v>
      </x:c>
      <x:c r="C2266" t="str">
        <x:v>340930</x:v>
      </x:c>
      <x:c r="D2266" t="str">
        <x:v>유일에너테크</x:v>
      </x:c>
      <x:c r="E2266" t="str">
        <x:v>KOSDAQ</x:v>
      </x:c>
      <x:c r="F2266" t="str">
        <x:v>SMALL</x:v>
      </x:c>
      <x:c r="G2266" t="str">
        <x:v>DCF_SCREENING_EXCLUSION</x:v>
      </x:c>
      <x:c r="H2266" t="str">
        <x:v>NON_POSITIVE_ENTERPRISE_VALUE|NON_POSITIVE_EQUITY_VALUE|NON_POSITIVE_TERMINAL_FCF</x:v>
      </x:c>
      <x:c r="I2266" s="54" t="n">
        <x:v>45288</x:v>
      </x:c>
      <x:c r="J2266" s="55" t="n">
        <x:v>11440</x:v>
      </x:c>
      <x:c r="K2266" s="55" t="n">
        <x:v>131195636000</x:v>
      </x:c>
      <x:c r="L2266" s="55" t="n">
        <x:v>11468150</x:v>
      </x:c>
      <x:c r="M2266" t="str">
        <x:v>20230727000375</x:v>
      </x:c>
      <x:c r="N2266" t="n">
        <x:v>45134.624999988424</x:v>
      </x:c>
      <x:c r="O2266" s="54" t="n">
        <x:v>44926</x:v>
      </x:c>
      <x:c r="P2266" t="str">
        <x:v>True</x:v>
      </x:c>
      <x:c r="Q2266" t="str">
        <x:v>4c9d26c95debc2182adf7d54ccacf0b9a8d98c2ac03d45e32dd8bda34c820400</x:v>
      </x:c>
      <x:c r="R2266" t="str">
        <x:v>97a09a73cd6fcbb824c62acb62ad9d5bc39990d1cb92534152c76c17c500d7cd</x:v>
      </x:c>
      <x:c r="S2266" t="n">
        <x:v>7</x:v>
      </x:c>
      <x:c r="T2266" t="str">
        <x:v>2020-12-31|2021-12-31|2022-12-31</x:v>
      </x:c>
      <x:c r="U2266" s="57" t="n">
        <x:v>-12105.273678070636</x:v>
      </x:c>
      <x:c r="V2266" s="57" t="n">
        <x:v>-2.058153293537643</x:v>
      </x:c>
      <x:c r="W2266"/>
      <x:c r="X2266"/>
      <x:c r="Y2266" s="38" t="n">
        <x:v>0.6409090909090909</x:v>
      </x:c>
      <x:c r="Z2266" s="38" t="n">
        <x:v>0.6236446277888583</x:v>
      </x:c>
      <x:c r="AA2266" t="str">
        <x:v>NON_POSITIVE_ENTERPRISE_VALUE|NON_POSITIVE_EQUITY_VALUE|NON_POSITIVE_TERMINAL_FCF</x:v>
      </x:c>
    </x:row>
    <x:row r="2267">
      <x:c r="A2267" s="54" t="n">
        <x:v>45291</x:v>
      </x:c>
      <x:c r="B2267" t="n">
        <x:v>45291.624999988424</x:v>
      </x:c>
      <x:c r="C2267" t="str">
        <x:v>057030</x:v>
      </x:c>
      <x:c r="D2267" t="str">
        <x:v>YBM넷</x:v>
      </x:c>
      <x:c r="E2267" t="str">
        <x:v>KOSDAQ</x:v>
      </x:c>
      <x:c r="F2267" t="str">
        <x:v>SMALL</x:v>
      </x:c>
      <x:c r="G2267" t="str">
        <x:v>ELIGIBLE</x:v>
      </x:c>
      <x:c r="H2267"/>
      <x:c r="I2267" s="54" t="n">
        <x:v>45288</x:v>
      </x:c>
      <x:c r="J2267" s="55" t="n">
        <x:v>4820</x:v>
      </x:c>
      <x:c r="K2267" s="55" t="n">
        <x:v>78627199540</x:v>
      </x:c>
      <x:c r="L2267" s="55" t="n">
        <x:v>16312697</x:v>
      </x:c>
      <x:c r="M2267" t="str">
        <x:v>20230323001037</x:v>
      </x:c>
      <x:c r="N2267" t="n">
        <x:v>45008.624999988424</x:v>
      </x:c>
      <x:c r="O2267" s="54" t="n">
        <x:v>44926</x:v>
      </x:c>
      <x:c r="P2267" t="str">
        <x:v>False</x:v>
      </x:c>
      <x:c r="Q2267" t="str">
        <x:v>ce091b9f145ad6c6d09491c04337fb3f75aca3e033aa3e1a266a4e850f7cdc36</x:v>
      </x:c>
      <x:c r="R2267" t="str">
        <x:v>67422e9dc9ea5c57476b7fc88ec0cf9d433812df4f02cd3668c9ef4832958748</x:v>
      </x:c>
      <x:c r="S2267" t="n">
        <x:v>6</x:v>
      </x:c>
      <x:c r="T2267" t="str">
        <x:v>2018-12-31|2019-12-31|2020-12-31|2021-12-31|2022-12-31</x:v>
      </x:c>
      <x:c r="U2267" s="57" t="n">
        <x:v>1779.8615662370728</x:v>
      </x:c>
      <x:c r="V2267" s="57" t="n">
        <x:v>-0.6307341148885741</x:v>
      </x:c>
      <x:c r="W2267" t="n">
        <x:v>51</x:v>
      </x:c>
      <x:c r="X2267" t="n">
        <x:v>4</x:v>
      </x:c>
      <x:c r="Y2267" s="38" t="n">
        <x:v>0.6409090909090909</x:v>
      </x:c>
      <x:c r="Z2267" s="38" t="n">
        <x:v>0.5218083711789233</x:v>
      </x:c>
      <x:c r="AA2267"/>
    </x:row>
    <x:row r="2268">
      <x:c r="A2268" s="54" t="n">
        <x:v>45291</x:v>
      </x:c>
      <x:c r="B2268" t="n">
        <x:v>45291.624999988424</x:v>
      </x:c>
      <x:c r="C2268" t="str">
        <x:v>053160</x:v>
      </x:c>
      <x:c r="D2268" t="str">
        <x:v>프리엠스</x:v>
      </x:c>
      <x:c r="E2268" t="str">
        <x:v>KOSDAQ</x:v>
      </x:c>
      <x:c r="F2268" t="str">
        <x:v>SMALL</x:v>
      </x:c>
      <x:c r="G2268" t="str">
        <x:v>ELIGIBLE</x:v>
      </x:c>
      <x:c r="H2268"/>
      <x:c r="I2268" s="54" t="n">
        <x:v>45288</x:v>
      </x:c>
      <x:c r="J2268" s="55" t="n">
        <x:v>13900</x:v>
      </x:c>
      <x:c r="K2268" s="55" t="n">
        <x:v>83400000000</x:v>
      </x:c>
      <x:c r="L2268" s="55" t="n">
        <x:v>6000000</x:v>
      </x:c>
      <x:c r="M2268" t="str">
        <x:v>20230321001115</x:v>
      </x:c>
      <x:c r="N2268" t="n">
        <x:v>45006.624999988424</x:v>
      </x:c>
      <x:c r="O2268" s="54" t="n">
        <x:v>44926</x:v>
      </x:c>
      <x:c r="P2268" t="str">
        <x:v>False</x:v>
      </x:c>
      <x:c r="Q2268" t="str">
        <x:v>b2dfcc79e91edc63e13d4186a98f21a42f353eaf6fe6d9e9374e73be3bee3fb7</x:v>
      </x:c>
      <x:c r="R2268" t="str">
        <x:v>1acade6ca6b6edeb5442d561dd223ff598601b026acd351edc13c8a5e7da331c</x:v>
      </x:c>
      <x:c r="S2268" t="n">
        <x:v>7</x:v>
      </x:c>
      <x:c r="T2268" t="str">
        <x:v>2018-12-31|2019-12-31|2020-12-31|2021-12-31|2022-12-31</x:v>
      </x:c>
      <x:c r="U2268" s="57" t="n">
        <x:v>1821.8855425061884</x:v>
      </x:c>
      <x:c r="V2268" s="57" t="n">
        <x:v>-0.8689290976614253</x:v>
      </x:c>
      <x:c r="W2268" t="n">
        <x:v>66</x:v>
      </x:c>
      <x:c r="X2268" t="n">
        <x:v>5</x:v>
      </x:c>
      <x:c r="Y2268" s="38" t="n">
        <x:v>0.6409090909090909</x:v>
      </x:c>
      <x:c r="Z2268" s="38" t="n">
        <x:v>0.8440169237053482</x:v>
      </x:c>
      <x:c r="AA2268"/>
    </x:row>
    <x:row r="2269">
      <x:c r="A2269" s="54" t="n">
        <x:v>45291</x:v>
      </x:c>
      <x:c r="B2269" t="n">
        <x:v>45291.624999988424</x:v>
      </x:c>
      <x:c r="C2269" t="str">
        <x:v>038620</x:v>
      </x:c>
      <x:c r="D2269" t="str">
        <x:v>위즈코프</x:v>
      </x:c>
      <x:c r="E2269" t="str">
        <x:v>KOSDAQ</x:v>
      </x:c>
      <x:c r="F2269" t="str">
        <x:v>SMALL</x:v>
      </x:c>
      <x:c r="G2269" t="str">
        <x:v>ELIGIBLE</x:v>
      </x:c>
      <x:c r="H2269"/>
      <x:c r="I2269" s="54" t="n">
        <x:v>45288</x:v>
      </x:c>
      <x:c r="J2269" s="55" t="n">
        <x:v>796</x:v>
      </x:c>
      <x:c r="K2269" s="55" t="n">
        <x:v>52970986140</x:v>
      </x:c>
      <x:c r="L2269" s="55" t="n">
        <x:v>66546465</x:v>
      </x:c>
      <x:c r="M2269" t="str">
        <x:v>20230321000864</x:v>
      </x:c>
      <x:c r="N2269" t="n">
        <x:v>45006.624999988424</x:v>
      </x:c>
      <x:c r="O2269" s="54" t="n">
        <x:v>44926</x:v>
      </x:c>
      <x:c r="P2269" t="str">
        <x:v>False</x:v>
      </x:c>
      <x:c r="Q2269" t="str">
        <x:v>edc3b8b29e0450380a4e6806abcf4d131c8abb0ceaf857f4a1dba04e7d7fe600</x:v>
      </x:c>
      <x:c r="R2269" t="str">
        <x:v>527fff5308032f95072aa08fff750482a4ecde95deb4fe00b46c48e06427242e</x:v>
      </x:c>
      <x:c r="S2269" t="n">
        <x:v>5</x:v>
      </x:c>
      <x:c r="T2269" t="str">
        <x:v>2018-12-31|2019-12-31|2020-12-31|2021-12-31|2022-12-31</x:v>
      </x:c>
      <x:c r="U2269" s="57" t="n">
        <x:v>426.0114082458841</x:v>
      </x:c>
      <x:c r="V2269" s="57" t="n">
        <x:v>-0.46480978863582395</x:v>
      </x:c>
      <x:c r="W2269" t="n">
        <x:v>43</x:v>
      </x:c>
      <x:c r="X2269" t="n">
        <x:v>4</x:v>
      </x:c>
      <x:c r="Y2269" s="38" t="n">
        <x:v>0.6409090909090909</x:v>
      </x:c>
      <x:c r="Z2269" s="38" t="n">
        <x:v>0.5889916216817043</x:v>
      </x:c>
      <x:c r="AA2269"/>
    </x:row>
    <x:row r="2270">
      <x:c r="A2270" s="54" t="n">
        <x:v>45291</x:v>
      </x:c>
      <x:c r="B2270" t="n">
        <x:v>45291.624999988424</x:v>
      </x:c>
      <x:c r="C2270" t="str">
        <x:v>313760</x:v>
      </x:c>
      <x:c r="D2270" t="str">
        <x:v>캐리</x:v>
      </x:c>
      <x:c r="E2270" t="str">
        <x:v>KOSDAQ</x:v>
      </x:c>
      <x:c r="F2270" t="str">
        <x:v>SMALL</x:v>
      </x:c>
      <x:c r="G2270" t="str">
        <x:v>DCF_SCREENING_EXCLUSION</x:v>
      </x:c>
      <x:c r="H2270" t="str">
        <x:v>NON_POSITIVE_ENTERPRISE_VALUE|NON_POSITIVE_EQUITY_VALUE|NON_POSITIVE_TERMINAL_FCF</x:v>
      </x:c>
      <x:c r="I2270" s="54" t="n">
        <x:v>45288</x:v>
      </x:c>
      <x:c r="J2270" s="55" t="n">
        <x:v>6730</x:v>
      </x:c>
      <x:c r="K2270" s="55" t="n">
        <x:v>38959169130</x:v>
      </x:c>
      <x:c r="L2270" s="55" t="n">
        <x:v>5788881</x:v>
      </x:c>
      <x:c r="M2270" t="str">
        <x:v>20230321000948</x:v>
      </x:c>
      <x:c r="N2270" t="n">
        <x:v>45006.624999988424</x:v>
      </x:c>
      <x:c r="O2270" s="54" t="n">
        <x:v>44926</x:v>
      </x:c>
      <x:c r="P2270" t="str">
        <x:v>False</x:v>
      </x:c>
      <x:c r="Q2270" t="str">
        <x:v>595323229b13489978ad4695c5237b7f5b3f6201d10d45817b31f37dc9cc8bac</x:v>
      </x:c>
      <x:c r="R2270" t="str">
        <x:v>a2763f65b03f79411deae2a2854479094bd17f0dcf7a465bc22005586391f34c</x:v>
      </x:c>
      <x:c r="S2270" t="n">
        <x:v>6</x:v>
      </x:c>
      <x:c r="T2270" t="str">
        <x:v>2019-12-31|2020-12-31|2021-12-31|2022-12-31</x:v>
      </x:c>
      <x:c r="U2270" s="57" t="n">
        <x:v>-6686.957460462565</x:v>
      </x:c>
      <x:c r="V2270" s="57" t="n">
        <x:v>-1.9936043774832934</x:v>
      </x:c>
      <x:c r="W2270"/>
      <x:c r="X2270"/>
      <x:c r="Y2270" s="38" t="n">
        <x:v>0.6409090909090909</x:v>
      </x:c>
      <x:c r="Z2270" s="38" t="n">
        <x:v>0.26717094415135195</x:v>
      </x:c>
      <x:c r="AA2270" t="str">
        <x:v>NON_POSITIVE_ENTERPRISE_VALUE|NON_POSITIVE_EQUITY_VALUE|NON_POSITIVE_TERMINAL_FCF</x:v>
      </x:c>
    </x:row>
    <x:row r="2271">
      <x:c r="A2271" s="54" t="n">
        <x:v>45291</x:v>
      </x:c>
      <x:c r="B2271" t="n">
        <x:v>45291.624999988424</x:v>
      </x:c>
      <x:c r="C2271" t="str">
        <x:v>372800</x:v>
      </x:c>
      <x:c r="D2271" t="str">
        <x:v>아이티아이즈</x:v>
      </x:c>
      <x:c r="E2271" t="str">
        <x:v>KOSDAQ</x:v>
      </x:c>
      <x:c r="F2271" t="str">
        <x:v>SMALL</x:v>
      </x:c>
      <x:c r="G2271" t="str">
        <x:v>DCF_SCREENING_EXCLUSION</x:v>
      </x:c>
      <x:c r="H2271" t="str">
        <x:v>NON_POSITIVE_ENTERPRISE_VALUE|NON_POSITIVE_EQUITY_VALUE|NON_POSITIVE_TERMINAL_FCF</x:v>
      </x:c>
      <x:c r="I2271" s="54" t="n">
        <x:v>45288</x:v>
      </x:c>
      <x:c r="J2271" s="55" t="n">
        <x:v>7140</x:v>
      </x:c>
      <x:c r="K2271" s="55" t="n">
        <x:v>43032708600</x:v>
      </x:c>
      <x:c r="L2271" s="55" t="n">
        <x:v>6026990</x:v>
      </x:c>
      <x:c r="M2271" t="str">
        <x:v>20230321000514</x:v>
      </x:c>
      <x:c r="N2271" t="n">
        <x:v>45006.624999988424</x:v>
      </x:c>
      <x:c r="O2271" s="54" t="n">
        <x:v>44926</x:v>
      </x:c>
      <x:c r="P2271" t="str">
        <x:v>False</x:v>
      </x:c>
      <x:c r="Q2271" t="str">
        <x:v>e6c8afdaa7ba3e8f4e0b2a03fdb12d918a90bdc567c2e105c08df9fb5ea1d246</x:v>
      </x:c>
      <x:c r="R2271" t="str">
        <x:v>b3e952c30ffe3cdce6a5172f4a452b9dcbd4a8f83f6dafb3e9f03a65129ec534</x:v>
      </x:c>
      <x:c r="S2271" t="n">
        <x:v>7</x:v>
      </x:c>
      <x:c r="T2271" t="str">
        <x:v>2021-12-31|2022-12-31</x:v>
      </x:c>
      <x:c r="U2271" s="57" t="n">
        <x:v>-6723.595069144311</x:v>
      </x:c>
      <x:c r="V2271" s="57" t="n">
        <x:v>-1.9416799816728727</x:v>
      </x:c>
      <x:c r="W2271"/>
      <x:c r="X2271"/>
      <x:c r="Y2271" s="38" t="n">
        <x:v>0.6409090909090909</x:v>
      </x:c>
      <x:c r="Z2271" s="38" t="n">
        <x:v>0.5378744047405174</x:v>
      </x:c>
      <x:c r="AA2271" t="str">
        <x:v>NON_POSITIVE_ENTERPRISE_VALUE|NON_POSITIVE_EQUITY_VALUE|NON_POSITIVE_TERMINAL_FCF</x:v>
      </x:c>
    </x:row>
    <x:row r="2272">
      <x:c r="A2272" s="54" t="n">
        <x:v>45291</x:v>
      </x:c>
      <x:c r="B2272" t="n">
        <x:v>45291.624999988424</x:v>
      </x:c>
      <x:c r="C2272" t="str">
        <x:v>332290</x:v>
      </x:c>
      <x:c r="D2272" t="str">
        <x:v>누보</x:v>
      </x:c>
      <x:c r="E2272" t="str">
        <x:v>KOSDAQ</x:v>
      </x:c>
      <x:c r="F2272" t="str">
        <x:v>SMALL</x:v>
      </x:c>
      <x:c r="G2272" t="str">
        <x:v>DCF_SCREENING_EXCLUSION</x:v>
      </x:c>
      <x:c r="H2272" t="str">
        <x:v>NON_POSITIVE_ENTERPRISE_VALUE|NON_POSITIVE_EQUITY_VALUE|NON_POSITIVE_TERMINAL_FCF</x:v>
      </x:c>
      <x:c r="I2272" s="54" t="n">
        <x:v>45288</x:v>
      </x:c>
      <x:c r="J2272" s="55" t="n">
        <x:v>1618</x:v>
      </x:c>
      <x:c r="K2272" s="55" t="n">
        <x:v>54016611254</x:v>
      </x:c>
      <x:c r="L2272" s="55" t="n">
        <x:v>33384803</x:v>
      </x:c>
      <x:c r="M2272" t="str">
        <x:v>20230323001024</x:v>
      </x:c>
      <x:c r="N2272" t="n">
        <x:v>45008.624999988424</x:v>
      </x:c>
      <x:c r="O2272" s="54" t="n">
        <x:v>44926</x:v>
      </x:c>
      <x:c r="P2272" t="str">
        <x:v>False</x:v>
      </x:c>
      <x:c r="Q2272" t="str">
        <x:v>385f93186157285492b9794e4f0eb20047901a652d87b6dbf5ccecd8e3ac3b00</x:v>
      </x:c>
      <x:c r="R2272" t="str">
        <x:v>0e0eb4e08fe9a44424274a4b1602731333300bf9f71614cab6033f19692a533c</x:v>
      </x:c>
      <x:c r="S2272" t="n">
        <x:v>6</x:v>
      </x:c>
      <x:c r="T2272" t="str">
        <x:v>2022-12-31</x:v>
      </x:c>
      <x:c r="U2272" s="57" t="n">
        <x:v>-1729.3908949074823</x:v>
      </x:c>
      <x:c r="V2272" s="57" t="n">
        <x:v>-2.0688448052580237</x:v>
      </x:c>
      <x:c r="W2272"/>
      <x:c r="X2272"/>
      <x:c r="Y2272" s="38" t="n">
        <x:v>0.6409090909090909</x:v>
      </x:c>
      <x:c r="Z2272" s="38" t="n">
        <x:v>0.6264850986190418</x:v>
      </x:c>
      <x:c r="AA2272" t="str">
        <x:v>NON_POSITIVE_ENTERPRISE_VALUE|NON_POSITIVE_EQUITY_VALUE|NON_POSITIVE_TERMINAL_FCF</x:v>
      </x:c>
    </x:row>
    <x:row r="2273">
      <x:c r="A2273" s="54" t="n">
        <x:v>45291</x:v>
      </x:c>
      <x:c r="B2273" t="n">
        <x:v>45291.624999988424</x:v>
      </x:c>
      <x:c r="C2273" t="str">
        <x:v>059100</x:v>
      </x:c>
      <x:c r="D2273" t="str">
        <x:v>아이컴포넌트</x:v>
      </x:c>
      <x:c r="E2273" t="str">
        <x:v>KOSDAQ</x:v>
      </x:c>
      <x:c r="F2273" t="str">
        <x:v>SMALL</x:v>
      </x:c>
      <x:c r="G2273" t="str">
        <x:v>ELIGIBLE</x:v>
      </x:c>
      <x:c r="H2273"/>
      <x:c r="I2273" s="54" t="n">
        <x:v>45288</x:v>
      </x:c>
      <x:c r="J2273" s="55" t="n">
        <x:v>8090</x:v>
      </x:c>
      <x:c r="K2273" s="55" t="n">
        <x:v>57203257400</x:v>
      </x:c>
      <x:c r="L2273" s="55" t="n">
        <x:v>7070860</x:v>
      </x:c>
      <x:c r="M2273" t="str">
        <x:v>20230315000496</x:v>
      </x:c>
      <x:c r="N2273" t="n">
        <x:v>45000.624999988424</x:v>
      </x:c>
      <x:c r="O2273" s="54" t="n">
        <x:v>44926</x:v>
      </x:c>
      <x:c r="P2273" t="str">
        <x:v>False</x:v>
      </x:c>
      <x:c r="Q2273" t="str">
        <x:v>590760555b24b8ca83f46bb6f947be08fef7998df137b8ee3a688eedd86cdad4</x:v>
      </x:c>
      <x:c r="R2273" t="str">
        <x:v>affd50f0a869764aadd98c32bf33a9c4839fc0d058b1aa9f359eb7a44a16139d</x:v>
      </x:c>
      <x:c r="S2273" t="n">
        <x:v>7</x:v>
      </x:c>
      <x:c r="T2273" t="str">
        <x:v>2018-12-31|2019-12-31|2020-12-31|2021-12-31|2022-12-31</x:v>
      </x:c>
      <x:c r="U2273" s="57" t="n">
        <x:v>1975.0427853653218</x:v>
      </x:c>
      <x:c r="V2273" s="57" t="n">
        <x:v>-0.7558661575568205</x:v>
      </x:c>
      <x:c r="W2273" t="n">
        <x:v>58</x:v>
      </x:c>
      <x:c r="X2273" t="n">
        <x:v>5</x:v>
      </x:c>
      <x:c r="Y2273" s="38" t="n">
        <x:v>0.6409090909090909</x:v>
      </x:c>
      <x:c r="Z2273" s="38" t="n">
        <x:v>0.6108028309188008</x:v>
      </x:c>
      <x:c r="AA2273"/>
    </x:row>
    <x:row r="2274">
      <x:c r="A2274" s="54" t="n">
        <x:v>45291</x:v>
      </x:c>
      <x:c r="B2274" t="n">
        <x:v>45291.624999988424</x:v>
      </x:c>
      <x:c r="C2274" t="str">
        <x:v>060900</x:v>
      </x:c>
      <x:c r="D2274" t="str">
        <x:v>DGP</x:v>
      </x:c>
      <x:c r="E2274" t="str">
        <x:v>KOSDAQ</x:v>
      </x:c>
      <x:c r="F2274" t="str">
        <x:v>SMALL</x:v>
      </x:c>
      <x:c r="G2274" t="str">
        <x:v>DCF_SCREENING_EXCLUSION</x:v>
      </x:c>
      <x:c r="H2274" t="str">
        <x:v>NON_POSITIVE_ENTERPRISE_VALUE|NON_POSITIVE_EQUITY_VALUE|NON_POSITIVE_TERMINAL_FCF</x:v>
      </x:c>
      <x:c r="I2274" s="54" t="n">
        <x:v>45288</x:v>
      </x:c>
      <x:c r="J2274" s="55" t="n">
        <x:v>1613</x:v>
      </x:c>
      <x:c r="K2274" s="55" t="n">
        <x:v>40741523377</x:v>
      </x:c>
      <x:c r="L2274" s="55" t="n">
        <x:v>25258229</x:v>
      </x:c>
      <x:c r="M2274" t="str">
        <x:v>20230321000921</x:v>
      </x:c>
      <x:c r="N2274" t="n">
        <x:v>45006.624999988424</x:v>
      </x:c>
      <x:c r="O2274" s="54" t="n">
        <x:v>44926</x:v>
      </x:c>
      <x:c r="P2274" t="str">
        <x:v>False</x:v>
      </x:c>
      <x:c r="Q2274" t="str">
        <x:v>a3a7b5a2b435fd1ddeaa245339b854f9c1ad877a4376efd00b89c8f1bfcede34</x:v>
      </x:c>
      <x:c r="R2274" t="str">
        <x:v>a2f71697d0cc88f729c4125813229441d6c19f22d3cf2ce257be7b61e0f35e7d</x:v>
      </x:c>
      <x:c r="S2274" t="n">
        <x:v>5</x:v>
      </x:c>
      <x:c r="T2274" t="str">
        <x:v>2018-12-31|2019-12-31|2021-12-31|2022-12-31</x:v>
      </x:c>
      <x:c r="U2274" s="57" t="n">
        <x:v>-2760.677057526389</x:v>
      </x:c>
      <x:c r="V2274" s="57" t="n">
        <x:v>-2.7115170846412826</x:v>
      </x:c>
      <x:c r="W2274"/>
      <x:c r="X2274"/>
      <x:c r="Y2274" s="38" t="n">
        <x:v>0.6409090909090909</x:v>
      </x:c>
      <x:c r="Z2274" s="38" t="n">
        <x:v>0.6877366627079367</x:v>
      </x:c>
      <x:c r="AA2274" t="str">
        <x:v>NON_POSITIVE_ENTERPRISE_VALUE|NON_POSITIVE_EQUITY_VALUE|NON_POSITIVE_TERMINAL_FCF</x:v>
      </x:c>
    </x:row>
    <x:row r="2275">
      <x:c r="A2275" s="54" t="n">
        <x:v>45291</x:v>
      </x:c>
      <x:c r="B2275" t="n">
        <x:v>45291.624999988424</x:v>
      </x:c>
      <x:c r="C2275" t="str">
        <x:v>232830</x:v>
      </x:c>
      <x:c r="D2275" t="str">
        <x:v>아이티센피엔에스</x:v>
      </x:c>
      <x:c r="E2275" t="str">
        <x:v>KOSDAQ</x:v>
      </x:c>
      <x:c r="F2275" t="str">
        <x:v>SMALL</x:v>
      </x:c>
      <x:c r="G2275" t="str">
        <x:v>NO_PIT_FINANCIALS</x:v>
      </x:c>
      <x:c r="H2275"/>
      <x:c r="I2275" s="54" t="n">
        <x:v>45288</x:v>
      </x:c>
      <x:c r="J2275" s="55" t="n">
        <x:v>4870</x:v>
      </x:c>
      <x:c r="K2275" s="55" t="n">
        <x:v>57015388640</x:v>
      </x:c>
      <x:c r="L2275" s="55" t="n">
        <x:v>11707472</x:v>
      </x:c>
      <x:c r="M2275"/>
      <x:c r="N2275"/>
      <x:c r="O2275" s="54"/>
      <x:c r="P2275"/>
      <x:c r="Q2275"/>
      <x:c r="R2275"/>
      <x:c r="S2275"/>
      <x:c r="T2275"/>
      <x:c r="U2275" s="57"/>
      <x:c r="V2275" s="57"/>
      <x:c r="W2275"/>
      <x:c r="X2275"/>
      <x:c r="Y2275" s="38"/>
      <x:c r="Z2275" s="38"/>
      <x:c r="AA2275"/>
    </x:row>
    <x:row r="2276">
      <x:c r="A2276" s="54" t="n">
        <x:v>45291</x:v>
      </x:c>
      <x:c r="B2276" t="n">
        <x:v>45291.624999988424</x:v>
      </x:c>
      <x:c r="C2276" t="str">
        <x:v>070590</x:v>
      </x:c>
      <x:c r="D2276" t="str">
        <x:v>한솔인티큐브</x:v>
      </x:c>
      <x:c r="E2276" t="str">
        <x:v>KOSDAQ</x:v>
      </x:c>
      <x:c r="F2276" t="str">
        <x:v>SMALL</x:v>
      </x:c>
      <x:c r="G2276" t="str">
        <x:v>DCF_SCREENING_EXCLUSION</x:v>
      </x:c>
      <x:c r="H2276" t="str">
        <x:v>NON_POSITIVE_ENTERPRISE_VALUE|NON_POSITIVE_EQUITY_VALUE|NON_POSITIVE_TERMINAL_FCF</x:v>
      </x:c>
      <x:c r="I2276" s="54" t="n">
        <x:v>45288</x:v>
      </x:c>
      <x:c r="J2276" s="55" t="n">
        <x:v>1703</x:v>
      </x:c>
      <x:c r="K2276" s="55" t="n">
        <x:v>23636824263</x:v>
      </x:c>
      <x:c r="L2276" s="55" t="n">
        <x:v>13879521</x:v>
      </x:c>
      <x:c r="M2276" t="str">
        <x:v>20230314001266</x:v>
      </x:c>
      <x:c r="N2276" t="n">
        <x:v>44999.624999988424</x:v>
      </x:c>
      <x:c r="O2276" s="54" t="n">
        <x:v>44926</x:v>
      </x:c>
      <x:c r="P2276" t="str">
        <x:v>False</x:v>
      </x:c>
      <x:c r="Q2276" t="str">
        <x:v>899914e2e79c458a718c1a2ff51257f7afda365621d0d454aaddec82cdcec43f</x:v>
      </x:c>
      <x:c r="R2276" t="str">
        <x:v>dcc64751a501c29d71ad971f9b229a75ea1a75dc19a4c00fab50c0d5b2a20898</x:v>
      </x:c>
      <x:c r="S2276" t="n">
        <x:v>6</x:v>
      </x:c>
      <x:c r="T2276" t="str">
        <x:v>2018-12-31|2019-12-31|2020-12-31|2021-12-31|2022-12-31</x:v>
      </x:c>
      <x:c r="U2276" s="57" t="n">
        <x:v>-854.2895297456943</x:v>
      </x:c>
      <x:c r="V2276" s="57" t="n">
        <x:v>-1.5016380092458568</x:v>
      </x:c>
      <x:c r="W2276"/>
      <x:c r="X2276"/>
      <x:c r="Y2276" s="38" t="n">
        <x:v>0.6409090909090909</x:v>
      </x:c>
      <x:c r="Z2276" s="38" t="n">
        <x:v>0.46660484779054157</x:v>
      </x:c>
      <x:c r="AA2276" t="str">
        <x:v>NON_POSITIVE_ENTERPRISE_VALUE|NON_POSITIVE_EQUITY_VALUE|NON_POSITIVE_TERMINAL_FCF</x:v>
      </x:c>
    </x:row>
    <x:row r="2277">
      <x:c r="A2277" s="54" t="n">
        <x:v>45291</x:v>
      </x:c>
      <x:c r="B2277" t="n">
        <x:v>45291.624999988424</x:v>
      </x:c>
      <x:c r="C2277" t="str">
        <x:v>163560</x:v>
      </x:c>
      <x:c r="D2277" t="str">
        <x:v>동일고무벨트</x:v>
      </x:c>
      <x:c r="E2277" t="str">
        <x:v>KOSPI</x:v>
      </x:c>
      <x:c r="F2277" t="str">
        <x:v>SMALL</x:v>
      </x:c>
      <x:c r="G2277" t="str">
        <x:v>ELIGIBLE</x:v>
      </x:c>
      <x:c r="H2277"/>
      <x:c r="I2277" s="54" t="n">
        <x:v>45288</x:v>
      </x:c>
      <x:c r="J2277" s="55" t="n">
        <x:v>6200</x:v>
      </x:c>
      <x:c r="K2277" s="55" t="n">
        <x:v>86180000000</x:v>
      </x:c>
      <x:c r="L2277" s="55" t="n">
        <x:v>13900000</x:v>
      </x:c>
      <x:c r="M2277" t="str">
        <x:v>20230314000884</x:v>
      </x:c>
      <x:c r="N2277" t="n">
        <x:v>44999.624999988424</x:v>
      </x:c>
      <x:c r="O2277" s="54" t="n">
        <x:v>44926</x:v>
      </x:c>
      <x:c r="P2277" t="str">
        <x:v>False</x:v>
      </x:c>
      <x:c r="Q2277" t="str">
        <x:v>e1af9e07f54b08b31e6319135c3557d45c47b7108d497a5ebef5a4c34391d077</x:v>
      </x:c>
      <x:c r="R2277" t="str">
        <x:v>d66a2a512ef36e9a8c618d56a66759390209677074b942d530d3e7ed873093fc</x:v>
      </x:c>
      <x:c r="S2277" t="n">
        <x:v>5</x:v>
      </x:c>
      <x:c r="T2277" t="str">
        <x:v>2018-12-31|2019-12-31|2020-12-31|2021-12-31|2022-12-31</x:v>
      </x:c>
      <x:c r="U2277" s="57" t="n">
        <x:v>3977.580104654106</x:v>
      </x:c>
      <x:c r="V2277" s="57" t="n">
        <x:v>-0.35845482182998295</x:v>
      </x:c>
      <x:c r="W2277" t="n">
        <x:v>36</x:v>
      </x:c>
      <x:c r="X2277" t="n">
        <x:v>3</x:v>
      </x:c>
      <x:c r="Y2277" s="38" t="n">
        <x:v>0.6409090909090909</x:v>
      </x:c>
      <x:c r="Z2277" s="38" t="n">
        <x:v>0.7515064542839399</x:v>
      </x:c>
      <x:c r="AA2277"/>
    </x:row>
    <x:row r="2278">
      <x:c r="A2278" s="54" t="n">
        <x:v>45291</x:v>
      </x:c>
      <x:c r="B2278" t="n">
        <x:v>45291.624999988424</x:v>
      </x:c>
      <x:c r="C2278" t="str">
        <x:v>004830</x:v>
      </x:c>
      <x:c r="D2278" t="str">
        <x:v>덕성</x:v>
      </x:c>
      <x:c r="E2278" t="str">
        <x:v>KOSPI</x:v>
      </x:c>
      <x:c r="F2278" t="str">
        <x:v>SMALL</x:v>
      </x:c>
      <x:c r="G2278" t="str">
        <x:v>ELIGIBLE</x:v>
      </x:c>
      <x:c r="H2278"/>
      <x:c r="I2278" s="54" t="n">
        <x:v>45288</x:v>
      </x:c>
      <x:c r="J2278" s="55" t="n">
        <x:v>7860</x:v>
      </x:c>
      <x:c r="K2278" s="55" t="n">
        <x:v>123244800000</x:v>
      </x:c>
      <x:c r="L2278" s="55" t="n">
        <x:v>15680000</x:v>
      </x:c>
      <x:c r="M2278" t="str">
        <x:v>20230317000725</x:v>
      </x:c>
      <x:c r="N2278" t="n">
        <x:v>45002.624999988424</x:v>
      </x:c>
      <x:c r="O2278" s="54" t="n">
        <x:v>44926</x:v>
      </x:c>
      <x:c r="P2278" t="str">
        <x:v>False</x:v>
      </x:c>
      <x:c r="Q2278" t="str">
        <x:v>f050cbf10b3afeec85fa14f52a00c27e024f1d4a8ba6e536874a3fbba610a8a9</x:v>
      </x:c>
      <x:c r="R2278" t="str">
        <x:v>97435f046c63b71b1e391f1bc6352312bbdaa33ab8ef3b6e2b3e3762477304d6</x:v>
      </x:c>
      <x:c r="S2278" t="n">
        <x:v>7</x:v>
      </x:c>
      <x:c r="T2278" t="str">
        <x:v>2018-12-31|2019-12-31|2020-12-31|2021-12-31|2022-12-31</x:v>
      </x:c>
      <x:c r="U2278" s="57" t="n">
        <x:v>2778.8065618787664</x:v>
      </x:c>
      <x:c r="V2278" s="57" t="n">
        <x:v>-0.646462269481073</x:v>
      </x:c>
      <x:c r="W2278" t="n">
        <x:v>52</x:v>
      </x:c>
      <x:c r="X2278" t="n">
        <x:v>4</x:v>
      </x:c>
      <x:c r="Y2278" s="38" t="n">
        <x:v>0.6409090909090909</x:v>
      </x:c>
      <x:c r="Z2278" s="38" t="n">
        <x:v>0.6705959802185688</x:v>
      </x:c>
      <x:c r="AA2278"/>
    </x:row>
    <x:row r="2279">
      <x:c r="A2279" s="54" t="n">
        <x:v>45291</x:v>
      </x:c>
      <x:c r="B2279" t="n">
        <x:v>45291.624999988424</x:v>
      </x:c>
      <x:c r="C2279" t="str">
        <x:v>014440</x:v>
      </x:c>
      <x:c r="D2279" t="str">
        <x:v>영보화학</x:v>
      </x:c>
      <x:c r="E2279" t="str">
        <x:v>KOSPI</x:v>
      </x:c>
      <x:c r="F2279" t="str">
        <x:v>SMALL</x:v>
      </x:c>
      <x:c r="G2279" t="str">
        <x:v>ELIGIBLE</x:v>
      </x:c>
      <x:c r="H2279"/>
      <x:c r="I2279" s="54" t="n">
        <x:v>45288</x:v>
      </x:c>
      <x:c r="J2279" s="55" t="n">
        <x:v>3760</x:v>
      </x:c>
      <x:c r="K2279" s="55" t="n">
        <x:v>75200000000</x:v>
      </x:c>
      <x:c r="L2279" s="55" t="n">
        <x:v>20000000</x:v>
      </x:c>
      <x:c r="M2279" t="str">
        <x:v>20230315000345</x:v>
      </x:c>
      <x:c r="N2279" t="n">
        <x:v>45000.624999988424</x:v>
      </x:c>
      <x:c r="O2279" s="54" t="n">
        <x:v>44926</x:v>
      </x:c>
      <x:c r="P2279" t="str">
        <x:v>False</x:v>
      </x:c>
      <x:c r="Q2279" t="str">
        <x:v>d63d9fa8510e2308020934e7c0b199c248549e13d003ee246c6e1fc306e90076</x:v>
      </x:c>
      <x:c r="R2279" t="str">
        <x:v>81922ca1b6399cabf576ee59c1173b5c4ee55c697accad85ffeaa4a8ed2e7733</x:v>
      </x:c>
      <x:c r="S2279" t="n">
        <x:v>6</x:v>
      </x:c>
      <x:c r="T2279" t="str">
        <x:v>2018-12-31|2019-12-31|2020-12-31|2021-12-31|2022-12-31</x:v>
      </x:c>
      <x:c r="U2279" s="57" t="n">
        <x:v>2130.6598994347996</x:v>
      </x:c>
      <x:c r="V2279" s="57" t="n">
        <x:v>-0.43333513312904265</x:v>
      </x:c>
      <x:c r="W2279" t="n">
        <x:v>42</x:v>
      </x:c>
      <x:c r="X2279" t="n">
        <x:v>3</x:v>
      </x:c>
      <x:c r="Y2279" s="38" t="n">
        <x:v>0.6409090909090909</x:v>
      </x:c>
      <x:c r="Z2279" s="38" t="n">
        <x:v>0.36468053982794346</x:v>
      </x:c>
      <x:c r="AA2279"/>
    </x:row>
    <x:row r="2280">
      <x:c r="A2280" s="54" t="n">
        <x:v>45291</x:v>
      </x:c>
      <x:c r="B2280" t="n">
        <x:v>45291.624999988424</x:v>
      </x:c>
      <x:c r="C2280" t="str">
        <x:v>009180</x:v>
      </x:c>
      <x:c r="D2280" t="str">
        <x:v>한솔로지스틱스</x:v>
      </x:c>
      <x:c r="E2280" t="str">
        <x:v>KOSPI</x:v>
      </x:c>
      <x:c r="F2280" t="str">
        <x:v>SMALL</x:v>
      </x:c>
      <x:c r="G2280" t="str">
        <x:v>ELIGIBLE</x:v>
      </x:c>
      <x:c r="H2280"/>
      <x:c r="I2280" s="54" t="n">
        <x:v>45288</x:v>
      </x:c>
      <x:c r="J2280" s="55" t="n">
        <x:v>2450</x:v>
      </x:c>
      <x:c r="K2280" s="55" t="n">
        <x:v>67992951250</x:v>
      </x:c>
      <x:c r="L2280" s="55" t="n">
        <x:v>27752225</x:v>
      </x:c>
      <x:c r="M2280" t="str">
        <x:v>20230314000521</x:v>
      </x:c>
      <x:c r="N2280" t="n">
        <x:v>44999.624999988424</x:v>
      </x:c>
      <x:c r="O2280" s="54" t="n">
        <x:v>44926</x:v>
      </x:c>
      <x:c r="P2280" t="str">
        <x:v>False</x:v>
      </x:c>
      <x:c r="Q2280" t="str">
        <x:v>eda31c52b16b96a3d3e2e56f195008d48a51f3f4d471e61b08ff4bd7c3dc42d6</x:v>
      </x:c>
      <x:c r="R2280" t="str">
        <x:v>ce8fec0bf919a35953ce5bc0f7cbbdc0092795f1f90e71b58e263f9e988693d0</x:v>
      </x:c>
      <x:c r="S2280" t="n">
        <x:v>6</x:v>
      </x:c>
      <x:c r="T2280" t="str">
        <x:v>2018-12-31|2019-12-31|2020-12-31|2021-12-31|2022-12-31</x:v>
      </x:c>
      <x:c r="U2280" s="57" t="n">
        <x:v>7213.113084327427</x:v>
      </x:c>
      <x:c r="V2280" s="57" t="n">
        <x:v>1.9441277895213986</x:v>
      </x:c>
      <x:c r="W2280" t="n">
        <x:v>9</x:v>
      </x:c>
      <x:c r="X2280" t="n">
        <x:v>1</x:v>
      </x:c>
      <x:c r="Y2280" s="38" t="n">
        <x:v>0.6409090909090909</x:v>
      </x:c>
      <x:c r="Z2280" s="38" t="n">
        <x:v>0.6119376603889574</x:v>
      </x:c>
      <x:c r="AA2280"/>
    </x:row>
    <x:row r="2281">
      <x:c r="A2281" s="54" t="n">
        <x:v>45291</x:v>
      </x:c>
      <x:c r="B2281" t="n">
        <x:v>45291.624999988424</x:v>
      </x:c>
      <x:c r="C2281" t="str">
        <x:v>004910</x:v>
      </x:c>
      <x:c r="D2281" t="str">
        <x:v>조광페인트</x:v>
      </x:c>
      <x:c r="E2281" t="str">
        <x:v>KOSPI</x:v>
      </x:c>
      <x:c r="F2281" t="str">
        <x:v>SMALL</x:v>
      </x:c>
      <x:c r="G2281" t="str">
        <x:v>DCF_SCREENING_EXCLUSION</x:v>
      </x:c>
      <x:c r="H2281" t="str">
        <x:v>NON_POSITIVE_ENTERPRISE_VALUE|NON_POSITIVE_EQUITY_VALUE|NON_POSITIVE_TERMINAL_FCF</x:v>
      </x:c>
      <x:c r="I2281" s="54" t="n">
        <x:v>45288</x:v>
      </x:c>
      <x:c r="J2281" s="55" t="n">
        <x:v>6280</x:v>
      </x:c>
      <x:c r="K2281" s="55" t="n">
        <x:v>80384000000</x:v>
      </x:c>
      <x:c r="L2281" s="55" t="n">
        <x:v>12800000</x:v>
      </x:c>
      <x:c r="M2281" t="str">
        <x:v>20230327000842</x:v>
      </x:c>
      <x:c r="N2281" t="n">
        <x:v>45012.624999988424</x:v>
      </x:c>
      <x:c r="O2281" s="54" t="n">
        <x:v>44926</x:v>
      </x:c>
      <x:c r="P2281" t="str">
        <x:v>True</x:v>
      </x:c>
      <x:c r="Q2281" t="str">
        <x:v>8502d6910c586d5bf2e3d05259b684f052a56334a5f78b3f50d899c463b910f1</x:v>
      </x:c>
      <x:c r="R2281" t="str">
        <x:v>1dd640a4399a83979d430ab8be09bcabb8ade99f67af583be6f90c51d46827ba</x:v>
      </x:c>
      <x:c r="S2281" t="n">
        <x:v>6</x:v>
      </x:c>
      <x:c r="T2281" t="str">
        <x:v>2018-12-31|2019-12-31|2020-12-31|2021-12-31|2022-12-31</x:v>
      </x:c>
      <x:c r="U2281" s="57" t="n">
        <x:v>-10700.587748293754</x:v>
      </x:c>
      <x:c r="V2281" s="57" t="n">
        <x:v>-2.703915246543591</x:v>
      </x:c>
      <x:c r="W2281"/>
      <x:c r="X2281"/>
      <x:c r="Y2281" s="38" t="n">
        <x:v>0.6409090909090909</x:v>
      </x:c>
      <x:c r="Z2281" s="38" t="n">
        <x:v>0.621631928643766</x:v>
      </x:c>
      <x:c r="AA2281" t="str">
        <x:v>NON_POSITIVE_ENTERPRISE_VALUE|NON_POSITIVE_EQUITY_VALUE|NON_POSITIVE_TERMINAL_FCF</x:v>
      </x:c>
    </x:row>
    <x:row r="2282">
      <x:c r="A2282" s="54" t="n">
        <x:v>45291</x:v>
      </x:c>
      <x:c r="B2282" t="n">
        <x:v>45291.624999988424</x:v>
      </x:c>
      <x:c r="C2282" t="str">
        <x:v>004870</x:v>
      </x:c>
      <x:c r="D2282" t="str">
        <x:v>티웨이홀딩스</x:v>
      </x:c>
      <x:c r="E2282" t="str">
        <x:v>KOSPI</x:v>
      </x:c>
      <x:c r="F2282" t="str">
        <x:v>SMALL</x:v>
      </x:c>
      <x:c r="G2282" t="str">
        <x:v>EXCLUDED_ARCHETYPE</x:v>
      </x:c>
      <x:c r="H2282" t="str">
        <x:v>FCFF_NOT_COMPARABLE_FOR_FINANCE_OR_HOLDING_HINT</x:v>
      </x:c>
      <x:c r="I2282" s="54"/>
      <x:c r="J2282" s="55"/>
      <x:c r="K2282" s="55"/>
      <x:c r="L2282" s="55"/>
      <x:c r="M2282"/>
      <x:c r="N2282"/>
      <x:c r="O2282" s="54"/>
      <x:c r="P2282"/>
      <x:c r="Q2282"/>
      <x:c r="R2282"/>
      <x:c r="S2282"/>
      <x:c r="T2282"/>
      <x:c r="U2282" s="57"/>
      <x:c r="V2282" s="57"/>
      <x:c r="W2282"/>
      <x:c r="X2282"/>
      <x:c r="Y2282" s="38"/>
      <x:c r="Z2282" s="38"/>
      <x:c r="AA2282"/>
    </x:row>
    <x:row r="2283">
      <x:c r="A2283" s="54" t="n">
        <x:v>45291</x:v>
      </x:c>
      <x:c r="B2283" t="n">
        <x:v>45291.624999988424</x:v>
      </x:c>
      <x:c r="C2283" t="str">
        <x:v>010770</x:v>
      </x:c>
      <x:c r="D2283" t="str">
        <x:v>평화홀딩스</x:v>
      </x:c>
      <x:c r="E2283" t="str">
        <x:v>KOSPI</x:v>
      </x:c>
      <x:c r="F2283" t="str">
        <x:v>SMALL</x:v>
      </x:c>
      <x:c r="G2283" t="str">
        <x:v>EXCLUDED_ARCHETYPE</x:v>
      </x:c>
      <x:c r="H2283" t="str">
        <x:v>FCFF_NOT_COMPARABLE_FOR_FINANCE_OR_HOLDING_HINT</x:v>
      </x:c>
      <x:c r="I2283" s="54"/>
      <x:c r="J2283" s="55"/>
      <x:c r="K2283" s="55"/>
      <x:c r="L2283" s="55"/>
      <x:c r="M2283"/>
      <x:c r="N2283"/>
      <x:c r="O2283" s="54"/>
      <x:c r="P2283"/>
      <x:c r="Q2283"/>
      <x:c r="R2283"/>
      <x:c r="S2283"/>
      <x:c r="T2283"/>
      <x:c r="U2283" s="57"/>
      <x:c r="V2283" s="57"/>
      <x:c r="W2283"/>
      <x:c r="X2283"/>
      <x:c r="Y2283" s="38"/>
      <x:c r="Z2283" s="38"/>
      <x:c r="AA2283"/>
    </x:row>
    <x:row r="2284">
      <x:c r="A2284" s="54" t="n">
        <x:v>45291</x:v>
      </x:c>
      <x:c r="B2284" t="n">
        <x:v>45291.624999988424</x:v>
      </x:c>
      <x:c r="C2284" t="str">
        <x:v>001290</x:v>
      </x:c>
      <x:c r="D2284" t="str">
        <x:v>상상인증권</x:v>
      </x:c>
      <x:c r="E2284" t="str">
        <x:v>KOSPI</x:v>
      </x:c>
      <x:c r="F2284" t="str">
        <x:v>SMALL</x:v>
      </x:c>
      <x:c r="G2284" t="str">
        <x:v>EXCLUDED_ARCHETYPE</x:v>
      </x:c>
      <x:c r="H2284" t="str">
        <x:v>FCFF_NOT_COMPARABLE_FOR_FINANCE_OR_HOLDING_HINT</x:v>
      </x:c>
      <x:c r="I2284" s="54"/>
      <x:c r="J2284" s="55"/>
      <x:c r="K2284" s="55"/>
      <x:c r="L2284" s="55"/>
      <x:c r="M2284"/>
      <x:c r="N2284"/>
      <x:c r="O2284" s="54"/>
      <x:c r="P2284"/>
      <x:c r="Q2284"/>
      <x:c r="R2284"/>
      <x:c r="S2284"/>
      <x:c r="T2284"/>
      <x:c r="U2284" s="57"/>
      <x:c r="V2284" s="57"/>
      <x:c r="W2284"/>
      <x:c r="X2284"/>
      <x:c r="Y2284" s="38"/>
      <x:c r="Z2284" s="38"/>
      <x:c r="AA2284"/>
    </x:row>
    <x:row r="2285">
      <x:c r="A2285" s="54" t="n">
        <x:v>45291</x:v>
      </x:c>
      <x:c r="B2285" t="n">
        <x:v>45291.624999988424</x:v>
      </x:c>
      <x:c r="C2285" t="str">
        <x:v>047400</x:v>
      </x:c>
      <x:c r="D2285" t="str">
        <x:v>유니온머티리얼</x:v>
      </x:c>
      <x:c r="E2285" t="str">
        <x:v>KOSPI</x:v>
      </x:c>
      <x:c r="F2285" t="str">
        <x:v>SMALL</x:v>
      </x:c>
      <x:c r="G2285" t="str">
        <x:v>DCF_SCREENING_EXCLUSION</x:v>
      </x:c>
      <x:c r="H2285" t="str">
        <x:v>NON_POSITIVE_ENTERPRISE_VALUE|NON_POSITIVE_EQUITY_VALUE|NON_POSITIVE_TERMINAL_FCF</x:v>
      </x:c>
      <x:c r="I2285" s="54" t="n">
        <x:v>45288</x:v>
      </x:c>
      <x:c r="J2285" s="55" t="n">
        <x:v>2905</x:v>
      </x:c>
      <x:c r="K2285" s="55" t="n">
        <x:v>122010000000</x:v>
      </x:c>
      <x:c r="L2285" s="55" t="n">
        <x:v>42000000</x:v>
      </x:c>
      <x:c r="M2285" t="str">
        <x:v>20230324001267</x:v>
      </x:c>
      <x:c r="N2285" t="n">
        <x:v>45009.624999988424</x:v>
      </x:c>
      <x:c r="O2285" s="54" t="n">
        <x:v>44926</x:v>
      </x:c>
      <x:c r="P2285" t="str">
        <x:v>True</x:v>
      </x:c>
      <x:c r="Q2285" t="str">
        <x:v>2fe21c6c793277208fdb903e1ac031307cc7fd58266bbcbfa97d286a2543249a</x:v>
      </x:c>
      <x:c r="R2285" t="str">
        <x:v>7a51fb1b984cedb138d1b7687c971f44dda3a8afbc9b997862ad42c11ce28bea</x:v>
      </x:c>
      <x:c r="S2285" t="n">
        <x:v>7</x:v>
      </x:c>
      <x:c r="T2285" t="str">
        <x:v>2018-12-31|2019-12-31|2020-12-31|2021-12-31|2022-12-31</x:v>
      </x:c>
      <x:c r="U2285" s="57" t="n">
        <x:v>-3742.3773333717227</x:v>
      </x:c>
      <x:c r="V2285" s="57" t="n">
        <x:v>-2.2882538152742593</x:v>
      </x:c>
      <x:c r="W2285"/>
      <x:c r="X2285"/>
      <x:c r="Y2285" s="38" t="n">
        <x:v>0.6409090909090909</x:v>
      </x:c>
      <x:c r="Z2285" s="38" t="n">
        <x:v>0.6301308421759896</x:v>
      </x:c>
      <x:c r="AA2285" t="str">
        <x:v>NON_POSITIVE_ENTERPRISE_VALUE|NON_POSITIVE_EQUITY_VALUE|NON_POSITIVE_TERMINAL_FCF</x:v>
      </x:c>
    </x:row>
    <x:row r="2286">
      <x:c r="A2286" s="54" t="n">
        <x:v>45291</x:v>
      </x:c>
      <x:c r="B2286" t="n">
        <x:v>45291.624999988424</x:v>
      </x:c>
      <x:c r="C2286" t="str">
        <x:v>011300</x:v>
      </x:c>
      <x:c r="D2286" t="str">
        <x:v>성안머티리얼스</x:v>
      </x:c>
      <x:c r="E2286" t="str">
        <x:v>KOSPI</x:v>
      </x:c>
      <x:c r="F2286" t="str">
        <x:v>SMALL</x:v>
      </x:c>
      <x:c r="G2286" t="str">
        <x:v>DCF_SCREENING_EXCLUSION</x:v>
      </x:c>
      <x:c r="H2286" t="str">
        <x:v>NON_POSITIVE_ENTERPRISE_VALUE|NON_POSITIVE_EQUITY_VALUE|NON_POSITIVE_TERMINAL_FCF|UNRELIABLE_TERMINAL_VALUE_SHARE</x:v>
      </x:c>
      <x:c r="I2286" s="54" t="n">
        <x:v>45288</x:v>
      </x:c>
      <x:c r="J2286" s="55" t="n">
        <x:v>1631</x:v>
      </x:c>
      <x:c r="K2286" s="55" t="n">
        <x:v>109849557657</x:v>
      </x:c>
      <x:c r="L2286" s="55" t="n">
        <x:v>67351047</x:v>
      </x:c>
      <x:c r="M2286" t="str">
        <x:v>20230322000752</x:v>
      </x:c>
      <x:c r="N2286" t="n">
        <x:v>45007.624999988424</x:v>
      </x:c>
      <x:c r="O2286" s="54" t="n">
        <x:v>44926</x:v>
      </x:c>
      <x:c r="P2286" t="str">
        <x:v>False</x:v>
      </x:c>
      <x:c r="Q2286" t="str">
        <x:v>f2b859668663c8feee6c9246f1b1aa5864a20a9088ea52451a4aacadd065dffc</x:v>
      </x:c>
      <x:c r="R2286" t="str">
        <x:v>77774899877e09c0656baeff358971b9e241494b9ecd3a7c7ab5c9b79ae07b96</x:v>
      </x:c>
      <x:c r="S2286" t="n">
        <x:v>7</x:v>
      </x:c>
      <x:c r="T2286" t="str">
        <x:v>2018-12-31|2019-12-31|2020-12-31|2021-12-31|2022-12-31</x:v>
      </x:c>
      <x:c r="U2286" s="57" t="n">
        <x:v>-421.8011039518651</x:v>
      </x:c>
      <x:c r="V2286" s="57" t="n">
        <x:v>-1.258615023882198</x:v>
      </x:c>
      <x:c r="W2286"/>
      <x:c r="X2286"/>
      <x:c r="Y2286" s="38" t="n">
        <x:v>0.6409090909090909</x:v>
      </x:c>
      <x:c r="Z2286" s="38" t="n">
        <x:v>0.8570330924845574</x:v>
      </x:c>
      <x:c r="AA2286" t="str">
        <x:v>NON_POSITIVE_ENTERPRISE_VALUE|NON_POSITIVE_EQUITY_VALUE|NON_POSITIVE_TERMINAL_FCF|UNRELIABLE_TERMINAL_VALUE_SHARE</x:v>
      </x:c>
    </x:row>
    <x:row r="2287">
      <x:c r="A2287" s="54" t="n">
        <x:v>45291</x:v>
      </x:c>
      <x:c r="B2287" t="n">
        <x:v>45291.624999988424</x:v>
      </x:c>
      <x:c r="C2287" t="str">
        <x:v>018500</x:v>
      </x:c>
      <x:c r="D2287" t="str">
        <x:v>동원금속</x:v>
      </x:c>
      <x:c r="E2287" t="str">
        <x:v>KOSPI</x:v>
      </x:c>
      <x:c r="F2287" t="str">
        <x:v>SMALL</x:v>
      </x:c>
      <x:c r="G2287" t="str">
        <x:v>DCF_SCREENING_EXCLUSION</x:v>
      </x:c>
      <x:c r="H2287" t="str">
        <x:v>NON_POSITIVE_ENTERPRISE_VALUE|NON_POSITIVE_EQUITY_VALUE|NON_POSITIVE_TERMINAL_FCF|UNRELIABLE_TERMINAL_VALUE_SHARE</x:v>
      </x:c>
      <x:c r="I2287" s="54" t="n">
        <x:v>45288</x:v>
      </x:c>
      <x:c r="J2287" s="55" t="n">
        <x:v>1892</x:v>
      </x:c>
      <x:c r="K2287" s="55" t="n">
        <x:v>88460333236</x:v>
      </x:c>
      <x:c r="L2287" s="55" t="n">
        <x:v>46754933</x:v>
      </x:c>
      <x:c r="M2287" t="str">
        <x:v>20230620000249</x:v>
      </x:c>
      <x:c r="N2287" t="n">
        <x:v>45097.624999988424</x:v>
      </x:c>
      <x:c r="O2287" s="54" t="n">
        <x:v>45016</x:v>
      </x:c>
      <x:c r="P2287" t="str">
        <x:v>False</x:v>
      </x:c>
      <x:c r="Q2287" t="str">
        <x:v>f1862c7baa29ecebf9f6df1b59409dbe47c0abda6c18f53beea55fe21b2b9d5b</x:v>
      </x:c>
      <x:c r="R2287" t="str">
        <x:v>d1fa046b7d256a0b8d7f4944a0565f94f6ebfef213ee9bec3fb5f8ef8c529f7c</x:v>
      </x:c>
      <x:c r="S2287" t="n">
        <x:v>6</x:v>
      </x:c>
      <x:c r="T2287" t="str">
        <x:v>2019-03-31|2020-03-31|2021-03-31|2022-03-31|2023-03-31</x:v>
      </x:c>
      <x:c r="U2287" s="57" t="n">
        <x:v>-3365.698917189611</x:v>
      </x:c>
      <x:c r="V2287" s="57" t="n">
        <x:v>-2.778910632764065</x:v>
      </x:c>
      <x:c r="W2287"/>
      <x:c r="X2287"/>
      <x:c r="Y2287" s="38" t="n">
        <x:v>0.6409090909090909</x:v>
      </x:c>
      <x:c r="Z2287" s="38" t="n">
        <x:v>2.772612621643133</x:v>
      </x:c>
      <x:c r="AA2287" t="str">
        <x:v>NON_POSITIVE_ENTERPRISE_VALUE|NON_POSITIVE_EQUITY_VALUE|NON_POSITIVE_TERMINAL_FCF|UNRELIABLE_TERMINAL_VALUE_SHARE</x:v>
      </x:c>
    </x:row>
    <x:row r="2288">
      <x:c r="A2288" s="54" t="n">
        <x:v>45291</x:v>
      </x:c>
      <x:c r="B2288" t="n">
        <x:v>45291.624999988424</x:v>
      </x:c>
      <x:c r="C2288" t="str">
        <x:v>004770</x:v>
      </x:c>
      <x:c r="D2288" t="str">
        <x:v>써니전자</x:v>
      </x:c>
      <x:c r="E2288" t="str">
        <x:v>KOSPI</x:v>
      </x:c>
      <x:c r="F2288" t="str">
        <x:v>SMALL</x:v>
      </x:c>
      <x:c r="G2288" t="str">
        <x:v>ELIGIBLE</x:v>
      </x:c>
      <x:c r="H2288"/>
      <x:c r="I2288" s="54" t="n">
        <x:v>45288</x:v>
      </x:c>
      <x:c r="J2288" s="55" t="n">
        <x:v>2365</x:v>
      </x:c>
      <x:c r="K2288" s="55" t="n">
        <x:v>86802320660</x:v>
      </x:c>
      <x:c r="L2288" s="55" t="n">
        <x:v>36702884</x:v>
      </x:c>
      <x:c r="M2288" t="str">
        <x:v>20230317001042</x:v>
      </x:c>
      <x:c r="N2288" t="n">
        <x:v>45002.624999988424</x:v>
      </x:c>
      <x:c r="O2288" s="54" t="n">
        <x:v>44926</x:v>
      </x:c>
      <x:c r="P2288" t="str">
        <x:v>False</x:v>
      </x:c>
      <x:c r="Q2288" t="str">
        <x:v>cc9e18e07201573391b9e0b596098d83df19d635decd3634aaca4e044673cc53</x:v>
      </x:c>
      <x:c r="R2288" t="str">
        <x:v>c4c3ad3e6350fc26daab1924af6861fbb1b5d3a130f4f366730dada5ee778d80</x:v>
      </x:c>
      <x:c r="S2288" t="n">
        <x:v>6</x:v>
      </x:c>
      <x:c r="T2288" t="str">
        <x:v>2018-12-31|2019-12-31|2020-12-31|2021-12-31|2022-12-31</x:v>
      </x:c>
      <x:c r="U2288" s="57" t="n">
        <x:v>454.0759666894698</x:v>
      </x:c>
      <x:c r="V2288" s="57" t="n">
        <x:v>-0.8080017054167147</x:v>
      </x:c>
      <x:c r="W2288" t="n">
        <x:v>63</x:v>
      </x:c>
      <x:c r="X2288" t="n">
        <x:v>5</x:v>
      </x:c>
      <x:c r="Y2288" s="38" t="n">
        <x:v>0.6409090909090909</x:v>
      </x:c>
      <x:c r="Z2288" s="38" t="n">
        <x:v>0.6315063926884522</x:v>
      </x:c>
      <x:c r="AA2288"/>
    </x:row>
    <x:row r="2289">
      <x:c r="A2289" s="54" t="n">
        <x:v>45291</x:v>
      </x:c>
      <x:c r="B2289" t="n">
        <x:v>45291.624999988424</x:v>
      </x:c>
      <x:c r="C2289" t="str">
        <x:v>000890</x:v>
      </x:c>
      <x:c r="D2289" t="str">
        <x:v>보해양조</x:v>
      </x:c>
      <x:c r="E2289" t="str">
        <x:v>KOSPI</x:v>
      </x:c>
      <x:c r="F2289" t="str">
        <x:v>SMALL</x:v>
      </x:c>
      <x:c r="G2289" t="str">
        <x:v>DCF_SCREENING_EXCLUSION</x:v>
      </x:c>
      <x:c r="H2289" t="str">
        <x:v>NON_POSITIVE_ENTERPRISE_VALUE|NON_POSITIVE_EQUITY_VALUE|NON_POSITIVE_TERMINAL_FCF</x:v>
      </x:c>
      <x:c r="I2289" s="54" t="n">
        <x:v>45288</x:v>
      </x:c>
      <x:c r="J2289" s="55" t="n">
        <x:v>541</x:v>
      </x:c>
      <x:c r="K2289" s="55" t="n">
        <x:v>75263989789</x:v>
      </x:c>
      <x:c r="L2289" s="55" t="n">
        <x:v>139120129</x:v>
      </x:c>
      <x:c r="M2289" t="str">
        <x:v>20230321001480</x:v>
      </x:c>
      <x:c r="N2289" t="n">
        <x:v>45006.624999988424</x:v>
      </x:c>
      <x:c r="O2289" s="54" t="n">
        <x:v>44926</x:v>
      </x:c>
      <x:c r="P2289" t="str">
        <x:v>False</x:v>
      </x:c>
      <x:c r="Q2289" t="str">
        <x:v>139d1d577ce9fe237dde0faae0b9a2fa06044da3bca94cf24b02b00bfdd1d3e9</x:v>
      </x:c>
      <x:c r="R2289" t="str">
        <x:v>09575fe14abe819fb5a535e55c31e0ef8a1afa13684e489b978f22528599458c</x:v>
      </x:c>
      <x:c r="S2289" t="n">
        <x:v>6</x:v>
      </x:c>
      <x:c r="T2289" t="str">
        <x:v>2018-12-31|2019-12-31|2020-12-31|2021-12-31|2022-12-31</x:v>
      </x:c>
      <x:c r="U2289" s="57" t="n">
        <x:v>-171.03486766784357</x:v>
      </x:c>
      <x:c r="V2289" s="57" t="n">
        <x:v>-1.31614578127143</x:v>
      </x:c>
      <x:c r="W2289"/>
      <x:c r="X2289"/>
      <x:c r="Y2289" s="38" t="n">
        <x:v>0.6409090909090909</x:v>
      </x:c>
      <x:c r="Z2289" s="38" t="n">
        <x:v>0.6078481490190666</x:v>
      </x:c>
      <x:c r="AA2289" t="str">
        <x:v>NON_POSITIVE_ENTERPRISE_VALUE|NON_POSITIVE_EQUITY_VALUE|NON_POSITIVE_TERMINAL_FCF</x:v>
      </x:c>
    </x:row>
    <x:row r="2290">
      <x:c r="A2290" s="54" t="n">
        <x:v>45291</x:v>
      </x:c>
      <x:c r="B2290" t="n">
        <x:v>45291.624999988424</x:v>
      </x:c>
      <x:c r="C2290" t="str">
        <x:v>021050</x:v>
      </x:c>
      <x:c r="D2290" t="str">
        <x:v>서원</x:v>
      </x:c>
      <x:c r="E2290" t="str">
        <x:v>KOSPI</x:v>
      </x:c>
      <x:c r="F2290" t="str">
        <x:v>SMALL</x:v>
      </x:c>
      <x:c r="G2290" t="str">
        <x:v>DCF_SCREENING_EXCLUSION</x:v>
      </x:c>
      <x:c r="H2290" t="str">
        <x:v>NON_POSITIVE_EQUITY_VALUE|UNRELIABLE_TERMINAL_VALUE_SHARE</x:v>
      </x:c>
      <x:c r="I2290" s="54" t="n">
        <x:v>45288</x:v>
      </x:c>
      <x:c r="J2290" s="55" t="n">
        <x:v>1348</x:v>
      </x:c>
      <x:c r="K2290" s="55" t="n">
        <x:v>63995747320</x:v>
      </x:c>
      <x:c r="L2290" s="55" t="n">
        <x:v>47474590</x:v>
      </x:c>
      <x:c r="M2290" t="str">
        <x:v>20230323000835</x:v>
      </x:c>
      <x:c r="N2290" t="n">
        <x:v>45008.624999988424</x:v>
      </x:c>
      <x:c r="O2290" s="54" t="n">
        <x:v>44926</x:v>
      </x:c>
      <x:c r="P2290" t="str">
        <x:v>False</x:v>
      </x:c>
      <x:c r="Q2290" t="str">
        <x:v>a9cc558dee1f1305ae3ff0663d41defa1f6c94547971900ba1a7e0ad20fc702e</x:v>
      </x:c>
      <x:c r="R2290" t="str">
        <x:v>b466aa7ddb7ebf232b058aab9a5d041f6a13b1b5d8600109ff915ec56721faea</x:v>
      </x:c>
      <x:c r="S2290" t="n">
        <x:v>6</x:v>
      </x:c>
      <x:c r="T2290" t="str">
        <x:v>2018-12-31|2019-12-31|2020-12-31|2021-12-31|2022-12-31</x:v>
      </x:c>
      <x:c r="U2290" s="57" t="n">
        <x:v>-950.9042094502876</x:v>
      </x:c>
      <x:c r="V2290" s="57" t="n">
        <x:v>-1.7054185530046644</x:v>
      </x:c>
      <x:c r="W2290"/>
      <x:c r="X2290"/>
      <x:c r="Y2290" s="38" t="n">
        <x:v>0.6409090909090909</x:v>
      </x:c>
      <x:c r="Z2290" s="38" t="n">
        <x:v>0.9131362731117916</x:v>
      </x:c>
      <x:c r="AA2290" t="str">
        <x:v>NON_POSITIVE_EQUITY_VALUE|UNRELIABLE_TERMINAL_VALUE_SHARE</x:v>
      </x:c>
    </x:row>
    <x:row r="2291">
      <x:c r="A2291" s="54" t="n">
        <x:v>45291</x:v>
      </x:c>
      <x:c r="B2291" t="n">
        <x:v>45291.624999988424</x:v>
      </x:c>
      <x:c r="C2291" t="str">
        <x:v>134790</x:v>
      </x:c>
      <x:c r="D2291" t="str">
        <x:v>시디즈</x:v>
      </x:c>
      <x:c r="E2291" t="str">
        <x:v>KOSPI</x:v>
      </x:c>
      <x:c r="F2291" t="str">
        <x:v>SMALL</x:v>
      </x:c>
      <x:c r="G2291" t="str">
        <x:v>DCF_SCREENING_EXCLUSION</x:v>
      </x:c>
      <x:c r="H2291" t="str">
        <x:v>UNRELIABLE_TERMINAL_VALUE_SHARE</x:v>
      </x:c>
      <x:c r="I2291" s="54" t="n">
        <x:v>45288</x:v>
      </x:c>
      <x:c r="J2291" s="55" t="n">
        <x:v>28900</x:v>
      </x:c>
      <x:c r="K2291" s="55" t="n">
        <x:v>57800000000</x:v>
      </x:c>
      <x:c r="L2291" s="55" t="n">
        <x:v>2000000</x:v>
      </x:c>
      <x:c r="M2291" t="str">
        <x:v>20230316001196</x:v>
      </x:c>
      <x:c r="N2291" t="n">
        <x:v>45001.624999988424</x:v>
      </x:c>
      <x:c r="O2291" s="54" t="n">
        <x:v>44926</x:v>
      </x:c>
      <x:c r="P2291" t="str">
        <x:v>False</x:v>
      </x:c>
      <x:c r="Q2291" t="str">
        <x:v>24bdedb0d2af1bd974749f3ba26d6be1909c02eec1bbc671d567d6cdcfd329fe</x:v>
      </x:c>
      <x:c r="R2291" t="str">
        <x:v>c16e31fd1b5ca96ef0b56ac9b587438cec86a4439b9c1d1443e546566374f176</x:v>
      </x:c>
      <x:c r="S2291" t="n">
        <x:v>6</x:v>
      </x:c>
      <x:c r="T2291" t="str">
        <x:v>2018-12-31|2019-12-31|2020-12-31|2021-12-31|2022-12-31</x:v>
      </x:c>
      <x:c r="U2291" s="57" t="n">
        <x:v>37714.33973836483</x:v>
      </x:c>
      <x:c r="V2291" s="57" t="n">
        <x:v>0.3049944546147002</x:v>
      </x:c>
      <x:c r="W2291"/>
      <x:c r="X2291"/>
      <x:c r="Y2291" s="38" t="n">
        <x:v>0.6409090909090909</x:v>
      </x:c>
      <x:c r="Z2291" s="38" t="n">
        <x:v>0.8882535263746824</x:v>
      </x:c>
      <x:c r="AA2291" t="str">
        <x:v>UNRELIABLE_TERMINAL_VALUE_SHARE</x:v>
      </x:c>
    </x:row>
    <x:row r="2292">
      <x:c r="A2292" s="54" t="n">
        <x:v>45291</x:v>
      </x:c>
      <x:c r="B2292" t="n">
        <x:v>45291.624999988424</x:v>
      </x:c>
      <x:c r="C2292" t="str">
        <x:v>004920</x:v>
      </x:c>
      <x:c r="D2292" t="str">
        <x:v>씨아이테크</x:v>
      </x:c>
      <x:c r="E2292" t="str">
        <x:v>KOSPI</x:v>
      </x:c>
      <x:c r="F2292" t="str">
        <x:v>SMALL</x:v>
      </x:c>
      <x:c r="G2292" t="str">
        <x:v>DCF_SCREENING_EXCLUSION</x:v>
      </x:c>
      <x:c r="H2292" t="str">
        <x:v>NON_POSITIVE_ENTERPRISE_VALUE|NON_POSITIVE_EQUITY_VALUE|NON_POSITIVE_TERMINAL_FCF</x:v>
      </x:c>
      <x:c r="I2292" s="54" t="n">
        <x:v>45288</x:v>
      </x:c>
      <x:c r="J2292" s="55" t="n">
        <x:v>1470</x:v>
      </x:c>
      <x:c r="K2292" s="55" t="n">
        <x:v>73596715710</x:v>
      </x:c>
      <x:c r="L2292" s="55" t="n">
        <x:v>50065793</x:v>
      </x:c>
      <x:c r="M2292" t="str">
        <x:v>20230320000388</x:v>
      </x:c>
      <x:c r="N2292" t="n">
        <x:v>45005.624999988424</x:v>
      </x:c>
      <x:c r="O2292" s="54" t="n">
        <x:v>44926</x:v>
      </x:c>
      <x:c r="P2292" t="str">
        <x:v>False</x:v>
      </x:c>
      <x:c r="Q2292" t="str">
        <x:v>9d171d492d7f298cc2edf609b66dec5acde94c9a7fd778fd9b9fdec668887cd8</x:v>
      </x:c>
      <x:c r="R2292" t="str">
        <x:v>9302036e2699fc3141df99cf16ef66f975b5f1d676b5bebd06e6278c021f59d3</x:v>
      </x:c>
      <x:c r="S2292" t="n">
        <x:v>6</x:v>
      </x:c>
      <x:c r="T2292" t="str">
        <x:v>2018-12-31|2019-12-31|2020-12-31|2021-12-31|2022-12-31</x:v>
      </x:c>
      <x:c r="U2292" s="57" t="n">
        <x:v>-1040.053216400551</x:v>
      </x:c>
      <x:c r="V2292" s="57" t="n">
        <x:v>-1.707519194830307</x:v>
      </x:c>
      <x:c r="W2292"/>
      <x:c r="X2292"/>
      <x:c r="Y2292" s="38" t="n">
        <x:v>0.6409090909090909</x:v>
      </x:c>
      <x:c r="Z2292" s="38" t="n">
        <x:v>0.6703860416593708</x:v>
      </x:c>
      <x:c r="AA2292" t="str">
        <x:v>NON_POSITIVE_ENTERPRISE_VALUE|NON_POSITIVE_EQUITY_VALUE|NON_POSITIVE_TERMINAL_FCF</x:v>
      </x:c>
    </x:row>
    <x:row r="2293">
      <x:c r="A2293" s="54" t="n">
        <x:v>45291</x:v>
      </x:c>
      <x:c r="B2293" t="n">
        <x:v>45291.624999988424</x:v>
      </x:c>
      <x:c r="C2293" t="str">
        <x:v>058730</x:v>
      </x:c>
      <x:c r="D2293" t="str">
        <x:v>다스코</x:v>
      </x:c>
      <x:c r="E2293" t="str">
        <x:v>KOSPI</x:v>
      </x:c>
      <x:c r="F2293" t="str">
        <x:v>SMALL</x:v>
      </x:c>
      <x:c r="G2293" t="str">
        <x:v>DCF_SCREENING_EXCLUSION</x:v>
      </x:c>
      <x:c r="H2293" t="str">
        <x:v>NON_POSITIVE_ENTERPRISE_VALUE|NON_POSITIVE_EQUITY_VALUE|NON_POSITIVE_TERMINAL_FCF</x:v>
      </x:c>
      <x:c r="I2293" s="54" t="n">
        <x:v>45288</x:v>
      </x:c>
      <x:c r="J2293" s="55" t="n">
        <x:v>4250</x:v>
      </x:c>
      <x:c r="K2293" s="55" t="n">
        <x:v>82436999250</x:v>
      </x:c>
      <x:c r="L2293" s="55" t="n">
        <x:v>19396941</x:v>
      </x:c>
      <x:c r="M2293" t="str">
        <x:v>20230321001293</x:v>
      </x:c>
      <x:c r="N2293" t="n">
        <x:v>45006.624999988424</x:v>
      </x:c>
      <x:c r="O2293" s="54" t="n">
        <x:v>44926</x:v>
      </x:c>
      <x:c r="P2293" t="str">
        <x:v>False</x:v>
      </x:c>
      <x:c r="Q2293" t="str">
        <x:v>a93853e5b96927c3c21ed5c838b1026b278911aeef0d4c2f05f47251dc97e9fc</x:v>
      </x:c>
      <x:c r="R2293" t="str">
        <x:v>2e4d57025ded24437f0e3d40c2f540317ac0eca5a5741d1d78ea98501347bc29</x:v>
      </x:c>
      <x:c r="S2293" t="n">
        <x:v>7</x:v>
      </x:c>
      <x:c r="T2293" t="str">
        <x:v>2019-12-31|2020-12-31|2021-12-31|2022-12-31</x:v>
      </x:c>
      <x:c r="U2293" s="57" t="n">
        <x:v>-3657.238297158266</x:v>
      </x:c>
      <x:c r="V2293" s="57" t="n">
        <x:v>-1.860526658154886</x:v>
      </x:c>
      <x:c r="W2293"/>
      <x:c r="X2293"/>
      <x:c r="Y2293" s="38" t="n">
        <x:v>0.6409090909090909</x:v>
      </x:c>
      <x:c r="Z2293" s="38" t="n">
        <x:v>0.7137548445491458</x:v>
      </x:c>
      <x:c r="AA2293" t="str">
        <x:v>NON_POSITIVE_ENTERPRISE_VALUE|NON_POSITIVE_EQUITY_VALUE|NON_POSITIVE_TERMINAL_FCF</x:v>
      </x:c>
    </x:row>
    <x:row r="2294">
      <x:c r="A2294" s="54" t="n">
        <x:v>45291</x:v>
      </x:c>
      <x:c r="B2294" t="n">
        <x:v>45291.624999988424</x:v>
      </x:c>
      <x:c r="C2294" t="str">
        <x:v>465770</x:v>
      </x:c>
      <x:c r="D2294" t="str">
        <x:v>STX그린로지스</x:v>
      </x:c>
      <x:c r="E2294" t="str">
        <x:v>KOSPI</x:v>
      </x:c>
      <x:c r="F2294" t="str">
        <x:v>SMALL</x:v>
      </x:c>
      <x:c r="G2294" t="str">
        <x:v>NO_PIT_FINANCIALS</x:v>
      </x:c>
      <x:c r="H2294"/>
      <x:c r="I2294" s="54" t="n">
        <x:v>45288</x:v>
      </x:c>
      <x:c r="J2294" s="55" t="n">
        <x:v>12330</x:v>
      </x:c>
      <x:c r="K2294" s="55" t="n">
        <x:v>88418824560</x:v>
      </x:c>
      <x:c r="L2294" s="55" t="n">
        <x:v>7171032</x:v>
      </x:c>
      <x:c r="M2294"/>
      <x:c r="N2294"/>
      <x:c r="O2294" s="54"/>
      <x:c r="P2294"/>
      <x:c r="Q2294"/>
      <x:c r="R2294"/>
      <x:c r="S2294"/>
      <x:c r="T2294"/>
      <x:c r="U2294" s="57"/>
      <x:c r="V2294" s="57"/>
      <x:c r="W2294"/>
      <x:c r="X2294"/>
      <x:c r="Y2294" s="38"/>
      <x:c r="Z2294" s="38"/>
      <x:c r="AA2294"/>
    </x:row>
    <x:row r="2295">
      <x:c r="A2295" s="54" t="n">
        <x:v>45291</x:v>
      </x:c>
      <x:c r="B2295" t="n">
        <x:v>45291.624999988424</x:v>
      </x:c>
      <x:c r="C2295" t="str">
        <x:v>000950</x:v>
      </x:c>
      <x:c r="D2295" t="str">
        <x:v>전방</x:v>
      </x:c>
      <x:c r="E2295" t="str">
        <x:v>KOSPI</x:v>
      </x:c>
      <x:c r="F2295" t="str">
        <x:v>SMALL</x:v>
      </x:c>
      <x:c r="G2295" t="str">
        <x:v>DCF_SCREENING_EXCLUSION</x:v>
      </x:c>
      <x:c r="H2295" t="str">
        <x:v>NON_POSITIVE_ENTERPRISE_VALUE|NON_POSITIVE_EQUITY_VALUE|NON_POSITIVE_TERMINAL_FCF</x:v>
      </x:c>
      <x:c r="I2295" s="54" t="n">
        <x:v>45288</x:v>
      </x:c>
      <x:c r="J2295" s="55" t="n">
        <x:v>23100</x:v>
      </x:c>
      <x:c r="K2295" s="55" t="n">
        <x:v>38808000000</x:v>
      </x:c>
      <x:c r="L2295" s="55" t="n">
        <x:v>1680000</x:v>
      </x:c>
      <x:c r="M2295" t="str">
        <x:v>20230317000870</x:v>
      </x:c>
      <x:c r="N2295" t="n">
        <x:v>45002.624999988424</x:v>
      </x:c>
      <x:c r="O2295" s="54" t="n">
        <x:v>44926</x:v>
      </x:c>
      <x:c r="P2295" t="str">
        <x:v>True</x:v>
      </x:c>
      <x:c r="Q2295" t="str">
        <x:v>0b962c0c6cdda1197c02ba0db4078a2f1853e6554a552e65f4d3aa08ed4c6df3</x:v>
      </x:c>
      <x:c r="R2295" t="str">
        <x:v>f9d2b2d3a4b1e69b7b0ae12db8b6dff6cd81f70cf146e86a1503071e1d5bc3a1</x:v>
      </x:c>
      <x:c r="S2295" t="n">
        <x:v>6</x:v>
      </x:c>
      <x:c r="T2295" t="str">
        <x:v>2018-12-31|2019-12-31|2020-12-31|2021-12-31|2022-12-31</x:v>
      </x:c>
      <x:c r="U2295" s="57" t="n">
        <x:v>-103939.18003410507</x:v>
      </x:c>
      <x:c r="V2295" s="57" t="n">
        <x:v>-5.499531603208012</x:v>
      </x:c>
      <x:c r="W2295"/>
      <x:c r="X2295"/>
      <x:c r="Y2295" s="38" t="n">
        <x:v>0.6409090909090909</x:v>
      </x:c>
      <x:c r="Z2295" s="38" t="n">
        <x:v>0.6246941382663442</x:v>
      </x:c>
      <x:c r="AA2295" t="str">
        <x:v>NON_POSITIVE_ENTERPRISE_VALUE|NON_POSITIVE_EQUITY_VALUE|NON_POSITIVE_TERMINAL_FCF</x:v>
      </x:c>
    </x:row>
    <x:row r="2296">
      <x:c r="A2296" s="54" t="n">
        <x:v>45291</x:v>
      </x:c>
      <x:c r="B2296" t="n">
        <x:v>45291.624999988424</x:v>
      </x:c>
      <x:c r="C2296" t="str">
        <x:v>019180</x:v>
      </x:c>
      <x:c r="D2296" t="str">
        <x:v>티에이치엔</x:v>
      </x:c>
      <x:c r="E2296" t="str">
        <x:v>KOSPI</x:v>
      </x:c>
      <x:c r="F2296" t="str">
        <x:v>SMALL</x:v>
      </x:c>
      <x:c r="G2296" t="str">
        <x:v>DCF_SCREENING_EXCLUSION</x:v>
      </x:c>
      <x:c r="H2296" t="str">
        <x:v>NON_POSITIVE_EQUITY_VALUE|UNRELIABLE_TERMINAL_VALUE_SHARE</x:v>
      </x:c>
      <x:c r="I2296" s="54" t="n">
        <x:v>45288</x:v>
      </x:c>
      <x:c r="J2296" s="55" t="n">
        <x:v>3495</x:v>
      </x:c>
      <x:c r="K2296" s="55" t="n">
        <x:v>62910000000</x:v>
      </x:c>
      <x:c r="L2296" s="55" t="n">
        <x:v>18000000</x:v>
      </x:c>
      <x:c r="M2296" t="str">
        <x:v>20230322000844</x:v>
      </x:c>
      <x:c r="N2296" t="n">
        <x:v>45007.624999988424</x:v>
      </x:c>
      <x:c r="O2296" s="54" t="n">
        <x:v>44926</x:v>
      </x:c>
      <x:c r="P2296" t="str">
        <x:v>False</x:v>
      </x:c>
      <x:c r="Q2296" t="str">
        <x:v>9dc4b92fddc4665fe50a3aeec5a1e49cc82eabe73a1ff77a1bc4eb5a27e26110</x:v>
      </x:c>
      <x:c r="R2296" t="str">
        <x:v>d96a5d66c4074cb526063939a7b8de96ff63741fdd101021983c14dedbd7150c</x:v>
      </x:c>
      <x:c r="S2296" t="n">
        <x:v>6</x:v>
      </x:c>
      <x:c r="T2296" t="str">
        <x:v>2018-12-31|2019-12-31|2020-12-31|2021-12-31|2022-12-31</x:v>
      </x:c>
      <x:c r="U2296" s="57" t="n">
        <x:v>-1273.1190101644775</x:v>
      </x:c>
      <x:c r="V2296" s="57" t="n">
        <x:v>-1.364268672436188</x:v>
      </x:c>
      <x:c r="W2296"/>
      <x:c r="X2296"/>
      <x:c r="Y2296" s="38" t="n">
        <x:v>0.6409090909090909</x:v>
      </x:c>
      <x:c r="Z2296" s="38" t="n">
        <x:v>4.698640613538601</x:v>
      </x:c>
      <x:c r="AA2296" t="str">
        <x:v>NON_POSITIVE_EQUITY_VALUE|UNRELIABLE_TERMINAL_VALUE_SHARE</x:v>
      </x:c>
    </x:row>
    <x:row r="2297">
      <x:c r="A2297" s="54" t="n">
        <x:v>45291</x:v>
      </x:c>
      <x:c r="B2297" t="n">
        <x:v>45291.624999988424</x:v>
      </x:c>
      <x:c r="C2297" t="str">
        <x:v>020760</x:v>
      </x:c>
      <x:c r="D2297" t="str">
        <x:v>일진디스플</x:v>
      </x:c>
      <x:c r="E2297" t="str">
        <x:v>KOSPI</x:v>
      </x:c>
      <x:c r="F2297" t="str">
        <x:v>SMALL</x:v>
      </x:c>
      <x:c r="G2297" t="str">
        <x:v>DCF_SCREENING_EXCLUSION</x:v>
      </x:c>
      <x:c r="H2297" t="str">
        <x:v>NON_POSITIVE_ENTERPRISE_VALUE|NON_POSITIVE_EQUITY_VALUE|NON_POSITIVE_TERMINAL_FCF</x:v>
      </x:c>
      <x:c r="I2297" s="54" t="n">
        <x:v>45288</x:v>
      </x:c>
      <x:c r="J2297" s="55" t="n">
        <x:v>1365</x:v>
      </x:c>
      <x:c r="K2297" s="55" t="n">
        <x:v>70316256465</x:v>
      </x:c>
      <x:c r="L2297" s="55" t="n">
        <x:v>51513741</x:v>
      </x:c>
      <x:c r="M2297" t="str">
        <x:v>20230714000395</x:v>
      </x:c>
      <x:c r="N2297" t="n">
        <x:v>45121.624999988424</x:v>
      </x:c>
      <x:c r="O2297" s="54" t="n">
        <x:v>44926</x:v>
      </x:c>
      <x:c r="P2297" t="str">
        <x:v>True</x:v>
      </x:c>
      <x:c r="Q2297" t="str">
        <x:v>9e54d653aba67fb01ea8bfc004070aa48831774fa31be064cffd2eebffd606c3</x:v>
      </x:c>
      <x:c r="R2297" t="str">
        <x:v>7f8a1ab114c46f769e199f7100f23e6f98795252cb1e298728738e2bb57d0b95</x:v>
      </x:c>
      <x:c r="S2297" t="n">
        <x:v>6</x:v>
      </x:c>
      <x:c r="T2297" t="str">
        <x:v>2018-12-31|2019-12-31|2020-12-31|2021-12-31|2022-12-31</x:v>
      </x:c>
      <x:c r="U2297" s="57" t="n">
        <x:v>-3816.3539240874256</x:v>
      </x:c>
      <x:c r="V2297" s="57" t="n">
        <x:v>-3.7958636806501285</x:v>
      </x:c>
      <x:c r="W2297"/>
      <x:c r="X2297"/>
      <x:c r="Y2297" s="38" t="n">
        <x:v>0.6409090909090909</x:v>
      </x:c>
      <x:c r="Z2297" s="38" t="n">
        <x:v>0.7829067383621485</x:v>
      </x:c>
      <x:c r="AA2297" t="str">
        <x:v>NON_POSITIVE_ENTERPRISE_VALUE|NON_POSITIVE_EQUITY_VALUE|NON_POSITIVE_TERMINAL_FCF</x:v>
      </x:c>
    </x:row>
    <x:row r="2298">
      <x:c r="A2298" s="54" t="n">
        <x:v>45291</x:v>
      </x:c>
      <x:c r="B2298" t="n">
        <x:v>45291.624999988424</x:v>
      </x:c>
      <x:c r="C2298" t="str">
        <x:v>069640</x:v>
      </x:c>
      <x:c r="D2298" t="str">
        <x:v>한세엠케이</x:v>
      </x:c>
      <x:c r="E2298" t="str">
        <x:v>KOSPI</x:v>
      </x:c>
      <x:c r="F2298" t="str">
        <x:v>SMALL</x:v>
      </x:c>
      <x:c r="G2298" t="str">
        <x:v>DCF_SCREENING_EXCLUSION</x:v>
      </x:c>
      <x:c r="H2298" t="str">
        <x:v>NON_POSITIVE_ENTERPRISE_VALUE|NON_POSITIVE_EQUITY_VALUE|NON_POSITIVE_TERMINAL_FCF</x:v>
      </x:c>
      <x:c r="I2298" s="54" t="n">
        <x:v>45288</x:v>
      </x:c>
      <x:c r="J2298" s="55" t="n">
        <x:v>2150</x:v>
      </x:c>
      <x:c r="K2298" s="55" t="n">
        <x:v>64728979300</x:v>
      </x:c>
      <x:c r="L2298" s="55" t="n">
        <x:v>30106502</x:v>
      </x:c>
      <x:c r="M2298" t="str">
        <x:v>20230407002948</x:v>
      </x:c>
      <x:c r="N2298" t="n">
        <x:v>45023.624999988424</x:v>
      </x:c>
      <x:c r="O2298" s="54" t="n">
        <x:v>44926</x:v>
      </x:c>
      <x:c r="P2298" t="str">
        <x:v>True</x:v>
      </x:c>
      <x:c r="Q2298" t="str">
        <x:v>b9a18c98e2b079f8b6d7294a58e5309a27bb1130b125e9ff01fef66f4892b2c5</x:v>
      </x:c>
      <x:c r="R2298" t="str">
        <x:v>42438425dc413371dbd257c705a30420c019cc09e67ce0aab88b78da87e92af8</x:v>
      </x:c>
      <x:c r="S2298" t="n">
        <x:v>6</x:v>
      </x:c>
      <x:c r="T2298" t="str">
        <x:v>2018-12-31|2019-12-31|2020-12-31|2021-12-31|2022-12-31</x:v>
      </x:c>
      <x:c r="U2298" s="57" t="n">
        <x:v>-8143.579153900665</x:v>
      </x:c>
      <x:c r="V2298" s="57" t="n">
        <x:v>-4.787711234372402</x:v>
      </x:c>
      <x:c r="W2298"/>
      <x:c r="X2298"/>
      <x:c r="Y2298" s="38" t="n">
        <x:v>0.6409090909090909</x:v>
      </x:c>
      <x:c r="Z2298" s="38" t="n">
        <x:v>0.6562779675221068</x:v>
      </x:c>
      <x:c r="AA2298" t="str">
        <x:v>NON_POSITIVE_ENTERPRISE_VALUE|NON_POSITIVE_EQUITY_VALUE|NON_POSITIVE_TERMINAL_FCF</x:v>
      </x:c>
    </x:row>
    <x:row r="2299">
      <x:c r="A2299" s="54" t="n">
        <x:v>45291</x:v>
      </x:c>
      <x:c r="B2299" t="n">
        <x:v>45291.624999988424</x:v>
      </x:c>
      <x:c r="C2299" t="str">
        <x:v>000040</x:v>
      </x:c>
      <x:c r="D2299" t="str">
        <x:v>KR모터스</x:v>
      </x:c>
      <x:c r="E2299" t="str">
        <x:v>KOSPI</x:v>
      </x:c>
      <x:c r="F2299" t="str">
        <x:v>SMALL</x:v>
      </x:c>
      <x:c r="G2299" t="str">
        <x:v>DCF_SCREENING_EXCLUSION</x:v>
      </x:c>
      <x:c r="H2299" t="str">
        <x:v>NON_POSITIVE_ENTERPRISE_VALUE|NON_POSITIVE_EQUITY_VALUE|NON_POSITIVE_TERMINAL_FCF</x:v>
      </x:c>
      <x:c r="I2299" s="54" t="n">
        <x:v>45288</x:v>
      </x:c>
      <x:c r="J2299" s="55" t="n">
        <x:v>358</x:v>
      </x:c>
      <x:c r="K2299" s="55" t="n">
        <x:v>34417570470</x:v>
      </x:c>
      <x:c r="L2299" s="55" t="n">
        <x:v>96138465</x:v>
      </x:c>
      <x:c r="M2299" t="str">
        <x:v>20230322001182</x:v>
      </x:c>
      <x:c r="N2299" t="n">
        <x:v>45007.624999988424</x:v>
      </x:c>
      <x:c r="O2299" s="54" t="n">
        <x:v>44926</x:v>
      </x:c>
      <x:c r="P2299" t="str">
        <x:v>False</x:v>
      </x:c>
      <x:c r="Q2299" t="str">
        <x:v>1dfb108dba5b711dc246d9a5c06790baa2a6f221e084c7473abddf76d00e6db2</x:v>
      </x:c>
      <x:c r="R2299" t="str">
        <x:v>ae436b124964db68b441b57116efaf8c58d9669927ab8164ed6038ae15d13578</x:v>
      </x:c>
      <x:c r="S2299" t="n">
        <x:v>5</x:v>
      </x:c>
      <x:c r="T2299" t="str">
        <x:v>2018-12-31|2019-12-31|2020-12-31|2021-12-31|2022-12-31</x:v>
      </x:c>
      <x:c r="U2299" s="57" t="n">
        <x:v>-768.6580296162379</x:v>
      </x:c>
      <x:c r="V2299" s="57" t="n">
        <x:v>-3.1470894682017816</x:v>
      </x:c>
      <x:c r="W2299"/>
      <x:c r="X2299"/>
      <x:c r="Y2299" s="38" t="n">
        <x:v>0.6409090909090909</x:v>
      </x:c>
      <x:c r="Z2299" s="38" t="n">
        <x:v>0.6257857483754615</x:v>
      </x:c>
      <x:c r="AA2299" t="str">
        <x:v>NON_POSITIVE_ENTERPRISE_VALUE|NON_POSITIVE_EQUITY_VALUE|NON_POSITIVE_TERMINAL_FCF</x:v>
      </x:c>
    </x:row>
    <x:row r="2300">
      <x:c r="A2300" s="54" t="n">
        <x:v>45291</x:v>
      </x:c>
      <x:c r="B2300" t="n">
        <x:v>45291.624999988424</x:v>
      </x:c>
      <x:c r="C2300" t="str">
        <x:v>003680</x:v>
      </x:c>
      <x:c r="D2300" t="str">
        <x:v>한성기업</x:v>
      </x:c>
      <x:c r="E2300" t="str">
        <x:v>KOSPI</x:v>
      </x:c>
      <x:c r="F2300" t="str">
        <x:v>SMALL</x:v>
      </x:c>
      <x:c r="G2300" t="str">
        <x:v>DCF_SCREENING_EXCLUSION</x:v>
      </x:c>
      <x:c r="H2300" t="str">
        <x:v>NON_POSITIVE_EQUITY_VALUE|NON_POSITIVE_TERMINAL_FCF|UNRELIABLE_TERMINAL_VALUE_SHARE</x:v>
      </x:c>
      <x:c r="I2300" s="54" t="n">
        <x:v>45288</x:v>
      </x:c>
      <x:c r="J2300" s="55" t="n">
        <x:v>5790</x:v>
      </x:c>
      <x:c r="K2300" s="55" t="n">
        <x:v>35953091850</x:v>
      </x:c>
      <x:c r="L2300" s="55" t="n">
        <x:v>6209515</x:v>
      </x:c>
      <x:c r="M2300" t="str">
        <x:v>20230320000677</x:v>
      </x:c>
      <x:c r="N2300" t="n">
        <x:v>45005.624999988424</x:v>
      </x:c>
      <x:c r="O2300" s="54" t="n">
        <x:v>44926</x:v>
      </x:c>
      <x:c r="P2300" t="str">
        <x:v>False</x:v>
      </x:c>
      <x:c r="Q2300" t="str">
        <x:v>05e2f03e39b52746fc5e9522f9d62b2523f8ec4c19f03645b3361943649c8598</x:v>
      </x:c>
      <x:c r="R2300" t="str">
        <x:v>4d6444409eaa16091089469bca726fa82df2bb54991d61ff5aaf5e5c374211c9</x:v>
      </x:c>
      <x:c r="S2300" t="n">
        <x:v>7</x:v>
      </x:c>
      <x:c r="T2300" t="str">
        <x:v>2018-12-31|2019-12-31|2020-12-31|2021-12-31|2022-12-31</x:v>
      </x:c>
      <x:c r="U2300" s="57" t="n">
        <x:v>-9458.909625227312</x:v>
      </x:c>
      <x:c r="V2300" s="57" t="n">
        <x:v>-2.633663147707653</x:v>
      </x:c>
      <x:c r="W2300"/>
      <x:c r="X2300"/>
      <x:c r="Y2300" s="38" t="n">
        <x:v>0.6409090909090909</x:v>
      </x:c>
      <x:c r="Z2300" s="38" t="n">
        <x:v>-0.3624245290136293</x:v>
      </x:c>
      <x:c r="AA2300" t="str">
        <x:v>NON_POSITIVE_EQUITY_VALUE|NON_POSITIVE_TERMINAL_FCF|UNRELIABLE_TERMINAL_VALUE_SHARE</x:v>
      </x:c>
    </x:row>
    <x:row r="2301">
      <x:c r="A2301" s="54" t="n">
        <x:v>45291</x:v>
      </x:c>
      <x:c r="B2301" t="n">
        <x:v>45291.624999988424</x:v>
      </x:c>
      <x:c r="C2301" t="str">
        <x:v>008600</x:v>
      </x:c>
      <x:c r="D2301" t="str">
        <x:v>윌비스</x:v>
      </x:c>
      <x:c r="E2301" t="str">
        <x:v>KOSPI</x:v>
      </x:c>
      <x:c r="F2301" t="str">
        <x:v>SMALL</x:v>
      </x:c>
      <x:c r="G2301" t="str">
        <x:v>DCF_SCREENING_EXCLUSION</x:v>
      </x:c>
      <x:c r="H2301" t="str">
        <x:v>NON_POSITIVE_ENTERPRISE_VALUE|NON_POSITIVE_EQUITY_VALUE|NON_POSITIVE_TERMINAL_FCF|UNRELIABLE_TERMINAL_VALUE_SHARE</x:v>
      </x:c>
      <x:c r="I2301" s="54" t="n">
        <x:v>45288</x:v>
      </x:c>
      <x:c r="J2301" s="55" t="n">
        <x:v>635</x:v>
      </x:c>
      <x:c r="K2301" s="55" t="n">
        <x:v>42694884765</x:v>
      </x:c>
      <x:c r="L2301" s="55" t="n">
        <x:v>67236039</x:v>
      </x:c>
      <x:c r="M2301" t="str">
        <x:v>20230321001489</x:v>
      </x:c>
      <x:c r="N2301" t="n">
        <x:v>45006.624999988424</x:v>
      </x:c>
      <x:c r="O2301" s="54" t="n">
        <x:v>44926</x:v>
      </x:c>
      <x:c r="P2301" t="str">
        <x:v>False</x:v>
      </x:c>
      <x:c r="Q2301" t="str">
        <x:v>291f6e8c8900a2b52d5f905f4cc6795c6414d6affa7f185fe63085aaa8684e51</x:v>
      </x:c>
      <x:c r="R2301" t="str">
        <x:v>a94986e1546add39342c296750d72bfef540954125162947acba09fed77e06df</x:v>
      </x:c>
      <x:c r="S2301" t="n">
        <x:v>6</x:v>
      </x:c>
      <x:c r="T2301" t="str">
        <x:v>2018-12-31|2019-12-31|2020-12-31|2021-12-31|2022-12-31</x:v>
      </x:c>
      <x:c r="U2301" s="57" t="n">
        <x:v>-1945.7637110453777</x:v>
      </x:c>
      <x:c r="V2301" s="57" t="n">
        <x:v>-4.064194820543902</x:v>
      </x:c>
      <x:c r="W2301"/>
      <x:c r="X2301"/>
      <x:c r="Y2301" s="38" t="n">
        <x:v>0.6409090909090909</x:v>
      </x:c>
      <x:c r="Z2301" s="38" t="n">
        <x:v>2.41537005103754</x:v>
      </x:c>
      <x:c r="AA2301" t="str">
        <x:v>NON_POSITIVE_ENTERPRISE_VALUE|NON_POSITIVE_EQUITY_VALUE|NON_POSITIVE_TERMINAL_FCF|UNRELIABLE_TERMINAL_VALUE_SHARE</x:v>
      </x:c>
    </x:row>
    <x:row r="2302">
      <x:c r="A2302" s="54" t="n">
        <x:v>45291</x:v>
      </x:c>
      <x:c r="B2302" t="n">
        <x:v>45291.624999988424</x:v>
      </x:c>
      <x:c r="C2302" t="str">
        <x:v>018310</x:v>
      </x:c>
      <x:c r="D2302" t="str">
        <x:v>삼목에스폼</x:v>
      </x:c>
      <x:c r="E2302" t="str">
        <x:v>KOSDAQ</x:v>
      </x:c>
      <x:c r="F2302" t="str">
        <x:v>MID</x:v>
      </x:c>
      <x:c r="G2302" t="str">
        <x:v>ELIGIBLE</x:v>
      </x:c>
      <x:c r="H2302"/>
      <x:c r="I2302" s="54" t="n">
        <x:v>45288</x:v>
      </x:c>
      <x:c r="J2302" s="55" t="n">
        <x:v>16690</x:v>
      </x:c>
      <x:c r="K2302" s="55" t="n">
        <x:v>245343000000</x:v>
      </x:c>
      <x:c r="L2302" s="55" t="n">
        <x:v>14700000</x:v>
      </x:c>
      <x:c r="M2302" t="str">
        <x:v>20230322000728</x:v>
      </x:c>
      <x:c r="N2302" t="n">
        <x:v>45007.624999988424</x:v>
      </x:c>
      <x:c r="O2302" s="54" t="n">
        <x:v>44926</x:v>
      </x:c>
      <x:c r="P2302" t="str">
        <x:v>False</x:v>
      </x:c>
      <x:c r="Q2302" t="str">
        <x:v>b1f9bf886f7b28ef4ef828ba6605d4f0a1447cdcacd9193c143a62028b382698</x:v>
      </x:c>
      <x:c r="R2302" t="str">
        <x:v>330f5ec98dc16120f732252f6d521b429ddcbf9a047fb51336c36f4bc1461d5e</x:v>
      </x:c>
      <x:c r="S2302" t="n">
        <x:v>6</x:v>
      </x:c>
      <x:c r="T2302" t="str">
        <x:v>2018-12-31|2019-12-31|2020-12-31|2021-12-31|2022-12-31</x:v>
      </x:c>
      <x:c r="U2302" s="57" t="n">
        <x:v>20434.041693918112</x:v>
      </x:c>
      <x:c r="V2302" s="57" t="n">
        <x:v>0.22432844181654354</x:v>
      </x:c>
      <x:c r="W2302" t="n">
        <x:v>23</x:v>
      </x:c>
      <x:c r="X2302" t="n">
        <x:v>2</x:v>
      </x:c>
      <x:c r="Y2302" s="38" t="n">
        <x:v>0.6409090909090909</x:v>
      </x:c>
      <x:c r="Z2302" s="38" t="n">
        <x:v>0.4929628453052042</x:v>
      </x:c>
      <x:c r="AA2302"/>
    </x:row>
    <x:row r="2303">
      <x:c r="A2303" s="54" t="n">
        <x:v>45291</x:v>
      </x:c>
      <x:c r="B2303" t="n">
        <x:v>45291.624999988424</x:v>
      </x:c>
      <x:c r="C2303" t="str">
        <x:v>090360</x:v>
      </x:c>
      <x:c r="D2303" t="str">
        <x:v>로보스타</x:v>
      </x:c>
      <x:c r="E2303" t="str">
        <x:v>KOSDAQ</x:v>
      </x:c>
      <x:c r="F2303" t="str">
        <x:v>MID</x:v>
      </x:c>
      <x:c r="G2303" t="str">
        <x:v>DCF_SCREENING_EXCLUSION</x:v>
      </x:c>
      <x:c r="H2303" t="str">
        <x:v>NON_POSITIVE_ENTERPRISE_VALUE|NON_POSITIVE_TERMINAL_FCF</x:v>
      </x:c>
      <x:c r="I2303" s="54" t="n">
        <x:v>45288</x:v>
      </x:c>
      <x:c r="J2303" s="55" t="n">
        <x:v>29800</x:v>
      </x:c>
      <x:c r="K2303" s="55" t="n">
        <x:v>290550000000</x:v>
      </x:c>
      <x:c r="L2303" s="55" t="n">
        <x:v>9750000</x:v>
      </x:c>
      <x:c r="M2303" t="str">
        <x:v>20230316000682</x:v>
      </x:c>
      <x:c r="N2303" t="n">
        <x:v>45001.624999988424</x:v>
      </x:c>
      <x:c r="O2303" s="54" t="n">
        <x:v>44926</x:v>
      </x:c>
      <x:c r="P2303" t="str">
        <x:v>False</x:v>
      </x:c>
      <x:c r="Q2303" t="str">
        <x:v>1f70170ba42bc9b2147378d546ec421559192d382e4ac95cfea85cc07e6b1122</x:v>
      </x:c>
      <x:c r="R2303" t="str">
        <x:v>6d409e8d29c0456773c8d20162f86775d30c7bbca2e8e671754df7486dec42bb</x:v>
      </x:c>
      <x:c r="S2303" t="n">
        <x:v>5</x:v>
      </x:c>
      <x:c r="T2303" t="str">
        <x:v>2018-12-31|2019-12-31|2020-12-31|2021-12-31|2022-12-31</x:v>
      </x:c>
      <x:c r="U2303" s="57" t="n">
        <x:v>784.1610120265144</x:v>
      </x:c>
      <x:c r="V2303" s="57" t="n">
        <x:v>-0.9736858720796472</x:v>
      </x:c>
      <x:c r="W2303"/>
      <x:c r="X2303"/>
      <x:c r="Y2303" s="38" t="n">
        <x:v>0.6409090909090909</x:v>
      </x:c>
      <x:c r="Z2303" s="38" t="n">
        <x:v>0.8266921902282445</x:v>
      </x:c>
      <x:c r="AA2303" t="str">
        <x:v>NON_POSITIVE_ENTERPRISE_VALUE|NON_POSITIVE_TERMINAL_FCF</x:v>
      </x:c>
    </x:row>
    <x:row r="2304">
      <x:c r="A2304" s="54" t="n">
        <x:v>45291</x:v>
      </x:c>
      <x:c r="B2304" t="n">
        <x:v>45291.624999988424</x:v>
      </x:c>
      <x:c r="C2304" t="str">
        <x:v>144960</x:v>
      </x:c>
      <x:c r="D2304" t="str">
        <x:v>뉴파워프라즈마</x:v>
      </x:c>
      <x:c r="E2304" t="str">
        <x:v>KOSDAQ</x:v>
      </x:c>
      <x:c r="F2304" t="str">
        <x:v>MID</x:v>
      </x:c>
      <x:c r="G2304" t="str">
        <x:v>DCF_SCREENING_EXCLUSION</x:v>
      </x:c>
      <x:c r="H2304" t="str">
        <x:v>UNRELIABLE_TERMINAL_VALUE_SHARE</x:v>
      </x:c>
      <x:c r="I2304" s="54" t="n">
        <x:v>45288</x:v>
      </x:c>
      <x:c r="J2304" s="55" t="n">
        <x:v>5250</x:v>
      </x:c>
      <x:c r="K2304" s="55" t="n">
        <x:v>229386276000</x:v>
      </x:c>
      <x:c r="L2304" s="55" t="n">
        <x:v>43692624</x:v>
      </x:c>
      <x:c r="M2304" t="str">
        <x:v>20230322001241</x:v>
      </x:c>
      <x:c r="N2304" t="n">
        <x:v>45007.624999988424</x:v>
      </x:c>
      <x:c r="O2304" s="54" t="n">
        <x:v>44926</x:v>
      </x:c>
      <x:c r="P2304" t="str">
        <x:v>False</x:v>
      </x:c>
      <x:c r="Q2304" t="str">
        <x:v>635ad4b90417c4cff17e05596ab954eff5f69df42d9e1b9ab3c05ddd80bfb46a</x:v>
      </x:c>
      <x:c r="R2304" t="str">
        <x:v>69203ec8b5e70ff9be32eb56c7c48f06eb146bfbee24ed2824d37dcfe238b276</x:v>
      </x:c>
      <x:c r="S2304" t="n">
        <x:v>6</x:v>
      </x:c>
      <x:c r="T2304" t="str">
        <x:v>2018-12-31|2019-12-31|2020-12-31|2021-12-31|2022-12-31</x:v>
      </x:c>
      <x:c r="U2304" s="57" t="n">
        <x:v>1590.4337032348958</x:v>
      </x:c>
      <x:c r="V2304" s="57" t="n">
        <x:v>-0.6970602470028769</x:v>
      </x:c>
      <x:c r="W2304"/>
      <x:c r="X2304"/>
      <x:c r="Y2304" s="38" t="n">
        <x:v>0.6409090909090909</x:v>
      </x:c>
      <x:c r="Z2304" s="38" t="n">
        <x:v>0.9789334410362668</x:v>
      </x:c>
      <x:c r="AA2304" t="str">
        <x:v>UNRELIABLE_TERMINAL_VALUE_SHARE</x:v>
      </x:c>
    </x:row>
    <x:row r="2305">
      <x:c r="A2305" s="54" t="n">
        <x:v>45291</x:v>
      </x:c>
      <x:c r="B2305" t="n">
        <x:v>45291.624999988424</x:v>
      </x:c>
      <x:c r="C2305" t="str">
        <x:v>065660</x:v>
      </x:c>
      <x:c r="D2305" t="str">
        <x:v>안트로젠</x:v>
      </x:c>
      <x:c r="E2305" t="str">
        <x:v>KOSDAQ</x:v>
      </x:c>
      <x:c r="F2305" t="str">
        <x:v>MID</x:v>
      </x:c>
      <x:c r="G2305" t="str">
        <x:v>DCF_SCREENING_EXCLUSION</x:v>
      </x:c>
      <x:c r="H2305" t="str">
        <x:v>NON_POSITIVE_ENTERPRISE_VALUE|NON_POSITIVE_EQUITY_VALUE|NON_POSITIVE_TERMINAL_FCF</x:v>
      </x:c>
      <x:c r="I2305" s="54" t="n">
        <x:v>45288</x:v>
      </x:c>
      <x:c r="J2305" s="55" t="n">
        <x:v>17090</x:v>
      </x:c>
      <x:c r="K2305" s="55" t="n">
        <x:v>166309164570</x:v>
      </x:c>
      <x:c r="L2305" s="55" t="n">
        <x:v>9731373</x:v>
      </x:c>
      <x:c r="M2305" t="str">
        <x:v>20220308000561</x:v>
      </x:c>
      <x:c r="N2305" t="n">
        <x:v>44628.624999988424</x:v>
      </x:c>
      <x:c r="O2305" s="54" t="n">
        <x:v>44561</x:v>
      </x:c>
      <x:c r="P2305" t="str">
        <x:v>False</x:v>
      </x:c>
      <x:c r="Q2305" t="str">
        <x:v>ca8cc1135227c8e4226125c29bdedc099d8a54cc791afacfe1af303aff51c30e</x:v>
      </x:c>
      <x:c r="R2305" t="str">
        <x:v>13f8c889046bf7ebd27422fe30c0fb9dc9a262859e07f3464507af3c877cf08d</x:v>
      </x:c>
      <x:c r="S2305" t="n">
        <x:v>6</x:v>
      </x:c>
      <x:c r="T2305" t="str">
        <x:v>2018-12-31|2019-12-31|2020-12-31|2021-12-31</x:v>
      </x:c>
      <x:c r="U2305" s="57" t="n">
        <x:v>-3287.833989215215</x:v>
      </x:c>
      <x:c r="V2305" s="57" t="n">
        <x:v>-1.1923834984912356</x:v>
      </x:c>
      <x:c r="W2305"/>
      <x:c r="X2305"/>
      <x:c r="Y2305" s="38" t="n">
        <x:v>0.6409090909090909</x:v>
      </x:c>
      <x:c r="Z2305" s="38" t="n">
        <x:v>0.6635957394517747</x:v>
      </x:c>
      <x:c r="AA2305" t="str">
        <x:v>NON_POSITIVE_ENTERPRISE_VALUE|NON_POSITIVE_EQUITY_VALUE|NON_POSITIVE_TERMINAL_FCF</x:v>
      </x:c>
    </x:row>
    <x:row r="2306">
      <x:c r="A2306" s="54" t="n">
        <x:v>45291</x:v>
      </x:c>
      <x:c r="B2306" t="n">
        <x:v>45291.624999988424</x:v>
      </x:c>
      <x:c r="C2306" t="str">
        <x:v>255220</x:v>
      </x:c>
      <x:c r="D2306" t="str">
        <x:v>SG</x:v>
      </x:c>
      <x:c r="E2306" t="str">
        <x:v>KOSDAQ</x:v>
      </x:c>
      <x:c r="F2306" t="str">
        <x:v>MID</x:v>
      </x:c>
      <x:c r="G2306" t="str">
        <x:v>DCF_SCREENING_EXCLUSION</x:v>
      </x:c>
      <x:c r="H2306" t="str">
        <x:v>NON_POSITIVE_EQUITY_VALUE|UNRELIABLE_TERMINAL_VALUE_SHARE</x:v>
      </x:c>
      <x:c r="I2306" s="54" t="n">
        <x:v>45288</x:v>
      </x:c>
      <x:c r="J2306" s="55" t="n">
        <x:v>1579</x:v>
      </x:c>
      <x:c r="K2306" s="55" t="n">
        <x:v>75070619639</x:v>
      </x:c>
      <x:c r="L2306" s="55" t="n">
        <x:v>47543141</x:v>
      </x:c>
      <x:c r="M2306" t="str">
        <x:v>20230316001293</x:v>
      </x:c>
      <x:c r="N2306" t="n">
        <x:v>45001.624999988424</x:v>
      </x:c>
      <x:c r="O2306" s="54" t="n">
        <x:v>44926</x:v>
      </x:c>
      <x:c r="P2306" t="str">
        <x:v>False</x:v>
      </x:c>
      <x:c r="Q2306" t="str">
        <x:v>631d9d315ac00217b6fe4645a31d406967b4205835ede9d3b22f391d7a88e02a</x:v>
      </x:c>
      <x:c r="R2306" t="str">
        <x:v>e32b35b09ec4a050d18aedf8cbdc20f159b8d42b997f6c042d213690cacc5888</x:v>
      </x:c>
      <x:c r="S2306" t="n">
        <x:v>6</x:v>
      </x:c>
      <x:c r="T2306" t="str">
        <x:v>2018-12-31|2019-12-31|2020-12-31|2021-12-31|2022-12-31</x:v>
      </x:c>
      <x:c r="U2306" s="57" t="n">
        <x:v>-867.568230175213</x:v>
      </x:c>
      <x:c r="V2306" s="57" t="n">
        <x:v>-1.549441564392155</x:v>
      </x:c>
      <x:c r="W2306"/>
      <x:c r="X2306"/>
      <x:c r="Y2306" s="38" t="n">
        <x:v>0.6409090909090909</x:v>
      </x:c>
      <x:c r="Z2306" s="38" t="n">
        <x:v>1.3939827942896779</x:v>
      </x:c>
      <x:c r="AA2306" t="str">
        <x:v>NON_POSITIVE_EQUITY_VALUE|UNRELIABLE_TERMINAL_VALUE_SHARE</x:v>
      </x:c>
    </x:row>
    <x:row r="2307">
      <x:c r="A2307" s="54" t="n">
        <x:v>45291</x:v>
      </x:c>
      <x:c r="B2307" t="n">
        <x:v>45291.624999988424</x:v>
      </x:c>
      <x:c r="C2307" t="str">
        <x:v>356680</x:v>
      </x:c>
      <x:c r="D2307" t="str">
        <x:v>엑스게이트</x:v>
      </x:c>
      <x:c r="E2307" t="str">
        <x:v>KOSDAQ</x:v>
      </x:c>
      <x:c r="F2307" t="str">
        <x:v>MID</x:v>
      </x:c>
      <x:c r="G2307" t="str">
        <x:v>ELIGIBLE</x:v>
      </x:c>
      <x:c r="H2307"/>
      <x:c r="I2307" s="54" t="n">
        <x:v>45288</x:v>
      </x:c>
      <x:c r="J2307" s="55" t="n">
        <x:v>6100</x:v>
      </x:c>
      <x:c r="K2307" s="55" t="n">
        <x:v>173810301200</x:v>
      </x:c>
      <x:c r="L2307" s="55" t="n">
        <x:v>28493492</x:v>
      </x:c>
      <x:c r="M2307" t="str">
        <x:v>20230322001072</x:v>
      </x:c>
      <x:c r="N2307" t="n">
        <x:v>45007.624999988424</x:v>
      </x:c>
      <x:c r="O2307" s="54" t="n">
        <x:v>44926</x:v>
      </x:c>
      <x:c r="P2307" t="str">
        <x:v>False</x:v>
      </x:c>
      <x:c r="Q2307" t="str">
        <x:v>45256a084497b9c996839f196ba6dc245c7da61fcdee587232be7941f75bf104</x:v>
      </x:c>
      <x:c r="R2307" t="str">
        <x:v>07146b039b96ffec2a30b11a2dd31f93d4f550ae30ff89a73d225d488c988d83</x:v>
      </x:c>
      <x:c r="S2307" t="n">
        <x:v>7</x:v>
      </x:c>
      <x:c r="T2307" t="str">
        <x:v>2022-12-31</x:v>
      </x:c>
      <x:c r="U2307" s="57" t="n">
        <x:v>1700.7184084848734</x:v>
      </x:c>
      <x:c r="V2307" s="57" t="n">
        <x:v>-0.7211937035270699</x:v>
      </x:c>
      <x:c r="W2307" t="n">
        <x:v>55</x:v>
      </x:c>
      <x:c r="X2307" t="n">
        <x:v>4</x:v>
      </x:c>
      <x:c r="Y2307" s="38" t="n">
        <x:v>0.6409090909090909</x:v>
      </x:c>
      <x:c r="Z2307" s="38" t="n">
        <x:v>0.6701769222689359</x:v>
      </x:c>
      <x:c r="AA2307"/>
    </x:row>
    <x:row r="2308">
      <x:c r="A2308" s="54" t="n">
        <x:v>45291</x:v>
      </x:c>
      <x:c r="B2308" t="n">
        <x:v>45291.624999988424</x:v>
      </x:c>
      <x:c r="C2308" t="str">
        <x:v>038390</x:v>
      </x:c>
      <x:c r="D2308" t="str">
        <x:v>레드캡투어</x:v>
      </x:c>
      <x:c r="E2308" t="str">
        <x:v>KOSDAQ</x:v>
      </x:c>
      <x:c r="F2308" t="str">
        <x:v>MID</x:v>
      </x:c>
      <x:c r="G2308" t="str">
        <x:v>ELIGIBLE</x:v>
      </x:c>
      <x:c r="H2308"/>
      <x:c r="I2308" s="54" t="n">
        <x:v>45288</x:v>
      </x:c>
      <x:c r="J2308" s="55" t="n">
        <x:v>15600</x:v>
      </x:c>
      <x:c r="K2308" s="55" t="n">
        <x:v>133995888000</x:v>
      </x:c>
      <x:c r="L2308" s="55" t="n">
        <x:v>8589480</x:v>
      </x:c>
      <x:c r="M2308" t="str">
        <x:v>20230316001413</x:v>
      </x:c>
      <x:c r="N2308" t="n">
        <x:v>45001.624999988424</x:v>
      </x:c>
      <x:c r="O2308" s="54" t="n">
        <x:v>44926</x:v>
      </x:c>
      <x:c r="P2308" t="str">
        <x:v>False</x:v>
      </x:c>
      <x:c r="Q2308" t="str">
        <x:v>6500420a9c0c7cb8b0822920c111922a787b3827c6dfb04dd784e0d4bc2d01c2</x:v>
      </x:c>
      <x:c r="R2308" t="str">
        <x:v>b4bd991fc9b846dae9046715ad744afdcd835bc5ca8b51a9b64f74f9fa316356</x:v>
      </x:c>
      <x:c r="S2308" t="n">
        <x:v>6</x:v>
      </x:c>
      <x:c r="T2308" t="str">
        <x:v>2018-12-31|2019-12-31|2020-12-31|2021-12-31|2022-12-31</x:v>
      </x:c>
      <x:c r="U2308" s="57" t="n">
        <x:v>16138.328056645201</x:v>
      </x:c>
      <x:c r="V2308" s="57" t="n">
        <x:v>0.034508208759307754</x:v>
      </x:c>
      <x:c r="W2308" t="n">
        <x:v>25</x:v>
      </x:c>
      <x:c r="X2308" t="n">
        <x:v>2</x:v>
      </x:c>
      <x:c r="Y2308" s="38" t="n">
        <x:v>0.6409090909090909</x:v>
      </x:c>
      <x:c r="Z2308" s="38" t="n">
        <x:v>0.6232987678852291</x:v>
      </x:c>
      <x:c r="AA2308"/>
    </x:row>
    <x:row r="2309">
      <x:c r="A2309" s="54" t="n">
        <x:v>45291</x:v>
      </x:c>
      <x:c r="B2309" t="n">
        <x:v>45291.624999988424</x:v>
      </x:c>
      <x:c r="C2309" t="str">
        <x:v>083930</x:v>
      </x:c>
      <x:c r="D2309" t="str">
        <x:v>아바코</x:v>
      </x:c>
      <x:c r="E2309" t="str">
        <x:v>KOSDAQ</x:v>
      </x:c>
      <x:c r="F2309" t="str">
        <x:v>MID</x:v>
      </x:c>
      <x:c r="G2309" t="str">
        <x:v>ELIGIBLE</x:v>
      </x:c>
      <x:c r="H2309"/>
      <x:c r="I2309" s="54" t="n">
        <x:v>45288</x:v>
      </x:c>
      <x:c r="J2309" s="55" t="n">
        <x:v>15240</x:v>
      </x:c>
      <x:c r="K2309" s="55" t="n">
        <x:v>234891041520</x:v>
      </x:c>
      <x:c r="L2309" s="55" t="n">
        <x:v>15412798</x:v>
      </x:c>
      <x:c r="M2309" t="str">
        <x:v>20230321001021</x:v>
      </x:c>
      <x:c r="N2309" t="n">
        <x:v>45006.624999988424</x:v>
      </x:c>
      <x:c r="O2309" s="54" t="n">
        <x:v>44926</x:v>
      </x:c>
      <x:c r="P2309" t="str">
        <x:v>False</x:v>
      </x:c>
      <x:c r="Q2309" t="str">
        <x:v>51d45d71cda3f9d61f6b6bb2b78909cdf8916f5bbd371569386df61c1ede7656</x:v>
      </x:c>
      <x:c r="R2309" t="str">
        <x:v>3eba896975bc12fee3681ba5c4f04960ff86743b2d3872656c84a542c300d8d0</x:v>
      </x:c>
      <x:c r="S2309" t="n">
        <x:v>7</x:v>
      </x:c>
      <x:c r="T2309" t="str">
        <x:v>2018-12-31|2019-12-31|2020-12-31|2021-12-31|2022-12-31</x:v>
      </x:c>
      <x:c r="U2309" s="57" t="n">
        <x:v>9553.050368237855</x:v>
      </x:c>
      <x:c r="V2309" s="57" t="n">
        <x:v>-0.37315942465630875</x:v>
      </x:c>
      <x:c r="W2309" t="n">
        <x:v>38</x:v>
      </x:c>
      <x:c r="X2309" t="n">
        <x:v>3</x:v>
      </x:c>
      <x:c r="Y2309" s="38" t="n">
        <x:v>0.6409090909090909</x:v>
      </x:c>
      <x:c r="Z2309" s="38" t="n">
        <x:v>0.6252138108817894</x:v>
      </x:c>
      <x:c r="AA2309"/>
    </x:row>
    <x:row r="2310">
      <x:c r="A2310" s="54" t="n">
        <x:v>45291</x:v>
      </x:c>
      <x:c r="B2310" t="n">
        <x:v>45291.624999988424</x:v>
      </x:c>
      <x:c r="C2310" t="str">
        <x:v>089600</x:v>
      </x:c>
      <x:c r="D2310" t="str">
        <x:v>KT나스미디어</x:v>
      </x:c>
      <x:c r="E2310" t="str">
        <x:v>KOSDAQ</x:v>
      </x:c>
      <x:c r="F2310" t="str">
        <x:v>MID</x:v>
      </x:c>
      <x:c r="G2310" t="str">
        <x:v>ELIGIBLE</x:v>
      </x:c>
      <x:c r="H2310"/>
      <x:c r="I2310" s="54" t="n">
        <x:v>45288</x:v>
      </x:c>
      <x:c r="J2310" s="55" t="n">
        <x:v>22300</x:v>
      </x:c>
      <x:c r="K2310" s="55" t="n">
        <x:v>257970034900</x:v>
      </x:c>
      <x:c r="L2310" s="55" t="n">
        <x:v>11568163</x:v>
      </x:c>
      <x:c r="M2310" t="str">
        <x:v>20230323000424</x:v>
      </x:c>
      <x:c r="N2310" t="n">
        <x:v>45008.624999988424</x:v>
      </x:c>
      <x:c r="O2310" s="54" t="n">
        <x:v>44926</x:v>
      </x:c>
      <x:c r="P2310" t="str">
        <x:v>False</x:v>
      </x:c>
      <x:c r="Q2310" t="str">
        <x:v>a29cdc151488a733c822f4c21c776e7e2d0f670736a57ef1f9162f4b760e2bf9</x:v>
      </x:c>
      <x:c r="R2310" t="str">
        <x:v>9182469e51b5cad7d6b8d177a7d6d9d31f3920ea8169205aafb066f017026287</x:v>
      </x:c>
      <x:c r="S2310" t="n">
        <x:v>6</x:v>
      </x:c>
      <x:c r="T2310" t="str">
        <x:v>2019-12-31|2020-12-31|2021-12-31|2022-12-31</x:v>
      </x:c>
      <x:c r="U2310" s="57" t="n">
        <x:v>40246.19529115332</x:v>
      </x:c>
      <x:c r="V2310" s="57" t="n">
        <x:v>0.804762120679521</x:v>
      </x:c>
      <x:c r="W2310" t="n">
        <x:v>12</x:v>
      </x:c>
      <x:c r="X2310" t="n">
        <x:v>1</x:v>
      </x:c>
      <x:c r="Y2310" s="38" t="n">
        <x:v>0.6409090909090909</x:v>
      </x:c>
      <x:c r="Z2310" s="38" t="n">
        <x:v>0.706343261712411</x:v>
      </x:c>
      <x:c r="AA2310"/>
    </x:row>
    <x:row r="2311">
      <x:c r="A2311" s="54" t="n">
        <x:v>45291</x:v>
      </x:c>
      <x:c r="B2311" t="n">
        <x:v>45291.624999988424</x:v>
      </x:c>
      <x:c r="C2311" t="str">
        <x:v>091120</x:v>
      </x:c>
      <x:c r="D2311" t="str">
        <x:v>이엠텍</x:v>
      </x:c>
      <x:c r="E2311" t="str">
        <x:v>KOSDAQ</x:v>
      </x:c>
      <x:c r="F2311" t="str">
        <x:v>MID</x:v>
      </x:c>
      <x:c r="G2311" t="str">
        <x:v>ELIGIBLE</x:v>
      </x:c>
      <x:c r="H2311"/>
      <x:c r="I2311" s="54" t="n">
        <x:v>45288</x:v>
      </x:c>
      <x:c r="J2311" s="55" t="n">
        <x:v>43350</x:v>
      </x:c>
      <x:c r="K2311" s="55" t="n">
        <x:v>742712775600</x:v>
      </x:c>
      <x:c r="L2311" s="55" t="n">
        <x:v>17132936</x:v>
      </x:c>
      <x:c r="M2311" t="str">
        <x:v>20230314000840</x:v>
      </x:c>
      <x:c r="N2311" t="n">
        <x:v>44999.624999988424</x:v>
      </x:c>
      <x:c r="O2311" s="54" t="n">
        <x:v>44926</x:v>
      </x:c>
      <x:c r="P2311" t="str">
        <x:v>False</x:v>
      </x:c>
      <x:c r="Q2311" t="str">
        <x:v>8fccbe5a66751953a409231fc37bc1852ba075cda52f991cc8c77b5562fa08b1</x:v>
      </x:c>
      <x:c r="R2311" t="str">
        <x:v>73525dd9894ad6355da7197449cb770bef9f2afb9183eef534b0f89f18503e8d</x:v>
      </x:c>
      <x:c r="S2311" t="n">
        <x:v>6</x:v>
      </x:c>
      <x:c r="T2311" t="str">
        <x:v>2018-12-31|2019-12-31|2020-12-31|2021-12-31|2022-12-31</x:v>
      </x:c>
      <x:c r="U2311" s="57" t="n">
        <x:v>7849.310012839665</x:v>
      </x:c>
      <x:c r="V2311" s="57" t="n">
        <x:v>-0.8189317182735948</x:v>
      </x:c>
      <x:c r="W2311" t="n">
        <x:v>64</x:v>
      </x:c>
      <x:c r="X2311" t="n">
        <x:v>5</x:v>
      </x:c>
      <x:c r="Y2311" s="38" t="n">
        <x:v>0.6409090909090909</x:v>
      </x:c>
      <x:c r="Z2311" s="38" t="n">
        <x:v>0.6666569941414513</x:v>
      </x:c>
      <x:c r="AA2311"/>
    </x:row>
    <x:row r="2312">
      <x:c r="A2312" s="54" t="n">
        <x:v>45291</x:v>
      </x:c>
      <x:c r="B2312" t="n">
        <x:v>45291.624999988424</x:v>
      </x:c>
      <x:c r="C2312" t="str">
        <x:v>353810</x:v>
      </x:c>
      <x:c r="D2312" t="str">
        <x:v>이지바이오</x:v>
      </x:c>
      <x:c r="E2312" t="str">
        <x:v>KOSDAQ</x:v>
      </x:c>
      <x:c r="F2312" t="str">
        <x:v>MID</x:v>
      </x:c>
      <x:c r="G2312" t="str">
        <x:v>ELIGIBLE</x:v>
      </x:c>
      <x:c r="H2312"/>
      <x:c r="I2312" s="54" t="n">
        <x:v>45288</x:v>
      </x:c>
      <x:c r="J2312" s="55" t="n">
        <x:v>3620</x:v>
      </x:c>
      <x:c r="K2312" s="55" t="n">
        <x:v>123774026400</x:v>
      </x:c>
      <x:c r="L2312" s="55" t="n">
        <x:v>34191720</x:v>
      </x:c>
      <x:c r="M2312" t="str">
        <x:v>20230323001202</x:v>
      </x:c>
      <x:c r="N2312" t="n">
        <x:v>45008.624999988424</x:v>
      </x:c>
      <x:c r="O2312" s="54" t="n">
        <x:v>44926</x:v>
      </x:c>
      <x:c r="P2312" t="str">
        <x:v>False</x:v>
      </x:c>
      <x:c r="Q2312" t="str">
        <x:v>c0fd4e20c1d6af3aabd5e0aeaad8673427f57ef110dee4754c1824db2704a706</x:v>
      </x:c>
      <x:c r="R2312" t="str">
        <x:v>438b19d1cc5b29656f99777a21914259bc127b97f4418b53984845b353597e76</x:v>
      </x:c>
      <x:c r="S2312" t="n">
        <x:v>6</x:v>
      </x:c>
      <x:c r="T2312" t="str">
        <x:v>2021-12-31|2022-12-31</x:v>
      </x:c>
      <x:c r="U2312" s="57" t="n">
        <x:v>4432.380049842225</x:v>
      </x:c>
      <x:c r="V2312" s="57" t="n">
        <x:v>0.2244143784094545</x:v>
      </x:c>
      <x:c r="W2312" t="n">
        <x:v>22</x:v>
      </x:c>
      <x:c r="X2312" t="n">
        <x:v>2</x:v>
      </x:c>
      <x:c r="Y2312" s="38" t="n">
        <x:v>0.6409090909090909</x:v>
      </x:c>
      <x:c r="Z2312" s="38" t="n">
        <x:v>0.7560673660909806</x:v>
      </x:c>
      <x:c r="AA2312"/>
    </x:row>
    <x:row r="2313">
      <x:c r="A2313" s="54" t="n">
        <x:v>45291</x:v>
      </x:c>
      <x:c r="B2313" t="n">
        <x:v>45291.624999988424</x:v>
      </x:c>
      <x:c r="C2313" t="str">
        <x:v>203650</x:v>
      </x:c>
      <x:c r="D2313" t="str">
        <x:v>드림시큐리티</x:v>
      </x:c>
      <x:c r="E2313" t="str">
        <x:v>KOSDAQ</x:v>
      </x:c>
      <x:c r="F2313" t="str">
        <x:v>MID</x:v>
      </x:c>
      <x:c r="G2313" t="str">
        <x:v>ELIGIBLE</x:v>
      </x:c>
      <x:c r="H2313"/>
      <x:c r="I2313" s="54" t="n">
        <x:v>45288</x:v>
      </x:c>
      <x:c r="J2313" s="55" t="n">
        <x:v>3380</x:v>
      </x:c>
      <x:c r="K2313" s="55" t="n">
        <x:v>171047448520</x:v>
      </x:c>
      <x:c r="L2313" s="55" t="n">
        <x:v>50605754</x:v>
      </x:c>
      <x:c r="M2313" t="str">
        <x:v>20230320001053</x:v>
      </x:c>
      <x:c r="N2313" t="n">
        <x:v>45005.624999988424</x:v>
      </x:c>
      <x:c r="O2313" s="54" t="n">
        <x:v>44926</x:v>
      </x:c>
      <x:c r="P2313" t="str">
        <x:v>False</x:v>
      </x:c>
      <x:c r="Q2313" t="str">
        <x:v>34289534fe1bab0ef563c0c6e0b3801653fbb5285a3f840605ec66e0ad4d5b86</x:v>
      </x:c>
      <x:c r="R2313" t="str">
        <x:v>a295f60795f5538f197595de041e9e15f565d0ffd21244275b939d950d2bedb1</x:v>
      </x:c>
      <x:c r="S2313" t="n">
        <x:v>6</x:v>
      </x:c>
      <x:c r="T2313" t="str">
        <x:v>2018-12-31|2019-12-31|2020-12-31|2021-12-31|2022-12-31</x:v>
      </x:c>
      <x:c r="U2313" s="57" t="n">
        <x:v>2245.64212473627</x:v>
      </x:c>
      <x:c r="V2313" s="57" t="n">
        <x:v>-0.33560883883542314</x:v>
      </x:c>
      <x:c r="W2313" t="n">
        <x:v>34</x:v>
      </x:c>
      <x:c r="X2313" t="n">
        <x:v>3</x:v>
      </x:c>
      <x:c r="Y2313" s="38" t="n">
        <x:v>0.6409090909090909</x:v>
      </x:c>
      <x:c r="Z2313" s="38" t="n">
        <x:v>0.6619022306471682</x:v>
      </x:c>
      <x:c r="AA2313"/>
    </x:row>
    <x:row r="2314">
      <x:c r="A2314" s="54" t="n">
        <x:v>45291</x:v>
      </x:c>
      <x:c r="B2314" t="n">
        <x:v>45291.624999988424</x:v>
      </x:c>
      <x:c r="C2314" t="str">
        <x:v>251120</x:v>
      </x:c>
      <x:c r="D2314" t="str">
        <x:v>바이오에프디엔씨</x:v>
      </x:c>
      <x:c r="E2314" t="str">
        <x:v>KOSDAQ</x:v>
      </x:c>
      <x:c r="F2314" t="str">
        <x:v>MID</x:v>
      </x:c>
      <x:c r="G2314" t="str">
        <x:v>ELIGIBLE</x:v>
      </x:c>
      <x:c r="H2314"/>
      <x:c r="I2314" s="54" t="n">
        <x:v>45288</x:v>
      </x:c>
      <x:c r="J2314" s="55" t="n">
        <x:v>14120</x:v>
      </x:c>
      <x:c r="K2314" s="55" t="n">
        <x:v>122783284000</x:v>
      </x:c>
      <x:c r="L2314" s="55" t="n">
        <x:v>8695700</x:v>
      </x:c>
      <x:c r="M2314" t="str">
        <x:v>20230323000550</x:v>
      </x:c>
      <x:c r="N2314" t="n">
        <x:v>45008.624999988424</x:v>
      </x:c>
      <x:c r="O2314" s="54" t="n">
        <x:v>44926</x:v>
      </x:c>
      <x:c r="P2314" t="str">
        <x:v>False</x:v>
      </x:c>
      <x:c r="Q2314" t="str">
        <x:v>457a8311ddb92eff6410ce12ddac4bff11e07f014260711e66f0b7059be85f1e</x:v>
      </x:c>
      <x:c r="R2314" t="str">
        <x:v>77f741f2d11ad012d851efe62bb45bbb62abc053fd2cbebb9cad9af222fcb971</x:v>
      </x:c>
      <x:c r="S2314" t="n">
        <x:v>5</x:v>
      </x:c>
      <x:c r="T2314" t="str">
        <x:v>2021-12-31|2022-12-31</x:v>
      </x:c>
      <x:c r="U2314" s="57" t="n">
        <x:v>6898.290174105601</x:v>
      </x:c>
      <x:c r="V2314" s="57" t="n">
        <x:v>-0.5114525372446458</x:v>
      </x:c>
      <x:c r="W2314" t="n">
        <x:v>45</x:v>
      </x:c>
      <x:c r="X2314" t="n">
        <x:v>4</x:v>
      </x:c>
      <x:c r="Y2314" s="38" t="n">
        <x:v>0.6409090909090909</x:v>
      </x:c>
      <x:c r="Z2314" s="38" t="n">
        <x:v>0.6825532650903761</x:v>
      </x:c>
      <x:c r="AA2314"/>
    </x:row>
    <x:row r="2315">
      <x:c r="A2315" s="54" t="n">
        <x:v>45291</x:v>
      </x:c>
      <x:c r="B2315" t="n">
        <x:v>45291.624999988424</x:v>
      </x:c>
      <x:c r="C2315" t="str">
        <x:v>094820</x:v>
      </x:c>
      <x:c r="D2315" t="str">
        <x:v>일진파워</x:v>
      </x:c>
      <x:c r="E2315" t="str">
        <x:v>KOSDAQ</x:v>
      </x:c>
      <x:c r="F2315" t="str">
        <x:v>MID</x:v>
      </x:c>
      <x:c r="G2315" t="str">
        <x:v>ELIGIBLE</x:v>
      </x:c>
      <x:c r="H2315"/>
      <x:c r="I2315" s="54" t="n">
        <x:v>45288</x:v>
      </x:c>
      <x:c r="J2315" s="55" t="n">
        <x:v>11580</x:v>
      </x:c>
      <x:c r="K2315" s="55" t="n">
        <x:v>174611450220</x:v>
      </x:c>
      <x:c r="L2315" s="55" t="n">
        <x:v>15078709</x:v>
      </x:c>
      <x:c r="M2315" t="str">
        <x:v>20230725000269</x:v>
      </x:c>
      <x:c r="N2315" t="n">
        <x:v>45132.624999988424</x:v>
      </x:c>
      <x:c r="O2315" s="54" t="n">
        <x:v>44926</x:v>
      </x:c>
      <x:c r="P2315" t="str">
        <x:v>True</x:v>
      </x:c>
      <x:c r="Q2315" t="str">
        <x:v>37675484d80981029a96bf3a3c635bcd3634d73029b9bf2babafddf433ba77f7</x:v>
      </x:c>
      <x:c r="R2315" t="str">
        <x:v>2553c311cfb76db051b1ddd3cd458ff87132d703b9b175b5878b79f6e513f522</x:v>
      </x:c>
      <x:c r="S2315" t="n">
        <x:v>6</x:v>
      </x:c>
      <x:c r="T2315" t="str">
        <x:v>2018-12-31|2019-12-31|2020-12-31|2021-12-31|2022-12-31</x:v>
      </x:c>
      <x:c r="U2315" s="57" t="n">
        <x:v>14568.71822737499</x:v>
      </x:c>
      <x:c r="V2315" s="57" t="n">
        <x:v>0.2580931111722789</x:v>
      </x:c>
      <x:c r="W2315" t="n">
        <x:v>21</x:v>
      </x:c>
      <x:c r="X2315" t="n">
        <x:v>2</x:v>
      </x:c>
      <x:c r="Y2315" s="38" t="n">
        <x:v>0.6409090909090909</x:v>
      </x:c>
      <x:c r="Z2315" s="38" t="n">
        <x:v>0.6848982614778122</x:v>
      </x:c>
      <x:c r="AA2315"/>
    </x:row>
    <x:row r="2316">
      <x:c r="A2316" s="54" t="n">
        <x:v>45291</x:v>
      </x:c>
      <x:c r="B2316" t="n">
        <x:v>45291.624999988424</x:v>
      </x:c>
      <x:c r="C2316" t="str">
        <x:v>333430</x:v>
      </x:c>
      <x:c r="D2316" t="str">
        <x:v>일승</x:v>
      </x:c>
      <x:c r="E2316" t="str">
        <x:v>KOSDAQ</x:v>
      </x:c>
      <x:c r="F2316" t="str">
        <x:v>MID</x:v>
      </x:c>
      <x:c r="G2316" t="str">
        <x:v>DCF_SCREENING_EXCLUSION</x:v>
      </x:c>
      <x:c r="H2316" t="str">
        <x:v>NON_POSITIVE_ENTERPRISE_VALUE|NON_POSITIVE_EQUITY_VALUE|NON_POSITIVE_TERMINAL_FCF</x:v>
      </x:c>
      <x:c r="I2316" s="54" t="n">
        <x:v>45288</x:v>
      </x:c>
      <x:c r="J2316" s="55" t="n">
        <x:v>2780</x:v>
      </x:c>
      <x:c r="K2316" s="55" t="n">
        <x:v>85420356660</x:v>
      </x:c>
      <x:c r="L2316" s="55" t="n">
        <x:v>30726747</x:v>
      </x:c>
      <x:c r="M2316" t="str">
        <x:v>20230321001139</x:v>
      </x:c>
      <x:c r="N2316" t="n">
        <x:v>45006.624999988424</x:v>
      </x:c>
      <x:c r="O2316" s="54" t="n">
        <x:v>44926</x:v>
      </x:c>
      <x:c r="P2316" t="str">
        <x:v>False</x:v>
      </x:c>
      <x:c r="Q2316" t="str">
        <x:v>d7502cdcc3c654ca1d1940655519e09ad8b56e302692e749b0328b7e843bbf89</x:v>
      </x:c>
      <x:c r="R2316" t="str">
        <x:v>abd71ec1474faa0eba46763bdc83340ccdae6f0942644b6b38714fe131032813</x:v>
      </x:c>
      <x:c r="S2316" t="n">
        <x:v>6</x:v>
      </x:c>
      <x:c r="T2316" t="str">
        <x:v>2021-12-31|2022-12-31</x:v>
      </x:c>
      <x:c r="U2316" s="57" t="n">
        <x:v>-611.6882297528869</x:v>
      </x:c>
      <x:c r="V2316" s="57" t="n">
        <x:v>-1.2200317373211824</x:v>
      </x:c>
      <x:c r="W2316"/>
      <x:c r="X2316"/>
      <x:c r="Y2316" s="38" t="n">
        <x:v>0.6409090909090909</x:v>
      </x:c>
      <x:c r="Z2316" s="38" t="n">
        <x:v>0.32596597928319837</x:v>
      </x:c>
      <x:c r="AA2316" t="str">
        <x:v>NON_POSITIVE_ENTERPRISE_VALUE|NON_POSITIVE_EQUITY_VALUE|NON_POSITIVE_TERMINAL_FCF</x:v>
      </x:c>
    </x:row>
    <x:row r="2317">
      <x:c r="A2317" s="54" t="n">
        <x:v>45291</x:v>
      </x:c>
      <x:c r="B2317" t="n">
        <x:v>45291.624999988424</x:v>
      </x:c>
      <x:c r="C2317" t="str">
        <x:v>041440</x:v>
      </x:c>
      <x:c r="D2317" t="str">
        <x:v>현대에버다임</x:v>
      </x:c>
      <x:c r="E2317" t="str">
        <x:v>KOSDAQ</x:v>
      </x:c>
      <x:c r="F2317" t="str">
        <x:v>MID</x:v>
      </x:c>
      <x:c r="G2317" t="str">
        <x:v>DCF_SCREENING_EXCLUSION</x:v>
      </x:c>
      <x:c r="H2317" t="str">
        <x:v>NON_POSITIVE_ENTERPRISE_VALUE|NON_POSITIVE_EQUITY_VALUE|NON_POSITIVE_TERMINAL_FCF</x:v>
      </x:c>
      <x:c r="I2317" s="54" t="n">
        <x:v>45288</x:v>
      </x:c>
      <x:c r="J2317" s="55" t="n">
        <x:v>6350</x:v>
      </x:c>
      <x:c r="K2317" s="55" t="n">
        <x:v>113766244400</x:v>
      </x:c>
      <x:c r="L2317" s="55" t="n">
        <x:v>17915944</x:v>
      </x:c>
      <x:c r="M2317" t="str">
        <x:v>20230320000982</x:v>
      </x:c>
      <x:c r="N2317" t="n">
        <x:v>45005.624999988424</x:v>
      </x:c>
      <x:c r="O2317" s="54" t="n">
        <x:v>44926</x:v>
      </x:c>
      <x:c r="P2317" t="str">
        <x:v>False</x:v>
      </x:c>
      <x:c r="Q2317" t="str">
        <x:v>8c3d9a83fb6c517a8cd313377559d3dea4a69bedff0db9c303c7595a8f32a66a</x:v>
      </x:c>
      <x:c r="R2317" t="str">
        <x:v>41baf22bd69a11eba2250fb647f80bfaea0394015173ea0819971eea359f9329</x:v>
      </x:c>
      <x:c r="S2317" t="n">
        <x:v>7</x:v>
      </x:c>
      <x:c r="T2317" t="str">
        <x:v>2018-12-31|2019-12-31|2020-12-31|2021-12-31|2022-12-31</x:v>
      </x:c>
      <x:c r="U2317" s="57" t="n">
        <x:v>-7160.384465012425</x:v>
      </x:c>
      <x:c r="V2317" s="57" t="n">
        <x:v>-2.127619600789358</x:v>
      </x:c>
      <x:c r="W2317"/>
      <x:c r="X2317"/>
      <x:c r="Y2317" s="38" t="n">
        <x:v>0.6409090909090909</x:v>
      </x:c>
      <x:c r="Z2317" s="38" t="n">
        <x:v>0.6118890122114707</x:v>
      </x:c>
      <x:c r="AA2317" t="str">
        <x:v>NON_POSITIVE_ENTERPRISE_VALUE|NON_POSITIVE_EQUITY_VALUE|NON_POSITIVE_TERMINAL_FCF</x:v>
      </x:c>
    </x:row>
    <x:row r="2318">
      <x:c r="A2318" s="54" t="n">
        <x:v>45291</x:v>
      </x:c>
      <x:c r="B2318" t="n">
        <x:v>45291.624999988424</x:v>
      </x:c>
      <x:c r="C2318" t="str">
        <x:v>067990</x:v>
      </x:c>
      <x:c r="D2318" t="str">
        <x:v>도이치모터스</x:v>
      </x:c>
      <x:c r="E2318" t="str">
        <x:v>KOSDAQ</x:v>
      </x:c>
      <x:c r="F2318" t="str">
        <x:v>MID</x:v>
      </x:c>
      <x:c r="G2318" t="str">
        <x:v>DCF_SCREENING_EXCLUSION</x:v>
      </x:c>
      <x:c r="H2318" t="str">
        <x:v>NON_POSITIVE_EQUITY_VALUE</x:v>
      </x:c>
      <x:c r="I2318" s="54" t="n">
        <x:v>45288</x:v>
      </x:c>
      <x:c r="J2318" s="55" t="n">
        <x:v>4975</x:v>
      </x:c>
      <x:c r="K2318" s="55" t="n">
        <x:v>155128211250</x:v>
      </x:c>
      <x:c r="L2318" s="55" t="n">
        <x:v>31181550</x:v>
      </x:c>
      <x:c r="M2318" t="str">
        <x:v>20230317000760</x:v>
      </x:c>
      <x:c r="N2318" t="n">
        <x:v>45002.624999988424</x:v>
      </x:c>
      <x:c r="O2318" s="54" t="n">
        <x:v>44926</x:v>
      </x:c>
      <x:c r="P2318" t="str">
        <x:v>False</x:v>
      </x:c>
      <x:c r="Q2318" t="str">
        <x:v>7f959e11e8485d180ff361123246abc52f32d0d6ca7b3df433db63b2e3a91ba1</x:v>
      </x:c>
      <x:c r="R2318" t="str">
        <x:v>0081b4ef6ace73aa22d0a80b8d24b0d7cf9195fdeaba6e597eaab64df0a7b488</x:v>
      </x:c>
      <x:c r="S2318" t="n">
        <x:v>6</x:v>
      </x:c>
      <x:c r="T2318" t="str">
        <x:v>2016-12-31|2018-12-31|2019-12-31|2020-12-31|2021-12-31|2022-12-31</x:v>
      </x:c>
      <x:c r="U2318" s="57" t="n">
        <x:v>-9377.166760500842</x:v>
      </x:c>
      <x:c r="V2318" s="57" t="n">
        <x:v>-2.884857640301677</x:v>
      </x:c>
      <x:c r="W2318"/>
      <x:c r="X2318"/>
      <x:c r="Y2318" s="38" t="n">
        <x:v>0.6409090909090909</x:v>
      </x:c>
      <x:c r="Z2318" s="38" t="n">
        <x:v>0.7697478293952159</x:v>
      </x:c>
      <x:c r="AA2318" t="str">
        <x:v>NON_POSITIVE_EQUITY_VALUE</x:v>
      </x:c>
    </x:row>
    <x:row r="2319">
      <x:c r="A2319" s="54" t="n">
        <x:v>45291</x:v>
      </x:c>
      <x:c r="B2319" t="n">
        <x:v>45291.624999988424</x:v>
      </x:c>
      <x:c r="C2319" t="str">
        <x:v>037070</x:v>
      </x:c>
      <x:c r="D2319" t="str">
        <x:v>파세코</x:v>
      </x:c>
      <x:c r="E2319" t="str">
        <x:v>KOSDAQ</x:v>
      </x:c>
      <x:c r="F2319" t="str">
        <x:v>MID</x:v>
      </x:c>
      <x:c r="G2319" t="str">
        <x:v>ELIGIBLE</x:v>
      </x:c>
      <x:c r="H2319"/>
      <x:c r="I2319" s="54" t="n">
        <x:v>45288</x:v>
      </x:c>
      <x:c r="J2319" s="55" t="n">
        <x:v>10030</x:v>
      </x:c>
      <x:c r="K2319" s="55" t="n">
        <x:v>200600000000</x:v>
      </x:c>
      <x:c r="L2319" s="55" t="n">
        <x:v>20000000</x:v>
      </x:c>
      <x:c r="M2319" t="str">
        <x:v>20230322000475</x:v>
      </x:c>
      <x:c r="N2319" t="n">
        <x:v>45007.624999988424</x:v>
      </x:c>
      <x:c r="O2319" s="54" t="n">
        <x:v>44926</x:v>
      </x:c>
      <x:c r="P2319" t="str">
        <x:v>False</x:v>
      </x:c>
      <x:c r="Q2319" t="str">
        <x:v>e0e628c1c4f3d44105afad67f3e241489cd6e09b190059e31bcca1cc8e91cefc</x:v>
      </x:c>
      <x:c r="R2319" t="str">
        <x:v>534a5be0bc61d177fbac066d23e10beac9b6d143754bed0f9c80fb43ba461c7d</x:v>
      </x:c>
      <x:c r="S2319" t="n">
        <x:v>7</x:v>
      </x:c>
      <x:c r="T2319" t="str">
        <x:v>2018-12-31|2019-12-31|2020-12-31|2021-12-31|2022-12-31</x:v>
      </x:c>
      <x:c r="U2319" s="57" t="n">
        <x:v>6820.926575942535</x:v>
      </x:c>
      <x:c r="V2319" s="57" t="n">
        <x:v>-0.3199474999060284</x:v>
      </x:c>
      <x:c r="W2319" t="n">
        <x:v>33</x:v>
      </x:c>
      <x:c r="X2319" t="n">
        <x:v>3</x:v>
      </x:c>
      <x:c r="Y2319" s="38" t="n">
        <x:v>0.6409090909090909</x:v>
      </x:c>
      <x:c r="Z2319" s="38" t="n">
        <x:v>0.7394480833327476</x:v>
      </x:c>
      <x:c r="AA2319"/>
    </x:row>
    <x:row r="2320">
      <x:c r="A2320" s="54" t="n">
        <x:v>45291</x:v>
      </x:c>
      <x:c r="B2320" t="n">
        <x:v>45291.624999988424</x:v>
      </x:c>
      <x:c r="C2320" t="str">
        <x:v>365330</x:v>
      </x:c>
      <x:c r="D2320" t="str">
        <x:v>에스와이스틸텍</x:v>
      </x:c>
      <x:c r="E2320" t="str">
        <x:v>KOSDAQ</x:v>
      </x:c>
      <x:c r="F2320" t="str">
        <x:v>MID</x:v>
      </x:c>
      <x:c r="G2320" t="str">
        <x:v>NO_PIT_FINANCIALS</x:v>
      </x:c>
      <x:c r="H2320"/>
      <x:c r="I2320" s="54" t="n">
        <x:v>45288</x:v>
      </x:c>
      <x:c r="J2320" s="55" t="n">
        <x:v>4090</x:v>
      </x:c>
      <x:c r="K2320" s="55" t="n">
        <x:v>125194900000</x:v>
      </x:c>
      <x:c r="L2320" s="55" t="n">
        <x:v>30610000</x:v>
      </x:c>
      <x:c r="M2320"/>
      <x:c r="N2320"/>
      <x:c r="O2320" s="54"/>
      <x:c r="P2320"/>
      <x:c r="Q2320"/>
      <x:c r="R2320"/>
      <x:c r="S2320"/>
      <x:c r="T2320"/>
      <x:c r="U2320" s="57"/>
      <x:c r="V2320" s="57"/>
      <x:c r="W2320"/>
      <x:c r="X2320"/>
      <x:c r="Y2320" s="38"/>
      <x:c r="Z2320" s="38"/>
      <x:c r="AA2320"/>
    </x:row>
    <x:row r="2321">
      <x:c r="A2321" s="54" t="n">
        <x:v>45291</x:v>
      </x:c>
      <x:c r="B2321" t="n">
        <x:v>45291.624999988424</x:v>
      </x:c>
      <x:c r="C2321" t="str">
        <x:v>086960</x:v>
      </x:c>
      <x:c r="D2321" t="str">
        <x:v>MDS테크</x:v>
      </x:c>
      <x:c r="E2321" t="str">
        <x:v>KOSDAQ</x:v>
      </x:c>
      <x:c r="F2321" t="str">
        <x:v>MID</x:v>
      </x:c>
      <x:c r="G2321" t="str">
        <x:v>ELIGIBLE</x:v>
      </x:c>
      <x:c r="H2321"/>
      <x:c r="I2321" s="54" t="n">
        <x:v>45288</x:v>
      </x:c>
      <x:c r="J2321" s="55" t="n">
        <x:v>1642</x:v>
      </x:c>
      <x:c r="K2321" s="55" t="n">
        <x:v>143803956112</x:v>
      </x:c>
      <x:c r="L2321" s="55" t="n">
        <x:v>87578536</x:v>
      </x:c>
      <x:c r="M2321" t="str">
        <x:v>20230321001394</x:v>
      </x:c>
      <x:c r="N2321" t="n">
        <x:v>45006.624999988424</x:v>
      </x:c>
      <x:c r="O2321" s="54" t="n">
        <x:v>44926</x:v>
      </x:c>
      <x:c r="P2321" t="str">
        <x:v>False</x:v>
      </x:c>
      <x:c r="Q2321" t="str">
        <x:v>6de65259a3d072f42d0fca3d53001c4393de76a7b6785d72709e18e8e2184e5d</x:v>
      </x:c>
      <x:c r="R2321" t="str">
        <x:v>0a064b5a48ddc0c295a1489d2b419a5c1fb6e4d178bb4e529a768d64682b58d6</x:v>
      </x:c>
      <x:c r="S2321" t="n">
        <x:v>6</x:v>
      </x:c>
      <x:c r="T2321" t="str">
        <x:v>2018-12-31|2019-12-31|2020-12-31|2021-12-31|2022-12-31</x:v>
      </x:c>
      <x:c r="U2321" s="57" t="n">
        <x:v>635.7667233708745</x:v>
      </x:c>
      <x:c r="V2321" s="57" t="n">
        <x:v>-0.6128095472771775</x:v>
      </x:c>
      <x:c r="W2321" t="n">
        <x:v>49</x:v>
      </x:c>
      <x:c r="X2321" t="n">
        <x:v>4</x:v>
      </x:c>
      <x:c r="Y2321" s="38" t="n">
        <x:v>0.6409090909090909</x:v>
      </x:c>
      <x:c r="Z2321" s="38" t="n">
        <x:v>0.503297506332927</x:v>
      </x:c>
      <x:c r="AA2321"/>
    </x:row>
    <x:row r="2322">
      <x:c r="A2322" s="54" t="n">
        <x:v>45291</x:v>
      </x:c>
      <x:c r="B2322" t="n">
        <x:v>45291.624999988424</x:v>
      </x:c>
      <x:c r="C2322" t="str">
        <x:v>014970</x:v>
      </x:c>
      <x:c r="D2322" t="str">
        <x:v>삼륭물산</x:v>
      </x:c>
      <x:c r="E2322" t="str">
        <x:v>KOSDAQ</x:v>
      </x:c>
      <x:c r="F2322" t="str">
        <x:v>MID</x:v>
      </x:c>
      <x:c r="G2322" t="str">
        <x:v>DCF_SCREENING_EXCLUSION</x:v>
      </x:c>
      <x:c r="H2322" t="str">
        <x:v>NON_POSITIVE_ENTERPRISE_VALUE|NON_POSITIVE_EQUITY_VALUE|NON_POSITIVE_TERMINAL_FCF</x:v>
      </x:c>
      <x:c r="I2322" s="54" t="n">
        <x:v>45288</x:v>
      </x:c>
      <x:c r="J2322" s="55" t="n">
        <x:v>3575</x:v>
      </x:c>
      <x:c r="K2322" s="55" t="n">
        <x:v>54071875000</x:v>
      </x:c>
      <x:c r="L2322" s="55" t="n">
        <x:v>15125000</x:v>
      </x:c>
      <x:c r="M2322" t="str">
        <x:v>20230321000886</x:v>
      </x:c>
      <x:c r="N2322" t="n">
        <x:v>45006.624999988424</x:v>
      </x:c>
      <x:c r="O2322" s="54" t="n">
        <x:v>44926</x:v>
      </x:c>
      <x:c r="P2322" t="str">
        <x:v>False</x:v>
      </x:c>
      <x:c r="Q2322" t="str">
        <x:v>883e85ca54d69019d753f75ff70bd82e9ec95c7f381af4f7070b658bf9977127</x:v>
      </x:c>
      <x:c r="R2322" t="str">
        <x:v>6aead4fd53b27da53ce0040d23d43dbcaede491dd27efb33c775b4235ae6877b</x:v>
      </x:c>
      <x:c r="S2322" t="n">
        <x:v>6</x:v>
      </x:c>
      <x:c r="T2322" t="str">
        <x:v>2018-12-31|2019-12-31|2020-12-31|2021-12-31|2022-12-31</x:v>
      </x:c>
      <x:c r="U2322" s="57" t="n">
        <x:v>-2342.5038501299105</x:v>
      </x:c>
      <x:c r="V2322" s="57" t="n">
        <x:v>-1.6552458322041708</x:v>
      </x:c>
      <x:c r="W2322"/>
      <x:c r="X2322"/>
      <x:c r="Y2322" s="38" t="n">
        <x:v>0.6409090909090909</x:v>
      </x:c>
      <x:c r="Z2322" s="38" t="n">
        <x:v>0.38695392197793776</x:v>
      </x:c>
      <x:c r="AA2322" t="str">
        <x:v>NON_POSITIVE_ENTERPRISE_VALUE|NON_POSITIVE_EQUITY_VALUE|NON_POSITIVE_TERMINAL_FCF</x:v>
      </x:c>
    </x:row>
    <x:row r="2323">
      <x:c r="A2323" s="54" t="n">
        <x:v>45291</x:v>
      </x:c>
      <x:c r="B2323" t="n">
        <x:v>45291.624999988424</x:v>
      </x:c>
      <x:c r="C2323" t="str">
        <x:v>088390</x:v>
      </x:c>
      <x:c r="D2323" t="str">
        <x:v>이녹스</x:v>
      </x:c>
      <x:c r="E2323" t="str">
        <x:v>KOSDAQ</x:v>
      </x:c>
      <x:c r="F2323" t="str">
        <x:v>MID</x:v>
      </x:c>
      <x:c r="G2323" t="str">
        <x:v>ELIGIBLE</x:v>
      </x:c>
      <x:c r="H2323"/>
      <x:c r="I2323" s="54" t="n">
        <x:v>45288</x:v>
      </x:c>
      <x:c r="J2323" s="55" t="n">
        <x:v>23200</x:v>
      </x:c>
      <x:c r="K2323" s="55" t="n">
        <x:v>217751580800</x:v>
      </x:c>
      <x:c r="L2323" s="55" t="n">
        <x:v>9385844</x:v>
      </x:c>
      <x:c r="M2323" t="str">
        <x:v>20230321000937</x:v>
      </x:c>
      <x:c r="N2323" t="n">
        <x:v>45006.624999988424</x:v>
      </x:c>
      <x:c r="O2323" s="54" t="n">
        <x:v>44926</x:v>
      </x:c>
      <x:c r="P2323" t="str">
        <x:v>False</x:v>
      </x:c>
      <x:c r="Q2323" t="str">
        <x:v>c806ff3b25a78008817dea909ba8d87907b897404702a945415dc8bddf5a3bba</x:v>
      </x:c>
      <x:c r="R2323" t="str">
        <x:v>a334546554aa10b611102f8d42eec0e13da704c6535d6c2253ec83dd0adcbc43</x:v>
      </x:c>
      <x:c r="S2323" t="n">
        <x:v>6</x:v>
      </x:c>
      <x:c r="T2323" t="str">
        <x:v>2018-12-31|2019-12-31|2020-12-31|2021-12-31|2022-12-31</x:v>
      </x:c>
      <x:c r="U2323" s="57" t="n">
        <x:v>20179.33646225463</x:v>
      </x:c>
      <x:c r="V2323" s="57" t="n">
        <x:v>-0.13020101455799013</x:v>
      </x:c>
      <x:c r="W2323" t="n">
        <x:v>30</x:v>
      </x:c>
      <x:c r="X2323" t="n">
        <x:v>3</x:v>
      </x:c>
      <x:c r="Y2323" s="38" t="n">
        <x:v>0.6409090909090909</x:v>
      </x:c>
      <x:c r="Z2323" s="38" t="n">
        <x:v>0.6559585112822673</x:v>
      </x:c>
      <x:c r="AA2323"/>
    </x:row>
    <x:row r="2324">
      <x:c r="A2324" s="54" t="n">
        <x:v>45291</x:v>
      </x:c>
      <x:c r="B2324" t="n">
        <x:v>45291.624999988424</x:v>
      </x:c>
      <x:c r="C2324" t="str">
        <x:v>170920</x:v>
      </x:c>
      <x:c r="D2324" t="str">
        <x:v>엘티씨</x:v>
      </x:c>
      <x:c r="E2324" t="str">
        <x:v>KOSDAQ</x:v>
      </x:c>
      <x:c r="F2324" t="str">
        <x:v>MID</x:v>
      </x:c>
      <x:c r="G2324" t="str">
        <x:v>DCF_SCREENING_EXCLUSION</x:v>
      </x:c>
      <x:c r="H2324" t="str">
        <x:v>NON_POSITIVE_EQUITY_VALUE</x:v>
      </x:c>
      <x:c r="I2324" s="54" t="n">
        <x:v>45288</x:v>
      </x:c>
      <x:c r="J2324" s="55" t="n">
        <x:v>15140</x:v>
      </x:c>
      <x:c r="K2324" s="55" t="n">
        <x:v>142491018400</x:v>
      </x:c>
      <x:c r="L2324" s="55" t="n">
        <x:v>9411560</x:v>
      </x:c>
      <x:c r="M2324" t="str">
        <x:v>20230321001487</x:v>
      </x:c>
      <x:c r="N2324" t="n">
        <x:v>45006.624999988424</x:v>
      </x:c>
      <x:c r="O2324" s="54" t="n">
        <x:v>44926</x:v>
      </x:c>
      <x:c r="P2324" t="str">
        <x:v>False</x:v>
      </x:c>
      <x:c r="Q2324" t="str">
        <x:v>a5dae5e20cb63a18e32c98947b4715639d1167f521be8482e4df15e45dbc7a5e</x:v>
      </x:c>
      <x:c r="R2324" t="str">
        <x:v>669ac794f9aa2ef10105bd2f3cb42ba26f6dca949e57c990abb8149f25d8a938</x:v>
      </x:c>
      <x:c r="S2324" t="n">
        <x:v>6</x:v>
      </x:c>
      <x:c r="T2324" t="str">
        <x:v>2018-12-31|2019-12-31|2020-12-31|2021-12-31|2022-12-31</x:v>
      </x:c>
      <x:c r="U2324" s="57" t="n">
        <x:v>-492.18098905280027</x:v>
      </x:c>
      <x:c r="V2324" s="57" t="n">
        <x:v>-1.032508651852893</x:v>
      </x:c>
      <x:c r="W2324"/>
      <x:c r="X2324"/>
      <x:c r="Y2324" s="38" t="n">
        <x:v>0.6409090909090909</x:v>
      </x:c>
      <x:c r="Z2324" s="38" t="n">
        <x:v>0.6063381050684947</x:v>
      </x:c>
      <x:c r="AA2324" t="str">
        <x:v>NON_POSITIVE_EQUITY_VALUE</x:v>
      </x:c>
    </x:row>
    <x:row r="2325">
      <x:c r="A2325" s="54" t="n">
        <x:v>45291</x:v>
      </x:c>
      <x:c r="B2325" t="n">
        <x:v>45291.624999988424</x:v>
      </x:c>
      <x:c r="C2325" t="str">
        <x:v>021080</x:v>
      </x:c>
      <x:c r="D2325" t="str">
        <x:v>에이티넘인베스트</x:v>
      </x:c>
      <x:c r="E2325" t="str">
        <x:v>KOSDAQ</x:v>
      </x:c>
      <x:c r="F2325" t="str">
        <x:v>MID</x:v>
      </x:c>
      <x:c r="G2325" t="str">
        <x:v>ELIGIBLE</x:v>
      </x:c>
      <x:c r="H2325"/>
      <x:c r="I2325" s="54" t="n">
        <x:v>45288</x:v>
      </x:c>
      <x:c r="J2325" s="55" t="n">
        <x:v>3585</x:v>
      </x:c>
      <x:c r="K2325" s="55" t="n">
        <x:v>172080000000</x:v>
      </x:c>
      <x:c r="L2325" s="55" t="n">
        <x:v>48000000</x:v>
      </x:c>
      <x:c r="M2325" t="str">
        <x:v>20230314001059</x:v>
      </x:c>
      <x:c r="N2325" t="n">
        <x:v>44999.624999988424</x:v>
      </x:c>
      <x:c r="O2325" s="54" t="n">
        <x:v>44926</x:v>
      </x:c>
      <x:c r="P2325" t="str">
        <x:v>False</x:v>
      </x:c>
      <x:c r="Q2325" t="str">
        <x:v>8c5d66bc32cae6aaea39b9031902bfd89e3a6ffd612bd13d18956e5d3c55b227</x:v>
      </x:c>
      <x:c r="R2325" t="str">
        <x:v>25932feee45d4f34e5d899bbfdb4236433277e2205d191def6fb07776ac1872f</x:v>
      </x:c>
      <x:c r="S2325" t="n">
        <x:v>4</x:v>
      </x:c>
      <x:c r="T2325" t="str">
        <x:v>2018-12-31|2019-12-31|2020-12-31|2021-12-31|2022-12-31</x:v>
      </x:c>
      <x:c r="U2325" s="57" t="n">
        <x:v>9406.736948369926</x:v>
      </x:c>
      <x:c r="V2325" s="57" t="n">
        <x:v>1.6239154667698537</x:v>
      </x:c>
      <x:c r="W2325" t="n">
        <x:v>10</x:v>
      </x:c>
      <x:c r="X2325" t="n">
        <x:v>1</x:v>
      </x:c>
      <x:c r="Y2325" s="38" t="n">
        <x:v>0.6409090909090909</x:v>
      </x:c>
      <x:c r="Z2325" s="38" t="n">
        <x:v>0.6853837104206245</x:v>
      </x:c>
      <x:c r="AA2325"/>
    </x:row>
    <x:row r="2326">
      <x:c r="A2326" s="54" t="n">
        <x:v>45291</x:v>
      </x:c>
      <x:c r="B2326" t="n">
        <x:v>45291.624999988424</x:v>
      </x:c>
      <x:c r="C2326" t="str">
        <x:v>302550</x:v>
      </x:c>
      <x:c r="D2326" t="str">
        <x:v>리메드</x:v>
      </x:c>
      <x:c r="E2326" t="str">
        <x:v>KOSDAQ</x:v>
      </x:c>
      <x:c r="F2326" t="str">
        <x:v>MID</x:v>
      </x:c>
      <x:c r="G2326" t="str">
        <x:v>ELIGIBLE</x:v>
      </x:c>
      <x:c r="H2326"/>
      <x:c r="I2326" s="54" t="n">
        <x:v>45288</x:v>
      </x:c>
      <x:c r="J2326" s="55" t="n">
        <x:v>3255</x:v>
      </x:c>
      <x:c r="K2326" s="55" t="n">
        <x:v>99726950400</x:v>
      </x:c>
      <x:c r="L2326" s="55" t="n">
        <x:v>30638080</x:v>
      </x:c>
      <x:c r="M2326" t="str">
        <x:v>20230712000076</x:v>
      </x:c>
      <x:c r="N2326" t="n">
        <x:v>45119.624999988424</x:v>
      </x:c>
      <x:c r="O2326" s="54" t="n">
        <x:v>44926</x:v>
      </x:c>
      <x:c r="P2326" t="str">
        <x:v>True</x:v>
      </x:c>
      <x:c r="Q2326" t="str">
        <x:v>2696cb4a23bf61a69eae1203094ad6ef054f124c385ab3ed7cb3badc732e56ea</x:v>
      </x:c>
      <x:c r="R2326" t="str">
        <x:v>e324af1e445581034711bdcbf297ec383f60b2407cd91b67ee5229b470556ea0</x:v>
      </x:c>
      <x:c r="S2326" t="n">
        <x:v>5</x:v>
      </x:c>
      <x:c r="T2326" t="str">
        <x:v>2019-12-31|2020-12-31|2021-12-31|2022-12-31</x:v>
      </x:c>
      <x:c r="U2326" s="57" t="n">
        <x:v>786.7567809151806</x:v>
      </x:c>
      <x:c r="V2326" s="57" t="n">
        <x:v>-0.7582928476451058</x:v>
      </x:c>
      <x:c r="W2326" t="n">
        <x:v>59</x:v>
      </x:c>
      <x:c r="X2326" t="n">
        <x:v>5</x:v>
      </x:c>
      <x:c r="Y2326" s="38" t="n">
        <x:v>0.6409090909090909</x:v>
      </x:c>
      <x:c r="Z2326" s="38" t="n">
        <x:v>0.6901126110971331</x:v>
      </x:c>
      <x:c r="AA2326"/>
    </x:row>
    <x:row r="2327">
      <x:c r="A2327" s="54" t="n">
        <x:v>45291</x:v>
      </x:c>
      <x:c r="B2327" t="n">
        <x:v>45291.624999988424</x:v>
      </x:c>
      <x:c r="C2327" t="str">
        <x:v>011760</x:v>
      </x:c>
      <x:c r="D2327" t="str">
        <x:v>현대코퍼레이션</x:v>
      </x:c>
      <x:c r="E2327" t="str">
        <x:v>KOSPI</x:v>
      </x:c>
      <x:c r="F2327" t="str">
        <x:v>MID</x:v>
      </x:c>
      <x:c r="G2327" t="str">
        <x:v>ELIGIBLE</x:v>
      </x:c>
      <x:c r="H2327"/>
      <x:c r="I2327" s="54" t="n">
        <x:v>45288</x:v>
      </x:c>
      <x:c r="J2327" s="55" t="n">
        <x:v>18880</x:v>
      </x:c>
      <x:c r="K2327" s="55" t="n">
        <x:v>249762878080</x:v>
      </x:c>
      <x:c r="L2327" s="55" t="n">
        <x:v>13228966</x:v>
      </x:c>
      <x:c r="M2327" t="str">
        <x:v>20230321001082</x:v>
      </x:c>
      <x:c r="N2327" t="n">
        <x:v>45006.624999988424</x:v>
      </x:c>
      <x:c r="O2327" s="54" t="n">
        <x:v>44926</x:v>
      </x:c>
      <x:c r="P2327" t="str">
        <x:v>False</x:v>
      </x:c>
      <x:c r="Q2327" t="str">
        <x:v>7497290dfb7df1cdb145ded0dcd43d2219860d472f25d57ceb52cf8da7a1f19d</x:v>
      </x:c>
      <x:c r="R2327" t="str">
        <x:v>e44d414fb883ec676e3c561de4b1c48d84619c9565a5962f170a9145182b85c8</x:v>
      </x:c>
      <x:c r="S2327" t="n">
        <x:v>6</x:v>
      </x:c>
      <x:c r="T2327" t="str">
        <x:v>2018-12-31|2019-12-31|2020-12-31|2021-12-31|2022-12-31</x:v>
      </x:c>
      <x:c r="U2327" s="57" t="n">
        <x:v>35512.0741871538</x:v>
      </x:c>
      <x:c r="V2327" s="57" t="n">
        <x:v>0.8809361327941629</x:v>
      </x:c>
      <x:c r="W2327" t="n">
        <x:v>11</x:v>
      </x:c>
      <x:c r="X2327" t="n">
        <x:v>1</x:v>
      </x:c>
      <x:c r="Y2327" s="38" t="n">
        <x:v>0.6409090909090909</x:v>
      </x:c>
      <x:c r="Z2327" s="38" t="n">
        <x:v>0.6771245069754701</x:v>
      </x:c>
      <x:c r="AA2327"/>
    </x:row>
    <x:row r="2328">
      <x:c r="A2328" s="54" t="n">
        <x:v>45291</x:v>
      </x:c>
      <x:c r="B2328" t="n">
        <x:v>45291.624999988424</x:v>
      </x:c>
      <x:c r="C2328" t="str">
        <x:v>010690</x:v>
      </x:c>
      <x:c r="D2328" t="str">
        <x:v>화신</x:v>
      </x:c>
      <x:c r="E2328" t="str">
        <x:v>KOSPI</x:v>
      </x:c>
      <x:c r="F2328" t="str">
        <x:v>MID</x:v>
      </x:c>
      <x:c r="G2328" t="str">
        <x:v>DCF_SCREENING_EXCLUSION</x:v>
      </x:c>
      <x:c r="H2328" t="str">
        <x:v>NON_POSITIVE_ENTERPRISE_VALUE|NON_POSITIVE_EQUITY_VALUE|NON_POSITIVE_TERMINAL_FCF|UNRELIABLE_TERMINAL_VALUE_SHARE</x:v>
      </x:c>
      <x:c r="I2328" s="54" t="n">
        <x:v>45288</x:v>
      </x:c>
      <x:c r="J2328" s="55" t="n">
        <x:v>13680</x:v>
      </x:c>
      <x:c r="K2328" s="55" t="n">
        <x:v>477711208800</x:v>
      </x:c>
      <x:c r="L2328" s="55" t="n">
        <x:v>34920410</x:v>
      </x:c>
      <x:c r="M2328" t="str">
        <x:v>20230320000645</x:v>
      </x:c>
      <x:c r="N2328" t="n">
        <x:v>45005.624999988424</x:v>
      </x:c>
      <x:c r="O2328" s="54" t="n">
        <x:v>44926</x:v>
      </x:c>
      <x:c r="P2328" t="str">
        <x:v>False</x:v>
      </x:c>
      <x:c r="Q2328" t="str">
        <x:v>ace030b5867bd40c85d08d8079564b6f1adba8cb64ce5247769c40f3cb666f0c</x:v>
      </x:c>
      <x:c r="R2328" t="str">
        <x:v>c8947a650432b8d7fe4195798251d6392cac5b504010a72e30232a3fa75037ce</x:v>
      </x:c>
      <x:c r="S2328" t="n">
        <x:v>6</x:v>
      </x:c>
      <x:c r="T2328" t="str">
        <x:v>2018-12-31|2019-12-31|2020-12-31|2021-12-31|2022-12-31</x:v>
      </x:c>
      <x:c r="U2328" s="57" t="n">
        <x:v>-17045.32296634363</x:v>
      </x:c>
      <x:c r="V2328" s="57" t="n">
        <x:v>-2.246003140814593</x:v>
      </x:c>
      <x:c r="W2328"/>
      <x:c r="X2328"/>
      <x:c r="Y2328" s="38" t="n">
        <x:v>0.6409090909090909</x:v>
      </x:c>
      <x:c r="Z2328" s="38" t="n">
        <x:v>0.8696011390894546</x:v>
      </x:c>
      <x:c r="AA2328" t="str">
        <x:v>NON_POSITIVE_ENTERPRISE_VALUE|NON_POSITIVE_EQUITY_VALUE|NON_POSITIVE_TERMINAL_FCF|UNRELIABLE_TERMINAL_VALUE_SHARE</x:v>
      </x:c>
    </x:row>
    <x:row r="2329">
      <x:c r="A2329" s="54" t="n">
        <x:v>45291</x:v>
      </x:c>
      <x:c r="B2329" t="n">
        <x:v>45291.624999988424</x:v>
      </x:c>
      <x:c r="C2329" t="str">
        <x:v>029460</x:v>
      </x:c>
      <x:c r="D2329" t="str">
        <x:v>케이씨</x:v>
      </x:c>
      <x:c r="E2329" t="str">
        <x:v>KOSPI</x:v>
      </x:c>
      <x:c r="F2329" t="str">
        <x:v>MID</x:v>
      </x:c>
      <x:c r="G2329" t="str">
        <x:v>ELIGIBLE</x:v>
      </x:c>
      <x:c r="H2329"/>
      <x:c r="I2329" s="54" t="n">
        <x:v>45288</x:v>
      </x:c>
      <x:c r="J2329" s="55" t="n">
        <x:v>18410</x:v>
      </x:c>
      <x:c r="K2329" s="55" t="n">
        <x:v>249529950040</x:v>
      </x:c>
      <x:c r="L2329" s="55" t="n">
        <x:v>13554044</x:v>
      </x:c>
      <x:c r="M2329" t="str">
        <x:v>20230321001309</x:v>
      </x:c>
      <x:c r="N2329" t="n">
        <x:v>45006.624999988424</x:v>
      </x:c>
      <x:c r="O2329" s="54" t="n">
        <x:v>44926</x:v>
      </x:c>
      <x:c r="P2329" t="str">
        <x:v>False</x:v>
      </x:c>
      <x:c r="Q2329" t="str">
        <x:v>58e2d472bbe37e0e42e1f560f9d3acf2a30dbfda1ffdbc268c79157babdb6d9e</x:v>
      </x:c>
      <x:c r="R2329" t="str">
        <x:v>4f1107530bcbdbfdb99fcbe552d55f3f95991ae8735eae7990d0fb52b4e43364</x:v>
      </x:c>
      <x:c r="S2329" t="n">
        <x:v>7</x:v>
      </x:c>
      <x:c r="T2329" t="str">
        <x:v>2018-12-31|2019-12-31|2020-12-31|2021-12-31|2022-12-31</x:v>
      </x:c>
      <x:c r="U2329" s="57" t="n">
        <x:v>57723.94566201972</x:v>
      </x:c>
      <x:c r="V2329" s="57" t="n">
        <x:v>2.1354669017935755</x:v>
      </x:c>
      <x:c r="W2329" t="n">
        <x:v>8</x:v>
      </x:c>
      <x:c r="X2329" t="n">
        <x:v>1</x:v>
      </x:c>
      <x:c r="Y2329" s="38" t="n">
        <x:v>0.6409090909090909</x:v>
      </x:c>
      <x:c r="Z2329" s="38" t="n">
        <x:v>0.6872369630522922</x:v>
      </x:c>
      <x:c r="AA2329"/>
    </x:row>
    <x:row r="2330">
      <x:c r="A2330" s="54" t="n">
        <x:v>45291</x:v>
      </x:c>
      <x:c r="B2330" t="n">
        <x:v>45291.624999988424</x:v>
      </x:c>
      <x:c r="C2330" t="str">
        <x:v>122900</x:v>
      </x:c>
      <x:c r="D2330" t="str">
        <x:v>아이마켓코리아</x:v>
      </x:c>
      <x:c r="E2330" t="str">
        <x:v>KOSPI</x:v>
      </x:c>
      <x:c r="F2330" t="str">
        <x:v>MID</x:v>
      </x:c>
      <x:c r="G2330" t="str">
        <x:v>ELIGIBLE</x:v>
      </x:c>
      <x:c r="H2330"/>
      <x:c r="I2330" s="54" t="n">
        <x:v>45288</x:v>
      </x:c>
      <x:c r="J2330" s="55" t="n">
        <x:v>8590</x:v>
      </x:c>
      <x:c r="K2330" s="55" t="n">
        <x:v>287153735600</x:v>
      </x:c>
      <x:c r="L2330" s="55" t="n">
        <x:v>33428840</x:v>
      </x:c>
      <x:c r="M2330" t="str">
        <x:v>20230322000722</x:v>
      </x:c>
      <x:c r="N2330" t="n">
        <x:v>45007.624999988424</x:v>
      </x:c>
      <x:c r="O2330" s="54" t="n">
        <x:v>44926</x:v>
      </x:c>
      <x:c r="P2330" t="str">
        <x:v>False</x:v>
      </x:c>
      <x:c r="Q2330" t="str">
        <x:v>541510e32a7f5e0c3289b935df9aa47469db852b3e2332ec4d4887ad0a8a3a00</x:v>
      </x:c>
      <x:c r="R2330" t="str">
        <x:v>d3db2a9e5647450f49beda7b3bbce417ea59264baaa424912ee59324b698a5a1</x:v>
      </x:c>
      <x:c r="S2330" t="n">
        <x:v>7</x:v>
      </x:c>
      <x:c r="T2330" t="str">
        <x:v>2018-12-31|2019-12-31|2020-12-31|2021-12-31|2022-12-31</x:v>
      </x:c>
      <x:c r="U2330" s="57" t="n">
        <x:v>11510.344845218757</x:v>
      </x:c>
      <x:c r="V2330" s="57" t="n">
        <x:v>0.3399702963002046</x:v>
      </x:c>
      <x:c r="W2330" t="n">
        <x:v>20</x:v>
      </x:c>
      <x:c r="X2330" t="n">
        <x:v>2</x:v>
      </x:c>
      <x:c r="Y2330" s="38" t="n">
        <x:v>0.6409090909090909</x:v>
      </x:c>
      <x:c r="Z2330" s="38" t="n">
        <x:v>0.6565126915691513</x:v>
      </x:c>
      <x:c r="AA2330"/>
    </x:row>
    <x:row r="2331">
      <x:c r="A2331" s="54" t="n">
        <x:v>45291</x:v>
      </x:c>
      <x:c r="B2331" t="n">
        <x:v>45291.624999988424</x:v>
      </x:c>
      <x:c r="C2331" t="str">
        <x:v>001820</x:v>
      </x:c>
      <x:c r="D2331" t="str">
        <x:v>삼화콘덴서</x:v>
      </x:c>
      <x:c r="E2331" t="str">
        <x:v>KOSPI</x:v>
      </x:c>
      <x:c r="F2331" t="str">
        <x:v>MID</x:v>
      </x:c>
      <x:c r="G2331" t="str">
        <x:v>ELIGIBLE</x:v>
      </x:c>
      <x:c r="H2331"/>
      <x:c r="I2331" s="54" t="n">
        <x:v>45288</x:v>
      </x:c>
      <x:c r="J2331" s="55" t="n">
        <x:v>38100</x:v>
      </x:c>
      <x:c r="K2331" s="55" t="n">
        <x:v>396049500000</x:v>
      </x:c>
      <x:c r="L2331" s="55" t="n">
        <x:v>10395000</x:v>
      </x:c>
      <x:c r="M2331" t="str">
        <x:v>20230316001232</x:v>
      </x:c>
      <x:c r="N2331" t="n">
        <x:v>45001.624999988424</x:v>
      </x:c>
      <x:c r="O2331" s="54" t="n">
        <x:v>44926</x:v>
      </x:c>
      <x:c r="P2331" t="str">
        <x:v>False</x:v>
      </x:c>
      <x:c r="Q2331" t="str">
        <x:v>21c9a7489bf916d34448a0cf4023d4b2918aa14f06fa7fbfecdc791aad0d3a25</x:v>
      </x:c>
      <x:c r="R2331" t="str">
        <x:v>d98eb8030c6a8d0bd488a289243d1d793ce24874b738ec97734a7be617eeb5ec</x:v>
      </x:c>
      <x:c r="S2331" t="n">
        <x:v>6</x:v>
      </x:c>
      <x:c r="T2331" t="str">
        <x:v>2018-12-31|2019-12-31|2020-12-31|2021-12-31|2022-12-31</x:v>
      </x:c>
      <x:c r="U2331" s="57" t="n">
        <x:v>23344.60615683926</x:v>
      </x:c>
      <x:c r="V2331" s="57" t="n">
        <x:v>-0.3872806782981821</x:v>
      </x:c>
      <x:c r="W2331" t="n">
        <x:v>40</x:v>
      </x:c>
      <x:c r="X2331" t="n">
        <x:v>3</x:v>
      </x:c>
      <x:c r="Y2331" s="38" t="n">
        <x:v>0.6409090909090909</x:v>
      </x:c>
      <x:c r="Z2331" s="38" t="n">
        <x:v>0.6774188039585555</x:v>
      </x:c>
      <x:c r="AA2331"/>
    </x:row>
    <x:row r="2332">
      <x:c r="A2332" s="54" t="n">
        <x:v>45291</x:v>
      </x:c>
      <x:c r="B2332" t="n">
        <x:v>45291.624999988424</x:v>
      </x:c>
      <x:c r="C2332" t="str">
        <x:v>001790</x:v>
      </x:c>
      <x:c r="D2332" t="str">
        <x:v>대한제당</x:v>
      </x:c>
      <x:c r="E2332" t="str">
        <x:v>KOSPI</x:v>
      </x:c>
      <x:c r="F2332" t="str">
        <x:v>MID</x:v>
      </x:c>
      <x:c r="G2332" t="str">
        <x:v>ELIGIBLE</x:v>
      </x:c>
      <x:c r="H2332"/>
      <x:c r="I2332" s="54" t="n">
        <x:v>45288</x:v>
      </x:c>
      <x:c r="J2332" s="55" t="n">
        <x:v>3180</x:v>
      </x:c>
      <x:c r="K2332" s="55" t="n">
        <x:v>285235124400</x:v>
      </x:c>
      <x:c r="L2332" s="55" t="n">
        <x:v>89696580</x:v>
      </x:c>
      <x:c r="M2332" t="str">
        <x:v>20230316001046</x:v>
      </x:c>
      <x:c r="N2332" t="n">
        <x:v>45001.624999988424</x:v>
      </x:c>
      <x:c r="O2332" s="54" t="n">
        <x:v>44926</x:v>
      </x:c>
      <x:c r="P2332" t="str">
        <x:v>False</x:v>
      </x:c>
      <x:c r="Q2332" t="str">
        <x:v>1470941c191c19b84c7adee1ef3cb8a6631abd9d9946815fd4a3cfdcb7c9afd7</x:v>
      </x:c>
      <x:c r="R2332" t="str">
        <x:v>52b38e27ecd11fb1c266f904ac3caa5b13eab576bbf5e087693bb0ea6fb7b3d8</x:v>
      </x:c>
      <x:c r="S2332" t="n">
        <x:v>6</x:v>
      </x:c>
      <x:c r="T2332" t="str">
        <x:v>2018-12-31|2019-12-31|2020-12-31|2021-12-31|2022-12-31</x:v>
      </x:c>
      <x:c r="U2332" s="57" t="n">
        <x:v>2512.5220368220816</x:v>
      </x:c>
      <x:c r="V2332" s="57" t="n">
        <x:v>-0.20989873055909378</x:v>
      </x:c>
      <x:c r="W2332" t="n">
        <x:v>31</x:v>
      </x:c>
      <x:c r="X2332" t="n">
        <x:v>3</x:v>
      </x:c>
      <x:c r="Y2332" s="38" t="n">
        <x:v>0.6409090909090909</x:v>
      </x:c>
      <x:c r="Z2332" s="38" t="n">
        <x:v>0.6758534661559685</x:v>
      </x:c>
      <x:c r="AA2332"/>
    </x:row>
    <x:row r="2333">
      <x:c r="A2333" s="54" t="n">
        <x:v>45291</x:v>
      </x:c>
      <x:c r="B2333" t="n">
        <x:v>45291.624999988424</x:v>
      </x:c>
      <x:c r="C2333" t="str">
        <x:v>001340</x:v>
      </x:c>
      <x:c r="D2333" t="str">
        <x:v>PKC</x:v>
      </x:c>
      <x:c r="E2333" t="str">
        <x:v>KOSPI</x:v>
      </x:c>
      <x:c r="F2333" t="str">
        <x:v>MID</x:v>
      </x:c>
      <x:c r="G2333" t="str">
        <x:v>ELIGIBLE</x:v>
      </x:c>
      <x:c r="H2333"/>
      <x:c r="I2333" s="54" t="n">
        <x:v>45288</x:v>
      </x:c>
      <x:c r="J2333" s="55" t="n">
        <x:v>7790</x:v>
      </x:c>
      <x:c r="K2333" s="55" t="n">
        <x:v>349914390530</x:v>
      </x:c>
      <x:c r="L2333" s="55" t="n">
        <x:v>44918407</x:v>
      </x:c>
      <x:c r="M2333" t="str">
        <x:v>20230831001561</x:v>
      </x:c>
      <x:c r="N2333" t="n">
        <x:v>45169.624999988424</x:v>
      </x:c>
      <x:c r="O2333" s="54" t="n">
        <x:v>44926</x:v>
      </x:c>
      <x:c r="P2333" t="str">
        <x:v>True</x:v>
      </x:c>
      <x:c r="Q2333" t="str">
        <x:v>7b9604182ac3bfec816ccdc8bbfe5da5a296b6db9dbe6f438a436c85dba90369</x:v>
      </x:c>
      <x:c r="R2333" t="str">
        <x:v>c56b476c7d4968ae1a6dd2ed3da5ab97c848e1ea4b77fb15386d09c645c4287f</x:v>
      </x:c>
      <x:c r="S2333" t="n">
        <x:v>6</x:v>
      </x:c>
      <x:c r="T2333" t="str">
        <x:v>2016-12-31|2017-12-31|2018-12-31|2019-12-31|2020-12-31|2021-12-31|2022-12-31</x:v>
      </x:c>
      <x:c r="U2333" s="57" t="n">
        <x:v>175.82934072008524</x:v>
      </x:c>
      <x:c r="V2333" s="57" t="n">
        <x:v>-0.9774288394454319</x:v>
      </x:c>
      <x:c r="W2333" t="n">
        <x:v>68</x:v>
      </x:c>
      <x:c r="X2333" t="n">
        <x:v>5</x:v>
      </x:c>
      <x:c r="Y2333" s="38" t="n">
        <x:v>0.6409090909090909</x:v>
      </x:c>
      <x:c r="Z2333" s="38" t="n">
        <x:v>0.6026278080829884</x:v>
      </x:c>
      <x:c r="AA2333"/>
    </x:row>
    <x:row r="2334">
      <x:c r="A2334" s="54" t="n">
        <x:v>45291</x:v>
      </x:c>
      <x:c r="B2334" t="n">
        <x:v>45291.624999988424</x:v>
      </x:c>
      <x:c r="C2334" t="str">
        <x:v>096760</x:v>
      </x:c>
      <x:c r="D2334" t="str">
        <x:v>JW홀딩스</x:v>
      </x:c>
      <x:c r="E2334" t="str">
        <x:v>KOSPI</x:v>
      </x:c>
      <x:c r="F2334" t="str">
        <x:v>MID</x:v>
      </x:c>
      <x:c r="G2334" t="str">
        <x:v>EXCLUDED_ARCHETYPE</x:v>
      </x:c>
      <x:c r="H2334" t="str">
        <x:v>FCFF_NOT_COMPARABLE_FOR_FINANCE_OR_HOLDING_HINT</x:v>
      </x:c>
      <x:c r="I2334" s="54"/>
      <x:c r="J2334" s="55"/>
      <x:c r="K2334" s="55"/>
      <x:c r="L2334" s="55"/>
      <x:c r="M2334"/>
      <x:c r="N2334"/>
      <x:c r="O2334" s="54"/>
      <x:c r="P2334"/>
      <x:c r="Q2334"/>
      <x:c r="R2334"/>
      <x:c r="S2334"/>
      <x:c r="T2334"/>
      <x:c r="U2334" s="57"/>
      <x:c r="V2334" s="57"/>
      <x:c r="W2334"/>
      <x:c r="X2334"/>
      <x:c r="Y2334" s="38"/>
      <x:c r="Z2334" s="38"/>
      <x:c r="AA2334"/>
    </x:row>
    <x:row r="2335">
      <x:c r="A2335" s="54" t="n">
        <x:v>45291</x:v>
      </x:c>
      <x:c r="B2335" t="n">
        <x:v>45291.624999988424</x:v>
      </x:c>
      <x:c r="C2335" t="str">
        <x:v>005010</x:v>
      </x:c>
      <x:c r="D2335" t="str">
        <x:v>휴스틸</x:v>
      </x:c>
      <x:c r="E2335" t="str">
        <x:v>KOSPI</x:v>
      </x:c>
      <x:c r="F2335" t="str">
        <x:v>MID</x:v>
      </x:c>
      <x:c r="G2335" t="str">
        <x:v>ELIGIBLE</x:v>
      </x:c>
      <x:c r="H2335"/>
      <x:c r="I2335" s="54" t="n">
        <x:v>45288</x:v>
      </x:c>
      <x:c r="J2335" s="55" t="n">
        <x:v>4985</x:v>
      </x:c>
      <x:c r="K2335" s="55" t="n">
        <x:v>280097553875</x:v>
      </x:c>
      <x:c r="L2335" s="55" t="n">
        <x:v>56188075</x:v>
      </x:c>
      <x:c r="M2335" t="str">
        <x:v>20230322001091</x:v>
      </x:c>
      <x:c r="N2335" t="n">
        <x:v>45007.624999988424</x:v>
      </x:c>
      <x:c r="O2335" s="54" t="n">
        <x:v>44926</x:v>
      </x:c>
      <x:c r="P2335" t="str">
        <x:v>False</x:v>
      </x:c>
      <x:c r="Q2335" t="str">
        <x:v>d9dbeeef1aa4a18fb7e1b286713e7ac56f27f2bee80e9f7c8abb669a235538b9</x:v>
      </x:c>
      <x:c r="R2335" t="str">
        <x:v>91116ae41a3d9d36dbef495a4667f91436e1b440d9c3b340c7d4d4493ba79f39</x:v>
      </x:c>
      <x:c r="S2335" t="n">
        <x:v>7</x:v>
      </x:c>
      <x:c r="T2335" t="str">
        <x:v>2018-12-31|2019-12-31|2020-12-31|2021-12-31|2022-12-31</x:v>
      </x:c>
      <x:c r="U2335" s="57" t="n">
        <x:v>16959.49964400331</x:v>
      </x:c>
      <x:c r="V2335" s="57" t="n">
        <x:v>2.402106247543292</x:v>
      </x:c>
      <x:c r="W2335" t="n">
        <x:v>6</x:v>
      </x:c>
      <x:c r="X2335" t="n">
        <x:v>1</x:v>
      </x:c>
      <x:c r="Y2335" s="38" t="n">
        <x:v>0.6409090909090909</x:v>
      </x:c>
      <x:c r="Z2335" s="38" t="n">
        <x:v>0.3282955912636518</x:v>
      </x:c>
      <x:c r="AA2335"/>
    </x:row>
    <x:row r="2336">
      <x:c r="A2336" s="54" t="n">
        <x:v>45291</x:v>
      </x:c>
      <x:c r="B2336" t="n">
        <x:v>45291.624999988424</x:v>
      </x:c>
      <x:c r="C2336" t="str">
        <x:v>001630</x:v>
      </x:c>
      <x:c r="D2336" t="str">
        <x:v>종근당홀딩스</x:v>
      </x:c>
      <x:c r="E2336" t="str">
        <x:v>KOSPI</x:v>
      </x:c>
      <x:c r="F2336" t="str">
        <x:v>MID</x:v>
      </x:c>
      <x:c r="G2336" t="str">
        <x:v>EXCLUDED_ARCHETYPE</x:v>
      </x:c>
      <x:c r="H2336" t="str">
        <x:v>FCFF_NOT_COMPARABLE_FOR_FINANCE_OR_HOLDING_HINT</x:v>
      </x:c>
      <x:c r="I2336" s="54"/>
      <x:c r="J2336" s="55"/>
      <x:c r="K2336" s="55"/>
      <x:c r="L2336" s="55"/>
      <x:c r="M2336"/>
      <x:c r="N2336"/>
      <x:c r="O2336" s="54"/>
      <x:c r="P2336"/>
      <x:c r="Q2336"/>
      <x:c r="R2336"/>
      <x:c r="S2336"/>
      <x:c r="T2336"/>
      <x:c r="U2336" s="57"/>
      <x:c r="V2336" s="57"/>
      <x:c r="W2336"/>
      <x:c r="X2336"/>
      <x:c r="Y2336" s="38"/>
      <x:c r="Z2336" s="38"/>
      <x:c r="AA2336"/>
    </x:row>
    <x:row r="2337">
      <x:c r="A2337" s="54" t="n">
        <x:v>45291</x:v>
      </x:c>
      <x:c r="B2337" t="n">
        <x:v>45291.624999988424</x:v>
      </x:c>
      <x:c r="C2337" t="str">
        <x:v>005680</x:v>
      </x:c>
      <x:c r="D2337" t="str">
        <x:v>삼영전자</x:v>
      </x:c>
      <x:c r="E2337" t="str">
        <x:v>KOSPI</x:v>
      </x:c>
      <x:c r="F2337" t="str">
        <x:v>MID</x:v>
      </x:c>
      <x:c r="G2337" t="str">
        <x:v>ELIGIBLE</x:v>
      </x:c>
      <x:c r="H2337"/>
      <x:c r="I2337" s="54" t="n">
        <x:v>45288</x:v>
      </x:c>
      <x:c r="J2337" s="55" t="n">
        <x:v>8570</x:v>
      </x:c>
      <x:c r="K2337" s="55" t="n">
        <x:v>171400000000</x:v>
      </x:c>
      <x:c r="L2337" s="55" t="n">
        <x:v>20000000</x:v>
      </x:c>
      <x:c r="M2337" t="str">
        <x:v>20230316001053</x:v>
      </x:c>
      <x:c r="N2337" t="n">
        <x:v>45001.624999988424</x:v>
      </x:c>
      <x:c r="O2337" s="54" t="n">
        <x:v>44926</x:v>
      </x:c>
      <x:c r="P2337" t="str">
        <x:v>False</x:v>
      </x:c>
      <x:c r="Q2337" t="str">
        <x:v>f6f53cbc5e755b70045095c5cd06f68b16c68540d3609c68bab92de4870f062f</x:v>
      </x:c>
      <x:c r="R2337" t="str">
        <x:v>40b84c17d0e1515ac32414a83e0f689da42513eab824b0ec81b4bde2f62b8829</x:v>
      </x:c>
      <x:c r="S2337" t="n">
        <x:v>5</x:v>
      </x:c>
      <x:c r="T2337" t="str">
        <x:v>2018-12-31|2019-12-31|2020-12-31|2021-12-31|2022-12-31</x:v>
      </x:c>
      <x:c r="U2337" s="57" t="n">
        <x:v>5661.292335764469</x:v>
      </x:c>
      <x:c r="V2337" s="57" t="n">
        <x:v>-0.33940579512666647</x:v>
      </x:c>
      <x:c r="W2337" t="n">
        <x:v>35</x:v>
      </x:c>
      <x:c r="X2337" t="n">
        <x:v>3</x:v>
      </x:c>
      <x:c r="Y2337" s="38" t="n">
        <x:v>0.6409090909090909</x:v>
      </x:c>
      <x:c r="Z2337" s="38" t="n">
        <x:v>0.556459738548656</x:v>
      </x:c>
      <x:c r="AA2337"/>
    </x:row>
    <x:row r="2338">
      <x:c r="A2338" s="54" t="n">
        <x:v>45291</x:v>
      </x:c>
      <x:c r="B2338" t="n">
        <x:v>45291.624999988424</x:v>
      </x:c>
      <x:c r="C2338" t="str">
        <x:v>028100</x:v>
      </x:c>
      <x:c r="D2338" t="str">
        <x:v>동아지질</x:v>
      </x:c>
      <x:c r="E2338" t="str">
        <x:v>KOSPI</x:v>
      </x:c>
      <x:c r="F2338" t="str">
        <x:v>MID</x:v>
      </x:c>
      <x:c r="G2338" t="str">
        <x:v>DCF_SCREENING_EXCLUSION</x:v>
      </x:c>
      <x:c r="H2338" t="str">
        <x:v>NON_POSITIVE_ENTERPRISE_VALUE|UNRELIABLE_TERMINAL_VALUE_SHARE</x:v>
      </x:c>
      <x:c r="I2338" s="54" t="n">
        <x:v>45288</x:v>
      </x:c>
      <x:c r="J2338" s="55" t="n">
        <x:v>12940</x:v>
      </x:c>
      <x:c r="K2338" s="55" t="n">
        <x:v>181841239240</x:v>
      </x:c>
      <x:c r="L2338" s="55" t="n">
        <x:v>14052646</x:v>
      </x:c>
      <x:c r="M2338" t="str">
        <x:v>20230320001020</x:v>
      </x:c>
      <x:c r="N2338" t="n">
        <x:v>45005.624999988424</x:v>
      </x:c>
      <x:c r="O2338" s="54" t="n">
        <x:v>44926</x:v>
      </x:c>
      <x:c r="P2338" t="str">
        <x:v>False</x:v>
      </x:c>
      <x:c r="Q2338" t="str">
        <x:v>6e65a0fcc2a189fcbec262b72a3f07926633a5c762d0eefd84569fab16aca765</x:v>
      </x:c>
      <x:c r="R2338" t="str">
        <x:v>d05ece4bde6ad05c2afcdf647b432d935396efd2a851de8022649169af90a3b1</x:v>
      </x:c>
      <x:c r="S2338" t="n">
        <x:v>7</x:v>
      </x:c>
      <x:c r="T2338" t="str">
        <x:v>2018-12-31|2019-12-31|2020-12-31|2021-12-31|2022-12-31</x:v>
      </x:c>
      <x:c r="U2338" s="57" t="n">
        <x:v>4342.027108793265</x:v>
      </x:c>
      <x:c r="V2338" s="57" t="n">
        <x:v>-0.6644492187949563</x:v>
      </x:c>
      <x:c r="W2338"/>
      <x:c r="X2338"/>
      <x:c r="Y2338" s="38" t="n">
        <x:v>0.6409090909090909</x:v>
      </x:c>
      <x:c r="Z2338" s="38" t="n">
        <x:v>-0.5251607053909674</x:v>
      </x:c>
      <x:c r="AA2338" t="str">
        <x:v>NON_POSITIVE_ENTERPRISE_VALUE|UNRELIABLE_TERMINAL_VALUE_SHARE</x:v>
      </x:c>
    </x:row>
    <x:row r="2339">
      <x:c r="A2339" s="54" t="n">
        <x:v>45291</x:v>
      </x:c>
      <x:c r="B2339" t="n">
        <x:v>45291.624999988424</x:v>
      </x:c>
      <x:c r="C2339" t="str">
        <x:v>001750</x:v>
      </x:c>
      <x:c r="D2339" t="str">
        <x:v>한양증권</x:v>
      </x:c>
      <x:c r="E2339" t="str">
        <x:v>KOSPI</x:v>
      </x:c>
      <x:c r="F2339" t="str">
        <x:v>MID</x:v>
      </x:c>
      <x:c r="G2339" t="str">
        <x:v>EXCLUDED_ARCHETYPE</x:v>
      </x:c>
      <x:c r="H2339" t="str">
        <x:v>FCFF_NOT_COMPARABLE_FOR_FINANCE_OR_HOLDING_HINT</x:v>
      </x:c>
      <x:c r="I2339" s="54"/>
      <x:c r="J2339" s="55"/>
      <x:c r="K2339" s="55"/>
      <x:c r="L2339" s="55"/>
      <x:c r="M2339"/>
      <x:c r="N2339"/>
      <x:c r="O2339" s="54"/>
      <x:c r="P2339"/>
      <x:c r="Q2339"/>
      <x:c r="R2339"/>
      <x:c r="S2339"/>
      <x:c r="T2339"/>
      <x:c r="U2339" s="57"/>
      <x:c r="V2339" s="57"/>
      <x:c r="W2339"/>
      <x:c r="X2339"/>
      <x:c r="Y2339" s="38"/>
      <x:c r="Z2339" s="38"/>
      <x:c r="AA2339"/>
    </x:row>
    <x:row r="2340">
      <x:c r="A2340" s="54" t="n">
        <x:v>45291</x:v>
      </x:c>
      <x:c r="B2340" t="n">
        <x:v>45291.624999988424</x:v>
      </x:c>
      <x:c r="C2340" t="str">
        <x:v>102460</x:v>
      </x:c>
      <x:c r="D2340" t="str">
        <x:v>이연제약</x:v>
      </x:c>
      <x:c r="E2340" t="str">
        <x:v>KOSPI</x:v>
      </x:c>
      <x:c r="F2340" t="str">
        <x:v>MID</x:v>
      </x:c>
      <x:c r="G2340" t="str">
        <x:v>ELIGIBLE</x:v>
      </x:c>
      <x:c r="H2340"/>
      <x:c r="I2340" s="54" t="n">
        <x:v>45288</x:v>
      </x:c>
      <x:c r="J2340" s="55" t="n">
        <x:v>16540</x:v>
      </x:c>
      <x:c r="K2340" s="55" t="n">
        <x:v>307425853940</x:v>
      </x:c>
      <x:c r="L2340" s="55" t="n">
        <x:v>18586811</x:v>
      </x:c>
      <x:c r="M2340" t="str">
        <x:v>20230323001335</x:v>
      </x:c>
      <x:c r="N2340" t="n">
        <x:v>45008.624999988424</x:v>
      </x:c>
      <x:c r="O2340" s="54" t="n">
        <x:v>44926</x:v>
      </x:c>
      <x:c r="P2340" t="str">
        <x:v>False</x:v>
      </x:c>
      <x:c r="Q2340" t="str">
        <x:v>61a1387cb297808c9d3141c45d4550f4c28659bb02db2066736810a3b83a60bb</x:v>
      </x:c>
      <x:c r="R2340" t="str">
        <x:v>b63896e76489cae32b5212b326b1267152a737bc0690e097b2df269e0abd93ba</x:v>
      </x:c>
      <x:c r="S2340" t="n">
        <x:v>4</x:v>
      </x:c>
      <x:c r="T2340" t="str">
        <x:v>2018-12-31|2019-12-31|2020-12-31|2021-12-31|2022-12-31</x:v>
      </x:c>
      <x:c r="U2340" s="57" t="n">
        <x:v>2502.952026727259</x:v>
      </x:c>
      <x:c r="V2340" s="57" t="n">
        <x:v>-0.8486727916126203</x:v>
      </x:c>
      <x:c r="W2340" t="n">
        <x:v>65</x:v>
      </x:c>
      <x:c r="X2340" t="n">
        <x:v>5</x:v>
      </x:c>
      <x:c r="Y2340" s="38" t="n">
        <x:v>0.6409090909090909</x:v>
      </x:c>
      <x:c r="Z2340" s="38" t="n">
        <x:v>0.5571094878374717</x:v>
      </x:c>
      <x:c r="AA2340"/>
    </x:row>
    <x:row r="2341">
      <x:c r="A2341" s="54" t="n">
        <x:v>45291</x:v>
      </x:c>
      <x:c r="B2341" t="n">
        <x:v>45291.624999988424</x:v>
      </x:c>
      <x:c r="C2341" t="str">
        <x:v>053690</x:v>
      </x:c>
      <x:c r="D2341" t="str">
        <x:v>한미글로벌</x:v>
      </x:c>
      <x:c r="E2341" t="str">
        <x:v>KOSPI</x:v>
      </x:c>
      <x:c r="F2341" t="str">
        <x:v>MID</x:v>
      </x:c>
      <x:c r="G2341" t="str">
        <x:v>ELIGIBLE</x:v>
      </x:c>
      <x:c r="H2341"/>
      <x:c r="I2341" s="54" t="n">
        <x:v>45288</x:v>
      </x:c>
      <x:c r="J2341" s="55" t="n">
        <x:v>20550</x:v>
      </x:c>
      <x:c r="K2341" s="55" t="n">
        <x:v>225177652500</x:v>
      </x:c>
      <x:c r="L2341" s="55" t="n">
        <x:v>10957550</x:v>
      </x:c>
      <x:c r="M2341" t="str">
        <x:v>20230316001135</x:v>
      </x:c>
      <x:c r="N2341" t="n">
        <x:v>45001.624999988424</x:v>
      </x:c>
      <x:c r="O2341" s="54" t="n">
        <x:v>44926</x:v>
      </x:c>
      <x:c r="P2341" t="str">
        <x:v>False</x:v>
      </x:c>
      <x:c r="Q2341" t="str">
        <x:v>8a1d81ce5d798ee907ad59ea4b72e7aa15cbc5d6b3d4060a72883648f6cf66fe</x:v>
      </x:c>
      <x:c r="R2341" t="str">
        <x:v>67ed112098f1faf397ccc8a2ad4edb937e42e1db14b8de6cbea2080f1d2e816f</x:v>
      </x:c>
      <x:c r="S2341" t="n">
        <x:v>6</x:v>
      </x:c>
      <x:c r="T2341" t="str">
        <x:v>2018-12-31|2019-12-31|2020-12-31|2021-12-31|2022-12-31</x:v>
      </x:c>
      <x:c r="U2341" s="57" t="n">
        <x:v>27771.42853009523</x:v>
      </x:c>
      <x:c r="V2341" s="57" t="n">
        <x:v>0.3514077143598652</x:v>
      </x:c>
      <x:c r="W2341" t="n">
        <x:v>19</x:v>
      </x:c>
      <x:c r="X2341" t="n">
        <x:v>2</x:v>
      </x:c>
      <x:c r="Y2341" s="38" t="n">
        <x:v>0.6409090909090909</x:v>
      </x:c>
      <x:c r="Z2341" s="38" t="n">
        <x:v>0.6748613228024413</x:v>
      </x:c>
      <x:c r="AA2341"/>
    </x:row>
    <x:row r="2342">
      <x:c r="A2342" s="54" t="n">
        <x:v>45291</x:v>
      </x:c>
      <x:c r="B2342" t="n">
        <x:v>45291.624999988424</x:v>
      </x:c>
      <x:c r="C2342" t="str">
        <x:v>213500</x:v>
      </x:c>
      <x:c r="D2342" t="str">
        <x:v>한솔제지</x:v>
      </x:c>
      <x:c r="E2342" t="str">
        <x:v>KOSPI</x:v>
      </x:c>
      <x:c r="F2342" t="str">
        <x:v>MID</x:v>
      </x:c>
      <x:c r="G2342" t="str">
        <x:v>ELIGIBLE</x:v>
      </x:c>
      <x:c r="H2342"/>
      <x:c r="I2342" s="54" t="n">
        <x:v>45288</x:v>
      </x:c>
      <x:c r="J2342" s="55" t="n">
        <x:v>10640</x:v>
      </x:c>
      <x:c r="K2342" s="55" t="n">
        <x:v>253238128640</x:v>
      </x:c>
      <x:c r="L2342" s="55" t="n">
        <x:v>23800576</x:v>
      </x:c>
      <x:c r="M2342" t="str">
        <x:v>20230314001205</x:v>
      </x:c>
      <x:c r="N2342" t="n">
        <x:v>44999.624999988424</x:v>
      </x:c>
      <x:c r="O2342" s="54" t="n">
        <x:v>44926</x:v>
      </x:c>
      <x:c r="P2342" t="str">
        <x:v>False</x:v>
      </x:c>
      <x:c r="Q2342" t="str">
        <x:v>a50c047ba7dfd21d7c902f99c4c38cf444b0d46f22f882fca2024b3b4244c3f0</x:v>
      </x:c>
      <x:c r="R2342" t="str">
        <x:v>dd9ffddb2f871f8b927f0c1c41f6ef438a6142cc850c5a2c80d50f686e3d941d</x:v>
      </x:c>
      <x:c r="S2342" t="n">
        <x:v>6</x:v>
      </x:c>
      <x:c r="T2342" t="str">
        <x:v>2018-12-31|2019-12-31|2020-12-31|2021-12-31|2022-12-31</x:v>
      </x:c>
      <x:c r="U2342" s="57" t="n">
        <x:v>17157.835892810886</x:v>
      </x:c>
      <x:c r="V2342" s="57" t="n">
        <x:v>0.6125785613544066</x:v>
      </x:c>
      <x:c r="W2342" t="n">
        <x:v>13</x:v>
      </x:c>
      <x:c r="X2342" t="n">
        <x:v>1</x:v>
      </x:c>
      <x:c r="Y2342" s="38" t="n">
        <x:v>0.6409090909090909</x:v>
      </x:c>
      <x:c r="Z2342" s="38" t="n">
        <x:v>0.7470788974033864</x:v>
      </x:c>
      <x:c r="AA2342"/>
    </x:row>
    <x:row r="2343">
      <x:c r="A2343" s="54" t="n">
        <x:v>45291</x:v>
      </x:c>
      <x:c r="B2343" t="n">
        <x:v>45291.624999988424</x:v>
      </x:c>
      <x:c r="C2343" t="str">
        <x:v>005430</x:v>
      </x:c>
      <x:c r="D2343" t="str">
        <x:v>한국공항</x:v>
      </x:c>
      <x:c r="E2343" t="str">
        <x:v>KOSPI</x:v>
      </x:c>
      <x:c r="F2343" t="str">
        <x:v>MID</x:v>
      </x:c>
      <x:c r="G2343" t="str">
        <x:v>ELIGIBLE</x:v>
      </x:c>
      <x:c r="H2343"/>
      <x:c r="I2343" s="54" t="n">
        <x:v>45288</x:v>
      </x:c>
      <x:c r="J2343" s="55" t="n">
        <x:v>49500</x:v>
      </x:c>
      <x:c r="K2343" s="55" t="n">
        <x:v>156734572500</x:v>
      </x:c>
      <x:c r="L2343" s="55" t="n">
        <x:v>3166355</x:v>
      </x:c>
      <x:c r="M2343" t="str">
        <x:v>20230314001107</x:v>
      </x:c>
      <x:c r="N2343" t="n">
        <x:v>44999.624999988424</x:v>
      </x:c>
      <x:c r="O2343" s="54" t="n">
        <x:v>44926</x:v>
      </x:c>
      <x:c r="P2343" t="str">
        <x:v>False</x:v>
      </x:c>
      <x:c r="Q2343" t="str">
        <x:v>7e72a94f54fe1628153cab3ed308f8d08fae1827ce09290b8a6dd620486ffafc</x:v>
      </x:c>
      <x:c r="R2343" t="str">
        <x:v>5f89e7cc3af26ccf5b7a51e6bbf343c2dbcb329d3112199a3d85c127a1ec734e</x:v>
      </x:c>
      <x:c r="S2343" t="n">
        <x:v>7</x:v>
      </x:c>
      <x:c r="T2343" t="str">
        <x:v>2018-12-31|2019-12-31|2020-12-31|2021-12-31|2022-12-31</x:v>
      </x:c>
      <x:c r="U2343" s="57" t="n">
        <x:v>23902.01168093522</x:v>
      </x:c>
      <x:c r="V2343" s="57" t="n">
        <x:v>-0.5171310771528239</x:v>
      </x:c>
      <x:c r="W2343" t="n">
        <x:v>46</x:v>
      </x:c>
      <x:c r="X2343" t="n">
        <x:v>4</x:v>
      </x:c>
      <x:c r="Y2343" s="38" t="n">
        <x:v>0.6409090909090909</x:v>
      </x:c>
      <x:c r="Z2343" s="38" t="n">
        <x:v>0.6772841438809504</x:v>
      </x:c>
      <x:c r="AA2343"/>
    </x:row>
    <x:row r="2344">
      <x:c r="A2344" s="54" t="n">
        <x:v>45291</x:v>
      </x:c>
      <x:c r="B2344" t="n">
        <x:v>45291.624999988424</x:v>
      </x:c>
      <x:c r="C2344" t="str">
        <x:v>003460</x:v>
      </x:c>
      <x:c r="D2344" t="str">
        <x:v>유화증권</x:v>
      </x:c>
      <x:c r="E2344" t="str">
        <x:v>KOSPI</x:v>
      </x:c>
      <x:c r="F2344" t="str">
        <x:v>MID</x:v>
      </x:c>
      <x:c r="G2344" t="str">
        <x:v>EXCLUDED_ARCHETYPE</x:v>
      </x:c>
      <x:c r="H2344" t="str">
        <x:v>FCFF_NOT_COMPARABLE_FOR_FINANCE_OR_HOLDING_HINT</x:v>
      </x:c>
      <x:c r="I2344" s="54"/>
      <x:c r="J2344" s="55"/>
      <x:c r="K2344" s="55"/>
      <x:c r="L2344" s="55"/>
      <x:c r="M2344"/>
      <x:c r="N2344"/>
      <x:c r="O2344" s="54"/>
      <x:c r="P2344"/>
      <x:c r="Q2344"/>
      <x:c r="R2344"/>
      <x:c r="S2344"/>
      <x:c r="T2344"/>
      <x:c r="U2344" s="57"/>
      <x:c r="V2344" s="57"/>
      <x:c r="W2344"/>
      <x:c r="X2344"/>
      <x:c r="Y2344" s="38"/>
      <x:c r="Z2344" s="38"/>
      <x:c r="AA2344"/>
    </x:row>
    <x:row r="2345">
      <x:c r="A2345" s="54" t="n">
        <x:v>45291</x:v>
      </x:c>
      <x:c r="B2345" t="n">
        <x:v>45291.624999988424</x:v>
      </x:c>
      <x:c r="C2345" t="str">
        <x:v>004140</x:v>
      </x:c>
      <x:c r="D2345" t="str">
        <x:v>동방</x:v>
      </x:c>
      <x:c r="E2345" t="str">
        <x:v>KOSPI</x:v>
      </x:c>
      <x:c r="F2345" t="str">
        <x:v>MID</x:v>
      </x:c>
      <x:c r="G2345" t="str">
        <x:v>DCF_SCREENING_EXCLUSION</x:v>
      </x:c>
      <x:c r="H2345" t="str">
        <x:v>NON_POSITIVE_ENTERPRISE_VALUE|NON_POSITIVE_EQUITY_VALUE|NON_POSITIVE_TERMINAL_FCF|UNRELIABLE_TERMINAL_VALUE_SHARE</x:v>
      </x:c>
      <x:c r="I2345" s="54" t="n">
        <x:v>45288</x:v>
      </x:c>
      <x:c r="J2345" s="55" t="n">
        <x:v>2060</x:v>
      </x:c>
      <x:c r="K2345" s="55" t="n">
        <x:v>98821837960</x:v>
      </x:c>
      <x:c r="L2345" s="55" t="n">
        <x:v>47971766</x:v>
      </x:c>
      <x:c r="M2345" t="str">
        <x:v>20230323001509</x:v>
      </x:c>
      <x:c r="N2345" t="n">
        <x:v>45008.624999988424</x:v>
      </x:c>
      <x:c r="O2345" s="54" t="n">
        <x:v>44926</x:v>
      </x:c>
      <x:c r="P2345" t="str">
        <x:v>False</x:v>
      </x:c>
      <x:c r="Q2345" t="str">
        <x:v>e186b2712d7c1b08c3556170f49756edd04a784aed5c14672578a652817c6ce4</x:v>
      </x:c>
      <x:c r="R2345" t="str">
        <x:v>90cde25da68280288819811ba20727aa93cf69fef754d5d1b246a20e2e78738a</x:v>
      </x:c>
      <x:c r="S2345" t="n">
        <x:v>7</x:v>
      </x:c>
      <x:c r="T2345" t="str">
        <x:v>2013-12-31|2014-12-31|2015-12-31|2016-12-31|2018-12-31|2019-12-31|2020-12-31|2021-12-31|2022-12-31</x:v>
      </x:c>
      <x:c r="U2345" s="57" t="n">
        <x:v>-2135.56968712535</x:v>
      </x:c>
      <x:c r="V2345" s="57" t="n">
        <x:v>-2.0366843141385194</x:v>
      </x:c>
      <x:c r="W2345"/>
      <x:c r="X2345"/>
      <x:c r="Y2345" s="38" t="n">
        <x:v>0.6409090909090909</x:v>
      </x:c>
      <x:c r="Z2345" s="38" t="n">
        <x:v>2.078775280915033</x:v>
      </x:c>
      <x:c r="AA2345" t="str">
        <x:v>NON_POSITIVE_ENTERPRISE_VALUE|NON_POSITIVE_EQUITY_VALUE|NON_POSITIVE_TERMINAL_FCF|UNRELIABLE_TERMINAL_VALUE_SHARE</x:v>
      </x:c>
    </x:row>
    <x:row r="2346">
      <x:c r="A2346" s="54" t="n">
        <x:v>45291</x:v>
      </x:c>
      <x:c r="B2346" t="n">
        <x:v>45291.624999988424</x:v>
      </x:c>
      <x:c r="C2346" t="str">
        <x:v>317400</x:v>
      </x:c>
      <x:c r="D2346" t="str">
        <x:v>자이에스앤디</x:v>
      </x:c>
      <x:c r="E2346" t="str">
        <x:v>KOSPI</x:v>
      </x:c>
      <x:c r="F2346" t="str">
        <x:v>MID</x:v>
      </x:c>
      <x:c r="G2346" t="str">
        <x:v>ELIGIBLE</x:v>
      </x:c>
      <x:c r="H2346"/>
      <x:c r="I2346" s="54" t="n">
        <x:v>45288</x:v>
      </x:c>
      <x:c r="J2346" s="55" t="n">
        <x:v>5070</x:v>
      </x:c>
      <x:c r="K2346" s="55" t="n">
        <x:v>196627376400</x:v>
      </x:c>
      <x:c r="L2346" s="55" t="n">
        <x:v>38782520</x:v>
      </x:c>
      <x:c r="M2346" t="str">
        <x:v>20230714000214</x:v>
      </x:c>
      <x:c r="N2346" t="n">
        <x:v>45121.624999988424</x:v>
      </x:c>
      <x:c r="O2346" s="54" t="n">
        <x:v>44926</x:v>
      </x:c>
      <x:c r="P2346" t="str">
        <x:v>True</x:v>
      </x:c>
      <x:c r="Q2346" t="str">
        <x:v>1dd603b34bc6b642118e438f2810ed4901d0500fca4e427ffb3bec9b41813903</x:v>
      </x:c>
      <x:c r="R2346" t="str">
        <x:v>62e7406495c0d0de22e59da0765720acf41610ba6efb161149251cf1e56f61bc</x:v>
      </x:c>
      <x:c r="S2346" t="n">
        <x:v>6</x:v>
      </x:c>
      <x:c r="T2346" t="str">
        <x:v>2019-12-31|2020-12-31|2021-12-31|2022-12-31</x:v>
      </x:c>
      <x:c r="U2346" s="57" t="n">
        <x:v>51417.61894696431</x:v>
      </x:c>
      <x:c r="V2346" s="57" t="n">
        <x:v>9.14154219861229</x:v>
      </x:c>
      <x:c r="W2346" t="n">
        <x:v>2</x:v>
      </x:c>
      <x:c r="X2346" t="n">
        <x:v>1</x:v>
      </x:c>
      <x:c r="Y2346" s="38" t="n">
        <x:v>0.6409090909090909</x:v>
      </x:c>
      <x:c r="Z2346" s="38" t="n">
        <x:v>0.7270850964725074</x:v>
      </x:c>
      <x:c r="AA2346"/>
    </x:row>
    <x:row r="2347">
      <x:c r="A2347" s="54" t="n">
        <x:v>45291</x:v>
      </x:c>
      <x:c r="B2347" t="n">
        <x:v>45291.624999988424</x:v>
      </x:c>
      <x:c r="C2347" t="str">
        <x:v>077500</x:v>
      </x:c>
      <x:c r="D2347" t="str">
        <x:v>유니퀘스트</x:v>
      </x:c>
      <x:c r="E2347" t="str">
        <x:v>KOSPI</x:v>
      </x:c>
      <x:c r="F2347" t="str">
        <x:v>MID</x:v>
      </x:c>
      <x:c r="G2347" t="str">
        <x:v>ELIGIBLE</x:v>
      </x:c>
      <x:c r="H2347"/>
      <x:c r="I2347" s="54" t="n">
        <x:v>45288</x:v>
      </x:c>
      <x:c r="J2347" s="55" t="n">
        <x:v>6080</x:v>
      </x:c>
      <x:c r="K2347" s="55" t="n">
        <x:v>132507611200</x:v>
      </x:c>
      <x:c r="L2347" s="55" t="n">
        <x:v>21794015</x:v>
      </x:c>
      <x:c r="M2347" t="str">
        <x:v>20230323001413</x:v>
      </x:c>
      <x:c r="N2347" t="n">
        <x:v>45008.624999988424</x:v>
      </x:c>
      <x:c r="O2347" s="54" t="n">
        <x:v>44926</x:v>
      </x:c>
      <x:c r="P2347" t="str">
        <x:v>False</x:v>
      </x:c>
      <x:c r="Q2347" t="str">
        <x:v>3761b5b0678b0666017399c48956a02c3a6784143d060aeac355c1c247fc6994</x:v>
      </x:c>
      <x:c r="R2347" t="str">
        <x:v>6759ca705081069bc9e4d839024d708f82a3addadcec712cb5b36b2b8beec42e</x:v>
      </x:c>
      <x:c r="S2347" t="n">
        <x:v>6</x:v>
      </x:c>
      <x:c r="T2347" t="str">
        <x:v>2011-12-31|2012-12-31|2013-12-31|2014-12-31|2015-12-31|2016-12-31|2017-12-31|2018-12-31|2019-12-31|2020-12-31|2021-12-31|2022-12-31</x:v>
      </x:c>
      <x:c r="U2347" s="57" t="n">
        <x:v>8450.647739659082</x:v>
      </x:c>
      <x:c r="V2347" s="57" t="n">
        <x:v>0.3899091677070859</x:v>
      </x:c>
      <x:c r="W2347" t="n">
        <x:v>17</x:v>
      </x:c>
      <x:c r="X2347" t="n">
        <x:v>2</x:v>
      </x:c>
      <x:c r="Y2347" s="38" t="n">
        <x:v>0.6409090909090909</x:v>
      </x:c>
      <x:c r="Z2347" s="38" t="n">
        <x:v>0.6090445049107983</x:v>
      </x:c>
      <x:c r="AA2347"/>
    </x:row>
    <x:row r="2348">
      <x:c r="A2348" s="54" t="n">
        <x:v>45291</x:v>
      </x:c>
      <x:c r="B2348" t="n">
        <x:v>45291.624999988424</x:v>
      </x:c>
      <x:c r="C2348" t="str">
        <x:v>012800</x:v>
      </x:c>
      <x:c r="D2348" t="str">
        <x:v>대창</x:v>
      </x:c>
      <x:c r="E2348" t="str">
        <x:v>KOSPI</x:v>
      </x:c>
      <x:c r="F2348" t="str">
        <x:v>MID</x:v>
      </x:c>
      <x:c r="G2348" t="str">
        <x:v>DCF_SCREENING_EXCLUSION</x:v>
      </x:c>
      <x:c r="H2348" t="str">
        <x:v>NON_POSITIVE_EQUITY_VALUE</x:v>
      </x:c>
      <x:c r="I2348" s="54" t="n">
        <x:v>45288</x:v>
      </x:c>
      <x:c r="J2348" s="55" t="n">
        <x:v>1266</x:v>
      </x:c>
      <x:c r="K2348" s="55" t="n">
        <x:v>115383871734</x:v>
      </x:c>
      <x:c r="L2348" s="55" t="n">
        <x:v>91140499</x:v>
      </x:c>
      <x:c r="M2348" t="str">
        <x:v>20230321001144</x:v>
      </x:c>
      <x:c r="N2348" t="n">
        <x:v>45006.624999988424</x:v>
      </x:c>
      <x:c r="O2348" s="54" t="n">
        <x:v>44926</x:v>
      </x:c>
      <x:c r="P2348" t="str">
        <x:v>False</x:v>
      </x:c>
      <x:c r="Q2348" t="str">
        <x:v>14ce9aacc52382aecaaf7a194b3a1d1f6c7f31cc0dc71373f73354f107367c3b</x:v>
      </x:c>
      <x:c r="R2348" t="str">
        <x:v>290109a872b708495432f48fbbbcfedc2b0dc92d11db17ac1f46d61cfa8c2806</x:v>
      </x:c>
      <x:c r="S2348" t="n">
        <x:v>6</x:v>
      </x:c>
      <x:c r="T2348" t="str">
        <x:v>2018-12-31|2019-12-31|2020-12-31|2021-12-31|2022-12-31</x:v>
      </x:c>
      <x:c r="U2348" s="57" t="n">
        <x:v>-975.2321422402201</x:v>
      </x:c>
      <x:c r="V2348" s="57" t="n">
        <x:v>-1.7703255467932228</x:v>
      </x:c>
      <x:c r="W2348"/>
      <x:c r="X2348"/>
      <x:c r="Y2348" s="38" t="n">
        <x:v>0.6409090909090909</x:v>
      </x:c>
      <x:c r="Z2348" s="38" t="n">
        <x:v>0.8488956221932996</x:v>
      </x:c>
      <x:c r="AA2348" t="str">
        <x:v>NON_POSITIVE_EQUITY_VALUE</x:v>
      </x:c>
    </x:row>
    <x:row r="2349">
      <x:c r="A2349" s="54" t="n">
        <x:v>45291</x:v>
      </x:c>
      <x:c r="B2349" t="n">
        <x:v>45291.624999988424</x:v>
      </x:c>
      <x:c r="C2349" t="str">
        <x:v>063160</x:v>
      </x:c>
      <x:c r="D2349" t="str">
        <x:v>종근당바이오</x:v>
      </x:c>
      <x:c r="E2349" t="str">
        <x:v>KOSPI</x:v>
      </x:c>
      <x:c r="F2349" t="str">
        <x:v>MID</x:v>
      </x:c>
      <x:c r="G2349" t="str">
        <x:v>DCF_SCREENING_EXCLUSION</x:v>
      </x:c>
      <x:c r="H2349" t="str">
        <x:v>NON_POSITIVE_ENTERPRISE_VALUE|NON_POSITIVE_EQUITY_VALUE|NON_POSITIVE_TERMINAL_FCF</x:v>
      </x:c>
      <x:c r="I2349" s="54" t="n">
        <x:v>45288</x:v>
      </x:c>
      <x:c r="J2349" s="55" t="n">
        <x:v>23850</x:v>
      </x:c>
      <x:c r="K2349" s="55" t="n">
        <x:v>130840193700</x:v>
      </x:c>
      <x:c r="L2349" s="55" t="n">
        <x:v>5485962</x:v>
      </x:c>
      <x:c r="M2349" t="str">
        <x:v>20230314000316</x:v>
      </x:c>
      <x:c r="N2349" t="n">
        <x:v>44999.624999988424</x:v>
      </x:c>
      <x:c r="O2349" s="54" t="n">
        <x:v>44926</x:v>
      </x:c>
      <x:c r="P2349" t="str">
        <x:v>False</x:v>
      </x:c>
      <x:c r="Q2349" t="str">
        <x:v>66325b8d872636b293e0f8b2a0e97daecaf4a8313c7cfa3de870a6cdf6d09cbc</x:v>
      </x:c>
      <x:c r="R2349" t="str">
        <x:v>1bf389ec5dde5bba1a177b27cc7d293fa5900131fbde3f439202d4b529b82815</x:v>
      </x:c>
      <x:c r="S2349" t="n">
        <x:v>6</x:v>
      </x:c>
      <x:c r="T2349" t="str">
        <x:v>2018-12-31|2019-12-31|2020-12-31|2021-12-31|2022-12-31</x:v>
      </x:c>
      <x:c r="U2349" s="57" t="n">
        <x:v>-22583.012002133524</x:v>
      </x:c>
      <x:c r="V2349" s="57" t="n">
        <x:v>-1.9468768135066468</x:v>
      </x:c>
      <x:c r="W2349"/>
      <x:c r="X2349"/>
      <x:c r="Y2349" s="38" t="n">
        <x:v>0.6409090909090909</x:v>
      </x:c>
      <x:c r="Z2349" s="38" t="n">
        <x:v>0.16792377152461097</x:v>
      </x:c>
      <x:c r="AA2349" t="str">
        <x:v>NON_POSITIVE_ENTERPRISE_VALUE|NON_POSITIVE_EQUITY_VALUE|NON_POSITIVE_TERMINAL_FCF</x:v>
      </x:c>
    </x:row>
    <x:row r="2350">
      <x:c r="A2350" s="54" t="n">
        <x:v>45291</x:v>
      </x:c>
      <x:c r="B2350" t="n">
        <x:v>45291.624999988424</x:v>
      </x:c>
      <x:c r="C2350" t="str">
        <x:v>013570</x:v>
      </x:c>
      <x:c r="D2350" t="str">
        <x:v>디와이</x:v>
      </x:c>
      <x:c r="E2350" t="str">
        <x:v>KOSPI</x:v>
      </x:c>
      <x:c r="F2350" t="str">
        <x:v>MID</x:v>
      </x:c>
      <x:c r="G2350" t="str">
        <x:v>ELIGIBLE</x:v>
      </x:c>
      <x:c r="H2350"/>
      <x:c r="I2350" s="54" t="n">
        <x:v>45288</x:v>
      </x:c>
      <x:c r="J2350" s="55" t="n">
        <x:v>5880</x:v>
      </x:c>
      <x:c r="K2350" s="55" t="n">
        <x:v>154759442040</x:v>
      </x:c>
      <x:c r="L2350" s="55" t="n">
        <x:v>26319633</x:v>
      </x:c>
      <x:c r="M2350" t="str">
        <x:v>20230315001400</x:v>
      </x:c>
      <x:c r="N2350" t="n">
        <x:v>45000.624999988424</x:v>
      </x:c>
      <x:c r="O2350" s="54" t="n">
        <x:v>44926</x:v>
      </x:c>
      <x:c r="P2350" t="str">
        <x:v>False</x:v>
      </x:c>
      <x:c r="Q2350" t="str">
        <x:v>865364d66fb039806408dde3fbeec053144f3de8cfd524fef6f9e085cdbe1ae2</x:v>
      </x:c>
      <x:c r="R2350" t="str">
        <x:v>cbd956d98e43133b4d0fcf64fbc7e1df57876bea4a6c48bb5e05c59325213fbe</x:v>
      </x:c>
      <x:c r="S2350" t="n">
        <x:v>6</x:v>
      </x:c>
      <x:c r="T2350" t="str">
        <x:v>2018-12-31|2019-12-31|2020-12-31|2021-12-31|2022-12-31</x:v>
      </x:c>
      <x:c r="U2350" s="57" t="n">
        <x:v>9073.022857441467</x:v>
      </x:c>
      <x:c r="V2350" s="57" t="n">
        <x:v>0.543031098204331</x:v>
      </x:c>
      <x:c r="W2350" t="n">
        <x:v>14</x:v>
      </x:c>
      <x:c r="X2350" t="n">
        <x:v>1</x:v>
      </x:c>
      <x:c r="Y2350" s="38" t="n">
        <x:v>0.6409090909090909</x:v>
      </x:c>
      <x:c r="Z2350" s="38" t="n">
        <x:v>0.7856628812893495</x:v>
      </x:c>
      <x:c r="AA2350"/>
    </x:row>
    <x:row r="2351">
      <x:c r="A2351" s="54" t="n">
        <x:v>45291</x:v>
      </x:c>
      <x:c r="B2351" t="n">
        <x:v>45291.624999988424</x:v>
      </x:c>
      <x:c r="C2351" t="str">
        <x:v>227840</x:v>
      </x:c>
      <x:c r="D2351" t="str">
        <x:v>현대코퍼레이션홀딩스</x:v>
      </x:c>
      <x:c r="E2351" t="str">
        <x:v>KOSPI</x:v>
      </x:c>
      <x:c r="F2351" t="str">
        <x:v>MID</x:v>
      </x:c>
      <x:c r="G2351" t="str">
        <x:v>EXCLUDED_ARCHETYPE</x:v>
      </x:c>
      <x:c r="H2351" t="str">
        <x:v>FCFF_NOT_COMPARABLE_FOR_FINANCE_OR_HOLDING_HINT</x:v>
      </x:c>
      <x:c r="I2351" s="54"/>
      <x:c r="J2351" s="55"/>
      <x:c r="K2351" s="55"/>
      <x:c r="L2351" s="55"/>
      <x:c r="M2351"/>
      <x:c r="N2351"/>
      <x:c r="O2351" s="54"/>
      <x:c r="P2351"/>
      <x:c r="Q2351"/>
      <x:c r="R2351"/>
      <x:c r="S2351"/>
      <x:c r="T2351"/>
      <x:c r="U2351" s="57"/>
      <x:c r="V2351" s="57"/>
      <x:c r="W2351"/>
      <x:c r="X2351"/>
      <x:c r="Y2351" s="38"/>
      <x:c r="Z2351" s="38"/>
      <x:c r="AA2351"/>
    </x:row>
    <x:row r="2352">
      <x:c r="A2352" s="54" t="n">
        <x:v>45291</x:v>
      </x:c>
      <x:c r="B2352" t="n">
        <x:v>45291.624999988424</x:v>
      </x:c>
      <x:c r="C2352" t="str">
        <x:v>247540</x:v>
      </x:c>
      <x:c r="D2352" t="str">
        <x:v>에코프로비엠</x:v>
      </x:c>
      <x:c r="E2352" t="str">
        <x:v>KOSDAQ</x:v>
      </x:c>
      <x:c r="F2352" t="str">
        <x:v>LARGE</x:v>
      </x:c>
      <x:c r="G2352" t="str">
        <x:v>ELIGIBLE</x:v>
      </x:c>
      <x:c r="H2352"/>
      <x:c r="I2352" s="54" t="n">
        <x:v>45288</x:v>
      </x:c>
      <x:c r="J2352" s="55" t="n">
        <x:v>288000</x:v>
      </x:c>
      <x:c r="K2352" s="55" t="n">
        <x:v>28166787072000</x:v>
      </x:c>
      <x:c r="L2352" s="55" t="n">
        <x:v>97801344</x:v>
      </x:c>
      <x:c r="M2352" t="str">
        <x:v>20230321001436</x:v>
      </x:c>
      <x:c r="N2352" t="n">
        <x:v>45006.624999988424</x:v>
      </x:c>
      <x:c r="O2352" s="54" t="n">
        <x:v>44926</x:v>
      </x:c>
      <x:c r="P2352" t="str">
        <x:v>False</x:v>
      </x:c>
      <x:c r="Q2352" t="str">
        <x:v>22a057b9b068170602e9e6baa55a77f766db50edbd138b4850cc07aa625e3694</x:v>
      </x:c>
      <x:c r="R2352" t="str">
        <x:v>d1a6b1539ae09067f39b7ea706381d7b1279f0adfcf22990e9b9ece1ca7a4dfe</x:v>
      </x:c>
      <x:c r="S2352" t="n">
        <x:v>5</x:v>
      </x:c>
      <x:c r="T2352" t="str">
        <x:v>2018-12-31|2019-12-31|2020-12-31|2021-12-31|2022-12-31</x:v>
      </x:c>
      <x:c r="U2352" s="57" t="n">
        <x:v>4896.710898961431</x:v>
      </x:c>
      <x:c r="V2352" s="57" t="n">
        <x:v>-0.9829975316008284</x:v>
      </x:c>
      <x:c r="W2352" t="n">
        <x:v>69</x:v>
      </x:c>
      <x:c r="X2352" t="n">
        <x:v>5</x:v>
      </x:c>
      <x:c r="Y2352" s="38" t="n">
        <x:v>0.6409090909090909</x:v>
      </x:c>
      <x:c r="Z2352" s="38" t="n">
        <x:v>0.7476188571473295</x:v>
      </x:c>
      <x:c r="AA2352"/>
    </x:row>
    <x:row r="2353">
      <x:c r="A2353" s="54" t="n">
        <x:v>45291</x:v>
      </x:c>
      <x:c r="B2353" t="n">
        <x:v>45291.624999988424</x:v>
      </x:c>
      <x:c r="C2353" t="str">
        <x:v>086520</x:v>
      </x:c>
      <x:c r="D2353" t="str">
        <x:v>에코프로</x:v>
      </x:c>
      <x:c r="E2353" t="str">
        <x:v>KOSDAQ</x:v>
      </x:c>
      <x:c r="F2353" t="str">
        <x:v>LARGE</x:v>
      </x:c>
      <x:c r="G2353" t="str">
        <x:v>ELIGIBLE</x:v>
      </x:c>
      <x:c r="H2353"/>
      <x:c r="I2353" s="54" t="n">
        <x:v>45288</x:v>
      </x:c>
      <x:c r="J2353" s="55" t="n">
        <x:v>647000</x:v>
      </x:c>
      <x:c r="K2353" s="55" t="n">
        <x:v>17228101196000</x:v>
      </x:c>
      <x:c r="L2353" s="55" t="n">
        <x:v>26627668</x:v>
      </x:c>
      <x:c r="M2353" t="str">
        <x:v>20230322001113</x:v>
      </x:c>
      <x:c r="N2353" t="n">
        <x:v>45007.624999988424</x:v>
      </x:c>
      <x:c r="O2353" s="54" t="n">
        <x:v>44926</x:v>
      </x:c>
      <x:c r="P2353" t="str">
        <x:v>False</x:v>
      </x:c>
      <x:c r="Q2353" t="str">
        <x:v>d5ca0cf44d61c76d9b6bab2b826b979e9a59e209be138b6baca1b16651adc0d2</x:v>
      </x:c>
      <x:c r="R2353" t="str">
        <x:v>d5ed80d4185417e74758aa37a2b38b9078553f7876fa22a2d06c1540bbfb810b</x:v>
      </x:c>
      <x:c r="S2353" t="n">
        <x:v>6</x:v>
      </x:c>
      <x:c r="T2353" t="str">
        <x:v>2018-12-31|2019-12-31|2020-12-31|2021-12-31|2022-12-31</x:v>
      </x:c>
      <x:c r="U2353" s="57" t="n">
        <x:v>49452.94065479767</x:v>
      </x:c>
      <x:c r="V2353" s="57" t="n">
        <x:v>-0.9235657795134503</x:v>
      </x:c>
      <x:c r="W2353" t="n">
        <x:v>67</x:v>
      </x:c>
      <x:c r="X2353" t="n">
        <x:v>5</x:v>
      </x:c>
      <x:c r="Y2353" s="38" t="n">
        <x:v>0.6409090909090909</x:v>
      </x:c>
      <x:c r="Z2353" s="38" t="n">
        <x:v>0.688241253837696</x:v>
      </x:c>
      <x:c r="AA2353"/>
    </x:row>
    <x:row r="2354">
      <x:c r="A2354" s="54" t="n">
        <x:v>45291</x:v>
      </x:c>
      <x:c r="B2354" t="n">
        <x:v>45291.624999988424</x:v>
      </x:c>
      <x:c r="C2354" t="str">
        <x:v>214450</x:v>
      </x:c>
      <x:c r="D2354" t="str">
        <x:v>파마리서치</x:v>
      </x:c>
      <x:c r="E2354" t="str">
        <x:v>KOSDAQ</x:v>
      </x:c>
      <x:c r="F2354" t="str">
        <x:v>LARGE</x:v>
      </x:c>
      <x:c r="G2354" t="str">
        <x:v>ELIGIBLE</x:v>
      </x:c>
      <x:c r="H2354"/>
      <x:c r="I2354" s="54" t="n">
        <x:v>45288</x:v>
      </x:c>
      <x:c r="J2354" s="55" t="n">
        <x:v>109500</x:v>
      </x:c>
      <x:c r="K2354" s="55" t="n">
        <x:v>1130086318500</x:v>
      </x:c>
      <x:c r="L2354" s="55" t="n">
        <x:v>10320423</x:v>
      </x:c>
      <x:c r="M2354" t="str">
        <x:v>20230322001252</x:v>
      </x:c>
      <x:c r="N2354" t="n">
        <x:v>45007.624999988424</x:v>
      </x:c>
      <x:c r="O2354" s="54" t="n">
        <x:v>44926</x:v>
      </x:c>
      <x:c r="P2354" t="str">
        <x:v>False</x:v>
      </x:c>
      <x:c r="Q2354" t="str">
        <x:v>d1d8571bd746fd5df22b5f79322e5712d56ee303146ab140e9a8e3c7300a808b</x:v>
      </x:c>
      <x:c r="R2354" t="str">
        <x:v>0ab9ae1cb427dfc6dad3cedf05daf5415b444fb66fad6b777a97db7198b3ad65</x:v>
      </x:c>
      <x:c r="S2354" t="n">
        <x:v>6</x:v>
      </x:c>
      <x:c r="T2354" t="str">
        <x:v>2018-12-31|2019-12-31|2020-12-31|2021-12-31|2022-12-31</x:v>
      </x:c>
      <x:c r="U2354" s="57" t="n">
        <x:v>67999.48517551691</x:v>
      </x:c>
      <x:c r="V2354" s="57" t="n">
        <x:v>-0.3790001353834073</x:v>
      </x:c>
      <x:c r="W2354" t="n">
        <x:v>39</x:v>
      </x:c>
      <x:c r="X2354" t="n">
        <x:v>3</x:v>
      </x:c>
      <x:c r="Y2354" s="38" t="n">
        <x:v>0.6409090909090909</x:v>
      </x:c>
      <x:c r="Z2354" s="38" t="n">
        <x:v>0.705727109259069</x:v>
      </x:c>
      <x:c r="AA2354"/>
    </x:row>
    <x:row r="2355">
      <x:c r="A2355" s="54" t="n">
        <x:v>45291</x:v>
      </x:c>
      <x:c r="B2355" t="n">
        <x:v>45291.624999988424</x:v>
      </x:c>
      <x:c r="C2355" t="str">
        <x:v>277810</x:v>
      </x:c>
      <x:c r="D2355" t="str">
        <x:v>레인보우로보틱스</x:v>
      </x:c>
      <x:c r="E2355" t="str">
        <x:v>KOSDAQ</x:v>
      </x:c>
      <x:c r="F2355" t="str">
        <x:v>LARGE</x:v>
      </x:c>
      <x:c r="G2355" t="str">
        <x:v>DCF_SCREENING_EXCLUSION</x:v>
      </x:c>
      <x:c r="H2355" t="str">
        <x:v>NON_POSITIVE_ENTERPRISE_VALUE|NON_POSITIVE_TERMINAL_FCF</x:v>
      </x:c>
      <x:c r="I2355" s="54" t="n">
        <x:v>45288</x:v>
      </x:c>
      <x:c r="J2355" s="55" t="n">
        <x:v>176000</x:v>
      </x:c>
      <x:c r="K2355" s="55" t="n">
        <x:v>3414023008000</x:v>
      </x:c>
      <x:c r="L2355" s="55" t="n">
        <x:v>19397858</x:v>
      </x:c>
      <x:c r="M2355" t="str">
        <x:v>20230323000602</x:v>
      </x:c>
      <x:c r="N2355" t="n">
        <x:v>45008.624999988424</x:v>
      </x:c>
      <x:c r="O2355" s="54" t="n">
        <x:v>44926</x:v>
      </x:c>
      <x:c r="P2355" t="str">
        <x:v>False</x:v>
      </x:c>
      <x:c r="Q2355" t="str">
        <x:v>2ada5eb1eccaeeee7c97c8e4c631cdb13c91ada276de9a8e71821b6a745cd9ce</x:v>
      </x:c>
      <x:c r="R2355" t="str">
        <x:v>e1c32ad386de325e7e750ae92420e0a475250cb7acbc9087da92a2b830e058d6</x:v>
      </x:c>
      <x:c r="S2355" t="n">
        <x:v>6</x:v>
      </x:c>
      <x:c r="T2355" t="str">
        <x:v>2020-12-31|2021-12-31|2022-12-31</x:v>
      </x:c>
      <x:c r="U2355" s="57" t="n">
        <x:v>839.0037572135597</x:v>
      </x:c>
      <x:c r="V2355" s="57" t="n">
        <x:v>-0.9952329331976503</x:v>
      </x:c>
      <x:c r="W2355"/>
      <x:c r="X2355"/>
      <x:c r="Y2355" s="38" t="n">
        <x:v>0.6409090909090909</x:v>
      </x:c>
      <x:c r="Z2355" s="38" t="n">
        <x:v>0.8425512038979058</x:v>
      </x:c>
      <x:c r="AA2355" t="str">
        <x:v>NON_POSITIVE_ENTERPRISE_VALUE|NON_POSITIVE_TERMINAL_FCF</x:v>
      </x:c>
    </x:row>
    <x:row r="2356">
      <x:c r="A2356" s="54" t="n">
        <x:v>45291</x:v>
      </x:c>
      <x:c r="B2356" t="n">
        <x:v>45291.624999988424</x:v>
      </x:c>
      <x:c r="C2356" t="str">
        <x:v>310210</x:v>
      </x:c>
      <x:c r="D2356" t="str">
        <x:v>보로노이</x:v>
      </x:c>
      <x:c r="E2356" t="str">
        <x:v>KOSDAQ</x:v>
      </x:c>
      <x:c r="F2356" t="str">
        <x:v>LARGE</x:v>
      </x:c>
      <x:c r="G2356" t="str">
        <x:v>DCF_SCREENING_EXCLUSION</x:v>
      </x:c>
      <x:c r="H2356" t="str">
        <x:v>NON_POSITIVE_ENTERPRISE_VALUE|NON_POSITIVE_EQUITY_VALUE|NON_POSITIVE_TERMINAL_FCF</x:v>
      </x:c>
      <x:c r="I2356" s="54" t="n">
        <x:v>45288</x:v>
      </x:c>
      <x:c r="J2356" s="55" t="n">
        <x:v>54000</x:v>
      </x:c>
      <x:c r="K2356" s="55" t="n">
        <x:v>939535578000</x:v>
      </x:c>
      <x:c r="L2356" s="55" t="n">
        <x:v>17398807</x:v>
      </x:c>
      <x:c r="M2356" t="str">
        <x:v>20230323001447</x:v>
      </x:c>
      <x:c r="N2356" t="n">
        <x:v>45008.624999988424</x:v>
      </x:c>
      <x:c r="O2356" s="54" t="n">
        <x:v>44926</x:v>
      </x:c>
      <x:c r="P2356" t="str">
        <x:v>False</x:v>
      </x:c>
      <x:c r="Q2356" t="str">
        <x:v>38d2b1f5e9c968f4f6fa965d42cb2f1a325c069332624c3eed7a50315d302dcc</x:v>
      </x:c>
      <x:c r="R2356" t="str">
        <x:v>576c97c4daed21efafcbd8890e5b797da413a5a092541c93f1595fcf7c74e341</x:v>
      </x:c>
      <x:c r="S2356" t="n">
        <x:v>5</x:v>
      </x:c>
      <x:c r="T2356" t="str">
        <x:v>2022-12-31</x:v>
      </x:c>
      <x:c r="U2356" s="57" t="n">
        <x:v>-2134.9665077312484</x:v>
      </x:c>
      <x:c r="V2356" s="57" t="n">
        <x:v>-1.039536416809838</x:v>
      </x:c>
      <x:c r="W2356"/>
      <x:c r="X2356"/>
      <x:c r="Y2356" s="38" t="n">
        <x:v>0.6409090909090909</x:v>
      </x:c>
      <x:c r="Z2356" s="38" t="n">
        <x:v>0.7013426708992583</x:v>
      </x:c>
      <x:c r="AA2356" t="str">
        <x:v>NON_POSITIVE_ENTERPRISE_VALUE|NON_POSITIVE_EQUITY_VALUE|NON_POSITIVE_TERMINAL_FCF</x:v>
      </x:c>
    </x:row>
    <x:row r="2357">
      <x:c r="A2357" s="54" t="n">
        <x:v>45291</x:v>
      </x:c>
      <x:c r="B2357" t="n">
        <x:v>45291.624999988424</x:v>
      </x:c>
      <x:c r="C2357" t="str">
        <x:v>195940</x:v>
      </x:c>
      <x:c r="D2357" t="str">
        <x:v>HK이노엔</x:v>
      </x:c>
      <x:c r="E2357" t="str">
        <x:v>KOSDAQ</x:v>
      </x:c>
      <x:c r="F2357" t="str">
        <x:v>LARGE</x:v>
      </x:c>
      <x:c r="G2357" t="str">
        <x:v>ELIGIBLE</x:v>
      </x:c>
      <x:c r="H2357"/>
      <x:c r="I2357" s="54" t="n">
        <x:v>45288</x:v>
      </x:c>
      <x:c r="J2357" s="55" t="n">
        <x:v>44450</x:v>
      </x:c>
      <x:c r="K2357" s="55" t="n">
        <x:v>1259263654950</x:v>
      </x:c>
      <x:c r="L2357" s="55" t="n">
        <x:v>28329891</x:v>
      </x:c>
      <x:c r="M2357" t="str">
        <x:v>20230320001014</x:v>
      </x:c>
      <x:c r="N2357" t="n">
        <x:v>45005.624999988424</x:v>
      </x:c>
      <x:c r="O2357" s="54" t="n">
        <x:v>44926</x:v>
      </x:c>
      <x:c r="P2357" t="str">
        <x:v>False</x:v>
      </x:c>
      <x:c r="Q2357" t="str">
        <x:v>4f6a0806e0e5fd9c2cd2d393c888771faba743176534f676c421f01bd70e632b</x:v>
      </x:c>
      <x:c r="R2357" t="str">
        <x:v>3c6c5321d38ea949af4f9c43ff725d1d6f97d8e872f740bed5c3b8ba843d6006</x:v>
      </x:c>
      <x:c r="S2357" t="n">
        <x:v>6</x:v>
      </x:c>
      <x:c r="T2357" t="str">
        <x:v>2021-12-31|2022-12-31</x:v>
      </x:c>
      <x:c r="U2357" s="57" t="n">
        <x:v>11886.658464352715</x:v>
      </x:c>
      <x:c r="V2357" s="57" t="n">
        <x:v>-0.7325836116006138</x:v>
      </x:c>
      <x:c r="W2357" t="n">
        <x:v>56</x:v>
      </x:c>
      <x:c r="X2357" t="n">
        <x:v>4</x:v>
      </x:c>
      <x:c r="Y2357" s="38" t="n">
        <x:v>0.6409090909090909</x:v>
      </x:c>
      <x:c r="Z2357" s="38" t="n">
        <x:v>0.7290831375167371</x:v>
      </x:c>
      <x:c r="AA2357"/>
    </x:row>
    <x:row r="2358">
      <x:c r="A2358" s="54" t="n">
        <x:v>45291</x:v>
      </x:c>
      <x:c r="B2358" t="n">
        <x:v>45291.624999988424</x:v>
      </x:c>
      <x:c r="C2358" t="str">
        <x:v>039200</x:v>
      </x:c>
      <x:c r="D2358" t="str">
        <x:v>오스코텍</x:v>
      </x:c>
      <x:c r="E2358" t="str">
        <x:v>KOSDAQ</x:v>
      </x:c>
      <x:c r="F2358" t="str">
        <x:v>LARGE</x:v>
      </x:c>
      <x:c r="G2358" t="str">
        <x:v>DCF_SCREENING_EXCLUSION</x:v>
      </x:c>
      <x:c r="H2358" t="str">
        <x:v>NON_POSITIVE_ENTERPRISE_VALUE|NON_POSITIVE_EQUITY_VALUE|NON_POSITIVE_TERMINAL_FCF</x:v>
      </x:c>
      <x:c r="I2358" s="54" t="n">
        <x:v>45288</x:v>
      </x:c>
      <x:c r="J2358" s="55" t="n">
        <x:v>23050</x:v>
      </x:c>
      <x:c r="K2358" s="55" t="n">
        <x:v>875530231900</x:v>
      </x:c>
      <x:c r="L2358" s="55" t="n">
        <x:v>37983958</x:v>
      </x:c>
      <x:c r="M2358" t="str">
        <x:v>20230814001738</x:v>
      </x:c>
      <x:c r="N2358" t="n">
        <x:v>45152.624999988424</x:v>
      </x:c>
      <x:c r="O2358" s="54" t="n">
        <x:v>44926</x:v>
      </x:c>
      <x:c r="P2358" t="str">
        <x:v>True</x:v>
      </x:c>
      <x:c r="Q2358" t="str">
        <x:v>e0b41c243d18f9306d2dfd295fac4b25c57cea7b363ac8caab97149bf3b24f94</x:v>
      </x:c>
      <x:c r="R2358" t="str">
        <x:v>0b25fcca6bf60d5d326782e94d404d5d036ca216e9afb5bba785a4f3c0cf4549</x:v>
      </x:c>
      <x:c r="S2358" t="n">
        <x:v>6</x:v>
      </x:c>
      <x:c r="T2358" t="str">
        <x:v>2018-12-31|2019-12-31|2020-12-31|2021-12-31|2022-12-31</x:v>
      </x:c>
      <x:c r="U2358" s="57" t="n">
        <x:v>-189.62783704262927</x:v>
      </x:c>
      <x:c r="V2358" s="57" t="n">
        <x:v>-1.0082268042100924</x:v>
      </x:c>
      <x:c r="W2358"/>
      <x:c r="X2358"/>
      <x:c r="Y2358" s="38" t="n">
        <x:v>0.6409090909090909</x:v>
      </x:c>
      <x:c r="Z2358" s="38" t="n">
        <x:v>0.6865240790654953</x:v>
      </x:c>
      <x:c r="AA2358" t="str">
        <x:v>NON_POSITIVE_ENTERPRISE_VALUE|NON_POSITIVE_EQUITY_VALUE|NON_POSITIVE_TERMINAL_FCF</x:v>
      </x:c>
    </x:row>
    <x:row r="2359">
      <x:c r="A2359" s="54" t="n">
        <x:v>45291</x:v>
      </x:c>
      <x:c r="B2359" t="n">
        <x:v>45291.624999988424</x:v>
      </x:c>
      <x:c r="C2359" t="str">
        <x:v>084370</x:v>
      </x:c>
      <x:c r="D2359" t="str">
        <x:v>유진테크</x:v>
      </x:c>
      <x:c r="E2359" t="str">
        <x:v>KOSDAQ</x:v>
      </x:c>
      <x:c r="F2359" t="str">
        <x:v>LARGE</x:v>
      </x:c>
      <x:c r="G2359" t="str">
        <x:v>ELIGIBLE</x:v>
      </x:c>
      <x:c r="H2359"/>
      <x:c r="I2359" s="54" t="n">
        <x:v>45288</x:v>
      </x:c>
      <x:c r="J2359" s="55" t="n">
        <x:v>40800</x:v>
      </x:c>
      <x:c r="K2359" s="55" t="n">
        <x:v>934974513600</x:v>
      </x:c>
      <x:c r="L2359" s="55" t="n">
        <x:v>22916042</x:v>
      </x:c>
      <x:c r="M2359" t="str">
        <x:v>20230316001233</x:v>
      </x:c>
      <x:c r="N2359" t="n">
        <x:v>45001.624999988424</x:v>
      </x:c>
      <x:c r="O2359" s="54" t="n">
        <x:v>44926</x:v>
      </x:c>
      <x:c r="P2359" t="str">
        <x:v>False</x:v>
      </x:c>
      <x:c r="Q2359" t="str">
        <x:v>6e7015a76630b4a93d0421f2c9948a15f4da48771a5c08d854eaca8d07cf61c9</x:v>
      </x:c>
      <x:c r="R2359" t="str">
        <x:v>9c185bb5f99aa044f90ce49fec10ec432336d91250cf3fab5cc4f9990d78fcc5</x:v>
      </x:c>
      <x:c r="S2359" t="n">
        <x:v>5</x:v>
      </x:c>
      <x:c r="T2359" t="str">
        <x:v>2018-12-31|2019-12-31|2020-12-31|2021-12-31|2022-12-31</x:v>
      </x:c>
      <x:c r="U2359" s="57" t="n">
        <x:v>18249.84920785422</x:v>
      </x:c>
      <x:c r="V2359" s="57" t="n">
        <x:v>-0.5526997743172986</x:v>
      </x:c>
      <x:c r="W2359" t="n">
        <x:v>47</x:v>
      </x:c>
      <x:c r="X2359" t="n">
        <x:v>4</x:v>
      </x:c>
      <x:c r="Y2359" s="38" t="n">
        <x:v>0.6409090909090909</x:v>
      </x:c>
      <x:c r="Z2359" s="38" t="n">
        <x:v>0.6758527692215439</x:v>
      </x:c>
      <x:c r="AA2359"/>
    </x:row>
    <x:row r="2360">
      <x:c r="A2360" s="54" t="n">
        <x:v>45291</x:v>
      </x:c>
      <x:c r="B2360" t="n">
        <x:v>45291.624999988424</x:v>
      </x:c>
      <x:c r="C2360" t="str">
        <x:v>160190</x:v>
      </x:c>
      <x:c r="D2360" t="str">
        <x:v>하이젠알앤엠</x:v>
      </x:c>
      <x:c r="E2360" t="str">
        <x:v>KOSDAQ</x:v>
      </x:c>
      <x:c r="F2360" t="str">
        <x:v>LARGE</x:v>
      </x:c>
      <x:c r="G2360" t="str">
        <x:v>NOT_LISTED_OR_NO_PRICE</x:v>
      </x:c>
      <x:c r="H2360"/>
      <x:c r="I2360" s="54"/>
      <x:c r="J2360" s="55"/>
      <x:c r="K2360" s="55"/>
      <x:c r="L2360" s="55"/>
      <x:c r="M2360"/>
      <x:c r="N2360"/>
      <x:c r="O2360" s="54"/>
      <x:c r="P2360"/>
      <x:c r="Q2360"/>
      <x:c r="R2360"/>
      <x:c r="S2360"/>
      <x:c r="T2360"/>
      <x:c r="U2360" s="57"/>
      <x:c r="V2360" s="57"/>
      <x:c r="W2360"/>
      <x:c r="X2360"/>
      <x:c r="Y2360" s="38"/>
      <x:c r="Z2360" s="38"/>
      <x:c r="AA2360"/>
    </x:row>
    <x:row r="2361">
      <x:c r="A2361" s="54" t="n">
        <x:v>45291</x:v>
      </x:c>
      <x:c r="B2361" t="n">
        <x:v>45291.624999988424</x:v>
      </x:c>
      <x:c r="C2361" t="str">
        <x:v>281740</x:v>
      </x:c>
      <x:c r="D2361" t="str">
        <x:v>레이크머티리얼즈</x:v>
      </x:c>
      <x:c r="E2361" t="str">
        <x:v>KOSDAQ</x:v>
      </x:c>
      <x:c r="F2361" t="str">
        <x:v>LARGE</x:v>
      </x:c>
      <x:c r="G2361" t="str">
        <x:v>ELIGIBLE</x:v>
      </x:c>
      <x:c r="H2361"/>
      <x:c r="I2361" s="54" t="n">
        <x:v>45288</x:v>
      </x:c>
      <x:c r="J2361" s="55" t="n">
        <x:v>17350</x:v>
      </x:c>
      <x:c r="K2361" s="55" t="n">
        <x:v>1140425007800</x:v>
      </x:c>
      <x:c r="L2361" s="55" t="n">
        <x:v>65730548</x:v>
      </x:c>
      <x:c r="M2361" t="str">
        <x:v>20230321000462</x:v>
      </x:c>
      <x:c r="N2361" t="n">
        <x:v>45006.624999988424</x:v>
      </x:c>
      <x:c r="O2361" s="54" t="n">
        <x:v>44926</x:v>
      </x:c>
      <x:c r="P2361" t="str">
        <x:v>False</x:v>
      </x:c>
      <x:c r="Q2361" t="str">
        <x:v>bd38aecc65af0a0b98e5da1731778b2438d37a8d11b5ff932f845ba7958b093a</x:v>
      </x:c>
      <x:c r="R2361" t="str">
        <x:v>9e75f2c145a26e2dcd1f3b04d00d2a651834392252b0fc71a6e537449c01c449</x:v>
      </x:c>
      <x:c r="S2361" t="n">
        <x:v>6</x:v>
      </x:c>
      <x:c r="T2361" t="str">
        <x:v>2020-12-31|2021-12-31|2022-12-31</x:v>
      </x:c>
      <x:c r="U2361" s="57" t="n">
        <x:v>4485.628453028402</x:v>
      </x:c>
      <x:c r="V2361" s="57" t="n">
        <x:v>-0.7414623370012449</x:v>
      </x:c>
      <x:c r="W2361" t="n">
        <x:v>57</x:v>
      </x:c>
      <x:c r="X2361" t="n">
        <x:v>5</x:v>
      </x:c>
      <x:c r="Y2361" s="38" t="n">
        <x:v>0.6409090909090909</x:v>
      </x:c>
      <x:c r="Z2361" s="38" t="n">
        <x:v>0.726801270847002</x:v>
      </x:c>
      <x:c r="AA2361"/>
    </x:row>
    <x:row r="2362">
      <x:c r="A2362" s="54" t="n">
        <x:v>45291</x:v>
      </x:c>
      <x:c r="B2362" t="n">
        <x:v>45291.624999988424</x:v>
      </x:c>
      <x:c r="C2362" t="str">
        <x:v>078130</x:v>
      </x:c>
      <x:c r="D2362" t="str">
        <x:v>국일제지</x:v>
      </x:c>
      <x:c r="E2362" t="str">
        <x:v>KOSDAQ</x:v>
      </x:c>
      <x:c r="F2362" t="str">
        <x:v>LARGE</x:v>
      </x:c>
      <x:c r="G2362" t="str">
        <x:v>DCF_SCREENING_EXCLUSION</x:v>
      </x:c>
      <x:c r="H2362" t="str">
        <x:v>NON_POSITIVE_ENTERPRISE_VALUE|NON_POSITIVE_EQUITY_VALUE|UNRELIABLE_TERMINAL_VALUE_SHARE</x:v>
      </x:c>
      <x:c r="I2362" s="54" t="n">
        <x:v>45288</x:v>
      </x:c>
      <x:c r="J2362" s="55" t="n">
        <x:v>800</x:v>
      </x:c>
      <x:c r="K2362" s="55" t="n">
        <x:v>102093978400</x:v>
      </x:c>
      <x:c r="L2362" s="55" t="n">
        <x:v>127617473</x:v>
      </x:c>
      <x:c r="M2362" t="str">
        <x:v>20230714000203</x:v>
      </x:c>
      <x:c r="N2362" t="n">
        <x:v>45121.624999988424</x:v>
      </x:c>
      <x:c r="O2362" s="54" t="n">
        <x:v>44926</x:v>
      </x:c>
      <x:c r="P2362" t="str">
        <x:v>True</x:v>
      </x:c>
      <x:c r="Q2362" t="str">
        <x:v>13056fe84538dc3c279dc4cdc76345bd96eacbc95b29dff0c1d9b89d11a7f860</x:v>
      </x:c>
      <x:c r="R2362" t="str">
        <x:v>041daa119fbababf0e3caa8226161f005a29100514a1f95ce246c7ab44215863</x:v>
      </x:c>
      <x:c r="S2362" t="n">
        <x:v>7</x:v>
      </x:c>
      <x:c r="T2362" t="str">
        <x:v>2018-12-31|2019-12-31|2020-12-31|2021-12-31|2022-12-31</x:v>
      </x:c>
      <x:c r="U2362" s="57" t="n">
        <x:v>-478.81412463368326</x:v>
      </x:c>
      <x:c r="V2362" s="57" t="n">
        <x:v>-1.5985176557921041</x:v>
      </x:c>
      <x:c r="W2362"/>
      <x:c r="X2362"/>
      <x:c r="Y2362" s="38" t="n">
        <x:v>0.6409090909090909</x:v>
      </x:c>
      <x:c r="Z2362" s="38" t="n">
        <x:v>-1.0062491104711333</x:v>
      </x:c>
      <x:c r="AA2362" t="str">
        <x:v>NON_POSITIVE_ENTERPRISE_VALUE|NON_POSITIVE_EQUITY_VALUE|UNRELIABLE_TERMINAL_VALUE_SHARE</x:v>
      </x:c>
    </x:row>
    <x:row r="2363">
      <x:c r="A2363" s="54" t="n">
        <x:v>45291</x:v>
      </x:c>
      <x:c r="B2363" t="n">
        <x:v>45291.624999988424</x:v>
      </x:c>
      <x:c r="C2363" t="str">
        <x:v>131970</x:v>
      </x:c>
      <x:c r="D2363" t="str">
        <x:v>두산테스나</x:v>
      </x:c>
      <x:c r="E2363" t="str">
        <x:v>KOSDAQ</x:v>
      </x:c>
      <x:c r="F2363" t="str">
        <x:v>LARGE</x:v>
      </x:c>
      <x:c r="G2363" t="str">
        <x:v>ELIGIBLE</x:v>
      </x:c>
      <x:c r="H2363"/>
      <x:c r="I2363" s="54" t="n">
        <x:v>45288</x:v>
      </x:c>
      <x:c r="J2363" s="55" t="n">
        <x:v>58600</x:v>
      </x:c>
      <x:c r="K2363" s="55" t="n">
        <x:v>996584767600</x:v>
      </x:c>
      <x:c r="L2363" s="55" t="n">
        <x:v>17006566</x:v>
      </x:c>
      <x:c r="M2363" t="str">
        <x:v>20230321001018</x:v>
      </x:c>
      <x:c r="N2363" t="n">
        <x:v>45006.624999988424</x:v>
      </x:c>
      <x:c r="O2363" s="54" t="n">
        <x:v>44926</x:v>
      </x:c>
      <x:c r="P2363" t="str">
        <x:v>False</x:v>
      </x:c>
      <x:c r="Q2363" t="str">
        <x:v>884fb42e0046a241832b9dc400722b5050999bfc4acbe2eaab4a2b72708a1eef</x:v>
      </x:c>
      <x:c r="R2363" t="str">
        <x:v>1bab9f86ce7bb62761af67a64415208e4f1003be2995a07128c9ce04910ba75f</x:v>
      </x:c>
      <x:c r="S2363" t="n">
        <x:v>5</x:v>
      </x:c>
      <x:c r="T2363" t="str">
        <x:v>2018-12-31|2019-12-31|2020-12-31|2021-12-31|2022-12-31</x:v>
      </x:c>
      <x:c r="U2363" s="57" t="n">
        <x:v>37128.63742056454</x:v>
      </x:c>
      <x:c r="V2363" s="57" t="n">
        <x:v>-0.3664055047685231</x:v>
      </x:c>
      <x:c r="W2363" t="n">
        <x:v>37</x:v>
      </x:c>
      <x:c r="X2363" t="n">
        <x:v>3</x:v>
      </x:c>
      <x:c r="Y2363" s="38" t="n">
        <x:v>0.6409090909090909</x:v>
      </x:c>
      <x:c r="Z2363" s="38" t="n">
        <x:v>0.7192854801003423</x:v>
      </x:c>
      <x:c r="AA2363"/>
    </x:row>
    <x:row r="2364">
      <x:c r="A2364" s="54" t="n">
        <x:v>45291</x:v>
      </x:c>
      <x:c r="B2364" t="n">
        <x:v>45291.624999988424</x:v>
      </x:c>
      <x:c r="C2364" t="str">
        <x:v>025320</x:v>
      </x:c>
      <x:c r="D2364" t="str">
        <x:v>시노펙스</x:v>
      </x:c>
      <x:c r="E2364" t="str">
        <x:v>KOSDAQ</x:v>
      </x:c>
      <x:c r="F2364" t="str">
        <x:v>LARGE</x:v>
      </x:c>
      <x:c r="G2364" t="str">
        <x:v>DCF_SCREENING_EXCLUSION</x:v>
      </x:c>
      <x:c r="H2364" t="str">
        <x:v>NON_POSITIVE_ENTERPRISE_VALUE|NON_POSITIVE_EQUITY_VALUE|NON_POSITIVE_TERMINAL_FCF|UNRELIABLE_TERMINAL_VALUE_SHARE</x:v>
      </x:c>
      <x:c r="I2364" s="54" t="n">
        <x:v>45288</x:v>
      </x:c>
      <x:c r="J2364" s="55" t="n">
        <x:v>7550</x:v>
      </x:c>
      <x:c r="K2364" s="55" t="n">
        <x:v>602960583950</x:v>
      </x:c>
      <x:c r="L2364" s="55" t="n">
        <x:v>79862329</x:v>
      </x:c>
      <x:c r="M2364" t="str">
        <x:v>20230317000970</x:v>
      </x:c>
      <x:c r="N2364" t="n">
        <x:v>45002.624999988424</x:v>
      </x:c>
      <x:c r="O2364" s="54" t="n">
        <x:v>44926</x:v>
      </x:c>
      <x:c r="P2364" t="str">
        <x:v>False</x:v>
      </x:c>
      <x:c r="Q2364" t="str">
        <x:v>97a0662bef0951eeb8bc249158ded53f5a4107f03ae195e85190408a71b2e159</x:v>
      </x:c>
      <x:c r="R2364" t="str">
        <x:v>13398546743628923b374842f994b42a0375ba9d3b6cd96f7a523999333258dc</x:v>
      </x:c>
      <x:c r="S2364" t="n">
        <x:v>6</x:v>
      </x:c>
      <x:c r="T2364" t="str">
        <x:v>2018-12-31|2019-12-31|2020-12-31|2021-12-31|2022-12-31</x:v>
      </x:c>
      <x:c r="U2364" s="57" t="n">
        <x:v>-1028.7540821271389</x:v>
      </x:c>
      <x:c r="V2364" s="57" t="n">
        <x:v>-1.1362588188247866</x:v>
      </x:c>
      <x:c r="W2364"/>
      <x:c r="X2364"/>
      <x:c r="Y2364" s="38" t="n">
        <x:v>0.6409090909090909</x:v>
      </x:c>
      <x:c r="Z2364" s="38" t="n">
        <x:v>0.8633040140644538</x:v>
      </x:c>
      <x:c r="AA2364" t="str">
        <x:v>NON_POSITIVE_ENTERPRISE_VALUE|NON_POSITIVE_EQUITY_VALUE|NON_POSITIVE_TERMINAL_FCF|UNRELIABLE_TERMINAL_VALUE_SHARE</x:v>
      </x:c>
    </x:row>
    <x:row r="2365">
      <x:c r="A2365" s="54" t="n">
        <x:v>45291</x:v>
      </x:c>
      <x:c r="B2365" t="n">
        <x:v>45291.624999988424</x:v>
      </x:c>
      <x:c r="C2365" t="str">
        <x:v>347700</x:v>
      </x:c>
      <x:c r="D2365" t="str">
        <x:v>스피어</x:v>
      </x:c>
      <x:c r="E2365" t="str">
        <x:v>KOSDAQ</x:v>
      </x:c>
      <x:c r="F2365" t="str">
        <x:v>LARGE</x:v>
      </x:c>
      <x:c r="G2365" t="str">
        <x:v>DCF_SCREENING_EXCLUSION</x:v>
      </x:c>
      <x:c r="H2365" t="str">
        <x:v>NON_POSITIVE_ENTERPRISE_VALUE|NON_POSITIVE_EQUITY_VALUE|NON_POSITIVE_TERMINAL_FCF</x:v>
      </x:c>
      <x:c r="I2365" s="54" t="n">
        <x:v>45288</x:v>
      </x:c>
      <x:c r="J2365" s="55" t="n">
        <x:v>2265</x:v>
      </x:c>
      <x:c r="K2365" s="55" t="n">
        <x:v>23166306750</x:v>
      </x:c>
      <x:c r="L2365" s="55" t="n">
        <x:v>10227950</x:v>
      </x:c>
      <x:c r="M2365" t="str">
        <x:v>20230323000910</x:v>
      </x:c>
      <x:c r="N2365" t="n">
        <x:v>45008.624999988424</x:v>
      </x:c>
      <x:c r="O2365" s="54" t="n">
        <x:v>44926</x:v>
      </x:c>
      <x:c r="P2365" t="str">
        <x:v>False</x:v>
      </x:c>
      <x:c r="Q2365" t="str">
        <x:v>318d5308ddf30d65b03f9b30626610bf5f1602f10d1d079262c739572e450b01</x:v>
      </x:c>
      <x:c r="R2365" t="str">
        <x:v>8a688877140876da0088777346eecbce820b2f714829b67ca13a2fee8b6668fe</x:v>
      </x:c>
      <x:c r="S2365" t="n">
        <x:v>6</x:v>
      </x:c>
      <x:c r="T2365" t="str">
        <x:v>2020-12-31|2021-12-31|2022-12-31</x:v>
      </x:c>
      <x:c r="U2365" s="57" t="n">
        <x:v>-289.88693562945383</x:v>
      </x:c>
      <x:c r="V2365" s="57" t="n">
        <x:v>-1.127985402043909</x:v>
      </x:c>
      <x:c r="W2365"/>
      <x:c r="X2365"/>
      <x:c r="Y2365" s="38" t="n">
        <x:v>0.6409090909090909</x:v>
      </x:c>
      <x:c r="Z2365" s="38" t="n">
        <x:v>0.7147392814804288</x:v>
      </x:c>
      <x:c r="AA2365" t="str">
        <x:v>NON_POSITIVE_ENTERPRISE_VALUE|NON_POSITIVE_EQUITY_VALUE|NON_POSITIVE_TERMINAL_FCF</x:v>
      </x:c>
    </x:row>
    <x:row r="2366">
      <x:c r="A2366" s="54" t="n">
        <x:v>45291</x:v>
      </x:c>
      <x:c r="B2366" t="n">
        <x:v>45291.624999988424</x:v>
      </x:c>
      <x:c r="C2366" t="str">
        <x:v>119850</x:v>
      </x:c>
      <x:c r="D2366" t="str">
        <x:v>지엔씨에너지</x:v>
      </x:c>
      <x:c r="E2366" t="str">
        <x:v>KOSDAQ</x:v>
      </x:c>
      <x:c r="F2366" t="str">
        <x:v>LARGE</x:v>
      </x:c>
      <x:c r="G2366" t="str">
        <x:v>ELIGIBLE</x:v>
      </x:c>
      <x:c r="H2366"/>
      <x:c r="I2366" s="54" t="n">
        <x:v>45288</x:v>
      </x:c>
      <x:c r="J2366" s="55" t="n">
        <x:v>4255</x:v>
      </x:c>
      <x:c r="K2366" s="55" t="n">
        <x:v>69990107795</x:v>
      </x:c>
      <x:c r="L2366" s="55" t="n">
        <x:v>16448909</x:v>
      </x:c>
      <x:c r="M2366" t="str">
        <x:v>20230321000381</x:v>
      </x:c>
      <x:c r="N2366" t="n">
        <x:v>45006.624999988424</x:v>
      </x:c>
      <x:c r="O2366" s="54" t="n">
        <x:v>44926</x:v>
      </x:c>
      <x:c r="P2366" t="str">
        <x:v>False</x:v>
      </x:c>
      <x:c r="Q2366" t="str">
        <x:v>f632a6eceb0fdf2b827e41df44c7ef1919a43190db51c5383dd7414638425ef9</x:v>
      </x:c>
      <x:c r="R2366" t="str">
        <x:v>0a80b286f39c459231cb877b726cd5f89c30b847d32dfbfd48b8c1753d8cb348</x:v>
      </x:c>
      <x:c r="S2366" t="n">
        <x:v>6</x:v>
      </x:c>
      <x:c r="T2366" t="str">
        <x:v>2018-12-31|2019-12-31|2020-12-31|2021-12-31|2022-12-31</x:v>
      </x:c>
      <x:c r="U2366" s="57" t="n">
        <x:v>2550.7016156046448</x:v>
      </x:c>
      <x:c r="V2366" s="57" t="n">
        <x:v>-0.40054016084497185</x:v>
      </x:c>
      <x:c r="W2366" t="n">
        <x:v>41</x:v>
      </x:c>
      <x:c r="X2366" t="n">
        <x:v>3</x:v>
      </x:c>
      <x:c r="Y2366" s="38" t="n">
        <x:v>0.6409090909090909</x:v>
      </x:c>
      <x:c r="Z2366" s="38" t="n">
        <x:v>0.6992378881812492</x:v>
      </x:c>
      <x:c r="AA2366"/>
    </x:row>
    <x:row r="2367">
      <x:c r="A2367" s="54" t="n">
        <x:v>45291</x:v>
      </x:c>
      <x:c r="B2367" t="n">
        <x:v>45291.624999988424</x:v>
      </x:c>
      <x:c r="C2367" t="str">
        <x:v>084110</x:v>
      </x:c>
      <x:c r="D2367" t="str">
        <x:v>휴온스글로벌</x:v>
      </x:c>
      <x:c r="E2367" t="str">
        <x:v>KOSDAQ</x:v>
      </x:c>
      <x:c r="F2367" t="str">
        <x:v>LARGE</x:v>
      </x:c>
      <x:c r="G2367" t="str">
        <x:v>ELIGIBLE</x:v>
      </x:c>
      <x:c r="H2367"/>
      <x:c r="I2367" s="54" t="n">
        <x:v>45288</x:v>
      </x:c>
      <x:c r="J2367" s="55" t="n">
        <x:v>23650</x:v>
      </x:c>
      <x:c r="K2367" s="55" t="n">
        <x:v>298498285800</x:v>
      </x:c>
      <x:c r="L2367" s="55" t="n">
        <x:v>12621492</x:v>
      </x:c>
      <x:c r="M2367" t="str">
        <x:v>20230323001526</x:v>
      </x:c>
      <x:c r="N2367" t="n">
        <x:v>45008.624999988424</x:v>
      </x:c>
      <x:c r="O2367" s="54" t="n">
        <x:v>44926</x:v>
      </x:c>
      <x:c r="P2367" t="str">
        <x:v>False</x:v>
      </x:c>
      <x:c r="Q2367" t="str">
        <x:v>541fb198584f283efa69044182a66d8d3bbb27bc4598abf29f13a82efd236391</x:v>
      </x:c>
      <x:c r="R2367" t="str">
        <x:v>c07edab6f2b7838ef3c0f5e884bea46a9a06b1d5c364f4fd38131be15dc9749b</x:v>
      </x:c>
      <x:c r="S2367" t="n">
        <x:v>6</x:v>
      </x:c>
      <x:c r="T2367" t="str">
        <x:v>2018-12-31|2019-12-31|2020-12-31|2021-12-31|2022-12-31</x:v>
      </x:c>
      <x:c r="U2367" s="57" t="n">
        <x:v>79529.11555752518</x:v>
      </x:c>
      <x:c r="V2367" s="57" t="n">
        <x:v>2.3627533005296057</x:v>
      </x:c>
      <x:c r="W2367" t="n">
        <x:v>7</x:v>
      </x:c>
      <x:c r="X2367" t="n">
        <x:v>1</x:v>
      </x:c>
      <x:c r="Y2367" s="38" t="n">
        <x:v>0.6409090909090909</x:v>
      </x:c>
      <x:c r="Z2367" s="38" t="n">
        <x:v>0.7695258922995936</x:v>
      </x:c>
      <x:c r="AA2367"/>
    </x:row>
    <x:row r="2368">
      <x:c r="A2368" s="54" t="n">
        <x:v>45291</x:v>
      </x:c>
      <x:c r="B2368" t="n">
        <x:v>45291.624999988424</x:v>
      </x:c>
      <x:c r="C2368" t="str">
        <x:v>206650</x:v>
      </x:c>
      <x:c r="D2368" t="str">
        <x:v>유바이오로직스</x:v>
      </x:c>
      <x:c r="E2368" t="str">
        <x:v>KOSDAQ</x:v>
      </x:c>
      <x:c r="F2368" t="str">
        <x:v>LARGE</x:v>
      </x:c>
      <x:c r="G2368" t="str">
        <x:v>DCF_SCREENING_EXCLUSION</x:v>
      </x:c>
      <x:c r="H2368" t="str">
        <x:v>NON_POSITIVE_ENTERPRISE_VALUE|NON_POSITIVE_EQUITY_VALUE|NON_POSITIVE_TERMINAL_FCF</x:v>
      </x:c>
      <x:c r="I2368" s="54" t="n">
        <x:v>45288</x:v>
      </x:c>
      <x:c r="J2368" s="55" t="n">
        <x:v>11470</x:v>
      </x:c>
      <x:c r="K2368" s="55" t="n">
        <x:v>418136636290</x:v>
      </x:c>
      <x:c r="L2368" s="55" t="n">
        <x:v>36454807</x:v>
      </x:c>
      <x:c r="M2368" t="str">
        <x:v>20230321001064</x:v>
      </x:c>
      <x:c r="N2368" t="n">
        <x:v>45006.624999988424</x:v>
      </x:c>
      <x:c r="O2368" s="54" t="n">
        <x:v>44926</x:v>
      </x:c>
      <x:c r="P2368" t="str">
        <x:v>False</x:v>
      </x:c>
      <x:c r="Q2368" t="str">
        <x:v>fca3a941392c1e401dfc5d056354175a8f59736f1a8bacec99d6d2306060f340</x:v>
      </x:c>
      <x:c r="R2368" t="str">
        <x:v>22d1af952e5a4ad209a1848f1b2b48aa9efb1ad0649ef925f5aefaeff4e9a84d</x:v>
      </x:c>
      <x:c r="S2368" t="n">
        <x:v>5</x:v>
      </x:c>
      <x:c r="T2368" t="str">
        <x:v>2018-12-31|2019-12-31|2020-12-31|2021-12-31|2022-12-31</x:v>
      </x:c>
      <x:c r="U2368" s="57" t="n">
        <x:v>-1918.7108286997616</x:v>
      </x:c>
      <x:c r="V2368" s="57" t="n">
        <x:v>-1.1672808045945737</x:v>
      </x:c>
      <x:c r="W2368"/>
      <x:c r="X2368"/>
      <x:c r="Y2368" s="38" t="n">
        <x:v>0.6409090909090909</x:v>
      </x:c>
      <x:c r="Z2368" s="38" t="n">
        <x:v>0.6636833148664109</x:v>
      </x:c>
      <x:c r="AA2368" t="str">
        <x:v>NON_POSITIVE_ENTERPRISE_VALUE|NON_POSITIVE_EQUITY_VALUE|NON_POSITIVE_TERMINAL_FCF</x:v>
      </x:c>
    </x:row>
    <x:row r="2369">
      <x:c r="A2369" s="54" t="n">
        <x:v>45291</x:v>
      </x:c>
      <x:c r="B2369" t="n">
        <x:v>45291.624999988424</x:v>
      </x:c>
      <x:c r="C2369" t="str">
        <x:v>365340</x:v>
      </x:c>
      <x:c r="D2369" t="str">
        <x:v>성일하이텍</x:v>
      </x:c>
      <x:c r="E2369" t="str">
        <x:v>KOSDAQ</x:v>
      </x:c>
      <x:c r="F2369" t="str">
        <x:v>LARGE</x:v>
      </x:c>
      <x:c r="G2369" t="str">
        <x:v>ELIGIBLE</x:v>
      </x:c>
      <x:c r="H2369"/>
      <x:c r="I2369" s="54" t="n">
        <x:v>45288</x:v>
      </x:c>
      <x:c r="J2369" s="55" t="n">
        <x:v>109100</x:v>
      </x:c>
      <x:c r="K2369" s="55" t="n">
        <x:v>1313828676600</x:v>
      </x:c>
      <x:c r="L2369" s="55" t="n">
        <x:v>12042426</x:v>
      </x:c>
      <x:c r="M2369" t="str">
        <x:v>20230323000846</x:v>
      </x:c>
      <x:c r="N2369" t="n">
        <x:v>45008.624999988424</x:v>
      </x:c>
      <x:c r="O2369" s="54" t="n">
        <x:v>44926</x:v>
      </x:c>
      <x:c r="P2369" t="str">
        <x:v>False</x:v>
      </x:c>
      <x:c r="Q2369" t="str">
        <x:v>7d0abe3c2db2e67cce557f8d247cbcd238617d90a80745b9f2e537f2c3a0b014</x:v>
      </x:c>
      <x:c r="R2369" t="str">
        <x:v>3d7693e5f2fb4d7dbf0d2eae00ebc360e9d376c7695fd488602225ac72151361</x:v>
      </x:c>
      <x:c r="S2369" t="n">
        <x:v>6</x:v>
      </x:c>
      <x:c r="T2369" t="str">
        <x:v>2022-12-31</x:v>
      </x:c>
      <x:c r="U2369" s="57" t="n">
        <x:v>38116.18379936335</x:v>
      </x:c>
      <x:c r="V2369" s="57" t="n">
        <x:v>-0.6506307626089519</x:v>
      </x:c>
      <x:c r="W2369" t="n">
        <x:v>53</x:v>
      </x:c>
      <x:c r="X2369" t="n">
        <x:v>4</x:v>
      </x:c>
      <x:c r="Y2369" s="38" t="n">
        <x:v>0.6409090909090909</x:v>
      </x:c>
      <x:c r="Z2369" s="38" t="n">
        <x:v>0.7013426708992583</x:v>
      </x:c>
      <x:c r="AA2369"/>
    </x:row>
    <x:row r="2370">
      <x:c r="A2370" s="54" t="n">
        <x:v>45291</x:v>
      </x:c>
      <x:c r="B2370" t="n">
        <x:v>45291.624999988424</x:v>
      </x:c>
      <x:c r="C2370" t="str">
        <x:v>030530</x:v>
      </x:c>
      <x:c r="D2370" t="str">
        <x:v>원익홀딩스</x:v>
      </x:c>
      <x:c r="E2370" t="str">
        <x:v>KOSDAQ</x:v>
      </x:c>
      <x:c r="F2370" t="str">
        <x:v>LARGE</x:v>
      </x:c>
      <x:c r="G2370" t="str">
        <x:v>EXCLUDED_ARCHETYPE</x:v>
      </x:c>
      <x:c r="H2370" t="str">
        <x:v>FCFF_NOT_COMPARABLE_FOR_FINANCE_OR_HOLDING_HINT</x:v>
      </x:c>
      <x:c r="I2370" s="54"/>
      <x:c r="J2370" s="55"/>
      <x:c r="K2370" s="55"/>
      <x:c r="L2370" s="55"/>
      <x:c r="M2370"/>
      <x:c r="N2370"/>
      <x:c r="O2370" s="54"/>
      <x:c r="P2370"/>
      <x:c r="Q2370"/>
      <x:c r="R2370"/>
      <x:c r="S2370"/>
      <x:c r="T2370"/>
      <x:c r="U2370" s="57"/>
      <x:c r="V2370" s="57"/>
      <x:c r="W2370"/>
      <x:c r="X2370"/>
      <x:c r="Y2370" s="38"/>
      <x:c r="Z2370" s="38"/>
      <x:c r="AA2370"/>
    </x:row>
    <x:row r="2371">
      <x:c r="A2371" s="54" t="n">
        <x:v>45291</x:v>
      </x:c>
      <x:c r="B2371" t="n">
        <x:v>45291.624999988424</x:v>
      </x:c>
      <x:c r="C2371" t="str">
        <x:v>220100</x:v>
      </x:c>
      <x:c r="D2371" t="str">
        <x:v>퓨쳐켐</x:v>
      </x:c>
      <x:c r="E2371" t="str">
        <x:v>KOSDAQ</x:v>
      </x:c>
      <x:c r="F2371" t="str">
        <x:v>LARGE</x:v>
      </x:c>
      <x:c r="G2371" t="str">
        <x:v>DCF_SCREENING_EXCLUSION</x:v>
      </x:c>
      <x:c r="H2371" t="str">
        <x:v>NON_POSITIVE_ENTERPRISE_VALUE|NON_POSITIVE_EQUITY_VALUE|NON_POSITIVE_TERMINAL_FCF</x:v>
      </x:c>
      <x:c r="I2371" s="54" t="n">
        <x:v>45288</x:v>
      </x:c>
      <x:c r="J2371" s="55" t="n">
        <x:v>10550</x:v>
      </x:c>
      <x:c r="K2371" s="55" t="n">
        <x:v>233177735250</x:v>
      </x:c>
      <x:c r="L2371" s="55" t="n">
        <x:v>22102155</x:v>
      </x:c>
      <x:c r="M2371" t="str">
        <x:v>20231201000096</x:v>
      </x:c>
      <x:c r="N2371" t="n">
        <x:v>45261.624999988424</x:v>
      </x:c>
      <x:c r="O2371" s="54" t="n">
        <x:v>44926</x:v>
      </x:c>
      <x:c r="P2371" t="str">
        <x:v>True</x:v>
      </x:c>
      <x:c r="Q2371" t="str">
        <x:v>5c7a14f62a630916badba9d8e8d5df5b7e92a92911e34a22a761ded63f8a916d</x:v>
      </x:c>
      <x:c r="R2371" t="str">
        <x:v>e18a041f9a38eb4e542eef7577f86fa95daf6b341a32cab72ae3776c695800ad</x:v>
      </x:c>
      <x:c r="S2371" t="n">
        <x:v>5</x:v>
      </x:c>
      <x:c r="T2371" t="str">
        <x:v>2018-12-31|2019-12-31|2020-12-31|2021-12-31|2022-12-31</x:v>
      </x:c>
      <x:c r="U2371" s="57" t="n">
        <x:v>-1905.7420247249058</x:v>
      </x:c>
      <x:c r="V2371" s="57" t="n">
        <x:v>-1.1806390544762944</x:v>
      </x:c>
      <x:c r="W2371"/>
      <x:c r="X2371"/>
      <x:c r="Y2371" s="38" t="n">
        <x:v>0.6409090909090909</x:v>
      </x:c>
      <x:c r="Z2371" s="38" t="n">
        <x:v>0.71127269721301</x:v>
      </x:c>
      <x:c r="AA2371" t="str">
        <x:v>NON_POSITIVE_ENTERPRISE_VALUE|NON_POSITIVE_EQUITY_VALUE|NON_POSITIVE_TERMINAL_FCF</x:v>
      </x:c>
    </x:row>
    <x:row r="2372">
      <x:c r="A2372" s="54" t="n">
        <x:v>45291</x:v>
      </x:c>
      <x:c r="B2372" t="n">
        <x:v>45291.624999988424</x:v>
      </x:c>
      <x:c r="C2372" t="str">
        <x:v>416180</x:v>
      </x:c>
      <x:c r="D2372" t="str">
        <x:v>신성에스티</x:v>
      </x:c>
      <x:c r="E2372" t="str">
        <x:v>KOSDAQ</x:v>
      </x:c>
      <x:c r="F2372" t="str">
        <x:v>LARGE</x:v>
      </x:c>
      <x:c r="G2372" t="str">
        <x:v>NO_PIT_FINANCIALS</x:v>
      </x:c>
      <x:c r="H2372"/>
      <x:c r="I2372" s="54" t="n">
        <x:v>45288</x:v>
      </x:c>
      <x:c r="J2372" s="55" t="n">
        <x:v>24250</x:v>
      </x:c>
      <x:c r="K2372" s="55" t="n">
        <x:v>219214616500</x:v>
      </x:c>
      <x:c r="L2372" s="55" t="n">
        <x:v>9039778</x:v>
      </x:c>
      <x:c r="M2372"/>
      <x:c r="N2372"/>
      <x:c r="O2372" s="54"/>
      <x:c r="P2372"/>
      <x:c r="Q2372"/>
      <x:c r="R2372"/>
      <x:c r="S2372"/>
      <x:c r="T2372"/>
      <x:c r="U2372" s="57"/>
      <x:c r="V2372" s="57"/>
      <x:c r="W2372"/>
      <x:c r="X2372"/>
      <x:c r="Y2372" s="38"/>
      <x:c r="Z2372" s="38"/>
      <x:c r="AA2372"/>
    </x:row>
    <x:row r="2373">
      <x:c r="A2373" s="54" t="n">
        <x:v>45291</x:v>
      </x:c>
      <x:c r="B2373" t="n">
        <x:v>45291.624999988424</x:v>
      </x:c>
      <x:c r="C2373" t="str">
        <x:v>082800</x:v>
      </x:c>
      <x:c r="D2373" t="str">
        <x:v>비보존제약</x:v>
      </x:c>
      <x:c r="E2373" t="str">
        <x:v>KOSDAQ</x:v>
      </x:c>
      <x:c r="F2373" t="str">
        <x:v>LARGE</x:v>
      </x:c>
      <x:c r="G2373" t="str">
        <x:v>DCF_SCREENING_EXCLUSION</x:v>
      </x:c>
      <x:c r="H2373" t="str">
        <x:v>NON_POSITIVE_ENTERPRISE_VALUE|NON_POSITIVE_EQUITY_VALUE|NON_POSITIVE_TERMINAL_FCF</x:v>
      </x:c>
      <x:c r="I2373" s="54" t="n">
        <x:v>45288</x:v>
      </x:c>
      <x:c r="J2373" s="55" t="n">
        <x:v>3000</x:v>
      </x:c>
      <x:c r="K2373" s="55" t="n">
        <x:v>144635145000</x:v>
      </x:c>
      <x:c r="L2373" s="55" t="n">
        <x:v>48211715</x:v>
      </x:c>
      <x:c r="M2373" t="str">
        <x:v>20230728000019</x:v>
      </x:c>
      <x:c r="N2373" t="n">
        <x:v>45135.624999988424</x:v>
      </x:c>
      <x:c r="O2373" s="54" t="n">
        <x:v>44926</x:v>
      </x:c>
      <x:c r="P2373" t="str">
        <x:v>True</x:v>
      </x:c>
      <x:c r="Q2373" t="str">
        <x:v>9441247efcb40f5059e0fe56d23a72d4e6e9cc139733e0595dae19c1c0a48c6d</x:v>
      </x:c>
      <x:c r="R2373" t="str">
        <x:v>d7078be3a6ce13bca825721f5f46e1f3d57dfdefd55217a766d4a46b1670ecca</x:v>
      </x:c>
      <x:c r="S2373" t="n">
        <x:v>7</x:v>
      </x:c>
      <x:c r="T2373" t="str">
        <x:v>2018-12-31|2019-12-31|2020-12-31|2021-12-31|2022-12-31</x:v>
      </x:c>
      <x:c r="U2373" s="57" t="n">
        <x:v>-5305.032840668707</x:v>
      </x:c>
      <x:c r="V2373" s="57" t="n">
        <x:v>-2.768344280222902</x:v>
      </x:c>
      <x:c r="W2373"/>
      <x:c r="X2373"/>
      <x:c r="Y2373" s="38" t="n">
        <x:v>0.6409090909090909</x:v>
      </x:c>
      <x:c r="Z2373" s="38" t="n">
        <x:v>0.7001447440711783</x:v>
      </x:c>
      <x:c r="AA2373" t="str">
        <x:v>NON_POSITIVE_ENTERPRISE_VALUE|NON_POSITIVE_EQUITY_VALUE|NON_POSITIVE_TERMINAL_FCF</x:v>
      </x:c>
    </x:row>
    <x:row r="2374">
      <x:c r="A2374" s="54" t="n">
        <x:v>45291</x:v>
      </x:c>
      <x:c r="B2374" t="n">
        <x:v>45291.624999988424</x:v>
      </x:c>
      <x:c r="C2374" t="str">
        <x:v>204620</x:v>
      </x:c>
      <x:c r="D2374" t="str">
        <x:v>글로벌텍스프리</x:v>
      </x:c>
      <x:c r="E2374" t="str">
        <x:v>KOSDAQ</x:v>
      </x:c>
      <x:c r="F2374" t="str">
        <x:v>LARGE</x:v>
      </x:c>
      <x:c r="G2374" t="str">
        <x:v>DCF_SCREENING_EXCLUSION</x:v>
      </x:c>
      <x:c r="H2374" t="str">
        <x:v>NON_POSITIVE_ENTERPRISE_VALUE|NON_POSITIVE_TERMINAL_FCF</x:v>
      </x:c>
      <x:c r="I2374" s="54" t="n">
        <x:v>45288</x:v>
      </x:c>
      <x:c r="J2374" s="55" t="n">
        <x:v>4950</x:v>
      </x:c>
      <x:c r="K2374" s="55" t="n">
        <x:v>277433189550</x:v>
      </x:c>
      <x:c r="L2374" s="55" t="n">
        <x:v>56047109</x:v>
      </x:c>
      <x:c r="M2374" t="str">
        <x:v>20230323001090</x:v>
      </x:c>
      <x:c r="N2374" t="n">
        <x:v>45008.624999988424</x:v>
      </x:c>
      <x:c r="O2374" s="54" t="n">
        <x:v>44926</x:v>
      </x:c>
      <x:c r="P2374" t="str">
        <x:v>False</x:v>
      </x:c>
      <x:c r="Q2374" t="str">
        <x:v>3ec95d2ebe9fca319c0986b7bead3941ac9505f4f62a24cf138d1287a6a6cc0a</x:v>
      </x:c>
      <x:c r="R2374" t="str">
        <x:v>92f5112f4f8c2ba9c3ff7f14625986b8716d92099e4ee1715fb8a21915a1fb2b</x:v>
      </x:c>
      <x:c r="S2374" t="n">
        <x:v>7</x:v>
      </x:c>
      <x:c r="T2374" t="str">
        <x:v>2018-12-31|2019-12-31|2020-12-31|2021-12-31|2022-12-31</x:v>
      </x:c>
      <x:c r="U2374" s="57" t="n">
        <x:v>269.4268020993013</x:v>
      </x:c>
      <x:c r="V2374" s="57" t="n">
        <x:v>-0.9455703430102421</x:v>
      </x:c>
      <x:c r="W2374"/>
      <x:c r="X2374"/>
      <x:c r="Y2374" s="38" t="n">
        <x:v>0.6409090909090909</x:v>
      </x:c>
      <x:c r="Z2374" s="38" t="n">
        <x:v>0.6756613006844315</x:v>
      </x:c>
      <x:c r="AA2374" t="str">
        <x:v>NON_POSITIVE_ENTERPRISE_VALUE|NON_POSITIVE_TERMINAL_FCF</x:v>
      </x:c>
    </x:row>
    <x:row r="2375">
      <x:c r="A2375" s="54" t="n">
        <x:v>45291</x:v>
      </x:c>
      <x:c r="B2375" t="n">
        <x:v>45291.624999988424</x:v>
      </x:c>
      <x:c r="C2375" t="str">
        <x:v>445090</x:v>
      </x:c>
      <x:c r="D2375" t="str">
        <x:v>에이직랜드</x:v>
      </x:c>
      <x:c r="E2375" t="str">
        <x:v>KOSDAQ</x:v>
      </x:c>
      <x:c r="F2375" t="str">
        <x:v>LARGE</x:v>
      </x:c>
      <x:c r="G2375" t="str">
        <x:v>NO_PIT_FINANCIALS</x:v>
      </x:c>
      <x:c r="H2375"/>
      <x:c r="I2375" s="54" t="n">
        <x:v>45288</x:v>
      </x:c>
      <x:c r="J2375" s="55" t="n">
        <x:v>59200</x:v>
      </x:c>
      <x:c r="K2375" s="55" t="n">
        <x:v>632161516800</x:v>
      </x:c>
      <x:c r="L2375" s="55" t="n">
        <x:v>10678404</x:v>
      </x:c>
      <x:c r="M2375"/>
      <x:c r="N2375"/>
      <x:c r="O2375" s="54"/>
      <x:c r="P2375"/>
      <x:c r="Q2375"/>
      <x:c r="R2375"/>
      <x:c r="S2375"/>
      <x:c r="T2375"/>
      <x:c r="U2375" s="57"/>
      <x:c r="V2375" s="57"/>
      <x:c r="W2375"/>
      <x:c r="X2375"/>
      <x:c r="Y2375" s="38"/>
      <x:c r="Z2375" s="38"/>
      <x:c r="AA2375"/>
    </x:row>
    <x:row r="2376">
      <x:c r="A2376" s="54" t="n">
        <x:v>45291</x:v>
      </x:c>
      <x:c r="B2376" t="n">
        <x:v>45291.624999988424</x:v>
      </x:c>
      <x:c r="C2376" t="str">
        <x:v>115450</x:v>
      </x:c>
      <x:c r="D2376" t="str">
        <x:v>HLB테라퓨틱스</x:v>
      </x:c>
      <x:c r="E2376" t="str">
        <x:v>KOSDAQ</x:v>
      </x:c>
      <x:c r="F2376" t="str">
        <x:v>LARGE</x:v>
      </x:c>
      <x:c r="G2376" t="str">
        <x:v>DCF_SCREENING_EXCLUSION</x:v>
      </x:c>
      <x:c r="H2376" t="str">
        <x:v>NON_POSITIVE_ENTERPRISE_VALUE|NON_POSITIVE_EQUITY_VALUE|NON_POSITIVE_TERMINAL_FCF</x:v>
      </x:c>
      <x:c r="I2376" s="54" t="n">
        <x:v>45288</x:v>
      </x:c>
      <x:c r="J2376" s="55" t="n">
        <x:v>4385</x:v>
      </x:c>
      <x:c r="K2376" s="55" t="n">
        <x:v>321573216395</x:v>
      </x:c>
      <x:c r="L2376" s="55" t="n">
        <x:v>73334827</x:v>
      </x:c>
      <x:c r="M2376" t="str">
        <x:v>20230320000967</x:v>
      </x:c>
      <x:c r="N2376" t="n">
        <x:v>45005.624999988424</x:v>
      </x:c>
      <x:c r="O2376" s="54" t="n">
        <x:v>44926</x:v>
      </x:c>
      <x:c r="P2376" t="str">
        <x:v>False</x:v>
      </x:c>
      <x:c r="Q2376" t="str">
        <x:v>43c5581a84ff782cb63aa1b77c3733defee328c638dfc4028f3f09e0f4ea871c</x:v>
      </x:c>
      <x:c r="R2376" t="str">
        <x:v>097a8615af1a7c06ecd02ca9150f146d7b07109487f1f952d6ab4959fca8168e</x:v>
      </x:c>
      <x:c r="S2376" t="n">
        <x:v>6</x:v>
      </x:c>
      <x:c r="T2376" t="str">
        <x:v>2018-12-31|2019-12-31|2020-12-31|2021-12-31|2022-12-31</x:v>
      </x:c>
      <x:c r="U2376" s="57" t="n">
        <x:v>-1634.1753464903513</x:v>
      </x:c>
      <x:c r="V2376" s="57" t="n">
        <x:v>-1.3726739672726</x:v>
      </x:c>
      <x:c r="W2376"/>
      <x:c r="X2376"/>
      <x:c r="Y2376" s="38" t="n">
        <x:v>0.6409090909090909</x:v>
      </x:c>
      <x:c r="Z2376" s="38" t="n">
        <x:v>0.7057538470399946</x:v>
      </x:c>
      <x:c r="AA2376" t="str">
        <x:v>NON_POSITIVE_ENTERPRISE_VALUE|NON_POSITIVE_EQUITY_VALUE|NON_POSITIVE_TERMINAL_FCF</x:v>
      </x:c>
    </x:row>
    <x:row r="2377">
      <x:c r="A2377" s="54" t="n">
        <x:v>45291</x:v>
      </x:c>
      <x:c r="B2377" t="n">
        <x:v>45291.624999988424</x:v>
      </x:c>
      <x:c r="C2377" t="str">
        <x:v>035420</x:v>
      </x:c>
      <x:c r="D2377" t="str">
        <x:v>NAVER</x:v>
      </x:c>
      <x:c r="E2377" t="str">
        <x:v>KOSPI</x:v>
      </x:c>
      <x:c r="F2377" t="str">
        <x:v>LARGE</x:v>
      </x:c>
      <x:c r="G2377" t="str">
        <x:v>ELIGIBLE</x:v>
      </x:c>
      <x:c r="H2377"/>
      <x:c r="I2377" s="54" t="n">
        <x:v>45288</x:v>
      </x:c>
      <x:c r="J2377" s="55" t="n">
        <x:v>224000</x:v>
      </x:c>
      <x:c r="K2377" s="55" t="n">
        <x:v>36379525056000</x:v>
      </x:c>
      <x:c r="L2377" s="55" t="n">
        <x:v>162408594</x:v>
      </x:c>
      <x:c r="M2377" t="str">
        <x:v>20230314001049</x:v>
      </x:c>
      <x:c r="N2377" t="n">
        <x:v>44999.624999988424</x:v>
      </x:c>
      <x:c r="O2377" s="54" t="n">
        <x:v>44926</x:v>
      </x:c>
      <x:c r="P2377" t="str">
        <x:v>False</x:v>
      </x:c>
      <x:c r="Q2377" t="str">
        <x:v>fc1ed41d4fc38278f26529d9a3d8cba8cd6ea9d8f903f6e93c018269280cc70f</x:v>
      </x:c>
      <x:c r="R2377" t="str">
        <x:v>3d165e6cc6c8fdaa49338afbad87f1bd4bc43eadb4a29de48fa6421d0cb02ca0</x:v>
      </x:c>
      <x:c r="S2377" t="n">
        <x:v>6</x:v>
      </x:c>
      <x:c r="T2377" t="str">
        <x:v>2018-12-31|2019-12-31|2020-12-31|2021-12-31|2022-12-31</x:v>
      </x:c>
      <x:c r="U2377" s="57" t="n">
        <x:v>90011.2741846918</x:v>
      </x:c>
      <x:c r="V2377" s="57" t="n">
        <x:v>-0.5981639545326258</x:v>
      </x:c>
      <x:c r="W2377" t="n">
        <x:v>48</x:v>
      </x:c>
      <x:c r="X2377" t="n">
        <x:v>4</x:v>
      </x:c>
      <x:c r="Y2377" s="38" t="n">
        <x:v>0.6409090909090909</x:v>
      </x:c>
      <x:c r="Z2377" s="38" t="n">
        <x:v>0.7279878466368126</x:v>
      </x:c>
      <x:c r="AA2377"/>
    </x:row>
    <x:row r="2378">
      <x:c r="A2378" s="54" t="n">
        <x:v>45291</x:v>
      </x:c>
      <x:c r="B2378" t="n">
        <x:v>45291.624999988424</x:v>
      </x:c>
      <x:c r="C2378" t="str">
        <x:v>030200</x:v>
      </x:c>
      <x:c r="D2378" t="str">
        <x:v>KT</x:v>
      </x:c>
      <x:c r="E2378" t="str">
        <x:v>KOSPI</x:v>
      </x:c>
      <x:c r="F2378" t="str">
        <x:v>LARGE</x:v>
      </x:c>
      <x:c r="G2378" t="str">
        <x:v>ELIGIBLE</x:v>
      </x:c>
      <x:c r="H2378"/>
      <x:c r="I2378" s="54" t="n">
        <x:v>45288</x:v>
      </x:c>
      <x:c r="J2378" s="55" t="n">
        <x:v>34400</x:v>
      </x:c>
      <x:c r="K2378" s="55" t="n">
        <x:v>8870410144000</x:v>
      </x:c>
      <x:c r="L2378" s="55" t="n">
        <x:v>257860760</x:v>
      </x:c>
      <x:c r="M2378" t="str">
        <x:v>20230323001449</x:v>
      </x:c>
      <x:c r="N2378" t="n">
        <x:v>45008.624999988424</x:v>
      </x:c>
      <x:c r="O2378" s="54" t="n">
        <x:v>44926</x:v>
      </x:c>
      <x:c r="P2378" t="str">
        <x:v>False</x:v>
      </x:c>
      <x:c r="Q2378" t="str">
        <x:v>044f2849ec1d04bd36d5ed48f040e70c583ee294c9e797bbe2e14dddb88b758c</x:v>
      </x:c>
      <x:c r="R2378" t="str">
        <x:v>59fdbb73f815bf3eefdbccd654c56048e5d9d74e941b63292c3ca1c415ceece8</x:v>
      </x:c>
      <x:c r="S2378" t="n">
        <x:v>6</x:v>
      </x:c>
      <x:c r="T2378" t="str">
        <x:v>2018-12-31|2019-12-31|2020-12-31|2021-12-31|2022-12-31</x:v>
      </x:c>
      <x:c r="U2378" s="57" t="n">
        <x:v>52378.408486256165</x:v>
      </x:c>
      <x:c r="V2378" s="57" t="n">
        <x:v>0.5226281536702373</x:v>
      </x:c>
      <x:c r="W2378" t="n">
        <x:v>15</x:v>
      </x:c>
      <x:c r="X2378" t="n">
        <x:v>2</x:v>
      </x:c>
      <x:c r="Y2378" s="38" t="n">
        <x:v>0.6409090909090909</x:v>
      </x:c>
      <x:c r="Z2378" s="38" t="n">
        <x:v>0.6742753945181887</x:v>
      </x:c>
      <x:c r="AA2378"/>
    </x:row>
    <x:row r="2379">
      <x:c r="A2379" s="54" t="n">
        <x:v>45291</x:v>
      </x:c>
      <x:c r="B2379" t="n">
        <x:v>45291.624999988424</x:v>
      </x:c>
      <x:c r="C2379" t="str">
        <x:v>018260</x:v>
      </x:c>
      <x:c r="D2379" t="str">
        <x:v>삼성에스디에스</x:v>
      </x:c>
      <x:c r="E2379" t="str">
        <x:v>KOSPI</x:v>
      </x:c>
      <x:c r="F2379" t="str">
        <x:v>LARGE</x:v>
      </x:c>
      <x:c r="G2379" t="str">
        <x:v>ELIGIBLE</x:v>
      </x:c>
      <x:c r="H2379"/>
      <x:c r="I2379" s="54" t="n">
        <x:v>45288</x:v>
      </x:c>
      <x:c r="J2379" s="55" t="n">
        <x:v>170000</x:v>
      </x:c>
      <x:c r="K2379" s="55" t="n">
        <x:v>13154226000000</x:v>
      </x:c>
      <x:c r="L2379" s="55" t="n">
        <x:v>77377800</x:v>
      </x:c>
      <x:c r="M2379" t="str">
        <x:v>20230307000606</x:v>
      </x:c>
      <x:c r="N2379" t="n">
        <x:v>44992.624999988424</x:v>
      </x:c>
      <x:c r="O2379" s="54" t="n">
        <x:v>44926</x:v>
      </x:c>
      <x:c r="P2379" t="str">
        <x:v>False</x:v>
      </x:c>
      <x:c r="Q2379" t="str">
        <x:v>64f48f5dc4db2a5a6c8ec62f6705c13326df4d2e701965db8b07c8fef246a2dc</x:v>
      </x:c>
      <x:c r="R2379" t="str">
        <x:v>f72238505a70cc0304f142443e7c469fd8f851e9f0178ce5f2b070e999040cd9</x:v>
      </x:c>
      <x:c r="S2379" t="n">
        <x:v>6</x:v>
      </x:c>
      <x:c r="T2379" t="str">
        <x:v>2018-12-31|2019-12-31|2020-12-31|2021-12-31|2022-12-31</x:v>
      </x:c>
      <x:c r="U2379" s="57" t="n">
        <x:v>203958.71563335948</x:v>
      </x:c>
      <x:c r="V2379" s="57" t="n">
        <x:v>0.19975715078446754</x:v>
      </x:c>
      <x:c r="W2379" t="n">
        <x:v>24</x:v>
      </x:c>
      <x:c r="X2379" t="n">
        <x:v>2</x:v>
      </x:c>
      <x:c r="Y2379" s="38" t="n">
        <x:v>0.6409090909090909</x:v>
      </x:c>
      <x:c r="Z2379" s="38" t="n">
        <x:v>0.7570259880761849</x:v>
      </x:c>
      <x:c r="AA2379"/>
    </x:row>
    <x:row r="2380">
      <x:c r="A2380" s="54" t="n">
        <x:v>45291</x:v>
      </x:c>
      <x:c r="B2380" t="n">
        <x:v>45291.624999988424</x:v>
      </x:c>
      <x:c r="C2380" t="str">
        <x:v>090430</x:v>
      </x:c>
      <x:c r="D2380" t="str">
        <x:v>아모레퍼시픽</x:v>
      </x:c>
      <x:c r="E2380" t="str">
        <x:v>KOSPI</x:v>
      </x:c>
      <x:c r="F2380" t="str">
        <x:v>LARGE</x:v>
      </x:c>
      <x:c r="G2380" t="str">
        <x:v>ELIGIBLE</x:v>
      </x:c>
      <x:c r="H2380"/>
      <x:c r="I2380" s="54" t="n">
        <x:v>45288</x:v>
      </x:c>
      <x:c r="J2380" s="55" t="n">
        <x:v>145000</x:v>
      </x:c>
      <x:c r="K2380" s="55" t="n">
        <x:v>8481450055000</x:v>
      </x:c>
      <x:c r="L2380" s="55" t="n">
        <x:v>58492759</x:v>
      </x:c>
      <x:c r="M2380" t="str">
        <x:v>20230309000802</x:v>
      </x:c>
      <x:c r="N2380" t="n">
        <x:v>44994.624999988424</x:v>
      </x:c>
      <x:c r="O2380" s="54" t="n">
        <x:v>44926</x:v>
      </x:c>
      <x:c r="P2380" t="str">
        <x:v>False</x:v>
      </x:c>
      <x:c r="Q2380" t="str">
        <x:v>d6b5343ded45a0ed3298fbb883de270c52464aa84e6334b3918e7aeca0ab6d2c</x:v>
      </x:c>
      <x:c r="R2380" t="str">
        <x:v>e168759bcf1a4f13c49c3a66ce21aa55fdb69f49dd3eb886f3afa090ca1b0a33</x:v>
      </x:c>
      <x:c r="S2380" t="n">
        <x:v>6</x:v>
      </x:c>
      <x:c r="T2380" t="str">
        <x:v>2018-12-31|2019-12-31|2020-12-31|2021-12-31|2022-12-31</x:v>
      </x:c>
      <x:c r="U2380" s="57" t="n">
        <x:v>31271.886517952382</x:v>
      </x:c>
      <x:c r="V2380" s="57" t="n">
        <x:v>-0.7843318171175697</x:v>
      </x:c>
      <x:c r="W2380" t="n">
        <x:v>61</x:v>
      </x:c>
      <x:c r="X2380" t="n">
        <x:v>5</x:v>
      </x:c>
      <x:c r="Y2380" s="38" t="n">
        <x:v>0.6409090909090909</x:v>
      </x:c>
      <x:c r="Z2380" s="38" t="n">
        <x:v>0.7230246318925964</x:v>
      </x:c>
      <x:c r="AA2380"/>
    </x:row>
    <x:row r="2381">
      <x:c r="A2381" s="54" t="n">
        <x:v>45291</x:v>
      </x:c>
      <x:c r="B2381" t="n">
        <x:v>45291.624999988424</x:v>
      </x:c>
      <x:c r="C2381" t="str">
        <x:v>278470</x:v>
      </x:c>
      <x:c r="D2381" t="str">
        <x:v>에이피알</x:v>
      </x:c>
      <x:c r="E2381" t="str">
        <x:v>KOSPI</x:v>
      </x:c>
      <x:c r="F2381" t="str">
        <x:v>LARGE</x:v>
      </x:c>
      <x:c r="G2381" t="str">
        <x:v>NOT_LISTED_OR_NO_PRICE</x:v>
      </x:c>
      <x:c r="H2381"/>
      <x:c r="I2381" s="54"/>
      <x:c r="J2381" s="55"/>
      <x:c r="K2381" s="55"/>
      <x:c r="L2381" s="55"/>
      <x:c r="M2381"/>
      <x:c r="N2381"/>
      <x:c r="O2381" s="54"/>
      <x:c r="P2381"/>
      <x:c r="Q2381"/>
      <x:c r="R2381"/>
      <x:c r="S2381"/>
      <x:c r="T2381"/>
      <x:c r="U2381" s="57"/>
      <x:c r="V2381" s="57"/>
      <x:c r="W2381"/>
      <x:c r="X2381"/>
      <x:c r="Y2381" s="38"/>
      <x:c r="Z2381" s="38"/>
      <x:c r="AA2381"/>
    </x:row>
    <x:row r="2382">
      <x:c r="A2382" s="54" t="n">
        <x:v>45291</x:v>
      </x:c>
      <x:c r="B2382" t="n">
        <x:v>45291.624999988424</x:v>
      </x:c>
      <x:c r="C2382" t="str">
        <x:v>006260</x:v>
      </x:c>
      <x:c r="D2382" t="str">
        <x:v>LS</x:v>
      </x:c>
      <x:c r="E2382" t="str">
        <x:v>KOSPI</x:v>
      </x:c>
      <x:c r="F2382" t="str">
        <x:v>LARGE</x:v>
      </x:c>
      <x:c r="G2382" t="str">
        <x:v>ELIGIBLE</x:v>
      </x:c>
      <x:c r="H2382"/>
      <x:c r="I2382" s="54" t="n">
        <x:v>45288</x:v>
      </x:c>
      <x:c r="J2382" s="55" t="n">
        <x:v>93200</x:v>
      </x:c>
      <x:c r="K2382" s="55" t="n">
        <x:v>3001040000000</x:v>
      </x:c>
      <x:c r="L2382" s="55" t="n">
        <x:v>32200000</x:v>
      </x:c>
      <x:c r="M2382" t="str">
        <x:v>20230328001040</x:v>
      </x:c>
      <x:c r="N2382" t="n">
        <x:v>45013.624999988424</x:v>
      </x:c>
      <x:c r="O2382" s="54" t="n">
        <x:v>44926</x:v>
      </x:c>
      <x:c r="P2382" t="str">
        <x:v>True</x:v>
      </x:c>
      <x:c r="Q2382" t="str">
        <x:v>2c4903a558903f24909349b79c110c56cce7532e60a36029b95b0778a9705d3d</x:v>
      </x:c>
      <x:c r="R2382" t="str">
        <x:v>a6c68d2073430c99706b76a0100fe777df594ac87daaf851aff9b27330b79c3e</x:v>
      </x:c>
      <x:c r="S2382" t="n">
        <x:v>6</x:v>
      </x:c>
      <x:c r="T2382" t="str">
        <x:v>2017-12-31|2018-12-31|2019-12-31|2020-12-31|2021-12-31|2022-12-31</x:v>
      </x:c>
      <x:c r="U2382" s="57" t="n">
        <x:v>49400.48191858793</x:v>
      </x:c>
      <x:c r="V2382" s="57" t="n">
        <x:v>-0.46995191074476467</x:v>
      </x:c>
      <x:c r="W2382" t="n">
        <x:v>44</x:v>
      </x:c>
      <x:c r="X2382" t="n">
        <x:v>4</x:v>
      </x:c>
      <x:c r="Y2382" s="38" t="n">
        <x:v>0.6409090909090909</x:v>
      </x:c>
      <x:c r="Z2382" s="38" t="n">
        <x:v>0.7624837205709267</x:v>
      </x:c>
      <x:c r="AA2382"/>
    </x:row>
    <x:row r="2383">
      <x:c r="A2383" s="54" t="n">
        <x:v>45291</x:v>
      </x:c>
      <x:c r="B2383" t="n">
        <x:v>45291.624999988424</x:v>
      </x:c>
      <x:c r="C2383" t="str">
        <x:v>454910</x:v>
      </x:c>
      <x:c r="D2383" t="str">
        <x:v>두산로보틱스</x:v>
      </x:c>
      <x:c r="E2383" t="str">
        <x:v>KOSPI</x:v>
      </x:c>
      <x:c r="F2383" t="str">
        <x:v>LARGE</x:v>
      </x:c>
      <x:c r="G2383" t="str">
        <x:v>NO_PIT_FINANCIALS</x:v>
      </x:c>
      <x:c r="H2383"/>
      <x:c r="I2383" s="54" t="n">
        <x:v>45288</x:v>
      </x:c>
      <x:c r="J2383" s="55" t="n">
        <x:v>116100</x:v>
      </x:c>
      <x:c r="K2383" s="55" t="n">
        <x:v>7525599678000</x:v>
      </x:c>
      <x:c r="L2383" s="55" t="n">
        <x:v>64819980</x:v>
      </x:c>
      <x:c r="M2383"/>
      <x:c r="N2383"/>
      <x:c r="O2383" s="54"/>
      <x:c r="P2383"/>
      <x:c r="Q2383"/>
      <x:c r="R2383"/>
      <x:c r="S2383"/>
      <x:c r="T2383"/>
      <x:c r="U2383" s="57"/>
      <x:c r="V2383" s="57"/>
      <x:c r="W2383"/>
      <x:c r="X2383"/>
      <x:c r="Y2383" s="38"/>
      <x:c r="Z2383" s="38"/>
      <x:c r="AA2383"/>
    </x:row>
    <x:row r="2384">
      <x:c r="A2384" s="54" t="n">
        <x:v>45291</x:v>
      </x:c>
      <x:c r="B2384" t="n">
        <x:v>45291.624999988424</x:v>
      </x:c>
      <x:c r="C2384" t="str">
        <x:v>012750</x:v>
      </x:c>
      <x:c r="D2384" t="str">
        <x:v>에스원</x:v>
      </x:c>
      <x:c r="E2384" t="str">
        <x:v>KOSPI</x:v>
      </x:c>
      <x:c r="F2384" t="str">
        <x:v>LARGE</x:v>
      </x:c>
      <x:c r="G2384" t="str">
        <x:v>ELIGIBLE</x:v>
      </x:c>
      <x:c r="H2384"/>
      <x:c r="I2384" s="54" t="n">
        <x:v>45288</x:v>
      </x:c>
      <x:c r="J2384" s="55" t="n">
        <x:v>60000</x:v>
      </x:c>
      <x:c r="K2384" s="55" t="n">
        <x:v>2279950680000</x:v>
      </x:c>
      <x:c r="L2384" s="55" t="n">
        <x:v>37999178</x:v>
      </x:c>
      <x:c r="M2384" t="str">
        <x:v>20230307000691</x:v>
      </x:c>
      <x:c r="N2384" t="n">
        <x:v>44992.624999988424</x:v>
      </x:c>
      <x:c r="O2384" s="54" t="n">
        <x:v>44926</x:v>
      </x:c>
      <x:c r="P2384" t="str">
        <x:v>False</x:v>
      </x:c>
      <x:c r="Q2384" t="str">
        <x:v>692fe957e6126787948d2eba7f313adcccbc5912515ff301764369c6d68d027a</x:v>
      </x:c>
      <x:c r="R2384" t="str">
        <x:v>e45d058dc9691180d1bb7d7114ec52a51d42759bd68e49625f812715c828d7ff</x:v>
      </x:c>
      <x:c r="S2384" t="n">
        <x:v>6</x:v>
      </x:c>
      <x:c r="T2384" t="str">
        <x:v>2018-12-31|2019-12-31|2020-12-31|2021-12-31|2022-12-31</x:v>
      </x:c>
      <x:c r="U2384" s="57" t="n">
        <x:v>52495.34633590365</x:v>
      </x:c>
      <x:c r="V2384" s="57" t="n">
        <x:v>-0.12507756106827256</x:v>
      </x:c>
      <x:c r="W2384" t="n">
        <x:v>29</x:v>
      </x:c>
      <x:c r="X2384" t="n">
        <x:v>3</x:v>
      </x:c>
      <x:c r="Y2384" s="38" t="n">
        <x:v>0.6409090909090909</x:v>
      </x:c>
      <x:c r="Z2384" s="38" t="n">
        <x:v>0.7199494637119179</x:v>
      </x:c>
      <x:c r="AA2384"/>
    </x:row>
    <x:row r="2385">
      <x:c r="A2385" s="54" t="n">
        <x:v>45291</x:v>
      </x:c>
      <x:c r="B2385" t="n">
        <x:v>45291.624999988424</x:v>
      </x:c>
      <x:c r="C2385" t="str">
        <x:v>081660</x:v>
      </x:c>
      <x:c r="D2385" t="str">
        <x:v>미스토홀딩스</x:v>
      </x:c>
      <x:c r="E2385" t="str">
        <x:v>KOSPI</x:v>
      </x:c>
      <x:c r="F2385" t="str">
        <x:v>LARGE</x:v>
      </x:c>
      <x:c r="G2385" t="str">
        <x:v>EXCLUDED_ARCHETYPE</x:v>
      </x:c>
      <x:c r="H2385" t="str">
        <x:v>FCFF_NOT_COMPARABLE_FOR_FINANCE_OR_HOLDING_HINT</x:v>
      </x:c>
      <x:c r="I2385" s="54"/>
      <x:c r="J2385" s="55"/>
      <x:c r="K2385" s="55"/>
      <x:c r="L2385" s="55"/>
      <x:c r="M2385"/>
      <x:c r="N2385"/>
      <x:c r="O2385" s="54"/>
      <x:c r="P2385"/>
      <x:c r="Q2385"/>
      <x:c r="R2385"/>
      <x:c r="S2385"/>
      <x:c r="T2385"/>
      <x:c r="U2385" s="57"/>
      <x:c r="V2385" s="57"/>
      <x:c r="W2385"/>
      <x:c r="X2385"/>
      <x:c r="Y2385" s="38"/>
      <x:c r="Z2385" s="38"/>
      <x:c r="AA2385"/>
    </x:row>
    <x:row r="2386">
      <x:c r="A2386" s="54" t="n">
        <x:v>45291</x:v>
      </x:c>
      <x:c r="B2386" t="n">
        <x:v>45291.624999988424</x:v>
      </x:c>
      <x:c r="C2386" t="str">
        <x:v>282330</x:v>
      </x:c>
      <x:c r="D2386" t="str">
        <x:v>BGF리테일</x:v>
      </x:c>
      <x:c r="E2386" t="str">
        <x:v>KOSPI</x:v>
      </x:c>
      <x:c r="F2386" t="str">
        <x:v>LARGE</x:v>
      </x:c>
      <x:c r="G2386" t="str">
        <x:v>ELIGIBLE</x:v>
      </x:c>
      <x:c r="H2386"/>
      <x:c r="I2386" s="54" t="n">
        <x:v>45288</x:v>
      </x:c>
      <x:c r="J2386" s="55" t="n">
        <x:v>131300</x:v>
      </x:c>
      <x:c r="K2386" s="55" t="n">
        <x:v>2269376857800</x:v>
      </x:c>
      <x:c r="L2386" s="55" t="n">
        <x:v>17283906</x:v>
      </x:c>
      <x:c r="M2386" t="str">
        <x:v>20230320000886</x:v>
      </x:c>
      <x:c r="N2386" t="n">
        <x:v>45005.624999988424</x:v>
      </x:c>
      <x:c r="O2386" s="54" t="n">
        <x:v>44926</x:v>
      </x:c>
      <x:c r="P2386" t="str">
        <x:v>False</x:v>
      </x:c>
      <x:c r="Q2386" t="str">
        <x:v>92306acfdc30eed7e30ba47d2a8102d3b3e5a1df1837216303162f05ac868521</x:v>
      </x:c>
      <x:c r="R2386" t="str">
        <x:v>5d1419fc0c2ceb7a4ac8fbdc531e5d805f10edde74f547d123acd9092e75b90c</x:v>
      </x:c>
      <x:c r="S2386" t="n">
        <x:v>6</x:v>
      </x:c>
      <x:c r="T2386" t="str">
        <x:v>2018-12-31|2019-12-31|2020-12-31|2021-12-31|2022-12-31</x:v>
      </x:c>
      <x:c r="U2386" s="57" t="n">
        <x:v>123697.22461208185</x:v>
      </x:c>
      <x:c r="V2386" s="57" t="n">
        <x:v>-0.05790384910828758</x:v>
      </x:c>
      <x:c r="W2386" t="n">
        <x:v>26</x:v>
      </x:c>
      <x:c r="X2386" t="n">
        <x:v>2</x:v>
      </x:c>
      <x:c r="Y2386" s="38" t="n">
        <x:v>0.6409090909090909</x:v>
      </x:c>
      <x:c r="Z2386" s="38" t="n">
        <x:v>0.7049844647428032</x:v>
      </x:c>
      <x:c r="AA2386"/>
    </x:row>
    <x:row r="2387">
      <x:c r="A2387" s="54" t="n">
        <x:v>45291</x:v>
      </x:c>
      <x:c r="B2387" t="n">
        <x:v>45291.624999988424</x:v>
      </x:c>
      <x:c r="C2387" t="str">
        <x:v>023590</x:v>
      </x:c>
      <x:c r="D2387" t="str">
        <x:v>다우기술</x:v>
      </x:c>
      <x:c r="E2387" t="str">
        <x:v>KOSPI</x:v>
      </x:c>
      <x:c r="F2387" t="str">
        <x:v>LARGE</x:v>
      </x:c>
      <x:c r="G2387" t="str">
        <x:v>ELIGIBLE</x:v>
      </x:c>
      <x:c r="H2387"/>
      <x:c r="I2387" s="54" t="n">
        <x:v>45288</x:v>
      </x:c>
      <x:c r="J2387" s="55" t="n">
        <x:v>17890</x:v>
      </x:c>
      <x:c r="K2387" s="55" t="n">
        <x:v>802663778130</x:v>
      </x:c>
      <x:c r="L2387" s="55" t="n">
        <x:v>44866617</x:v>
      </x:c>
      <x:c r="M2387" t="str">
        <x:v>20230321001409</x:v>
      </x:c>
      <x:c r="N2387" t="n">
        <x:v>45006.624999988424</x:v>
      </x:c>
      <x:c r="O2387" s="54" t="n">
        <x:v>44926</x:v>
      </x:c>
      <x:c r="P2387" t="str">
        <x:v>False</x:v>
      </x:c>
      <x:c r="Q2387" t="str">
        <x:v>43f9011e13a6c1104f14f228418743de4a4f532e7fb65eb01013e548ec249b88</x:v>
      </x:c>
      <x:c r="R2387" t="str">
        <x:v>fd2c2d3ef3c201d1d36a6b87ac06dfad453770cb20a0e62775793f590facd783</x:v>
      </x:c>
      <x:c r="S2387" t="n">
        <x:v>7</x:v>
      </x:c>
      <x:c r="T2387" t="str">
        <x:v>2015-12-31|2016-12-31|2017-12-31|2018-12-31|2019-12-31|2020-12-31|2021-12-31|2022-12-31</x:v>
      </x:c>
      <x:c r="U2387" s="57" t="n">
        <x:v>159110.39953523592</x:v>
      </x:c>
      <x:c r="V2387" s="57" t="n">
        <x:v>7.893817749314472</x:v>
      </x:c>
      <x:c r="W2387" t="n">
        <x:v>3</x:v>
      </x:c>
      <x:c r="X2387" t="n">
        <x:v>1</x:v>
      </x:c>
      <x:c r="Y2387" s="38" t="n">
        <x:v>0.6409090909090909</x:v>
      </x:c>
      <x:c r="Z2387" s="38" t="n">
        <x:v>0.792819241127968</x:v>
      </x:c>
      <x:c r="AA2387"/>
    </x:row>
    <x:row r="2388">
      <x:c r="A2388" s="54" t="n">
        <x:v>45291</x:v>
      </x:c>
      <x:c r="B2388" t="n">
        <x:v>45291.624999988424</x:v>
      </x:c>
      <x:c r="C2388" t="str">
        <x:v>300720</x:v>
      </x:c>
      <x:c r="D2388" t="str">
        <x:v>한일시멘트</x:v>
      </x:c>
      <x:c r="E2388" t="str">
        <x:v>KOSPI</x:v>
      </x:c>
      <x:c r="F2388" t="str">
        <x:v>LARGE</x:v>
      </x:c>
      <x:c r="G2388" t="str">
        <x:v>ELIGIBLE</x:v>
      </x:c>
      <x:c r="H2388"/>
      <x:c r="I2388" s="54" t="n">
        <x:v>45288</x:v>
      </x:c>
      <x:c r="J2388" s="55" t="n">
        <x:v>12790</x:v>
      </x:c>
      <x:c r="K2388" s="55" t="n">
        <x:v>885855096600</x:v>
      </x:c>
      <x:c r="L2388" s="55" t="n">
        <x:v>69261540</x:v>
      </x:c>
      <x:c r="M2388" t="str">
        <x:v>20230317000994</x:v>
      </x:c>
      <x:c r="N2388" t="n">
        <x:v>45002.624999988424</x:v>
      </x:c>
      <x:c r="O2388" s="54" t="n">
        <x:v>44926</x:v>
      </x:c>
      <x:c r="P2388" t="str">
        <x:v>False</x:v>
      </x:c>
      <x:c r="Q2388" t="str">
        <x:v>6abc801668d3125de27188d6f1996b6de4fd33cf47871ff5d1e5999d43751c2b</x:v>
      </x:c>
      <x:c r="R2388" t="str">
        <x:v>d650e81aaea73c9bc1854d36faa62b92d9063f3dd9d2746db2e30d0ff1bf699d</x:v>
      </x:c>
      <x:c r="S2388" t="n">
        <x:v>6</x:v>
      </x:c>
      <x:c r="T2388" t="str">
        <x:v>2019-12-31|2020-12-31|2021-12-31|2022-12-31</x:v>
      </x:c>
      <x:c r="U2388" s="57" t="n">
        <x:v>17781.56488950039</x:v>
      </x:c>
      <x:c r="V2388" s="57" t="n">
        <x:v>0.39027090613763815</x:v>
      </x:c>
      <x:c r="W2388" t="n">
        <x:v>16</x:v>
      </x:c>
      <x:c r="X2388" t="n">
        <x:v>2</x:v>
      </x:c>
      <x:c r="Y2388" s="38" t="n">
        <x:v>0.6409090909090909</x:v>
      </x:c>
      <x:c r="Z2388" s="38" t="n">
        <x:v>0.7311050710300705</x:v>
      </x:c>
      <x:c r="AA2388"/>
    </x:row>
    <x:row r="2389">
      <x:c r="A2389" s="54" t="n">
        <x:v>45291</x:v>
      </x:c>
      <x:c r="B2389" t="n">
        <x:v>45291.624999988424</x:v>
      </x:c>
      <x:c r="C2389" t="str">
        <x:v>007070</x:v>
      </x:c>
      <x:c r="D2389" t="str">
        <x:v>GS리테일</x:v>
      </x:c>
      <x:c r="E2389" t="str">
        <x:v>KOSPI</x:v>
      </x:c>
      <x:c r="F2389" t="str">
        <x:v>LARGE</x:v>
      </x:c>
      <x:c r="G2389" t="str">
        <x:v>DCF_SCREENING_EXCLUSION</x:v>
      </x:c>
      <x:c r="H2389" t="str">
        <x:v>NON_POSITIVE_EQUITY_VALUE</x:v>
      </x:c>
      <x:c r="I2389" s="54" t="n">
        <x:v>45288</x:v>
      </x:c>
      <x:c r="J2389" s="55" t="n">
        <x:v>23050</x:v>
      </x:c>
      <x:c r="K2389" s="55" t="n">
        <x:v>2413748102100</x:v>
      </x:c>
      <x:c r="L2389" s="55" t="n">
        <x:v>104717922</x:v>
      </x:c>
      <x:c r="M2389" t="str">
        <x:v>20230315001215</x:v>
      </x:c>
      <x:c r="N2389" t="n">
        <x:v>45000.624999988424</x:v>
      </x:c>
      <x:c r="O2389" s="54" t="n">
        <x:v>44926</x:v>
      </x:c>
      <x:c r="P2389" t="str">
        <x:v>False</x:v>
      </x:c>
      <x:c r="Q2389" t="str">
        <x:v>2d7330d69501024633830936227f955a3c3dffcecc607f130145b446e60fe28b</x:v>
      </x:c>
      <x:c r="R2389" t="str">
        <x:v>0ea87851572f603449d33f189fa59967316ad8c41d2b2703c3aa0c2a1942827b</x:v>
      </x:c>
      <x:c r="S2389" t="n">
        <x:v>6</x:v>
      </x:c>
      <x:c r="T2389" t="str">
        <x:v>2018-12-31|2019-12-31|2020-12-31|2021-12-31|2022-12-31</x:v>
      </x:c>
      <x:c r="U2389" s="57" t="n">
        <x:v>-2540.8003151724643</x:v>
      </x:c>
      <x:c r="V2389" s="57" t="n">
        <x:v>-1.1102299485975038</x:v>
      </x:c>
      <x:c r="W2389"/>
      <x:c r="X2389"/>
      <x:c r="Y2389" s="38" t="n">
        <x:v>0.6409090909090909</x:v>
      </x:c>
      <x:c r="Z2389" s="38" t="n">
        <x:v>0.7067535791273925</x:v>
      </x:c>
      <x:c r="AA2389" t="str">
        <x:v>NON_POSITIVE_EQUITY_VALUE</x:v>
      </x:c>
    </x:row>
    <x:row r="2390">
      <x:c r="A2390" s="54" t="n">
        <x:v>45291</x:v>
      </x:c>
      <x:c r="B2390" t="n">
        <x:v>45291.624999988424</x:v>
      </x:c>
      <x:c r="C2390" t="str">
        <x:v>280360</x:v>
      </x:c>
      <x:c r="D2390" t="str">
        <x:v>롯데웰푸드</x:v>
      </x:c>
      <x:c r="E2390" t="str">
        <x:v>KOSPI</x:v>
      </x:c>
      <x:c r="F2390" t="str">
        <x:v>LARGE</x:v>
      </x:c>
      <x:c r="G2390" t="str">
        <x:v>DCF_SCREENING_EXCLUSION</x:v>
      </x:c>
      <x:c r="H2390" t="str">
        <x:v>UNRELIABLE_TERMINAL_VALUE_SHARE</x:v>
      </x:c>
      <x:c r="I2390" s="54" t="n">
        <x:v>45288</x:v>
      </x:c>
      <x:c r="J2390" s="55" t="n">
        <x:v>123800</x:v>
      </x:c>
      <x:c r="K2390" s="55" t="n">
        <x:v>1168000261200</x:v>
      </x:c>
      <x:c r="L2390" s="55" t="n">
        <x:v>9434574</x:v>
      </x:c>
      <x:c r="M2390" t="str">
        <x:v>20230315000646</x:v>
      </x:c>
      <x:c r="N2390" t="n">
        <x:v>45000.624999988424</x:v>
      </x:c>
      <x:c r="O2390" s="54" t="n">
        <x:v>44926</x:v>
      </x:c>
      <x:c r="P2390" t="str">
        <x:v>False</x:v>
      </x:c>
      <x:c r="Q2390" t="str">
        <x:v>10f30e62b31742bca727517f591556aaa9ec4be0a56450b7db79201b0ee4446a</x:v>
      </x:c>
      <x:c r="R2390" t="str">
        <x:v>879f7d72c889790a08f4bf20b1e1957bf79fb9c95911863ba6e8e9b8081eb7ee</x:v>
      </x:c>
      <x:c r="S2390" t="n">
        <x:v>4</x:v>
      </x:c>
      <x:c r="T2390" t="str">
        <x:v>2018-12-31|2019-12-31|2020-12-31|2021-12-31|2022-12-31</x:v>
      </x:c>
      <x:c r="U2390" s="57" t="n">
        <x:v>138556.21929962153</x:v>
      </x:c>
      <x:c r="V2390" s="57" t="n">
        <x:v>0.11919401695978628</x:v>
      </x:c>
      <x:c r="W2390"/>
      <x:c r="X2390"/>
      <x:c r="Y2390" s="38" t="n">
        <x:v>0.6409090909090909</x:v>
      </x:c>
      <x:c r="Z2390" s="38" t="n">
        <x:v>0.894990688431959</x:v>
      </x:c>
      <x:c r="AA2390" t="str">
        <x:v>UNRELIABLE_TERMINAL_VALUE_SHARE</x:v>
      </x:c>
    </x:row>
    <x:row r="2391">
      <x:c r="A2391" s="54" t="n">
        <x:v>45291</x:v>
      </x:c>
      <x:c r="B2391" t="n">
        <x:v>45291.624999988424</x:v>
      </x:c>
      <x:c r="C2391" t="str">
        <x:v>039130</x:v>
      </x:c>
      <x:c r="D2391" t="str">
        <x:v>하나투어</x:v>
      </x:c>
      <x:c r="E2391" t="str">
        <x:v>KOSPI</x:v>
      </x:c>
      <x:c r="F2391" t="str">
        <x:v>LARGE</x:v>
      </x:c>
      <x:c r="G2391" t="str">
        <x:v>DCF_SCREENING_EXCLUSION</x:v>
      </x:c>
      <x:c r="H2391" t="str">
        <x:v>NON_POSITIVE_ENTERPRISE_VALUE|NON_POSITIVE_EQUITY_VALUE|NON_POSITIVE_TERMINAL_FCF</x:v>
      </x:c>
      <x:c r="I2391" s="54" t="n">
        <x:v>45288</x:v>
      </x:c>
      <x:c r="J2391" s="55" t="n">
        <x:v>52100</x:v>
      </x:c>
      <x:c r="K2391" s="55" t="n">
        <x:v>835641538500</x:v>
      </x:c>
      <x:c r="L2391" s="55" t="n">
        <x:v>16039185</x:v>
      </x:c>
      <x:c r="M2391" t="str">
        <x:v>20230316001406</x:v>
      </x:c>
      <x:c r="N2391" t="n">
        <x:v>45001.624999988424</x:v>
      </x:c>
      <x:c r="O2391" s="54" t="n">
        <x:v>44926</x:v>
      </x:c>
      <x:c r="P2391" t="str">
        <x:v>True</x:v>
      </x:c>
      <x:c r="Q2391" t="str">
        <x:v>ee4faff7dacd9f73b520be6bf2ecd02b4a4ed5e29c63b6887801b9262a840d42</x:v>
      </x:c>
      <x:c r="R2391" t="str">
        <x:v>412374455c2cd4cf469871c2a375efe394741ea84a2c4406db919e8326fdca61</x:v>
      </x:c>
      <x:c r="S2391" t="n">
        <x:v>5</x:v>
      </x:c>
      <x:c r="T2391" t="str">
        <x:v>2018-12-31|2019-12-31|2020-12-31|2021-12-31|2022-12-31</x:v>
      </x:c>
      <x:c r="U2391" s="57" t="n">
        <x:v>-14375.31685533445</x:v>
      </x:c>
      <x:c r="V2391" s="57" t="n">
        <x:v>-1.2759177899296439</x:v>
      </x:c>
      <x:c r="W2391"/>
      <x:c r="X2391"/>
      <x:c r="Y2391" s="38" t="n">
        <x:v>0.6409090909090909</x:v>
      </x:c>
      <x:c r="Z2391" s="38" t="n">
        <x:v>0.6865240790654953</x:v>
      </x:c>
      <x:c r="AA2391" t="str">
        <x:v>NON_POSITIVE_ENTERPRISE_VALUE|NON_POSITIVE_EQUITY_VALUE|NON_POSITIVE_TERMINAL_FCF</x:v>
      </x:c>
    </x:row>
    <x:row r="2392">
      <x:c r="A2392" s="54" t="n">
        <x:v>45291</x:v>
      </x:c>
      <x:c r="B2392" t="n">
        <x:v>45291.624999988424</x:v>
      </x:c>
      <x:c r="C2392" t="str">
        <x:v>005690</x:v>
      </x:c>
      <x:c r="D2392" t="str">
        <x:v>파미셀</x:v>
      </x:c>
      <x:c r="E2392" t="str">
        <x:v>KOSPI</x:v>
      </x:c>
      <x:c r="F2392" t="str">
        <x:v>LARGE</x:v>
      </x:c>
      <x:c r="G2392" t="str">
        <x:v>ELIGIBLE</x:v>
      </x:c>
      <x:c r="H2392"/>
      <x:c r="I2392" s="54" t="n">
        <x:v>45288</x:v>
      </x:c>
      <x:c r="J2392" s="55" t="n">
        <x:v>6070</x:v>
      </x:c>
      <x:c r="K2392" s="55" t="n">
        <x:v>364302971480</x:v>
      </x:c>
      <x:c r="L2392" s="55" t="n">
        <x:v>60016964</x:v>
      </x:c>
      <x:c r="M2392" t="str">
        <x:v>20230314000892</x:v>
      </x:c>
      <x:c r="N2392" t="n">
        <x:v>44999.624999988424</x:v>
      </x:c>
      <x:c r="O2392" s="54" t="n">
        <x:v>44926</x:v>
      </x:c>
      <x:c r="P2392" t="str">
        <x:v>False</x:v>
      </x:c>
      <x:c r="Q2392" t="str">
        <x:v>98492915788ab7195a6c88bcda45ea3f1fdbc07964a29cdabf73f0d90b082955</x:v>
      </x:c>
      <x:c r="R2392" t="str">
        <x:v>184cd24b6e7c5654a2fd5bb26690df637710c3f69810be0a044cc23da1ece73f</x:v>
      </x:c>
      <x:c r="S2392" t="n">
        <x:v>6</x:v>
      </x:c>
      <x:c r="T2392" t="str">
        <x:v>2018-12-31|2019-12-31|2020-12-31|2021-12-31|2022-12-31</x:v>
      </x:c>
      <x:c r="U2392" s="57" t="n">
        <x:v>1298.8740338899447</x:v>
      </x:c>
      <x:c r="V2392" s="57" t="n">
        <x:v>-0.7860174573492678</x:v>
      </x:c>
      <x:c r="W2392" t="n">
        <x:v>62</x:v>
      </x:c>
      <x:c r="X2392" t="n">
        <x:v>5</x:v>
      </x:c>
      <x:c r="Y2392" s="38" t="n">
        <x:v>0.6409090909090909</x:v>
      </x:c>
      <x:c r="Z2392" s="38" t="n">
        <x:v>0.7713774959621981</x:v>
      </x:c>
      <x:c r="AA2392"/>
    </x:row>
    <x:row r="2393">
      <x:c r="A2393" s="54" t="n">
        <x:v>45291</x:v>
      </x:c>
      <x:c r="B2393" t="n">
        <x:v>45291.624999988424</x:v>
      </x:c>
      <x:c r="C2393" t="str">
        <x:v>002030</x:v>
      </x:c>
      <x:c r="D2393" t="str">
        <x:v>아세아</x:v>
      </x:c>
      <x:c r="E2393" t="str">
        <x:v>KOSPI</x:v>
      </x:c>
      <x:c r="F2393" t="str">
        <x:v>LARGE</x:v>
      </x:c>
      <x:c r="G2393" t="str">
        <x:v>ELIGIBLE</x:v>
      </x:c>
      <x:c r="H2393"/>
      <x:c r="I2393" s="54" t="n">
        <x:v>45288</x:v>
      </x:c>
      <x:c r="J2393" s="55" t="n">
        <x:v>187000</x:v>
      </x:c>
      <x:c r="K2393" s="55" t="n">
        <x:v>399432748000</x:v>
      </x:c>
      <x:c r="L2393" s="55" t="n">
        <x:v>2136004</x:v>
      </x:c>
      <x:c r="M2393" t="str">
        <x:v>20230315001365</x:v>
      </x:c>
      <x:c r="N2393" t="n">
        <x:v>45000.624999988424</x:v>
      </x:c>
      <x:c r="O2393" s="54" t="n">
        <x:v>44926</x:v>
      </x:c>
      <x:c r="P2393" t="str">
        <x:v>False</x:v>
      </x:c>
      <x:c r="Q2393" t="str">
        <x:v>e0890f2d2e6dfb7c22d319ae58a87dc100e309f6526cc4192f20ff9113fa3363</x:v>
      </x:c>
      <x:c r="R2393" t="str">
        <x:v>119fac793ff8d6dff4b5d7360cdc3c80191e9fb62fec01ffc60009ea7d05d450</x:v>
      </x:c>
      <x:c r="S2393" t="n">
        <x:v>6</x:v>
      </x:c>
      <x:c r="T2393" t="str">
        <x:v>2018-12-31|2019-12-31|2020-12-31|2021-12-31|2022-12-31</x:v>
      </x:c>
      <x:c r="U2393" s="57" t="n">
        <x:v>872857.6300643758</x:v>
      </x:c>
      <x:c r="V2393" s="57" t="n">
        <x:v>3.6676878613068222</x:v>
      </x:c>
      <x:c r="W2393" t="n">
        <x:v>4</x:v>
      </x:c>
      <x:c r="X2393" t="n">
        <x:v>1</x:v>
      </x:c>
      <x:c r="Y2393" s="38" t="n">
        <x:v>0.6409090909090909</x:v>
      </x:c>
      <x:c r="Z2393" s="38" t="n">
        <x:v>0.7121292748012337</x:v>
      </x:c>
      <x:c r="AA2393"/>
    </x:row>
    <x:row r="2394">
      <x:c r="A2394" s="54" t="n">
        <x:v>45291</x:v>
      </x:c>
      <x:c r="B2394" t="n">
        <x:v>45291.624999988424</x:v>
      </x:c>
      <x:c r="C2394" t="str">
        <x:v>009410</x:v>
      </x:c>
      <x:c r="D2394" t="str">
        <x:v>태영건설</x:v>
      </x:c>
      <x:c r="E2394" t="str">
        <x:v>KOSPI</x:v>
      </x:c>
      <x:c r="F2394" t="str">
        <x:v>LARGE</x:v>
      </x:c>
      <x:c r="G2394" t="str">
        <x:v>ELIGIBLE</x:v>
      </x:c>
      <x:c r="H2394"/>
      <x:c r="I2394" s="54" t="n">
        <x:v>45288</x:v>
      </x:c>
      <x:c r="J2394" s="55" t="n">
        <x:v>2315</x:v>
      </x:c>
      <x:c r="K2394" s="55" t="n">
        <x:v>90051411870</x:v>
      </x:c>
      <x:c r="L2394" s="55" t="n">
        <x:v>38899098</x:v>
      </x:c>
      <x:c r="M2394" t="str">
        <x:v>20230317000233</x:v>
      </x:c>
      <x:c r="N2394" t="n">
        <x:v>45002.624999988424</x:v>
      </x:c>
      <x:c r="O2394" s="54" t="n">
        <x:v>44926</x:v>
      </x:c>
      <x:c r="P2394" t="str">
        <x:v>True</x:v>
      </x:c>
      <x:c r="Q2394" t="str">
        <x:v>103b596db89b21c273649a92bfc0bb7a51688640f038c4797332fb64665a2707</x:v>
      </x:c>
      <x:c r="R2394" t="str">
        <x:v>101aa4769133f6baf604eeb702cd027fc6b437e7459d39cb1d8f0d6a0888bba3</x:v>
      </x:c>
      <x:c r="S2394" t="n">
        <x:v>6</x:v>
      </x:c>
      <x:c r="T2394" t="str">
        <x:v>2018-12-31|2019-12-31|2020-12-31|2021-12-31|2022-12-31</x:v>
      </x:c>
      <x:c r="U2394" s="57" t="n">
        <x:v>31140.589691674773</x:v>
      </x:c>
      <x:c r="V2394" s="57" t="n">
        <x:v>12.451658614114374</x:v>
      </x:c>
      <x:c r="W2394" t="n">
        <x:v>1</x:v>
      </x:c>
      <x:c r="X2394" t="n">
        <x:v>1</x:v>
      </x:c>
      <x:c r="Y2394" s="38" t="n">
        <x:v>0.6409090909090909</x:v>
      </x:c>
      <x:c r="Z2394" s="38" t="n">
        <x:v>0.7740306072639747</x:v>
      </x:c>
      <x:c r="AA2394"/>
    </x:row>
    <x:row r="2395">
      <x:c r="A2395" s="54" t="n">
        <x:v>45291</x:v>
      </x:c>
      <x:c r="B2395" t="n">
        <x:v>45291.624999988424</x:v>
      </x:c>
      <x:c r="C2395" t="str">
        <x:v>010780</x:v>
      </x:c>
      <x:c r="D2395" t="str">
        <x:v>아이에스동서</x:v>
      </x:c>
      <x:c r="E2395" t="str">
        <x:v>KOSPI</x:v>
      </x:c>
      <x:c r="F2395" t="str">
        <x:v>LARGE</x:v>
      </x:c>
      <x:c r="G2395" t="str">
        <x:v>ELIGIBLE</x:v>
      </x:c>
      <x:c r="H2395"/>
      <x:c r="I2395" s="54" t="n">
        <x:v>45288</x:v>
      </x:c>
      <x:c r="J2395" s="55" t="n">
        <x:v>28950</x:v>
      </x:c>
      <x:c r="K2395" s="55" t="n">
        <x:v>894340943700</x:v>
      </x:c>
      <x:c r="L2395" s="55" t="n">
        <x:v>30892606</x:v>
      </x:c>
      <x:c r="M2395" t="str">
        <x:v>20230323001296</x:v>
      </x:c>
      <x:c r="N2395" t="n">
        <x:v>45008.624999988424</x:v>
      </x:c>
      <x:c r="O2395" s="54" t="n">
        <x:v>44926</x:v>
      </x:c>
      <x:c r="P2395" t="str">
        <x:v>False</x:v>
      </x:c>
      <x:c r="Q2395" t="str">
        <x:v>7d114b7511c1b3638091e578e145b06fadfb0fdf027a432a55155199fe3f629a</x:v>
      </x:c>
      <x:c r="R2395" t="str">
        <x:v>b5f936b28ba5d7800af28fa97aba41ecf08e13c3dae468cb39e72c8796dbfb36</x:v>
      </x:c>
      <x:c r="S2395" t="n">
        <x:v>6</x:v>
      </x:c>
      <x:c r="T2395" t="str">
        <x:v>2018-12-31|2019-12-31|2020-12-31|2021-12-31|2022-12-31</x:v>
      </x:c>
      <x:c r="U2395" s="57" t="n">
        <x:v>125413.3451544752</x:v>
      </x:c>
      <x:c r="V2395" s="57" t="n">
        <x:v>3.332067190137313</x:v>
      </x:c>
      <x:c r="W2395" t="n">
        <x:v>5</x:v>
      </x:c>
      <x:c r="X2395" t="n">
        <x:v>1</x:v>
      </x:c>
      <x:c r="Y2395" s="38" t="n">
        <x:v>0.6409090909090909</x:v>
      </x:c>
      <x:c r="Z2395" s="38" t="n">
        <x:v>0.76949860650151</x:v>
      </x:c>
      <x:c r="AA2395"/>
    </x:row>
    <x:row r="2396">
      <x:c r="A2396" s="54" t="n">
        <x:v>45291</x:v>
      </x:c>
      <x:c r="B2396" t="n">
        <x:v>45291.624999988424</x:v>
      </x:c>
      <x:c r="C2396" t="str">
        <x:v>453340</x:v>
      </x:c>
      <x:c r="D2396" t="str">
        <x:v>현대그린푸드</x:v>
      </x:c>
      <x:c r="E2396" t="str">
        <x:v>KOSPI</x:v>
      </x:c>
      <x:c r="F2396" t="str">
        <x:v>LARGE</x:v>
      </x:c>
      <x:c r="G2396" t="str">
        <x:v>NO_PIT_FINANCIALS</x:v>
      </x:c>
      <x:c r="H2396"/>
      <x:c r="I2396" s="54" t="n">
        <x:v>45288</x:v>
      </x:c>
      <x:c r="J2396" s="55" t="n">
        <x:v>11480</x:v>
      </x:c>
      <x:c r="K2396" s="55" t="n">
        <x:v>388952892720</x:v>
      </x:c>
      <x:c r="L2396" s="55" t="n">
        <x:v>33880914</x:v>
      </x:c>
      <x:c r="M2396"/>
      <x:c r="N2396"/>
      <x:c r="O2396" s="54"/>
      <x:c r="P2396"/>
      <x:c r="Q2396"/>
      <x:c r="R2396"/>
      <x:c r="S2396"/>
      <x:c r="T2396"/>
      <x:c r="U2396" s="57"/>
      <x:c r="V2396" s="57"/>
      <x:c r="W2396"/>
      <x:c r="X2396"/>
      <x:c r="Y2396" s="38"/>
      <x:c r="Z2396" s="38"/>
      <x:c r="AA2396"/>
    </x:row>
    <x:row r="2397">
      <x:c r="A2397" s="54" t="n">
        <x:v>45291</x:v>
      </x:c>
      <x:c r="B2397" t="n">
        <x:v>45291.624999988424</x:v>
      </x:c>
      <x:c r="C2397" t="str">
        <x:v>006220</x:v>
      </x:c>
      <x:c r="D2397" t="str">
        <x:v>제주은행</x:v>
      </x:c>
      <x:c r="E2397" t="str">
        <x:v>KOSPI</x:v>
      </x:c>
      <x:c r="F2397" t="str">
        <x:v>LARGE</x:v>
      </x:c>
      <x:c r="G2397" t="str">
        <x:v>EXCLUDED_ARCHETYPE</x:v>
      </x:c>
      <x:c r="H2397" t="str">
        <x:v>FCFF_NOT_COMPARABLE_FOR_FINANCE_OR_HOLDING_HINT</x:v>
      </x:c>
      <x:c r="I2397" s="54"/>
      <x:c r="J2397" s="55"/>
      <x:c r="K2397" s="55"/>
      <x:c r="L2397" s="55"/>
      <x:c r="M2397"/>
      <x:c r="N2397"/>
      <x:c r="O2397" s="54"/>
      <x:c r="P2397"/>
      <x:c r="Q2397"/>
      <x:c r="R2397"/>
      <x:c r="S2397"/>
      <x:c r="T2397"/>
      <x:c r="U2397" s="57"/>
      <x:c r="V2397" s="57"/>
      <x:c r="W2397"/>
      <x:c r="X2397"/>
      <x:c r="Y2397" s="38"/>
      <x:c r="Z2397" s="38"/>
      <x:c r="AA2397"/>
    </x:row>
    <x:row r="2398">
      <x:c r="A2398" s="54" t="n">
        <x:v>45291</x:v>
      </x:c>
      <x:c r="B2398" t="n">
        <x:v>45291.624999988424</x:v>
      </x:c>
      <x:c r="C2398" t="str">
        <x:v>094800</x:v>
      </x:c>
      <x:c r="D2398" t="str">
        <x:v>맵스리얼티1</x:v>
      </x:c>
      <x:c r="E2398" t="str">
        <x:v>KOSPI</x:v>
      </x:c>
      <x:c r="F2398" t="str">
        <x:v>LARGE</x:v>
      </x:c>
      <x:c r="G2398" t="str">
        <x:v>NO_PIT_FINANCIALS</x:v>
      </x:c>
      <x:c r="H2398"/>
      <x:c r="I2398" s="54" t="n">
        <x:v>45288</x:v>
      </x:c>
      <x:c r="J2398" s="55" t="n">
        <x:v>3975</x:v>
      </x:c>
      <x:c r="K2398" s="55" t="n">
        <x:v>369016465725</x:v>
      </x:c>
      <x:c r="L2398" s="55" t="n">
        <x:v>92834331</x:v>
      </x:c>
      <x:c r="M2398"/>
      <x:c r="N2398"/>
      <x:c r="O2398" s="54"/>
      <x:c r="P2398"/>
      <x:c r="Q2398"/>
      <x:c r="R2398"/>
      <x:c r="S2398"/>
      <x:c r="T2398"/>
      <x:c r="U2398" s="57"/>
      <x:c r="V2398" s="57"/>
      <x:c r="W2398"/>
      <x:c r="X2398"/>
      <x:c r="Y2398" s="38"/>
      <x:c r="Z2398" s="38"/>
      <x:c r="AA2398"/>
    </x:row>
    <x:row r="2399">
      <x:c r="A2399" s="54" t="n">
        <x:v>45291</x:v>
      </x:c>
      <x:c r="B2399" t="n">
        <x:v>45291.624999988424</x:v>
      </x:c>
      <x:c r="C2399" t="str">
        <x:v>003160</x:v>
      </x:c>
      <x:c r="D2399" t="str">
        <x:v>디아이</x:v>
      </x:c>
      <x:c r="E2399" t="str">
        <x:v>KOSPI</x:v>
      </x:c>
      <x:c r="F2399" t="str">
        <x:v>LARGE</x:v>
      </x:c>
      <x:c r="G2399" t="str">
        <x:v>DCF_SCREENING_EXCLUSION</x:v>
      </x:c>
      <x:c r="H2399" t="str">
        <x:v>UNRELIABLE_TERMINAL_VALUE_SHARE</x:v>
      </x:c>
      <x:c r="I2399" s="54" t="n">
        <x:v>45288</x:v>
      </x:c>
      <x:c r="J2399" s="55" t="n">
        <x:v>6300</x:v>
      </x:c>
      <x:c r="K2399" s="55" t="n">
        <x:v>178290000000</x:v>
      </x:c>
      <x:c r="L2399" s="55" t="n">
        <x:v>28300000</x:v>
      </x:c>
      <x:c r="M2399" t="str">
        <x:v>20230316001051</x:v>
      </x:c>
      <x:c r="N2399" t="n">
        <x:v>45001.624999988424</x:v>
      </x:c>
      <x:c r="O2399" s="54" t="n">
        <x:v>44926</x:v>
      </x:c>
      <x:c r="P2399" t="str">
        <x:v>False</x:v>
      </x:c>
      <x:c r="Q2399" t="str">
        <x:v>c3314c782bd213bf0f690a4a153322df04993fdf6ba5a7e070a25e69e89fa233</x:v>
      </x:c>
      <x:c r="R2399" t="str">
        <x:v>56ec92b454b2728efa9deb96b014030a62a4ff515bac9deeec6482afbb35e210</x:v>
      </x:c>
      <x:c r="S2399" t="n">
        <x:v>6</x:v>
      </x:c>
      <x:c r="T2399" t="str">
        <x:v>2013-12-31|2014-12-31|2015-12-31|2016-12-31|2017-12-31|2018-12-31|2019-12-31|2020-12-31|2021-12-31|2022-12-31</x:v>
      </x:c>
      <x:c r="U2399" s="57" t="n">
        <x:v>2116.9630922186993</x:v>
      </x:c>
      <x:c r="V2399" s="57" t="n">
        <x:v>-0.6639741123462382</x:v>
      </x:c>
      <x:c r="W2399"/>
      <x:c r="X2399"/>
      <x:c r="Y2399" s="38" t="n">
        <x:v>0.6409090909090909</x:v>
      </x:c>
      <x:c r="Z2399" s="38" t="n">
        <x:v>0.9176728578066332</x:v>
      </x:c>
      <x:c r="AA2399" t="str">
        <x:v>UNRELIABLE_TERMINAL_VALUE_SHARE</x:v>
      </x:c>
    </x:row>
    <x:row r="2400">
      <x:c r="A2400" s="54" t="n">
        <x:v>45291</x:v>
      </x:c>
      <x:c r="B2400" t="n">
        <x:v>45291.624999988424</x:v>
      </x:c>
      <x:c r="C2400" t="str">
        <x:v>001940</x:v>
      </x:c>
      <x:c r="D2400" t="str">
        <x:v>KISCO홀딩스</x:v>
      </x:c>
      <x:c r="E2400" t="str">
        <x:v>KOSPI</x:v>
      </x:c>
      <x:c r="F2400" t="str">
        <x:v>LARGE</x:v>
      </x:c>
      <x:c r="G2400" t="str">
        <x:v>EXCLUDED_ARCHETYPE</x:v>
      </x:c>
      <x:c r="H2400" t="str">
        <x:v>FCFF_NOT_COMPARABLE_FOR_FINANCE_OR_HOLDING_HINT</x:v>
      </x:c>
      <x:c r="I2400" s="54"/>
      <x:c r="J2400" s="55"/>
      <x:c r="K2400" s="55"/>
      <x:c r="L2400" s="55"/>
      <x:c r="M2400"/>
      <x:c r="N2400"/>
      <x:c r="O2400" s="54"/>
      <x:c r="P2400"/>
      <x:c r="Q2400"/>
      <x:c r="R2400"/>
      <x:c r="S2400"/>
      <x:c r="T2400"/>
      <x:c r="U2400" s="57"/>
      <x:c r="V2400" s="57"/>
      <x:c r="W2400"/>
      <x:c r="X2400"/>
      <x:c r="Y2400" s="38"/>
      <x:c r="Z2400" s="38"/>
      <x:c r="AA2400"/>
    </x:row>
    <x:row r="2401">
      <x:c r="A2401" s="54" t="n">
        <x:v>45291</x:v>
      </x:c>
      <x:c r="B2401" t="n">
        <x:v>45291.624999988424</x:v>
      </x:c>
      <x:c r="C2401" t="str">
        <x:v>009290</x:v>
      </x:c>
      <x:c r="D2401" t="str">
        <x:v>광동제약</x:v>
      </x:c>
      <x:c r="E2401" t="str">
        <x:v>KOSPI</x:v>
      </x:c>
      <x:c r="F2401" t="str">
        <x:v>LARGE</x:v>
      </x:c>
      <x:c r="G2401" t="str">
        <x:v>ELIGIBLE</x:v>
      </x:c>
      <x:c r="H2401"/>
      <x:c r="I2401" s="54" t="n">
        <x:v>45288</x:v>
      </x:c>
      <x:c r="J2401" s="55" t="n">
        <x:v>7430</x:v>
      </x:c>
      <x:c r="K2401" s="55" t="n">
        <x:v>389486922930</x:v>
      </x:c>
      <x:c r="L2401" s="55" t="n">
        <x:v>52420851</x:v>
      </x:c>
      <x:c r="M2401" t="str">
        <x:v>20230321001353</x:v>
      </x:c>
      <x:c r="N2401" t="n">
        <x:v>45006.624999988424</x:v>
      </x:c>
      <x:c r="O2401" s="54" t="n">
        <x:v>44926</x:v>
      </x:c>
      <x:c r="P2401" t="str">
        <x:v>True</x:v>
      </x:c>
      <x:c r="Q2401" t="str">
        <x:v>5e14db92215cd2259f3a8da0057c2250df7271ff3eb90199fc22396cb3aef981</x:v>
      </x:c>
      <x:c r="R2401" t="str">
        <x:v>120369bfc0391fc9f998718d7c824a6f35ff609faa8c3fa784c72180748501b8</x:v>
      </x:c>
      <x:c r="S2401" t="n">
        <x:v>6</x:v>
      </x:c>
      <x:c r="T2401" t="str">
        <x:v>2018-12-31|2019-12-31|2020-12-31|2021-12-31|2022-12-31</x:v>
      </x:c>
      <x:c r="U2401" s="57" t="n">
        <x:v>6588.062294286922</x:v>
      </x:c>
      <x:c r="V2401" s="57" t="n">
        <x:v>-0.11331597654280991</x:v>
      </x:c>
      <x:c r="W2401" t="n">
        <x:v>28</x:v>
      </x:c>
      <x:c r="X2401" t="n">
        <x:v>2</x:v>
      </x:c>
      <x:c r="Y2401" s="38" t="n">
        <x:v>0.6409090909090909</x:v>
      </x:c>
      <x:c r="Z2401" s="38" t="n">
        <x:v>0.7695546290256253</x:v>
      </x:c>
      <x:c r="AA2401"/>
    </x:row>
    <x:row r="2402">
      <x:c r="A2402" s="54" t="n">
        <x:v>45382</x:v>
      </x:c>
      <x:c r="B2402" t="n">
        <x:v>45382.624999988424</x:v>
      </x:c>
      <x:c r="C2402" t="str">
        <x:v>168330</x:v>
      </x:c>
      <x:c r="D2402" t="str">
        <x:v>내츄럴엔도텍</x:v>
      </x:c>
      <x:c r="E2402" t="str">
        <x:v>KOSDAQ</x:v>
      </x:c>
      <x:c r="F2402" t="str">
        <x:v>SMALL</x:v>
      </x:c>
      <x:c r="G2402" t="str">
        <x:v>DCF_SCREENING_EXCLUSION</x:v>
      </x:c>
      <x:c r="H2402" t="str">
        <x:v>NON_POSITIVE_ENTERPRISE_VALUE|NON_POSITIVE_EQUITY_VALUE|NON_POSITIVE_TERMINAL_FCF</x:v>
      </x:c>
      <x:c r="I2402" s="54" t="n">
        <x:v>45380</x:v>
      </x:c>
      <x:c r="J2402" s="55" t="n">
        <x:v>2380</x:v>
      </x:c>
      <x:c r="K2402" s="55" t="n">
        <x:v>75576662000</x:v>
      </x:c>
      <x:c r="L2402" s="55" t="n">
        <x:v>31754900</x:v>
      </x:c>
      <x:c r="M2402" t="str">
        <x:v>20240318000599</x:v>
      </x:c>
      <x:c r="N2402" t="n">
        <x:v>45369.624999988424</x:v>
      </x:c>
      <x:c r="O2402" s="54" t="n">
        <x:v>45291</x:v>
      </x:c>
      <x:c r="P2402" t="str">
        <x:v>False</x:v>
      </x:c>
      <x:c r="Q2402" t="str">
        <x:v>4fa251164b0aacb3fc138a27a33d305fc7a3e3df064752a5be6864a931f6f06a</x:v>
      </x:c>
      <x:c r="R2402" t="str">
        <x:v>3d056916cdae476728a9ccbad0ec65ac80571ddbe3975d4bfa67d228e765d90f</x:v>
      </x:c>
      <x:c r="S2402" t="n">
        <x:v>6</x:v>
      </x:c>
      <x:c r="T2402" t="str">
        <x:v>2018-12-31|2019-12-31|2020-12-31|2021-12-31|2022-12-31|2023-12-31</x:v>
      </x:c>
      <x:c r="U2402" s="57" t="n">
        <x:v>-1387.4112702245939</x:v>
      </x:c>
      <x:c r="V2402" s="57" t="n">
        <x:v>-1.582945911859073</x:v>
      </x:c>
      <x:c r="W2402"/>
      <x:c r="X2402"/>
      <x:c r="Y2402" s="38" t="n">
        <x:v>0.6409090909090909</x:v>
      </x:c>
      <x:c r="Z2402" s="38" t="n">
        <x:v>0.6259064640355957</x:v>
      </x:c>
      <x:c r="AA2402" t="str">
        <x:v>NON_POSITIVE_ENTERPRISE_VALUE|NON_POSITIVE_EQUITY_VALUE|NON_POSITIVE_TERMINAL_FCF</x:v>
      </x:c>
    </x:row>
    <x:row r="2403">
      <x:c r="A2403" s="54" t="n">
        <x:v>45382</x:v>
      </x:c>
      <x:c r="B2403" t="n">
        <x:v>45382.624999988424</x:v>
      </x:c>
      <x:c r="C2403" t="str">
        <x:v>120240</x:v>
      </x:c>
      <x:c r="D2403" t="str">
        <x:v>대정화금</x:v>
      </x:c>
      <x:c r="E2403" t="str">
        <x:v>KOSDAQ</x:v>
      </x:c>
      <x:c r="F2403" t="str">
        <x:v>SMALL</x:v>
      </x:c>
      <x:c r="G2403" t="str">
        <x:v>ELIGIBLE</x:v>
      </x:c>
      <x:c r="H2403"/>
      <x:c r="I2403" s="54" t="n">
        <x:v>45380</x:v>
      </x:c>
      <x:c r="J2403" s="55" t="n">
        <x:v>17000</x:v>
      </x:c>
      <x:c r="K2403" s="55" t="n">
        <x:v>122236647000</x:v>
      </x:c>
      <x:c r="L2403" s="55" t="n">
        <x:v>7190391</x:v>
      </x:c>
      <x:c r="M2403" t="str">
        <x:v>20240318000183</x:v>
      </x:c>
      <x:c r="N2403" t="n">
        <x:v>45369.624999988424</x:v>
      </x:c>
      <x:c r="O2403" s="54" t="n">
        <x:v>45291</x:v>
      </x:c>
      <x:c r="P2403" t="str">
        <x:v>False</x:v>
      </x:c>
      <x:c r="Q2403" t="str">
        <x:v>ee9061ecc2184f5ffa9cafeb8d547bb939e07dc322d5305bb23d27935b0654ee</x:v>
      </x:c>
      <x:c r="R2403" t="str">
        <x:v>bdfaca464dabd525f3c40b0c3fb6656d68a1a62fc56ed1dffef99ad9bb103bd5</x:v>
      </x:c>
      <x:c r="S2403" t="n">
        <x:v>6</x:v>
      </x:c>
      <x:c r="T2403" t="str">
        <x:v>2018-12-31|2019-12-31|2020-12-31|2021-12-31|2022-12-31|2023-12-31</x:v>
      </x:c>
      <x:c r="U2403" s="57" t="n">
        <x:v>11081.692681164559</x:v>
      </x:c>
      <x:c r="V2403" s="57" t="n">
        <x:v>-0.3481357246373789</x:v>
      </x:c>
      <x:c r="W2403" t="n">
        <x:v>39</x:v>
      </x:c>
      <x:c r="X2403" t="n">
        <x:v>3</x:v>
      </x:c>
      <x:c r="Y2403" s="38" t="n">
        <x:v>0.6409090909090909</x:v>
      </x:c>
      <x:c r="Z2403" s="38" t="n">
        <x:v>0.6416160125335774</x:v>
      </x:c>
      <x:c r="AA2403"/>
    </x:row>
    <x:row r="2404">
      <x:c r="A2404" s="54" t="n">
        <x:v>45382</x:v>
      </x:c>
      <x:c r="B2404" t="n">
        <x:v>45382.624999988424</x:v>
      </x:c>
      <x:c r="C2404" t="str">
        <x:v>348350</x:v>
      </x:c>
      <x:c r="D2404" t="str">
        <x:v>위드텍</x:v>
      </x:c>
      <x:c r="E2404" t="str">
        <x:v>KOSDAQ</x:v>
      </x:c>
      <x:c r="F2404" t="str">
        <x:v>SMALL</x:v>
      </x:c>
      <x:c r="G2404" t="str">
        <x:v>ELIGIBLE</x:v>
      </x:c>
      <x:c r="H2404"/>
      <x:c r="I2404" s="54" t="n">
        <x:v>45380</x:v>
      </x:c>
      <x:c r="J2404" s="55" t="n">
        <x:v>8930</x:v>
      </x:c>
      <x:c r="K2404" s="55" t="n">
        <x:v>90939548000</x:v>
      </x:c>
      <x:c r="L2404" s="55" t="n">
        <x:v>10183600</x:v>
      </x:c>
      <x:c r="M2404" t="str">
        <x:v>20240314001010</x:v>
      </x:c>
      <x:c r="N2404" t="n">
        <x:v>45365.624999988424</x:v>
      </x:c>
      <x:c r="O2404" s="54" t="n">
        <x:v>45291</x:v>
      </x:c>
      <x:c r="P2404" t="str">
        <x:v>False</x:v>
      </x:c>
      <x:c r="Q2404" t="str">
        <x:v>18669b64ffa0979069db23e52067c3a7cec7305f801c019c5022b42744ac1249</x:v>
      </x:c>
      <x:c r="R2404" t="str">
        <x:v>deb0d39bcc7fe95a30a375a9c85f7623be7001aed43e4375ed555448ec31f069</x:v>
      </x:c>
      <x:c r="S2404" t="n">
        <x:v>5</x:v>
      </x:c>
      <x:c r="T2404" t="str">
        <x:v>2020-12-31|2021-12-31|2022-12-31|2023-12-31</x:v>
      </x:c>
      <x:c r="U2404" s="57" t="n">
        <x:v>6954.599618410492</x:v>
      </x:c>
      <x:c r="V2404" s="57" t="n">
        <x:v>-0.22120944922614866</x:v>
      </x:c>
      <x:c r="W2404" t="n">
        <x:v>31</x:v>
      </x:c>
      <x:c r="X2404" t="n">
        <x:v>3</x:v>
      </x:c>
      <x:c r="Y2404" s="38" t="n">
        <x:v>0.6409090909090909</x:v>
      </x:c>
      <x:c r="Z2404" s="38" t="n">
        <x:v>0.7452893246512734</x:v>
      </x:c>
      <x:c r="AA2404"/>
    </x:row>
    <x:row r="2405">
      <x:c r="A2405" s="54" t="n">
        <x:v>45382</x:v>
      </x:c>
      <x:c r="B2405" t="n">
        <x:v>45382.624999988424</x:v>
      </x:c>
      <x:c r="C2405" t="str">
        <x:v>226330</x:v>
      </x:c>
      <x:c r="D2405" t="str">
        <x:v>신테카바이오</x:v>
      </x:c>
      <x:c r="E2405" t="str">
        <x:v>KOSDAQ</x:v>
      </x:c>
      <x:c r="F2405" t="str">
        <x:v>SMALL</x:v>
      </x:c>
      <x:c r="G2405" t="str">
        <x:v>DCF_SCREENING_EXCLUSION</x:v>
      </x:c>
      <x:c r="H2405" t="str">
        <x:v>NON_POSITIVE_ENTERPRISE_VALUE|NON_POSITIVE_TERMINAL_FCF</x:v>
      </x:c>
      <x:c r="I2405" s="54" t="n">
        <x:v>45380</x:v>
      </x:c>
      <x:c r="J2405" s="55" t="n">
        <x:v>11190</x:v>
      </x:c>
      <x:c r="K2405" s="55" t="n">
        <x:v>170742335250</x:v>
      </x:c>
      <x:c r="L2405" s="55" t="n">
        <x:v>15258475</x:v>
      </x:c>
      <x:c r="M2405" t="str">
        <x:v>20240321001041</x:v>
      </x:c>
      <x:c r="N2405" t="n">
        <x:v>45372.624999988424</x:v>
      </x:c>
      <x:c r="O2405" s="54" t="n">
        <x:v>45291</x:v>
      </x:c>
      <x:c r="P2405" t="str">
        <x:v>False</x:v>
      </x:c>
      <x:c r="Q2405" t="str">
        <x:v>bad5efd00c111df6ccebb801c0139cfe5244469ee254a76e5a773141efd9e1c4</x:v>
      </x:c>
      <x:c r="R2405" t="str">
        <x:v>5a79528793ce802284921caf55f02253c99bd70fb35ae04a2ffceeb9ac047c9b</x:v>
      </x:c>
      <x:c r="S2405" t="n">
        <x:v>5</x:v>
      </x:c>
      <x:c r="T2405" t="str">
        <x:v>2019-12-31|2020-12-31|2021-12-31|2022-12-31|2023-12-31</x:v>
      </x:c>
      <x:c r="U2405" s="57" t="n">
        <x:v>1158.4997809916385</x:v>
      </x:c>
      <x:c r="V2405" s="57" t="n">
        <x:v>-0.8964700821276462</x:v>
      </x:c>
      <x:c r="W2405"/>
      <x:c r="X2405"/>
      <x:c r="Y2405" s="38" t="n">
        <x:v>0.6409090909090909</x:v>
      </x:c>
      <x:c r="Z2405" s="38" t="n">
        <x:v>0.6095054406520231</x:v>
      </x:c>
      <x:c r="AA2405" t="str">
        <x:v>NON_POSITIVE_ENTERPRISE_VALUE|NON_POSITIVE_TERMINAL_FCF</x:v>
      </x:c>
    </x:row>
    <x:row r="2406">
      <x:c r="A2406" s="54" t="n">
        <x:v>45382</x:v>
      </x:c>
      <x:c r="B2406" t="n">
        <x:v>45382.624999988424</x:v>
      </x:c>
      <x:c r="C2406" t="str">
        <x:v>215090</x:v>
      </x:c>
      <x:c r="D2406" t="str">
        <x:v>솔디펜스</x:v>
      </x:c>
      <x:c r="E2406" t="str">
        <x:v>KOSDAQ</x:v>
      </x:c>
      <x:c r="F2406" t="str">
        <x:v>SMALL</x:v>
      </x:c>
      <x:c r="G2406" t="str">
        <x:v>DCF_SCREENING_EXCLUSION</x:v>
      </x:c>
      <x:c r="H2406" t="str">
        <x:v>NON_POSITIVE_ENTERPRISE_VALUE|NON_POSITIVE_EQUITY_VALUE|NON_POSITIVE_TERMINAL_FCF</x:v>
      </x:c>
      <x:c r="I2406" s="54" t="n">
        <x:v>45380</x:v>
      </x:c>
      <x:c r="J2406" s="55" t="n">
        <x:v>1505</x:v>
      </x:c>
      <x:c r="K2406" s="55" t="n">
        <x:v>120843123170</x:v>
      </x:c>
      <x:c r="L2406" s="55" t="n">
        <x:v>80294434</x:v>
      </x:c>
      <x:c r="M2406" t="str">
        <x:v>20240321002029</x:v>
      </x:c>
      <x:c r="N2406" t="n">
        <x:v>45372.624999988424</x:v>
      </x:c>
      <x:c r="O2406" s="54" t="n">
        <x:v>45291</x:v>
      </x:c>
      <x:c r="P2406" t="str">
        <x:v>False</x:v>
      </x:c>
      <x:c r="Q2406" t="str">
        <x:v>e1e48d222c0323548de6df01385b6a0ef6718be41136501318643cc65cd6dc99</x:v>
      </x:c>
      <x:c r="R2406" t="str">
        <x:v>030fdd6a1ed2a11de2152ec12f5067e2df8457cd60e7510f1a24a67bc36d554c</x:v>
      </x:c>
      <x:c r="S2406" t="n">
        <x:v>5</x:v>
      </x:c>
      <x:c r="T2406" t="str">
        <x:v>2018-12-31|2019-12-31|2020-12-31|2021-12-31|2022-12-31|2023-12-31</x:v>
      </x:c>
      <x:c r="U2406" s="57" t="n">
        <x:v>-235.14148248727622</x:v>
      </x:c>
      <x:c r="V2406" s="57" t="n">
        <x:v>-1.1562401876991868</x:v>
      </x:c>
      <x:c r="W2406"/>
      <x:c r="X2406"/>
      <x:c r="Y2406" s="38" t="n">
        <x:v>0.6409090909090909</x:v>
      </x:c>
      <x:c r="Z2406" s="38" t="n">
        <x:v>0.6364349226079365</x:v>
      </x:c>
      <x:c r="AA2406" t="str">
        <x:v>NON_POSITIVE_ENTERPRISE_VALUE|NON_POSITIVE_EQUITY_VALUE|NON_POSITIVE_TERMINAL_FCF</x:v>
      </x:c>
    </x:row>
    <x:row r="2407">
      <x:c r="A2407" s="54" t="n">
        <x:v>45382</x:v>
      </x:c>
      <x:c r="B2407" t="n">
        <x:v>45382.624999988424</x:v>
      </x:c>
      <x:c r="C2407" t="str">
        <x:v>185490</x:v>
      </x:c>
      <x:c r="D2407" t="str">
        <x:v>아이진</x:v>
      </x:c>
      <x:c r="E2407" t="str">
        <x:v>KOSDAQ</x:v>
      </x:c>
      <x:c r="F2407" t="str">
        <x:v>SMALL</x:v>
      </x:c>
      <x:c r="G2407" t="str">
        <x:v>DCF_SCREENING_EXCLUSION</x:v>
      </x:c>
      <x:c r="H2407" t="str">
        <x:v>NON_POSITIVE_ENTERPRISE_VALUE|NON_POSITIVE_EQUITY_VALUE|NON_POSITIVE_TERMINAL_FCF</x:v>
      </x:c>
      <x:c r="I2407" s="54" t="n">
        <x:v>45380</x:v>
      </x:c>
      <x:c r="J2407" s="55" t="n">
        <x:v>3390</x:v>
      </x:c>
      <x:c r="K2407" s="55" t="n">
        <x:v>91630967760</x:v>
      </x:c>
      <x:c r="L2407" s="55" t="n">
        <x:v>27029784</x:v>
      </x:c>
      <x:c r="M2407" t="str">
        <x:v>20240318000944</x:v>
      </x:c>
      <x:c r="N2407" t="n">
        <x:v>45369.624999988424</x:v>
      </x:c>
      <x:c r="O2407" s="54" t="n">
        <x:v>45291</x:v>
      </x:c>
      <x:c r="P2407" t="str">
        <x:v>False</x:v>
      </x:c>
      <x:c r="Q2407" t="str">
        <x:v>5dca0e159137a1ac9a2f0a40e7309a2e20da80f93d5226b700daae33e4d494ea</x:v>
      </x:c>
      <x:c r="R2407" t="str">
        <x:v>6ce2626bb378618bfd19c458143e9c9b3b6c0fdd98e43c3f8dfe384a387d1d3b</x:v>
      </x:c>
      <x:c r="S2407" t="n">
        <x:v>6</x:v>
      </x:c>
      <x:c r="T2407" t="str">
        <x:v>2018-12-31|2019-12-31|2020-12-31|2021-12-31|2022-12-31|2023-12-31</x:v>
      </x:c>
      <x:c r="U2407" s="57" t="n">
        <x:v>-25.227797738886608</x:v>
      </x:c>
      <x:c r="V2407" s="57" t="n">
        <x:v>-1.0074418282415594</x:v>
      </x:c>
      <x:c r="W2407"/>
      <x:c r="X2407"/>
      <x:c r="Y2407" s="38" t="n">
        <x:v>0.6409090909090909</x:v>
      </x:c>
      <x:c r="Z2407" s="38" t="n">
        <x:v>0.6188730723228777</x:v>
      </x:c>
      <x:c r="AA2407" t="str">
        <x:v>NON_POSITIVE_ENTERPRISE_VALUE|NON_POSITIVE_EQUITY_VALUE|NON_POSITIVE_TERMINAL_FCF</x:v>
      </x:c>
    </x:row>
    <x:row r="2408">
      <x:c r="A2408" s="54" t="n">
        <x:v>45382</x:v>
      </x:c>
      <x:c r="B2408" t="n">
        <x:v>45382.624999988424</x:v>
      </x:c>
      <x:c r="C2408" t="str">
        <x:v>333620</x:v>
      </x:c>
      <x:c r="D2408" t="str">
        <x:v>엔시스</x:v>
      </x:c>
      <x:c r="E2408" t="str">
        <x:v>KOSDAQ</x:v>
      </x:c>
      <x:c r="F2408" t="str">
        <x:v>SMALL</x:v>
      </x:c>
      <x:c r="G2408" t="str">
        <x:v>DCF_SCREENING_EXCLUSION</x:v>
      </x:c>
      <x:c r="H2408" t="str">
        <x:v>UNRELIABLE_TERMINAL_VALUE_SHARE</x:v>
      </x:c>
      <x:c r="I2408" s="54" t="n">
        <x:v>45380</x:v>
      </x:c>
      <x:c r="J2408" s="55" t="n">
        <x:v>8830</x:v>
      </x:c>
      <x:c r="K2408" s="55" t="n">
        <x:v>93212517520</x:v>
      </x:c>
      <x:c r="L2408" s="55" t="n">
        <x:v>10556344</x:v>
      </x:c>
      <x:c r="M2408" t="str">
        <x:v>20240321000028</x:v>
      </x:c>
      <x:c r="N2408" t="n">
        <x:v>45372.624999988424</x:v>
      </x:c>
      <x:c r="O2408" s="54" t="n">
        <x:v>45291</x:v>
      </x:c>
      <x:c r="P2408" t="str">
        <x:v>False</x:v>
      </x:c>
      <x:c r="Q2408" t="str">
        <x:v>59d5b29754935c3efa537406fd81fc9a2ed98a0101392eff91ccbcf4ae3b0d31</x:v>
      </x:c>
      <x:c r="R2408" t="str">
        <x:v>f3a169c6ea830e9174ff2297360aaaac8653e943617c473506eba3f52cabd37a</x:v>
      </x:c>
      <x:c r="S2408" t="n">
        <x:v>6</x:v>
      </x:c>
      <x:c r="T2408" t="str">
        <x:v>2020-12-31|2021-12-31|2022-12-31|2023-12-31</x:v>
      </x:c>
      <x:c r="U2408" s="57" t="n">
        <x:v>3436.8721938846274</x:v>
      </x:c>
      <x:c r="V2408" s="57" t="n">
        <x:v>-0.6107732509756933</x:v>
      </x:c>
      <x:c r="W2408"/>
      <x:c r="X2408"/>
      <x:c r="Y2408" s="38" t="n">
        <x:v>0.6409090909090909</x:v>
      </x:c>
      <x:c r="Z2408" s="38" t="n">
        <x:v>0.8985172886190933</x:v>
      </x:c>
      <x:c r="AA2408" t="str">
        <x:v>UNRELIABLE_TERMINAL_VALUE_SHARE</x:v>
      </x:c>
    </x:row>
    <x:row r="2409">
      <x:c r="A2409" s="54" t="n">
        <x:v>45382</x:v>
      </x:c>
      <x:c r="B2409" t="n">
        <x:v>45382.624999988424</x:v>
      </x:c>
      <x:c r="C2409" t="str">
        <x:v>036710</x:v>
      </x:c>
      <x:c r="D2409" t="str">
        <x:v>심텍홀딩스</x:v>
      </x:c>
      <x:c r="E2409" t="str">
        <x:v>KOSDAQ</x:v>
      </x:c>
      <x:c r="F2409" t="str">
        <x:v>SMALL</x:v>
      </x:c>
      <x:c r="G2409" t="str">
        <x:v>EXCLUDED_ARCHETYPE</x:v>
      </x:c>
      <x:c r="H2409" t="str">
        <x:v>FCFF_NOT_COMPARABLE_FOR_FINANCE_OR_HOLDING_HINT</x:v>
      </x:c>
      <x:c r="I2409" s="54"/>
      <x:c r="J2409" s="55"/>
      <x:c r="K2409" s="55"/>
      <x:c r="L2409" s="55"/>
      <x:c r="M2409"/>
      <x:c r="N2409"/>
      <x:c r="O2409" s="54"/>
      <x:c r="P2409"/>
      <x:c r="Q2409"/>
      <x:c r="R2409"/>
      <x:c r="S2409"/>
      <x:c r="T2409"/>
      <x:c r="U2409" s="57"/>
      <x:c r="V2409" s="57"/>
      <x:c r="W2409"/>
      <x:c r="X2409"/>
      <x:c r="Y2409" s="38"/>
      <x:c r="Z2409" s="38"/>
      <x:c r="AA2409"/>
    </x:row>
    <x:row r="2410">
      <x:c r="A2410" s="54" t="n">
        <x:v>45382</x:v>
      </x:c>
      <x:c r="B2410" t="n">
        <x:v>45382.624999988424</x:v>
      </x:c>
      <x:c r="C2410" t="str">
        <x:v>049480</x:v>
      </x:c>
      <x:c r="D2410" t="str">
        <x:v>오픈베이스</x:v>
      </x:c>
      <x:c r="E2410" t="str">
        <x:v>KOSDAQ</x:v>
      </x:c>
      <x:c r="F2410" t="str">
        <x:v>SMALL</x:v>
      </x:c>
      <x:c r="G2410" t="str">
        <x:v>ELIGIBLE</x:v>
      </x:c>
      <x:c r="H2410"/>
      <x:c r="I2410" s="54" t="n">
        <x:v>45380</x:v>
      </x:c>
      <x:c r="J2410" s="55" t="n">
        <x:v>2535</x:v>
      </x:c>
      <x:c r="K2410" s="55" t="n">
        <x:v>79655740905</x:v>
      </x:c>
      <x:c r="L2410" s="55" t="n">
        <x:v>31422383</x:v>
      </x:c>
      <x:c r="M2410" t="str">
        <x:v>20240314001586</x:v>
      </x:c>
      <x:c r="N2410" t="n">
        <x:v>45365.624999988424</x:v>
      </x:c>
      <x:c r="O2410" s="54" t="n">
        <x:v>45291</x:v>
      </x:c>
      <x:c r="P2410" t="str">
        <x:v>False</x:v>
      </x:c>
      <x:c r="Q2410" t="str">
        <x:v>7c465215c77c780bcfac72de57b0d0786225878c1b042a05fa1731330cf39f32</x:v>
      </x:c>
      <x:c r="R2410" t="str">
        <x:v>88657441795cabc4b73e20f6f210f2d10fb456db0228c3846373e4e8abeaad42</x:v>
      </x:c>
      <x:c r="S2410" t="n">
        <x:v>6</x:v>
      </x:c>
      <x:c r="T2410" t="str">
        <x:v>2018-12-31|2019-12-31|2020-12-31|2021-12-31|2022-12-31|2023-12-31</x:v>
      </x:c>
      <x:c r="U2410" s="57" t="n">
        <x:v>1890.3967455429677</x:v>
      </x:c>
      <x:c r="V2410" s="57" t="n">
        <x:v>-0.2542813627049437</x:v>
      </x:c>
      <x:c r="W2410" t="n">
        <x:v>33</x:v>
      </x:c>
      <x:c r="X2410" t="n">
        <x:v>3</x:v>
      </x:c>
      <x:c r="Y2410" s="38" t="n">
        <x:v>0.6409090909090909</x:v>
      </x:c>
      <x:c r="Z2410" s="38" t="n">
        <x:v>0.6040784164110028</x:v>
      </x:c>
      <x:c r="AA2410"/>
    </x:row>
    <x:row r="2411">
      <x:c r="A2411" s="54" t="n">
        <x:v>45382</x:v>
      </x:c>
      <x:c r="B2411" t="n">
        <x:v>45382.624999988424</x:v>
      </x:c>
      <x:c r="C2411" t="str">
        <x:v>302430</x:v>
      </x:c>
      <x:c r="D2411" t="str">
        <x:v>이노메트리</x:v>
      </x:c>
      <x:c r="E2411" t="str">
        <x:v>KOSDAQ</x:v>
      </x:c>
      <x:c r="F2411" t="str">
        <x:v>SMALL</x:v>
      </x:c>
      <x:c r="G2411" t="str">
        <x:v>ELIGIBLE</x:v>
      </x:c>
      <x:c r="H2411"/>
      <x:c r="I2411" s="54" t="n">
        <x:v>45380</x:v>
      </x:c>
      <x:c r="J2411" s="55" t="n">
        <x:v>13350</x:v>
      </x:c>
      <x:c r="K2411" s="55" t="n">
        <x:v>131273326800</x:v>
      </x:c>
      <x:c r="L2411" s="55" t="n">
        <x:v>9833208</x:v>
      </x:c>
      <x:c r="M2411" t="str">
        <x:v>20240320000351</x:v>
      </x:c>
      <x:c r="N2411" t="n">
        <x:v>45371.624999988424</x:v>
      </x:c>
      <x:c r="O2411" s="54" t="n">
        <x:v>45291</x:v>
      </x:c>
      <x:c r="P2411" t="str">
        <x:v>False</x:v>
      </x:c>
      <x:c r="Q2411" t="str">
        <x:v>3d073284ffe5f19052504d111461eb4d55b92d01aba61975376c9ba020694952</x:v>
      </x:c>
      <x:c r="R2411" t="str">
        <x:v>23206e8ecaed341831a36804ce06dec70cfc5088ba25697fd87828cd889d48dc</x:v>
      </x:c>
      <x:c r="S2411" t="n">
        <x:v>6</x:v>
      </x:c>
      <x:c r="T2411" t="str">
        <x:v>2018-12-31|2019-12-31|2020-12-31|2021-12-31|2022-12-31|2023-12-31</x:v>
      </x:c>
      <x:c r="U2411" s="57" t="n">
        <x:v>5350.0573635192295</x:v>
      </x:c>
      <x:c r="V2411" s="57" t="n">
        <x:v>-0.5992466394367618</x:v>
      </x:c>
      <x:c r="W2411" t="n">
        <x:v>46</x:v>
      </x:c>
      <x:c r="X2411" t="n">
        <x:v>4</x:v>
      </x:c>
      <x:c r="Y2411" s="38" t="n">
        <x:v>0.6409090909090909</x:v>
      </x:c>
      <x:c r="Z2411" s="38" t="n">
        <x:v>0.5867649671582864</x:v>
      </x:c>
      <x:c r="AA2411"/>
    </x:row>
    <x:row r="2412">
      <x:c r="A2412" s="54" t="n">
        <x:v>45382</x:v>
      </x:c>
      <x:c r="B2412" t="n">
        <x:v>45382.624999988424</x:v>
      </x:c>
      <x:c r="C2412" t="str">
        <x:v>288620</x:v>
      </x:c>
      <x:c r="D2412" t="str">
        <x:v>에스퓨얼셀</x:v>
      </x:c>
      <x:c r="E2412" t="str">
        <x:v>KOSDAQ</x:v>
      </x:c>
      <x:c r="F2412" t="str">
        <x:v>SMALL</x:v>
      </x:c>
      <x:c r="G2412" t="str">
        <x:v>DCF_SCREENING_EXCLUSION</x:v>
      </x:c>
      <x:c r="H2412" t="str">
        <x:v>NON_POSITIVE_ENTERPRISE_VALUE|NON_POSITIVE_EQUITY_VALUE|UNRELIABLE_TERMINAL_VALUE_SHARE</x:v>
      </x:c>
      <x:c r="I2412" s="54" t="n">
        <x:v>45380</x:v>
      </x:c>
      <x:c r="J2412" s="55" t="n">
        <x:v>14860</x:v>
      </x:c>
      <x:c r="K2412" s="55" t="n">
        <x:v>103712635760</x:v>
      </x:c>
      <x:c r="L2412" s="55" t="n">
        <x:v>6979316</x:v>
      </x:c>
      <x:c r="M2412" t="str">
        <x:v>20240314001281</x:v>
      </x:c>
      <x:c r="N2412" t="n">
        <x:v>45365.624999988424</x:v>
      </x:c>
      <x:c r="O2412" s="54" t="n">
        <x:v>45291</x:v>
      </x:c>
      <x:c r="P2412" t="str">
        <x:v>False</x:v>
      </x:c>
      <x:c r="Q2412" t="str">
        <x:v>2d9469f5ad05e376cb8bd2ba443aa19537cb1c0730a9932abcfb316261474580</x:v>
      </x:c>
      <x:c r="R2412" t="str">
        <x:v>88ee9206ffacc6c5d4a5b7f7ce030562931dd8ec03073ee298f2c6ff7904c954</x:v>
      </x:c>
      <x:c r="S2412" t="n">
        <x:v>6</x:v>
      </x:c>
      <x:c r="T2412" t="str">
        <x:v>2018-12-31|2019-12-31|2020-12-31|2021-12-31|2022-12-31|2023-12-31</x:v>
      </x:c>
      <x:c r="U2412" s="57" t="n">
        <x:v>-4893.456812150588</x:v>
      </x:c>
      <x:c r="V2412" s="57" t="n">
        <x:v>-1.3293039577490302</x:v>
      </x:c>
      <x:c r="W2412"/>
      <x:c r="X2412"/>
      <x:c r="Y2412" s="38" t="n">
        <x:v>0.6409090909090909</x:v>
      </x:c>
      <x:c r="Z2412" s="38" t="n">
        <x:v>-10.353414340518622</x:v>
      </x:c>
      <x:c r="AA2412" t="str">
        <x:v>NON_POSITIVE_ENTERPRISE_VALUE|NON_POSITIVE_EQUITY_VALUE|UNRELIABLE_TERMINAL_VALUE_SHARE</x:v>
      </x:c>
    </x:row>
    <x:row r="2413">
      <x:c r="A2413" s="54" t="n">
        <x:v>45382</x:v>
      </x:c>
      <x:c r="B2413" t="n">
        <x:v>45382.624999988424</x:v>
      </x:c>
      <x:c r="C2413" t="str">
        <x:v>094840</x:v>
      </x:c>
      <x:c r="D2413" t="str">
        <x:v>슈프리마에이치큐</x:v>
      </x:c>
      <x:c r="E2413" t="str">
        <x:v>KOSDAQ</x:v>
      </x:c>
      <x:c r="F2413" t="str">
        <x:v>SMALL</x:v>
      </x:c>
      <x:c r="G2413" t="str">
        <x:v>DCF_SCREENING_EXCLUSION</x:v>
      </x:c>
      <x:c r="H2413" t="str">
        <x:v>UNRELIABLE_TERMINAL_VALUE_SHARE</x:v>
      </x:c>
      <x:c r="I2413" s="54" t="n">
        <x:v>45380</x:v>
      </x:c>
      <x:c r="J2413" s="55" t="n">
        <x:v>7320</x:v>
      </x:c>
      <x:c r="K2413" s="55" t="n">
        <x:v>76653868800</x:v>
      </x:c>
      <x:c r="L2413" s="55" t="n">
        <x:v>10471840</x:v>
      </x:c>
      <x:c r="M2413" t="str">
        <x:v>20240318000708</x:v>
      </x:c>
      <x:c r="N2413" t="n">
        <x:v>45369.624999988424</x:v>
      </x:c>
      <x:c r="O2413" s="54" t="n">
        <x:v>45291</x:v>
      </x:c>
      <x:c r="P2413" t="str">
        <x:v>False</x:v>
      </x:c>
      <x:c r="Q2413" t="str">
        <x:v>e5f523177c415af344f13546f5a1f5ffadf000a1059276f7fd11b0e755af39df</x:v>
      </x:c>
      <x:c r="R2413" t="str">
        <x:v>9c9f4500e74103a8961495af3e444ab49dc7d6f3990fabd6cff27fea7ce91ed1</x:v>
      </x:c>
      <x:c r="S2413" t="n">
        <x:v>6</x:v>
      </x:c>
      <x:c r="T2413" t="str">
        <x:v>2018-12-31|2019-12-31|2020-12-31|2021-12-31|2022-12-31|2023-12-31</x:v>
      </x:c>
      <x:c r="U2413" s="57" t="n">
        <x:v>3395.867702926231</x:v>
      </x:c>
      <x:c r="V2413" s="57" t="n">
        <x:v>-0.5360836471412253</x:v>
      </x:c>
      <x:c r="W2413"/>
      <x:c r="X2413"/>
      <x:c r="Y2413" s="38" t="n">
        <x:v>0.6409090909090909</x:v>
      </x:c>
      <x:c r="Z2413" s="38" t="n">
        <x:v>1.0239514067639839</x:v>
      </x:c>
      <x:c r="AA2413" t="str">
        <x:v>UNRELIABLE_TERMINAL_VALUE_SHARE</x:v>
      </x:c>
    </x:row>
    <x:row r="2414">
      <x:c r="A2414" s="54" t="n">
        <x:v>45382</x:v>
      </x:c>
      <x:c r="B2414" t="n">
        <x:v>45382.624999988424</x:v>
      </x:c>
      <x:c r="C2414" t="str">
        <x:v>019990</x:v>
      </x:c>
      <x:c r="D2414" t="str">
        <x:v>에너토크</x:v>
      </x:c>
      <x:c r="E2414" t="str">
        <x:v>KOSDAQ</x:v>
      </x:c>
      <x:c r="F2414" t="str">
        <x:v>SMALL</x:v>
      </x:c>
      <x:c r="G2414" t="str">
        <x:v>DCF_SCREENING_EXCLUSION</x:v>
      </x:c>
      <x:c r="H2414" t="str">
        <x:v>NON_POSITIVE_ENTERPRISE_VALUE|NON_POSITIVE_TERMINAL_FCF</x:v>
      </x:c>
      <x:c r="I2414" s="54" t="n">
        <x:v>45380</x:v>
      </x:c>
      <x:c r="J2414" s="55" t="n">
        <x:v>6510</x:v>
      </x:c>
      <x:c r="K2414" s="55" t="n">
        <x:v>63512132880</x:v>
      </x:c>
      <x:c r="L2414" s="55" t="n">
        <x:v>9756088</x:v>
      </x:c>
      <x:c r="M2414" t="str">
        <x:v>20240321000627</x:v>
      </x:c>
      <x:c r="N2414" t="n">
        <x:v>45372.624999988424</x:v>
      </x:c>
      <x:c r="O2414" s="54" t="n">
        <x:v>45291</x:v>
      </x:c>
      <x:c r="P2414" t="str">
        <x:v>False</x:v>
      </x:c>
      <x:c r="Q2414" t="str">
        <x:v>5acac5a331b342db9901d2784b2bee6fd1c9f8c46b5d641c1d73d1e72c01d923</x:v>
      </x:c>
      <x:c r="R2414" t="str">
        <x:v>85eae463fc3f2386067cd4632f9fefbcf873ac3c43379cf42ad3558029c0ee0c</x:v>
      </x:c>
      <x:c r="S2414" t="n">
        <x:v>6</x:v>
      </x:c>
      <x:c r="T2414" t="str">
        <x:v>2018-12-31|2019-12-31|2020-12-31|2021-12-31|2022-12-31|2023-12-31</x:v>
      </x:c>
      <x:c r="U2414" s="57" t="n">
        <x:v>137.57773993768473</x:v>
      </x:c>
      <x:c r="V2414" s="57" t="n">
        <x:v>-0.978866706614795</x:v>
      </x:c>
      <x:c r="W2414"/>
      <x:c r="X2414"/>
      <x:c r="Y2414" s="38" t="n">
        <x:v>0.6409090909090909</x:v>
      </x:c>
      <x:c r="Z2414" s="38" t="n">
        <x:v>0.176221162582711</x:v>
      </x:c>
      <x:c r="AA2414" t="str">
        <x:v>NON_POSITIVE_ENTERPRISE_VALUE|NON_POSITIVE_TERMINAL_FCF</x:v>
      </x:c>
    </x:row>
    <x:row r="2415">
      <x:c r="A2415" s="54" t="n">
        <x:v>45382</x:v>
      </x:c>
      <x:c r="B2415" t="n">
        <x:v>45382.624999988424</x:v>
      </x:c>
      <x:c r="C2415" t="str">
        <x:v>024740</x:v>
      </x:c>
      <x:c r="D2415" t="str">
        <x:v>한일단조</x:v>
      </x:c>
      <x:c r="E2415" t="str">
        <x:v>KOSDAQ</x:v>
      </x:c>
      <x:c r="F2415" t="str">
        <x:v>SMALL</x:v>
      </x:c>
      <x:c r="G2415" t="str">
        <x:v>DCF_SCREENING_EXCLUSION</x:v>
      </x:c>
      <x:c r="H2415" t="str">
        <x:v>NON_POSITIVE_EQUITY_VALUE</x:v>
      </x:c>
      <x:c r="I2415" s="54" t="n">
        <x:v>45380</x:v>
      </x:c>
      <x:c r="J2415" s="55" t="n">
        <x:v>2340</x:v>
      </x:c>
      <x:c r="K2415" s="55" t="n">
        <x:v>73786157640</x:v>
      </x:c>
      <x:c r="L2415" s="55" t="n">
        <x:v>31532546</x:v>
      </x:c>
      <x:c r="M2415" t="str">
        <x:v>20240320000786</x:v>
      </x:c>
      <x:c r="N2415" t="n">
        <x:v>45371.624999988424</x:v>
      </x:c>
      <x:c r="O2415" s="54" t="n">
        <x:v>45291</x:v>
      </x:c>
      <x:c r="P2415" t="str">
        <x:v>False</x:v>
      </x:c>
      <x:c r="Q2415" t="str">
        <x:v>abf92710b391b70a6847627e0266a7b119d3df48dde6e252b34a1123f881e9ff</x:v>
      </x:c>
      <x:c r="R2415" t="str">
        <x:v>43b0009358c6931fa9d33fd957a192eb10c4b18055d193c0d4ab367152e3ac27</x:v>
      </x:c>
      <x:c r="S2415" t="n">
        <x:v>7</x:v>
      </x:c>
      <x:c r="T2415" t="str">
        <x:v>2018-12-31|2019-12-31|2020-12-31|2021-12-31|2022-12-31|2023-12-31</x:v>
      </x:c>
      <x:c r="U2415" s="57" t="n">
        <x:v>-344.52523221887634</x:v>
      </x:c>
      <x:c r="V2415" s="57" t="n">
        <x:v>-1.147233005221742</x:v>
      </x:c>
      <x:c r="W2415"/>
      <x:c r="X2415"/>
      <x:c r="Y2415" s="38" t="n">
        <x:v>0.6409090909090909</x:v>
      </x:c>
      <x:c r="Z2415" s="38" t="n">
        <x:v>0.3525412604122592</x:v>
      </x:c>
      <x:c r="AA2415" t="str">
        <x:v>NON_POSITIVE_EQUITY_VALUE</x:v>
      </x:c>
    </x:row>
    <x:row r="2416">
      <x:c r="A2416" s="54" t="n">
        <x:v>45382</x:v>
      </x:c>
      <x:c r="B2416" t="n">
        <x:v>45382.624999988424</x:v>
      </x:c>
      <x:c r="C2416" t="str">
        <x:v>340930</x:v>
      </x:c>
      <x:c r="D2416" t="str">
        <x:v>유일에너테크</x:v>
      </x:c>
      <x:c r="E2416" t="str">
        <x:v>KOSDAQ</x:v>
      </x:c>
      <x:c r="F2416" t="str">
        <x:v>SMALL</x:v>
      </x:c>
      <x:c r="G2416" t="str">
        <x:v>DCF_SCREENING_EXCLUSION</x:v>
      </x:c>
      <x:c r="H2416" t="str">
        <x:v>NON_POSITIVE_ENTERPRISE_VALUE|NON_POSITIVE_EQUITY_VALUE|NON_POSITIVE_TERMINAL_FCF</x:v>
      </x:c>
      <x:c r="I2416" s="54" t="n">
        <x:v>45380</x:v>
      </x:c>
      <x:c r="J2416" s="55" t="n">
        <x:v>14940</x:v>
      </x:c>
      <x:c r="K2416" s="55" t="n">
        <x:v>171334161000</x:v>
      </x:c>
      <x:c r="L2416" s="55" t="n">
        <x:v>11468150</x:v>
      </x:c>
      <x:c r="M2416" t="str">
        <x:v>20240325000002</x:v>
      </x:c>
      <x:c r="N2416" t="n">
        <x:v>45376.624999988424</x:v>
      </x:c>
      <x:c r="O2416" s="54" t="n">
        <x:v>45291</x:v>
      </x:c>
      <x:c r="P2416" t="str">
        <x:v>False</x:v>
      </x:c>
      <x:c r="Q2416" t="str">
        <x:v>784624e7ef23def4f37e0b9e107251b7f2d3a5b3185236d2b503d1c847593ebc</x:v>
      </x:c>
      <x:c r="R2416" t="str">
        <x:v>ab6bfb609b4fb30f6172a0ccde23215fd17119f6568f6b2f2f9fa326f659a10d</x:v>
      </x:c>
      <x:c r="S2416" t="n">
        <x:v>7</x:v>
      </x:c>
      <x:c r="T2416" t="str">
        <x:v>2020-12-31|2021-12-31|2022-12-31|2023-12-31</x:v>
      </x:c>
      <x:c r="U2416" s="57" t="n">
        <x:v>-9111.338995983668</x:v>
      </x:c>
      <x:c r="V2416" s="57" t="n">
        <x:v>-1.6098620479239403</x:v>
      </x:c>
      <x:c r="W2416"/>
      <x:c r="X2416"/>
      <x:c r="Y2416" s="38" t="n">
        <x:v>0.6409090909090909</x:v>
      </x:c>
      <x:c r="Z2416" s="38" t="n">
        <x:v>0.6320982637210726</x:v>
      </x:c>
      <x:c r="AA2416" t="str">
        <x:v>NON_POSITIVE_ENTERPRISE_VALUE|NON_POSITIVE_EQUITY_VALUE|NON_POSITIVE_TERMINAL_FCF</x:v>
      </x:c>
    </x:row>
    <x:row r="2417">
      <x:c r="A2417" s="54" t="n">
        <x:v>45382</x:v>
      </x:c>
      <x:c r="B2417" t="n">
        <x:v>45382.624999988424</x:v>
      </x:c>
      <x:c r="C2417" t="str">
        <x:v>057030</x:v>
      </x:c>
      <x:c r="D2417" t="str">
        <x:v>YBM넷</x:v>
      </x:c>
      <x:c r="E2417" t="str">
        <x:v>KOSDAQ</x:v>
      </x:c>
      <x:c r="F2417" t="str">
        <x:v>SMALL</x:v>
      </x:c>
      <x:c r="G2417" t="str">
        <x:v>ELIGIBLE</x:v>
      </x:c>
      <x:c r="H2417"/>
      <x:c r="I2417" s="54" t="n">
        <x:v>45380</x:v>
      </x:c>
      <x:c r="J2417" s="55" t="n">
        <x:v>3985</x:v>
      </x:c>
      <x:c r="K2417" s="55" t="n">
        <x:v>65006097545</x:v>
      </x:c>
      <x:c r="L2417" s="55" t="n">
        <x:v>16312697</x:v>
      </x:c>
      <x:c r="M2417" t="str">
        <x:v>20240321001738</x:v>
      </x:c>
      <x:c r="N2417" t="n">
        <x:v>45372.624999988424</x:v>
      </x:c>
      <x:c r="O2417" s="54" t="n">
        <x:v>45291</x:v>
      </x:c>
      <x:c r="P2417" t="str">
        <x:v>False</x:v>
      </x:c>
      <x:c r="Q2417" t="str">
        <x:v>8147d8f24082e8860082882319e3c620bc56cbc015545fbdf694727bc4b16c0d</x:v>
      </x:c>
      <x:c r="R2417" t="str">
        <x:v>69e0556f12206fbecd7d25ad321a7ee918a3653aaab923ed13c8686e2704463f</x:v>
      </x:c>
      <x:c r="S2417" t="n">
        <x:v>6</x:v>
      </x:c>
      <x:c r="T2417" t="str">
        <x:v>2018-12-31|2019-12-31|2020-12-31|2021-12-31|2022-12-31|2023-12-31</x:v>
      </x:c>
      <x:c r="U2417" s="57" t="n">
        <x:v>1994.9348267885857</x:v>
      </x:c>
      <x:c r="V2417" s="57" t="n">
        <x:v>-0.49938900206058073</x:v>
      </x:c>
      <x:c r="W2417" t="n">
        <x:v>42</x:v>
      </x:c>
      <x:c r="X2417" t="n">
        <x:v>4</x:v>
      </x:c>
      <x:c r="Y2417" s="38" t="n">
        <x:v>0.6409090909090909</x:v>
      </x:c>
      <x:c r="Z2417" s="38" t="n">
        <x:v>0.5369789741982043</x:v>
      </x:c>
      <x:c r="AA2417"/>
    </x:row>
    <x:row r="2418">
      <x:c r="A2418" s="54" t="n">
        <x:v>45382</x:v>
      </x:c>
      <x:c r="B2418" t="n">
        <x:v>45382.624999988424</x:v>
      </x:c>
      <x:c r="C2418" t="str">
        <x:v>053160</x:v>
      </x:c>
      <x:c r="D2418" t="str">
        <x:v>프리엠스</x:v>
      </x:c>
      <x:c r="E2418" t="str">
        <x:v>KOSDAQ</x:v>
      </x:c>
      <x:c r="F2418" t="str">
        <x:v>SMALL</x:v>
      </x:c>
      <x:c r="G2418" t="str">
        <x:v>ELIGIBLE</x:v>
      </x:c>
      <x:c r="H2418"/>
      <x:c r="I2418" s="54" t="n">
        <x:v>45380</x:v>
      </x:c>
      <x:c r="J2418" s="55" t="n">
        <x:v>13550</x:v>
      </x:c>
      <x:c r="K2418" s="55" t="n">
        <x:v>81300000000</x:v>
      </x:c>
      <x:c r="L2418" s="55" t="n">
        <x:v>6000000</x:v>
      </x:c>
      <x:c r="M2418" t="str">
        <x:v>20240318000760</x:v>
      </x:c>
      <x:c r="N2418" t="n">
        <x:v>45369.624999988424</x:v>
      </x:c>
      <x:c r="O2418" s="54" t="n">
        <x:v>45291</x:v>
      </x:c>
      <x:c r="P2418" t="str">
        <x:v>False</x:v>
      </x:c>
      <x:c r="Q2418" t="str">
        <x:v>2857aa5920fe847db222f777826b59d57097213d3f796faa767f453fc53f1e57</x:v>
      </x:c>
      <x:c r="R2418" t="str">
        <x:v>1112bb16686f089f6e921fe155e2e6ac56290cfb085da3d42ea24c8347739b21</x:v>
      </x:c>
      <x:c r="S2418" t="n">
        <x:v>7</x:v>
      </x:c>
      <x:c r="T2418" t="str">
        <x:v>2018-12-31|2019-12-31|2020-12-31|2021-12-31|2022-12-31|2023-12-31</x:v>
      </x:c>
      <x:c r="U2418" s="57" t="n">
        <x:v>2643.8845167910263</x:v>
      </x:c>
      <x:c r="V2418" s="57" t="n">
        <x:v>-0.8048793714545368</x:v>
      </x:c>
      <x:c r="W2418" t="n">
        <x:v>58</x:v>
      </x:c>
      <x:c r="X2418" t="n">
        <x:v>5</x:v>
      </x:c>
      <x:c r="Y2418" s="38" t="n">
        <x:v>0.6409090909090909</x:v>
      </x:c>
      <x:c r="Z2418" s="38" t="n">
        <x:v>0.8102580611813543</x:v>
      </x:c>
      <x:c r="AA2418"/>
    </x:row>
    <x:row r="2419">
      <x:c r="A2419" s="54" t="n">
        <x:v>45382</x:v>
      </x:c>
      <x:c r="B2419" t="n">
        <x:v>45382.624999988424</x:v>
      </x:c>
      <x:c r="C2419" t="str">
        <x:v>038620</x:v>
      </x:c>
      <x:c r="D2419" t="str">
        <x:v>위즈코프</x:v>
      </x:c>
      <x:c r="E2419" t="str">
        <x:v>KOSDAQ</x:v>
      </x:c>
      <x:c r="F2419" t="str">
        <x:v>SMALL</x:v>
      </x:c>
      <x:c r="G2419" t="str">
        <x:v>ELIGIBLE</x:v>
      </x:c>
      <x:c r="H2419"/>
      <x:c r="I2419" s="54" t="n">
        <x:v>45380</x:v>
      </x:c>
      <x:c r="J2419" s="55" t="n">
        <x:v>787</x:v>
      </x:c>
      <x:c r="K2419" s="55" t="n">
        <x:v>52372067955</x:v>
      </x:c>
      <x:c r="L2419" s="55" t="n">
        <x:v>66546465</x:v>
      </x:c>
      <x:c r="M2419" t="str">
        <x:v>20240320001532</x:v>
      </x:c>
      <x:c r="N2419" t="n">
        <x:v>45371.624999988424</x:v>
      </x:c>
      <x:c r="O2419" s="54" t="n">
        <x:v>45291</x:v>
      </x:c>
      <x:c r="P2419" t="str">
        <x:v>False</x:v>
      </x:c>
      <x:c r="Q2419" t="str">
        <x:v>272208ce5ebb5ff32e6d296ee870a448df4644666eb5b0b296ba31699f25ae35</x:v>
      </x:c>
      <x:c r="R2419" t="str">
        <x:v>91bdf7c084de96b2ec1fa33532af52d7e3525dc0207004b14802c08b3171213a</x:v>
      </x:c>
      <x:c r="S2419" t="n">
        <x:v>6</x:v>
      </x:c>
      <x:c r="T2419" t="str">
        <x:v>2018-12-31|2019-12-31|2020-12-31|2021-12-31|2022-12-31|2023-12-31</x:v>
      </x:c>
      <x:c r="U2419" s="57" t="n">
        <x:v>310.4127673293446</x:v>
      </x:c>
      <x:c r="V2419" s="57" t="n">
        <x:v>-0.605574628552294</x:v>
      </x:c>
      <x:c r="W2419" t="n">
        <x:v>47</x:v>
      </x:c>
      <x:c r="X2419" t="n">
        <x:v>4</x:v>
      </x:c>
      <x:c r="Y2419" s="38" t="n">
        <x:v>0.6409090909090909</x:v>
      </x:c>
      <x:c r="Z2419" s="38" t="n">
        <x:v>0.7544106526876061</x:v>
      </x:c>
      <x:c r="AA2419"/>
    </x:row>
    <x:row r="2420">
      <x:c r="A2420" s="54" t="n">
        <x:v>45382</x:v>
      </x:c>
      <x:c r="B2420" t="n">
        <x:v>45382.624999988424</x:v>
      </x:c>
      <x:c r="C2420" t="str">
        <x:v>313760</x:v>
      </x:c>
      <x:c r="D2420" t="str">
        <x:v>캐리</x:v>
      </x:c>
      <x:c r="E2420" t="str">
        <x:v>KOSDAQ</x:v>
      </x:c>
      <x:c r="F2420" t="str">
        <x:v>SMALL</x:v>
      </x:c>
      <x:c r="G2420" t="str">
        <x:v>DCF_SCREENING_EXCLUSION</x:v>
      </x:c>
      <x:c r="H2420" t="str">
        <x:v>NON_POSITIVE_ENTERPRISE_VALUE|NON_POSITIVE_EQUITY_VALUE|NON_POSITIVE_TERMINAL_FCF</x:v>
      </x:c>
      <x:c r="I2420" s="54" t="n">
        <x:v>45380</x:v>
      </x:c>
      <x:c r="J2420" s="55" t="n">
        <x:v>6660</x:v>
      </x:c>
      <x:c r="K2420" s="55" t="n">
        <x:v>38553947460</x:v>
      </x:c>
      <x:c r="L2420" s="55" t="n">
        <x:v>5788881</x:v>
      </x:c>
      <x:c r="M2420" t="str">
        <x:v>20240321001989</x:v>
      </x:c>
      <x:c r="N2420" t="n">
        <x:v>45372.624999988424</x:v>
      </x:c>
      <x:c r="O2420" s="54" t="n">
        <x:v>45291</x:v>
      </x:c>
      <x:c r="P2420" t="str">
        <x:v>False</x:v>
      </x:c>
      <x:c r="Q2420" t="str">
        <x:v>0bd7d04c0e0aefca490f9f7e586ebbb3a0eaaa331be2633cad42cc56ead868d7</x:v>
      </x:c>
      <x:c r="R2420" t="str">
        <x:v>a26b9199ee23d76d0c1c62eb187fc56048af16cace3c582c8dff5b6ebbb377eb</x:v>
      </x:c>
      <x:c r="S2420" t="n">
        <x:v>6</x:v>
      </x:c>
      <x:c r="T2420" t="str">
        <x:v>2019-12-31|2020-12-31|2021-12-31|2022-12-31|2023-12-31</x:v>
      </x:c>
      <x:c r="U2420" s="57" t="n">
        <x:v>-3123.3735178991706</x:v>
      </x:c>
      <x:c r="V2420" s="57" t="n">
        <x:v>-1.4689750026875632</x:v>
      </x:c>
      <x:c r="W2420"/>
      <x:c r="X2420"/>
      <x:c r="Y2420" s="38" t="n">
        <x:v>0.6409090909090909</x:v>
      </x:c>
      <x:c r="Z2420" s="38" t="n">
        <x:v>0.37057902973359175</x:v>
      </x:c>
      <x:c r="AA2420" t="str">
        <x:v>NON_POSITIVE_ENTERPRISE_VALUE|NON_POSITIVE_EQUITY_VALUE|NON_POSITIVE_TERMINAL_FCF</x:v>
      </x:c>
    </x:row>
    <x:row r="2421">
      <x:c r="A2421" s="54" t="n">
        <x:v>45382</x:v>
      </x:c>
      <x:c r="B2421" t="n">
        <x:v>45382.624999988424</x:v>
      </x:c>
      <x:c r="C2421" t="str">
        <x:v>372800</x:v>
      </x:c>
      <x:c r="D2421" t="str">
        <x:v>아이티아이즈</x:v>
      </x:c>
      <x:c r="E2421" t="str">
        <x:v>KOSDAQ</x:v>
      </x:c>
      <x:c r="F2421" t="str">
        <x:v>SMALL</x:v>
      </x:c>
      <x:c r="G2421" t="str">
        <x:v>DCF_SCREENING_EXCLUSION</x:v>
      </x:c>
      <x:c r="H2421" t="str">
        <x:v>NON_POSITIVE_ENTERPRISE_VALUE|NON_POSITIVE_EQUITY_VALUE|NON_POSITIVE_TERMINAL_FCF</x:v>
      </x:c>
      <x:c r="I2421" s="54" t="n">
        <x:v>45380</x:v>
      </x:c>
      <x:c r="J2421" s="55" t="n">
        <x:v>6200</x:v>
      </x:c>
      <x:c r="K2421" s="55" t="n">
        <x:v>37367338000</x:v>
      </x:c>
      <x:c r="L2421" s="55" t="n">
        <x:v>6026990</x:v>
      </x:c>
      <x:c r="M2421" t="str">
        <x:v>20240320000934</x:v>
      </x:c>
      <x:c r="N2421" t="n">
        <x:v>45371.624999988424</x:v>
      </x:c>
      <x:c r="O2421" s="54" t="n">
        <x:v>45291</x:v>
      </x:c>
      <x:c r="P2421" t="str">
        <x:v>False</x:v>
      </x:c>
      <x:c r="Q2421" t="str">
        <x:v>914d149f88b12fc4a464092978e0ee083b9040a890a137adf5971d85f8f45f80</x:v>
      </x:c>
      <x:c r="R2421" t="str">
        <x:v>186741dd3cd6e9e0251882e11e7c262fa8ba822aaad5de6aab48bcd9ef45bfb4</x:v>
      </x:c>
      <x:c r="S2421" t="n">
        <x:v>7</x:v>
      </x:c>
      <x:c r="T2421" t="str">
        <x:v>2021-12-31|2022-12-31|2023-12-31</x:v>
      </x:c>
      <x:c r="U2421" s="57" t="n">
        <x:v>-11187.477178495124</x:v>
      </x:c>
      <x:c r="V2421" s="57" t="n">
        <x:v>-2.8044318029830846</x:v>
      </x:c>
      <x:c r="W2421"/>
      <x:c r="X2421"/>
      <x:c r="Y2421" s="38" t="n">
        <x:v>0.6409090909090909</x:v>
      </x:c>
      <x:c r="Z2421" s="38" t="n">
        <x:v>0.635813030340686</x:v>
      </x:c>
      <x:c r="AA2421" t="str">
        <x:v>NON_POSITIVE_ENTERPRISE_VALUE|NON_POSITIVE_EQUITY_VALUE|NON_POSITIVE_TERMINAL_FCF</x:v>
      </x:c>
    </x:row>
    <x:row r="2422">
      <x:c r="A2422" s="54" t="n">
        <x:v>45382</x:v>
      </x:c>
      <x:c r="B2422" t="n">
        <x:v>45382.624999988424</x:v>
      </x:c>
      <x:c r="C2422" t="str">
        <x:v>332290</x:v>
      </x:c>
      <x:c r="D2422" t="str">
        <x:v>누보</x:v>
      </x:c>
      <x:c r="E2422" t="str">
        <x:v>KOSDAQ</x:v>
      </x:c>
      <x:c r="F2422" t="str">
        <x:v>SMALL</x:v>
      </x:c>
      <x:c r="G2422" t="str">
        <x:v>DCF_SCREENING_EXCLUSION</x:v>
      </x:c>
      <x:c r="H2422" t="str">
        <x:v>NON_POSITIVE_ENTERPRISE_VALUE|NON_POSITIVE_EQUITY_VALUE|NON_POSITIVE_TERMINAL_FCF</x:v>
      </x:c>
      <x:c r="I2422" s="54" t="n">
        <x:v>45380</x:v>
      </x:c>
      <x:c r="J2422" s="55" t="n">
        <x:v>1623</x:v>
      </x:c>
      <x:c r="K2422" s="55" t="n">
        <x:v>54183535269</x:v>
      </x:c>
      <x:c r="L2422" s="55" t="n">
        <x:v>33384803</x:v>
      </x:c>
      <x:c r="M2422" t="str">
        <x:v>20240321001435</x:v>
      </x:c>
      <x:c r="N2422" t="n">
        <x:v>45372.624999988424</x:v>
      </x:c>
      <x:c r="O2422" s="54" t="n">
        <x:v>45291</x:v>
      </x:c>
      <x:c r="P2422" t="str">
        <x:v>False</x:v>
      </x:c>
      <x:c r="Q2422" t="str">
        <x:v>dc20de5e13288cb8f1f4cc4cb90edd3cdfdcd47054020425ace8241e22b4cbb1</x:v>
      </x:c>
      <x:c r="R2422" t="str">
        <x:v>992623ccf14a72026f02310e0de027405308a3b157e8c09aa903b601fd91883f</x:v>
      </x:c>
      <x:c r="S2422" t="n">
        <x:v>6</x:v>
      </x:c>
      <x:c r="T2422" t="str">
        <x:v>2022-12-31|2023-12-31</x:v>
      </x:c>
      <x:c r="U2422" s="57" t="n">
        <x:v>-2501.67071673091</x:v>
      </x:c>
      <x:c r="V2422" s="57" t="n">
        <x:v>-2.541386763235311</x:v>
      </x:c>
      <x:c r="W2422"/>
      <x:c r="X2422"/>
      <x:c r="Y2422" s="38" t="n">
        <x:v>0.6409090909090909</x:v>
      </x:c>
      <x:c r="Z2422" s="38" t="n">
        <x:v>0.5782388693498399</x:v>
      </x:c>
      <x:c r="AA2422" t="str">
        <x:v>NON_POSITIVE_ENTERPRISE_VALUE|NON_POSITIVE_EQUITY_VALUE|NON_POSITIVE_TERMINAL_FCF</x:v>
      </x:c>
    </x:row>
    <x:row r="2423">
      <x:c r="A2423" s="54" t="n">
        <x:v>45382</x:v>
      </x:c>
      <x:c r="B2423" t="n">
        <x:v>45382.624999988424</x:v>
      </x:c>
      <x:c r="C2423" t="str">
        <x:v>059100</x:v>
      </x:c>
      <x:c r="D2423" t="str">
        <x:v>아이컴포넌트</x:v>
      </x:c>
      <x:c r="E2423" t="str">
        <x:v>KOSDAQ</x:v>
      </x:c>
      <x:c r="F2423" t="str">
        <x:v>SMALL</x:v>
      </x:c>
      <x:c r="G2423" t="str">
        <x:v>ELIGIBLE</x:v>
      </x:c>
      <x:c r="H2423"/>
      <x:c r="I2423" s="54" t="n">
        <x:v>45380</x:v>
      </x:c>
      <x:c r="J2423" s="55" t="n">
        <x:v>5520</x:v>
      </x:c>
      <x:c r="K2423" s="55" t="n">
        <x:v>39031147200</x:v>
      </x:c>
      <x:c r="L2423" s="55" t="n">
        <x:v>7070860</x:v>
      </x:c>
      <x:c r="M2423" t="str">
        <x:v>20240313000819</x:v>
      </x:c>
      <x:c r="N2423" t="n">
        <x:v>45364.624999988424</x:v>
      </x:c>
      <x:c r="O2423" s="54" t="n">
        <x:v>45291</x:v>
      </x:c>
      <x:c r="P2423" t="str">
        <x:v>False</x:v>
      </x:c>
      <x:c r="Q2423" t="str">
        <x:v>de44602b8531c88c57c436d45a3c15970778ae4a85492606d87188a14adbb222</x:v>
      </x:c>
      <x:c r="R2423" t="str">
        <x:v>8125346753fa442ed777a22a67b817367371619afdfc04cb77de1670c0ed2379</x:v>
      </x:c>
      <x:c r="S2423" t="n">
        <x:v>7</x:v>
      </x:c>
      <x:c r="T2423" t="str">
        <x:v>2018-12-31|2019-12-31|2020-12-31|2021-12-31|2022-12-31|2023-12-31</x:v>
      </x:c>
      <x:c r="U2423" s="57" t="n">
        <x:v>795.2291200624518</x:v>
      </x:c>
      <x:c r="V2423" s="57" t="n">
        <x:v>-0.8559367536118747</x:v>
      </x:c>
      <x:c r="W2423" t="n">
        <x:v>61</x:v>
      </x:c>
      <x:c r="X2423" t="n">
        <x:v>5</x:v>
      </x:c>
      <x:c r="Y2423" s="38" t="n">
        <x:v>0.6409090909090909</x:v>
      </x:c>
      <x:c r="Z2423" s="38" t="n">
        <x:v>0.7736031747531312</x:v>
      </x:c>
      <x:c r="AA2423"/>
    </x:row>
    <x:row r="2424">
      <x:c r="A2424" s="54" t="n">
        <x:v>45382</x:v>
      </x:c>
      <x:c r="B2424" t="n">
        <x:v>45382.624999988424</x:v>
      </x:c>
      <x:c r="C2424" t="str">
        <x:v>060900</x:v>
      </x:c>
      <x:c r="D2424" t="str">
        <x:v>DGP</x:v>
      </x:c>
      <x:c r="E2424" t="str">
        <x:v>KOSDAQ</x:v>
      </x:c>
      <x:c r="F2424" t="str">
        <x:v>SMALL</x:v>
      </x:c>
      <x:c r="G2424" t="str">
        <x:v>DCF_SCREENING_EXCLUSION</x:v>
      </x:c>
      <x:c r="H2424" t="str">
        <x:v>NON_POSITIVE_ENTERPRISE_VALUE|NON_POSITIVE_EQUITY_VALUE|NON_POSITIVE_TERMINAL_FCF</x:v>
      </x:c>
      <x:c r="I2424" s="54" t="n">
        <x:v>45380</x:v>
      </x:c>
      <x:c r="J2424" s="55" t="n">
        <x:v>1558</x:v>
      </x:c>
      <x:c r="K2424" s="55" t="n">
        <x:v>39352320782</x:v>
      </x:c>
      <x:c r="L2424" s="55" t="n">
        <x:v>25258229</x:v>
      </x:c>
      <x:c r="M2424" t="str">
        <x:v>20240321001894</x:v>
      </x:c>
      <x:c r="N2424" t="n">
        <x:v>45372.624999988424</x:v>
      </x:c>
      <x:c r="O2424" s="54" t="n">
        <x:v>45291</x:v>
      </x:c>
      <x:c r="P2424" t="str">
        <x:v>True</x:v>
      </x:c>
      <x:c r="Q2424" t="str">
        <x:v>1474ada931eb98b57e14ab7ff50c791dc82e5b1d395e17eaf8f3027f0dcc9574</x:v>
      </x:c>
      <x:c r="R2424" t="str">
        <x:v>af32aa183884862091064b823e70b298662bea83ef667da6652d0713a03d64d3</x:v>
      </x:c>
      <x:c r="S2424" t="n">
        <x:v>5</x:v>
      </x:c>
      <x:c r="T2424" t="str">
        <x:v>2018-12-31|2019-12-31|2021-12-31|2022-12-31|2023-12-31</x:v>
      </x:c>
      <x:c r="U2424" s="57" t="n">
        <x:v>-1283.8058073904676</x:v>
      </x:c>
      <x:c r="V2424" s="57" t="n">
        <x:v>-1.8240088622531885</x:v>
      </x:c>
      <x:c r="W2424"/>
      <x:c r="X2424"/>
      <x:c r="Y2424" s="38" t="n">
        <x:v>0.6409090909090909</x:v>
      </x:c>
      <x:c r="Z2424" s="38" t="n">
        <x:v>0.621144036130219</x:v>
      </x:c>
      <x:c r="AA2424" t="str">
        <x:v>NON_POSITIVE_ENTERPRISE_VALUE|NON_POSITIVE_EQUITY_VALUE|NON_POSITIVE_TERMINAL_FCF</x:v>
      </x:c>
    </x:row>
    <x:row r="2425">
      <x:c r="A2425" s="54" t="n">
        <x:v>45382</x:v>
      </x:c>
      <x:c r="B2425" t="n">
        <x:v>45382.624999988424</x:v>
      </x:c>
      <x:c r="C2425" t="str">
        <x:v>232830</x:v>
      </x:c>
      <x:c r="D2425" t="str">
        <x:v>아이티센피엔에스</x:v>
      </x:c>
      <x:c r="E2425" t="str">
        <x:v>KOSDAQ</x:v>
      </x:c>
      <x:c r="F2425" t="str">
        <x:v>SMALL</x:v>
      </x:c>
      <x:c r="G2425" t="str">
        <x:v>DCF_SCREENING_EXCLUSION</x:v>
      </x:c>
      <x:c r="H2425" t="str">
        <x:v>NON_POSITIVE_ENTERPRISE_VALUE|NON_POSITIVE_EQUITY_VALUE|NON_POSITIVE_TERMINAL_FCF</x:v>
      </x:c>
      <x:c r="I2425" s="54" t="n">
        <x:v>45380</x:v>
      </x:c>
      <x:c r="J2425" s="55" t="n">
        <x:v>3135</x:v>
      </x:c>
      <x:c r="K2425" s="55" t="n">
        <x:v>36702924720</x:v>
      </x:c>
      <x:c r="L2425" s="55" t="n">
        <x:v>11707472</x:v>
      </x:c>
      <x:c r="M2425" t="str">
        <x:v>20240318000711</x:v>
      </x:c>
      <x:c r="N2425" t="n">
        <x:v>45369.624999988424</x:v>
      </x:c>
      <x:c r="O2425" s="54" t="n">
        <x:v>45291</x:v>
      </x:c>
      <x:c r="P2425" t="str">
        <x:v>False</x:v>
      </x:c>
      <x:c r="Q2425" t="str">
        <x:v>2ef9f4621e5d771c469b1b6c7fdc4cd88bef1e6298a76a757c5b3c158fc41901</x:v>
      </x:c>
      <x:c r="R2425" t="str">
        <x:v>676c3589c1b25fc921096fefbc5c14cae7e63b0412aea817f9e7fe7d395cd937</x:v>
      </x:c>
      <x:c r="S2425" t="n">
        <x:v>6</x:v>
      </x:c>
      <x:c r="T2425" t="str">
        <x:v>2023-12-31</x:v>
      </x:c>
      <x:c r="U2425" s="57" t="n">
        <x:v>-882.1328119703383</x:v>
      </x:c>
      <x:c r="V2425" s="57" t="n">
        <x:v>-1.281382077183521</x:v>
      </x:c>
      <x:c r="W2425"/>
      <x:c r="X2425"/>
      <x:c r="Y2425" s="38" t="n">
        <x:v>0.6409090909090909</x:v>
      </x:c>
      <x:c r="Z2425" s="38" t="n">
        <x:v>0.6264850986190418</x:v>
      </x:c>
      <x:c r="AA2425" t="str">
        <x:v>NON_POSITIVE_ENTERPRISE_VALUE|NON_POSITIVE_EQUITY_VALUE|NON_POSITIVE_TERMINAL_FCF</x:v>
      </x:c>
    </x:row>
    <x:row r="2426">
      <x:c r="A2426" s="54" t="n">
        <x:v>45382</x:v>
      </x:c>
      <x:c r="B2426" t="n">
        <x:v>45382.624999988424</x:v>
      </x:c>
      <x:c r="C2426" t="str">
        <x:v>070590</x:v>
      </x:c>
      <x:c r="D2426" t="str">
        <x:v>한솔인티큐브</x:v>
      </x:c>
      <x:c r="E2426" t="str">
        <x:v>KOSDAQ</x:v>
      </x:c>
      <x:c r="F2426" t="str">
        <x:v>SMALL</x:v>
      </x:c>
      <x:c r="G2426" t="str">
        <x:v>DCF_SCREENING_EXCLUSION</x:v>
      </x:c>
      <x:c r="H2426" t="str">
        <x:v>NON_POSITIVE_ENTERPRISE_VALUE|NON_POSITIVE_EQUITY_VALUE|NON_POSITIVE_TERMINAL_FCF</x:v>
      </x:c>
      <x:c r="I2426" s="54" t="n">
        <x:v>45380</x:v>
      </x:c>
      <x:c r="J2426" s="55" t="n">
        <x:v>1579</x:v>
      </x:c>
      <x:c r="K2426" s="55" t="n">
        <x:v>21915763659</x:v>
      </x:c>
      <x:c r="L2426" s="55" t="n">
        <x:v>13879521</x:v>
      </x:c>
      <x:c r="M2426" t="str">
        <x:v>20240312000981</x:v>
      </x:c>
      <x:c r="N2426" t="n">
        <x:v>45363.624999988424</x:v>
      </x:c>
      <x:c r="O2426" s="54" t="n">
        <x:v>45291</x:v>
      </x:c>
      <x:c r="P2426" t="str">
        <x:v>False</x:v>
      </x:c>
      <x:c r="Q2426" t="str">
        <x:v>1dcf4f95e11520238d31fe55d66a361893d88863002eb93ccfa11d774ad77ecd</x:v>
      </x:c>
      <x:c r="R2426" t="str">
        <x:v>0a25ac283323a913ae282d5b4fa9d812e4daf6e8b8fde04a6d83b338fee07dc1</x:v>
      </x:c>
      <x:c r="S2426" t="n">
        <x:v>6</x:v>
      </x:c>
      <x:c r="T2426" t="str">
        <x:v>2018-12-31|2019-12-31|2020-12-31|2021-12-31|2022-12-31|2023-12-31</x:v>
      </x:c>
      <x:c r="U2426" s="57" t="n">
        <x:v>-727.1708574239069</x:v>
      </x:c>
      <x:c r="V2426" s="57" t="n">
        <x:v>-1.460526192162069</x:v>
      </x:c>
      <x:c r="W2426"/>
      <x:c r="X2426"/>
      <x:c r="Y2426" s="38" t="n">
        <x:v>0.6409090909090909</x:v>
      </x:c>
      <x:c r="Z2426" s="38" t="n">
        <x:v>0.39168294997409436</x:v>
      </x:c>
      <x:c r="AA2426" t="str">
        <x:v>NON_POSITIVE_ENTERPRISE_VALUE|NON_POSITIVE_EQUITY_VALUE|NON_POSITIVE_TERMINAL_FCF</x:v>
      </x:c>
    </x:row>
    <x:row r="2427">
      <x:c r="A2427" s="54" t="n">
        <x:v>45382</x:v>
      </x:c>
      <x:c r="B2427" t="n">
        <x:v>45382.624999988424</x:v>
      </x:c>
      <x:c r="C2427" t="str">
        <x:v>163560</x:v>
      </x:c>
      <x:c r="D2427" t="str">
        <x:v>동일고무벨트</x:v>
      </x:c>
      <x:c r="E2427" t="str">
        <x:v>KOSPI</x:v>
      </x:c>
      <x:c r="F2427" t="str">
        <x:v>SMALL</x:v>
      </x:c>
      <x:c r="G2427" t="str">
        <x:v>ELIGIBLE</x:v>
      </x:c>
      <x:c r="H2427"/>
      <x:c r="I2427" s="54" t="n">
        <x:v>45380</x:v>
      </x:c>
      <x:c r="J2427" s="55" t="n">
        <x:v>7990</x:v>
      </x:c>
      <x:c r="K2427" s="55" t="n">
        <x:v>111061000000</x:v>
      </x:c>
      <x:c r="L2427" s="55" t="n">
        <x:v>13900000</x:v>
      </x:c>
      <x:c r="M2427" t="str">
        <x:v>20240312000727</x:v>
      </x:c>
      <x:c r="N2427" t="n">
        <x:v>45363.624999988424</x:v>
      </x:c>
      <x:c r="O2427" s="54" t="n">
        <x:v>45291</x:v>
      </x:c>
      <x:c r="P2427" t="str">
        <x:v>False</x:v>
      </x:c>
      <x:c r="Q2427" t="str">
        <x:v>8300d6b1875715c243030f671f2aaf02f96d54e1068e1a551b702430cd374885</x:v>
      </x:c>
      <x:c r="R2427" t="str">
        <x:v>219a543a521b843095fcaa2f4cf5a286d564452ada755581ce03daced7cab1f4</x:v>
      </x:c>
      <x:c r="S2427" t="n">
        <x:v>5</x:v>
      </x:c>
      <x:c r="T2427" t="str">
        <x:v>2018-12-31|2019-12-31|2020-12-31|2021-12-31|2022-12-31|2023-12-31</x:v>
      </x:c>
      <x:c r="U2427" s="57" t="n">
        <x:v>3794.8274011621584</x:v>
      </x:c>
      <x:c r="V2427" s="57" t="n">
        <x:v>-0.5250528909684408</x:v>
      </x:c>
      <x:c r="W2427" t="n">
        <x:v>44</x:v>
      </x:c>
      <x:c r="X2427" t="n">
        <x:v>4</x:v>
      </x:c>
      <x:c r="Y2427" s="38" t="n">
        <x:v>0.6409090909090909</x:v>
      </x:c>
      <x:c r="Z2427" s="38" t="n">
        <x:v>0.63760841552032</x:v>
      </x:c>
      <x:c r="AA2427"/>
    </x:row>
    <x:row r="2428">
      <x:c r="A2428" s="54" t="n">
        <x:v>45382</x:v>
      </x:c>
      <x:c r="B2428" t="n">
        <x:v>45382.624999988424</x:v>
      </x:c>
      <x:c r="C2428" t="str">
        <x:v>004830</x:v>
      </x:c>
      <x:c r="D2428" t="str">
        <x:v>덕성</x:v>
      </x:c>
      <x:c r="E2428" t="str">
        <x:v>KOSPI</x:v>
      </x:c>
      <x:c r="F2428" t="str">
        <x:v>SMALL</x:v>
      </x:c>
      <x:c r="G2428" t="str">
        <x:v>ELIGIBLE</x:v>
      </x:c>
      <x:c r="H2428"/>
      <x:c r="I2428" s="54" t="n">
        <x:v>45380</x:v>
      </x:c>
      <x:c r="J2428" s="55" t="n">
        <x:v>8910</x:v>
      </x:c>
      <x:c r="K2428" s="55" t="n">
        <x:v>139708800000</x:v>
      </x:c>
      <x:c r="L2428" s="55" t="n">
        <x:v>15680000</x:v>
      </x:c>
      <x:c r="M2428" t="str">
        <x:v>20240318000444</x:v>
      </x:c>
      <x:c r="N2428" t="n">
        <x:v>45369.624999988424</x:v>
      </x:c>
      <x:c r="O2428" s="54" t="n">
        <x:v>45291</x:v>
      </x:c>
      <x:c r="P2428" t="str">
        <x:v>False</x:v>
      </x:c>
      <x:c r="Q2428" t="str">
        <x:v>5c791e9d7c4baa9765c24340c5b47bda11989d0310430c6cc33cf087e7d59d93</x:v>
      </x:c>
      <x:c r="R2428" t="str">
        <x:v>d7fd13e4080789861d787a14face42a4b7821446f86335eeac9fa652e97eec43</x:v>
      </x:c>
      <x:c r="S2428" t="n">
        <x:v>7</x:v>
      </x:c>
      <x:c r="T2428" t="str">
        <x:v>2018-12-31|2019-12-31|2020-12-31|2021-12-31|2022-12-31|2023-12-31</x:v>
      </x:c>
      <x:c r="U2428" s="57" t="n">
        <x:v>2363.208087404123</x:v>
      </x:c>
      <x:c r="V2428" s="57" t="n">
        <x:v>-0.7347690137593577</x:v>
      </x:c>
      <x:c r="W2428" t="n">
        <x:v>56</x:v>
      </x:c>
      <x:c r="X2428" t="n">
        <x:v>5</x:v>
      </x:c>
      <x:c r="Y2428" s="38" t="n">
        <x:v>0.6409090909090909</x:v>
      </x:c>
      <x:c r="Z2428" s="38" t="n">
        <x:v>0.6091383391219799</x:v>
      </x:c>
      <x:c r="AA2428"/>
    </x:row>
    <x:row r="2429">
      <x:c r="A2429" s="54" t="n">
        <x:v>45382</x:v>
      </x:c>
      <x:c r="B2429" t="n">
        <x:v>45382.624999988424</x:v>
      </x:c>
      <x:c r="C2429" t="str">
        <x:v>014440</x:v>
      </x:c>
      <x:c r="D2429" t="str">
        <x:v>영보화학</x:v>
      </x:c>
      <x:c r="E2429" t="str">
        <x:v>KOSPI</x:v>
      </x:c>
      <x:c r="F2429" t="str">
        <x:v>SMALL</x:v>
      </x:c>
      <x:c r="G2429" t="str">
        <x:v>ELIGIBLE</x:v>
      </x:c>
      <x:c r="H2429"/>
      <x:c r="I2429" s="54" t="n">
        <x:v>45380</x:v>
      </x:c>
      <x:c r="J2429" s="55" t="n">
        <x:v>3660</x:v>
      </x:c>
      <x:c r="K2429" s="55" t="n">
        <x:v>73200000000</x:v>
      </x:c>
      <x:c r="L2429" s="55" t="n">
        <x:v>20000000</x:v>
      </x:c>
      <x:c r="M2429" t="str">
        <x:v>20240313001248</x:v>
      </x:c>
      <x:c r="N2429" t="n">
        <x:v>45364.624999988424</x:v>
      </x:c>
      <x:c r="O2429" s="54" t="n">
        <x:v>45291</x:v>
      </x:c>
      <x:c r="P2429" t="str">
        <x:v>False</x:v>
      </x:c>
      <x:c r="Q2429" t="str">
        <x:v>906f6477c652f0506d6357d210e56a5f26efb08af099195d43ebe66ddb3a9a16</x:v>
      </x:c>
      <x:c r="R2429" t="str">
        <x:v>6cfa4e5d2a857dac7b466b3d3e6f158247567fd453702755355a023a17654a90</x:v>
      </x:c>
      <x:c r="S2429" t="n">
        <x:v>6</x:v>
      </x:c>
      <x:c r="T2429" t="str">
        <x:v>2018-12-31|2019-12-31|2020-12-31|2021-12-31|2022-12-31|2023-12-31</x:v>
      </x:c>
      <x:c r="U2429" s="57" t="n">
        <x:v>2627.709734330535</x:v>
      </x:c>
      <x:c r="V2429" s="57" t="n">
        <x:v>-0.2820465206747172</x:v>
      </x:c>
      <x:c r="W2429" t="n">
        <x:v>34</x:v>
      </x:c>
      <x:c r="X2429" t="n">
        <x:v>3</x:v>
      </x:c>
      <x:c r="Y2429" s="38" t="n">
        <x:v>0.6409090909090909</x:v>
      </x:c>
      <x:c r="Z2429" s="38" t="n">
        <x:v>0.3830129280904156</x:v>
      </x:c>
      <x:c r="AA2429"/>
    </x:row>
    <x:row r="2430">
      <x:c r="A2430" s="54" t="n">
        <x:v>45382</x:v>
      </x:c>
      <x:c r="B2430" t="n">
        <x:v>45382.624999988424</x:v>
      </x:c>
      <x:c r="C2430" t="str">
        <x:v>009180</x:v>
      </x:c>
      <x:c r="D2430" t="str">
        <x:v>한솔로지스틱스</x:v>
      </x:c>
      <x:c r="E2430" t="str">
        <x:v>KOSPI</x:v>
      </x:c>
      <x:c r="F2430" t="str">
        <x:v>SMALL</x:v>
      </x:c>
      <x:c r="G2430" t="str">
        <x:v>ELIGIBLE</x:v>
      </x:c>
      <x:c r="H2430"/>
      <x:c r="I2430" s="54" t="n">
        <x:v>45380</x:v>
      </x:c>
      <x:c r="J2430" s="55" t="n">
        <x:v>2390</x:v>
      </x:c>
      <x:c r="K2430" s="55" t="n">
        <x:v>66327817750</x:v>
      </x:c>
      <x:c r="L2430" s="55" t="n">
        <x:v>27752225</x:v>
      </x:c>
      <x:c r="M2430" t="str">
        <x:v>20240312000456</x:v>
      </x:c>
      <x:c r="N2430" t="n">
        <x:v>45363.624999988424</x:v>
      </x:c>
      <x:c r="O2430" s="54" t="n">
        <x:v>45291</x:v>
      </x:c>
      <x:c r="P2430" t="str">
        <x:v>False</x:v>
      </x:c>
      <x:c r="Q2430" t="str">
        <x:v>e3e86eda83e12a1cdfafba8607f3d06217ed3703a0d0654f09efaa4b44fe752a</x:v>
      </x:c>
      <x:c r="R2430" t="str">
        <x:v>bf9d76ef0c6161455304be5f656f5022db39256267de7ec786e18b5457e5cfd2</x:v>
      </x:c>
      <x:c r="S2430" t="n">
        <x:v>6</x:v>
      </x:c>
      <x:c r="T2430" t="str">
        <x:v>2018-12-31|2019-12-31|2020-12-31|2021-12-31|2022-12-31|2023-12-31</x:v>
      </x:c>
      <x:c r="U2430" s="57" t="n">
        <x:v>6535.214267491373</x:v>
      </x:c>
      <x:c r="V2430" s="57" t="n">
        <x:v>1.734399275100993</x:v>
      </x:c>
      <x:c r="W2430" t="n">
        <x:v>8</x:v>
      </x:c>
      <x:c r="X2430" t="n">
        <x:v>1</x:v>
      </x:c>
      <x:c r="Y2430" s="38" t="n">
        <x:v>0.6409090909090909</x:v>
      </x:c>
      <x:c r="Z2430" s="38" t="n">
        <x:v>0.6327524850142684</x:v>
      </x:c>
      <x:c r="AA2430"/>
    </x:row>
    <x:row r="2431">
      <x:c r="A2431" s="54" t="n">
        <x:v>45382</x:v>
      </x:c>
      <x:c r="B2431" t="n">
        <x:v>45382.624999988424</x:v>
      </x:c>
      <x:c r="C2431" t="str">
        <x:v>004910</x:v>
      </x:c>
      <x:c r="D2431" t="str">
        <x:v>조광페인트</x:v>
      </x:c>
      <x:c r="E2431" t="str">
        <x:v>KOSPI</x:v>
      </x:c>
      <x:c r="F2431" t="str">
        <x:v>SMALL</x:v>
      </x:c>
      <x:c r="G2431" t="str">
        <x:v>DCF_SCREENING_EXCLUSION</x:v>
      </x:c>
      <x:c r="H2431" t="str">
        <x:v>NON_POSITIVE_ENTERPRISE_VALUE|NON_POSITIVE_EQUITY_VALUE|NON_POSITIVE_TERMINAL_FCF</x:v>
      </x:c>
      <x:c r="I2431" s="54" t="n">
        <x:v>45380</x:v>
      </x:c>
      <x:c r="J2431" s="55" t="n">
        <x:v>5880</x:v>
      </x:c>
      <x:c r="K2431" s="55" t="n">
        <x:v>75264000000</x:v>
      </x:c>
      <x:c r="L2431" s="55" t="n">
        <x:v>12800000</x:v>
      </x:c>
      <x:c r="M2431" t="str">
        <x:v>20240320000988</x:v>
      </x:c>
      <x:c r="N2431" t="n">
        <x:v>45371.624999988424</x:v>
      </x:c>
      <x:c r="O2431" s="54" t="n">
        <x:v>45291</x:v>
      </x:c>
      <x:c r="P2431" t="str">
        <x:v>False</x:v>
      </x:c>
      <x:c r="Q2431" t="str">
        <x:v>011166dc06a77bd72caf4b4c520c6c3d496b4d62095b3f9f3304a8a9c15b76e8</x:v>
      </x:c>
      <x:c r="R2431" t="str">
        <x:v>38f0a80f49dd016085e3272f83dedfb09ff2e263674bbb598f8d3e74fda0d5a1</x:v>
      </x:c>
      <x:c r="S2431" t="n">
        <x:v>6</x:v>
      </x:c>
      <x:c r="T2431" t="str">
        <x:v>2018-12-31|2019-12-31|2020-12-31|2021-12-31|2022-12-31|2023-12-31</x:v>
      </x:c>
      <x:c r="U2431" s="57" t="n">
        <x:v>-7916.655886505957</x:v>
      </x:c>
      <x:c r="V2431" s="57" t="n">
        <x:v>-2.3463700487255026</x:v>
      </x:c>
      <x:c r="W2431"/>
      <x:c r="X2431"/>
      <x:c r="Y2431" s="38" t="n">
        <x:v>0.6409090909090909</x:v>
      </x:c>
      <x:c r="Z2431" s="38" t="n">
        <x:v>0.7035350926583852</x:v>
      </x:c>
      <x:c r="AA2431" t="str">
        <x:v>NON_POSITIVE_ENTERPRISE_VALUE|NON_POSITIVE_EQUITY_VALUE|NON_POSITIVE_TERMINAL_FCF</x:v>
      </x:c>
    </x:row>
    <x:row r="2432">
      <x:c r="A2432" s="54" t="n">
        <x:v>45382</x:v>
      </x:c>
      <x:c r="B2432" t="n">
        <x:v>45382.624999988424</x:v>
      </x:c>
      <x:c r="C2432" t="str">
        <x:v>004870</x:v>
      </x:c>
      <x:c r="D2432" t="str">
        <x:v>티웨이홀딩스</x:v>
      </x:c>
      <x:c r="E2432" t="str">
        <x:v>KOSPI</x:v>
      </x:c>
      <x:c r="F2432" t="str">
        <x:v>SMALL</x:v>
      </x:c>
      <x:c r="G2432" t="str">
        <x:v>EXCLUDED_ARCHETYPE</x:v>
      </x:c>
      <x:c r="H2432" t="str">
        <x:v>FCFF_NOT_COMPARABLE_FOR_FINANCE_OR_HOLDING_HINT</x:v>
      </x:c>
      <x:c r="I2432" s="54"/>
      <x:c r="J2432" s="55"/>
      <x:c r="K2432" s="55"/>
      <x:c r="L2432" s="55"/>
      <x:c r="M2432"/>
      <x:c r="N2432"/>
      <x:c r="O2432" s="54"/>
      <x:c r="P2432"/>
      <x:c r="Q2432"/>
      <x:c r="R2432"/>
      <x:c r="S2432"/>
      <x:c r="T2432"/>
      <x:c r="U2432" s="57"/>
      <x:c r="V2432" s="57"/>
      <x:c r="W2432"/>
      <x:c r="X2432"/>
      <x:c r="Y2432" s="38"/>
      <x:c r="Z2432" s="38"/>
      <x:c r="AA2432"/>
    </x:row>
    <x:row r="2433">
      <x:c r="A2433" s="54" t="n">
        <x:v>45382</x:v>
      </x:c>
      <x:c r="B2433" t="n">
        <x:v>45382.624999988424</x:v>
      </x:c>
      <x:c r="C2433" t="str">
        <x:v>010770</x:v>
      </x:c>
      <x:c r="D2433" t="str">
        <x:v>평화홀딩스</x:v>
      </x:c>
      <x:c r="E2433" t="str">
        <x:v>KOSPI</x:v>
      </x:c>
      <x:c r="F2433" t="str">
        <x:v>SMALL</x:v>
      </x:c>
      <x:c r="G2433" t="str">
        <x:v>EXCLUDED_ARCHETYPE</x:v>
      </x:c>
      <x:c r="H2433" t="str">
        <x:v>FCFF_NOT_COMPARABLE_FOR_FINANCE_OR_HOLDING_HINT</x:v>
      </x:c>
      <x:c r="I2433" s="54"/>
      <x:c r="J2433" s="55"/>
      <x:c r="K2433" s="55"/>
      <x:c r="L2433" s="55"/>
      <x:c r="M2433"/>
      <x:c r="N2433"/>
      <x:c r="O2433" s="54"/>
      <x:c r="P2433"/>
      <x:c r="Q2433"/>
      <x:c r="R2433"/>
      <x:c r="S2433"/>
      <x:c r="T2433"/>
      <x:c r="U2433" s="57"/>
      <x:c r="V2433" s="57"/>
      <x:c r="W2433"/>
      <x:c r="X2433"/>
      <x:c r="Y2433" s="38"/>
      <x:c r="Z2433" s="38"/>
      <x:c r="AA2433"/>
    </x:row>
    <x:row r="2434">
      <x:c r="A2434" s="54" t="n">
        <x:v>45382</x:v>
      </x:c>
      <x:c r="B2434" t="n">
        <x:v>45382.624999988424</x:v>
      </x:c>
      <x:c r="C2434" t="str">
        <x:v>001290</x:v>
      </x:c>
      <x:c r="D2434" t="str">
        <x:v>상상인증권</x:v>
      </x:c>
      <x:c r="E2434" t="str">
        <x:v>KOSPI</x:v>
      </x:c>
      <x:c r="F2434" t="str">
        <x:v>SMALL</x:v>
      </x:c>
      <x:c r="G2434" t="str">
        <x:v>EXCLUDED_ARCHETYPE</x:v>
      </x:c>
      <x:c r="H2434" t="str">
        <x:v>FCFF_NOT_COMPARABLE_FOR_FINANCE_OR_HOLDING_HINT</x:v>
      </x:c>
      <x:c r="I2434" s="54"/>
      <x:c r="J2434" s="55"/>
      <x:c r="K2434" s="55"/>
      <x:c r="L2434" s="55"/>
      <x:c r="M2434"/>
      <x:c r="N2434"/>
      <x:c r="O2434" s="54"/>
      <x:c r="P2434"/>
      <x:c r="Q2434"/>
      <x:c r="R2434"/>
      <x:c r="S2434"/>
      <x:c r="T2434"/>
      <x:c r="U2434" s="57"/>
      <x:c r="V2434" s="57"/>
      <x:c r="W2434"/>
      <x:c r="X2434"/>
      <x:c r="Y2434" s="38"/>
      <x:c r="Z2434" s="38"/>
      <x:c r="AA2434"/>
    </x:row>
    <x:row r="2435">
      <x:c r="A2435" s="54" t="n">
        <x:v>45382</x:v>
      </x:c>
      <x:c r="B2435" t="n">
        <x:v>45382.624999988424</x:v>
      </x:c>
      <x:c r="C2435" t="str">
        <x:v>047400</x:v>
      </x:c>
      <x:c r="D2435" t="str">
        <x:v>유니온머티리얼</x:v>
      </x:c>
      <x:c r="E2435" t="str">
        <x:v>KOSPI</x:v>
      </x:c>
      <x:c r="F2435" t="str">
        <x:v>SMALL</x:v>
      </x:c>
      <x:c r="G2435" t="str">
        <x:v>DCF_SCREENING_EXCLUSION</x:v>
      </x:c>
      <x:c r="H2435" t="str">
        <x:v>NON_POSITIVE_ENTERPRISE_VALUE|NON_POSITIVE_EQUITY_VALUE|NON_POSITIVE_TERMINAL_FCF</x:v>
      </x:c>
      <x:c r="I2435" s="54" t="n">
        <x:v>45380</x:v>
      </x:c>
      <x:c r="J2435" s="55" t="n">
        <x:v>2655</x:v>
      </x:c>
      <x:c r="K2435" s="55" t="n">
        <x:v>111510000000</x:v>
      </x:c>
      <x:c r="L2435" s="55" t="n">
        <x:v>42000000</x:v>
      </x:c>
      <x:c r="M2435" t="str">
        <x:v>20240320001765</x:v>
      </x:c>
      <x:c r="N2435" t="n">
        <x:v>45371.624999988424</x:v>
      </x:c>
      <x:c r="O2435" s="54" t="n">
        <x:v>45291</x:v>
      </x:c>
      <x:c r="P2435" t="str">
        <x:v>False</x:v>
      </x:c>
      <x:c r="Q2435" t="str">
        <x:v>5388f7e4d62e738917bcb25445a6393239daafedd04b6510c6b284bc33bd94b9</x:v>
      </x:c>
      <x:c r="R2435" t="str">
        <x:v>7e8bbc2b129cefc9496566cc6cc894fd4e78a2be493d05699d922af91a39b2b1</x:v>
      </x:c>
      <x:c r="S2435" t="n">
        <x:v>7</x:v>
      </x:c>
      <x:c r="T2435" t="str">
        <x:v>2018-12-31|2019-12-31|2020-12-31|2021-12-31|2022-12-31|2023-12-31</x:v>
      </x:c>
      <x:c r="U2435" s="57" t="n">
        <x:v>-2955.842766905707</x:v>
      </x:c>
      <x:c r="V2435" s="57" t="n">
        <x:v>-2.113311776612319</x:v>
      </x:c>
      <x:c r="W2435"/>
      <x:c r="X2435"/>
      <x:c r="Y2435" s="38" t="n">
        <x:v>0.6409090909090909</x:v>
      </x:c>
      <x:c r="Z2435" s="38" t="n">
        <x:v>0.5638612783643214</x:v>
      </x:c>
      <x:c r="AA2435" t="str">
        <x:v>NON_POSITIVE_ENTERPRISE_VALUE|NON_POSITIVE_EQUITY_VALUE|NON_POSITIVE_TERMINAL_FCF</x:v>
      </x:c>
    </x:row>
    <x:row r="2436">
      <x:c r="A2436" s="54" t="n">
        <x:v>45382</x:v>
      </x:c>
      <x:c r="B2436" t="n">
        <x:v>45382.624999988424</x:v>
      </x:c>
      <x:c r="C2436" t="str">
        <x:v>011300</x:v>
      </x:c>
      <x:c r="D2436" t="str">
        <x:v>성안머티리얼스</x:v>
      </x:c>
      <x:c r="E2436" t="str">
        <x:v>KOSPI</x:v>
      </x:c>
      <x:c r="F2436" t="str">
        <x:v>SMALL</x:v>
      </x:c>
      <x:c r="G2436" t="str">
        <x:v>DCF_SCREENING_EXCLUSION</x:v>
      </x:c>
      <x:c r="H2436" t="str">
        <x:v>NON_POSITIVE_ENTERPRISE_VALUE|NON_POSITIVE_EQUITY_VALUE|NON_POSITIVE_TERMINAL_FCF</x:v>
      </x:c>
      <x:c r="I2436" s="54" t="n">
        <x:v>45380</x:v>
      </x:c>
      <x:c r="J2436" s="55" t="n">
        <x:v>1287</x:v>
      </x:c>
      <x:c r="K2436" s="55" t="n">
        <x:v>90800147295</x:v>
      </x:c>
      <x:c r="L2436" s="55" t="n">
        <x:v>70551785</x:v>
      </x:c>
      <x:c r="M2436" t="str">
        <x:v>20240321001113</x:v>
      </x:c>
      <x:c r="N2436" t="n">
        <x:v>45372.624999988424</x:v>
      </x:c>
      <x:c r="O2436" s="54" t="n">
        <x:v>45291</x:v>
      </x:c>
      <x:c r="P2436" t="str">
        <x:v>False</x:v>
      </x:c>
      <x:c r="Q2436" t="str">
        <x:v>e6e54bed3ead79b641dcaa9bf885e9e250dabc02777af1069689273f4df3cb72</x:v>
      </x:c>
      <x:c r="R2436" t="str">
        <x:v>79d7dbebfb369b6a4f104b9f12e2ef3dd5e57ae35ac5295fc565aca4497da4b0</x:v>
      </x:c>
      <x:c r="S2436" t="n">
        <x:v>7</x:v>
      </x:c>
      <x:c r="T2436" t="str">
        <x:v>2018-12-31|2019-12-31|2020-12-31|2021-12-31|2022-12-31|2023-12-31</x:v>
      </x:c>
      <x:c r="U2436" s="57" t="n">
        <x:v>-567.069975056966</x:v>
      </x:c>
      <x:c r="V2436" s="57" t="n">
        <x:v>-1.4406138112330737</x:v>
      </x:c>
      <x:c r="W2436"/>
      <x:c r="X2436"/>
      <x:c r="Y2436" s="38" t="n">
        <x:v>0.6409090909090909</x:v>
      </x:c>
      <x:c r="Z2436" s="38" t="n">
        <x:v>0.35474198726081796</x:v>
      </x:c>
      <x:c r="AA2436" t="str">
        <x:v>NON_POSITIVE_ENTERPRISE_VALUE|NON_POSITIVE_EQUITY_VALUE|NON_POSITIVE_TERMINAL_FCF</x:v>
      </x:c>
    </x:row>
    <x:row r="2437">
      <x:c r="A2437" s="54" t="n">
        <x:v>45382</x:v>
      </x:c>
      <x:c r="B2437" t="n">
        <x:v>45382.624999988424</x:v>
      </x:c>
      <x:c r="C2437" t="str">
        <x:v>018500</x:v>
      </x:c>
      <x:c r="D2437" t="str">
        <x:v>동원금속</x:v>
      </x:c>
      <x:c r="E2437" t="str">
        <x:v>KOSPI</x:v>
      </x:c>
      <x:c r="F2437" t="str">
        <x:v>SMALL</x:v>
      </x:c>
      <x:c r="G2437" t="str">
        <x:v>DCF_SCREENING_EXCLUSION</x:v>
      </x:c>
      <x:c r="H2437" t="str">
        <x:v>NON_POSITIVE_ENTERPRISE_VALUE|NON_POSITIVE_EQUITY_VALUE|NON_POSITIVE_TERMINAL_FCF|UNRELIABLE_TERMINAL_VALUE_SHARE</x:v>
      </x:c>
      <x:c r="I2437" s="54" t="n">
        <x:v>45380</x:v>
      </x:c>
      <x:c r="J2437" s="55" t="n">
        <x:v>1750</x:v>
      </x:c>
      <x:c r="K2437" s="55" t="n">
        <x:v>81821132750</x:v>
      </x:c>
      <x:c r="L2437" s="55" t="n">
        <x:v>46754933</x:v>
      </x:c>
      <x:c r="M2437" t="str">
        <x:v>20230620000249</x:v>
      </x:c>
      <x:c r="N2437" t="n">
        <x:v>45097.624999988424</x:v>
      </x:c>
      <x:c r="O2437" s="54" t="n">
        <x:v>45016</x:v>
      </x:c>
      <x:c r="P2437" t="str">
        <x:v>False</x:v>
      </x:c>
      <x:c r="Q2437" t="str">
        <x:v>f1862c7baa29ecebf9f6df1b59409dbe47c0abda6c18f53beea55fe21b2b9d5b</x:v>
      </x:c>
      <x:c r="R2437" t="str">
        <x:v>d1fa046b7d256a0b8d7f4944a0565f94f6ebfef213ee9bec3fb5f8ef8c529f7c</x:v>
      </x:c>
      <x:c r="S2437" t="n">
        <x:v>6</x:v>
      </x:c>
      <x:c r="T2437" t="str">
        <x:v>2019-03-31|2020-03-31|2021-03-31|2022-03-31|2023-03-31</x:v>
      </x:c>
      <x:c r="U2437" s="57" t="n">
        <x:v>-3365.698917189611</x:v>
      </x:c>
      <x:c r="V2437" s="57" t="n">
        <x:v>-2.923256524108349</x:v>
      </x:c>
      <x:c r="W2437"/>
      <x:c r="X2437"/>
      <x:c r="Y2437" s="38" t="n">
        <x:v>0.6409090909090909</x:v>
      </x:c>
      <x:c r="Z2437" s="38" t="n">
        <x:v>2.772612621643133</x:v>
      </x:c>
      <x:c r="AA2437" t="str">
        <x:v>NON_POSITIVE_ENTERPRISE_VALUE|NON_POSITIVE_EQUITY_VALUE|NON_POSITIVE_TERMINAL_FCF|UNRELIABLE_TERMINAL_VALUE_SHARE</x:v>
      </x:c>
    </x:row>
    <x:row r="2438">
      <x:c r="A2438" s="54" t="n">
        <x:v>45382</x:v>
      </x:c>
      <x:c r="B2438" t="n">
        <x:v>45382.624999988424</x:v>
      </x:c>
      <x:c r="C2438" t="str">
        <x:v>004770</x:v>
      </x:c>
      <x:c r="D2438" t="str">
        <x:v>써니전자</x:v>
      </x:c>
      <x:c r="E2438" t="str">
        <x:v>KOSPI</x:v>
      </x:c>
      <x:c r="F2438" t="str">
        <x:v>SMALL</x:v>
      </x:c>
      <x:c r="G2438" t="str">
        <x:v>ELIGIBLE</x:v>
      </x:c>
      <x:c r="H2438"/>
      <x:c r="I2438" s="54" t="n">
        <x:v>45380</x:v>
      </x:c>
      <x:c r="J2438" s="55" t="n">
        <x:v>2035</x:v>
      </x:c>
      <x:c r="K2438" s="55" t="n">
        <x:v>74690368940</x:v>
      </x:c>
      <x:c r="L2438" s="55" t="n">
        <x:v>36702884</x:v>
      </x:c>
      <x:c r="M2438" t="str">
        <x:v>20240315000788</x:v>
      </x:c>
      <x:c r="N2438" t="n">
        <x:v>45366.624999988424</x:v>
      </x:c>
      <x:c r="O2438" s="54" t="n">
        <x:v>45291</x:v>
      </x:c>
      <x:c r="P2438" t="str">
        <x:v>False</x:v>
      </x:c>
      <x:c r="Q2438" t="str">
        <x:v>0544811db3a63a737bc4d70e35346fc713260dec75bbb31fcb5f31956b594c3b</x:v>
      </x:c>
      <x:c r="R2438" t="str">
        <x:v>a1c9a750bde13ec833ca5635cea9dbd013b7b5019f5834642dee0c44fba92da7</x:v>
      </x:c>
      <x:c r="S2438" t="n">
        <x:v>7</x:v>
      </x:c>
      <x:c r="T2438" t="str">
        <x:v>2018-12-31|2019-12-31|2020-12-31|2021-12-31|2022-12-31|2023-12-31</x:v>
      </x:c>
      <x:c r="U2438" s="57" t="n">
        <x:v>316.3274961914687</x:v>
      </x:c>
      <x:c r="V2438" s="57" t="n">
        <x:v>-0.8445565129280252</x:v>
      </x:c>
      <x:c r="W2438" t="n">
        <x:v>59</x:v>
      </x:c>
      <x:c r="X2438" t="n">
        <x:v>5</x:v>
      </x:c>
      <x:c r="Y2438" s="38" t="n">
        <x:v>0.6409090909090909</x:v>
      </x:c>
      <x:c r="Z2438" s="38" t="n">
        <x:v>0.6338544069218005</x:v>
      </x:c>
      <x:c r="AA2438"/>
    </x:row>
    <x:row r="2439">
      <x:c r="A2439" s="54" t="n">
        <x:v>45382</x:v>
      </x:c>
      <x:c r="B2439" t="n">
        <x:v>45382.624999988424</x:v>
      </x:c>
      <x:c r="C2439" t="str">
        <x:v>000890</x:v>
      </x:c>
      <x:c r="D2439" t="str">
        <x:v>보해양조</x:v>
      </x:c>
      <x:c r="E2439" t="str">
        <x:v>KOSPI</x:v>
      </x:c>
      <x:c r="F2439" t="str">
        <x:v>SMALL</x:v>
      </x:c>
      <x:c r="G2439" t="str">
        <x:v>DCF_SCREENING_EXCLUSION</x:v>
      </x:c>
      <x:c r="H2439" t="str">
        <x:v>NON_POSITIVE_ENTERPRISE_VALUE|NON_POSITIVE_EQUITY_VALUE|NON_POSITIVE_TERMINAL_FCF</x:v>
      </x:c>
      <x:c r="I2439" s="54" t="n">
        <x:v>45380</x:v>
      </x:c>
      <x:c r="J2439" s="55" t="n">
        <x:v>505</x:v>
      </x:c>
      <x:c r="K2439" s="55" t="n">
        <x:v>70255665145</x:v>
      </x:c>
      <x:c r="L2439" s="55" t="n">
        <x:v>139120129</x:v>
      </x:c>
      <x:c r="M2439" t="str">
        <x:v>20240318000717</x:v>
      </x:c>
      <x:c r="N2439" t="n">
        <x:v>45369.624999988424</x:v>
      </x:c>
      <x:c r="O2439" s="54" t="n">
        <x:v>45291</x:v>
      </x:c>
      <x:c r="P2439" t="str">
        <x:v>False</x:v>
      </x:c>
      <x:c r="Q2439" t="str">
        <x:v>b3c53e350bf9c01281e3b16751eaf662806bd4057ff6ed366c302b963d5d04e6</x:v>
      </x:c>
      <x:c r="R2439" t="str">
        <x:v>d0bad0e1706d964a5181b87f8d24979625906c140d943a25500018c037301fa0</x:v>
      </x:c>
      <x:c r="S2439" t="n">
        <x:v>6</x:v>
      </x:c>
      <x:c r="T2439" t="str">
        <x:v>2018-12-31|2019-12-31|2020-12-31|2021-12-31|2022-12-31|2023-12-31</x:v>
      </x:c>
      <x:c r="U2439" s="57" t="n">
        <x:v>-394.1806390797659</x:v>
      </x:c>
      <x:c r="V2439" s="57" t="n">
        <x:v>-1.7805557209500316</x:v>
      </x:c>
      <x:c r="W2439"/>
      <x:c r="X2439"/>
      <x:c r="Y2439" s="38" t="n">
        <x:v>0.6409090909090909</x:v>
      </x:c>
      <x:c r="Z2439" s="38" t="n">
        <x:v>0.5713667037677271</x:v>
      </x:c>
      <x:c r="AA2439" t="str">
        <x:v>NON_POSITIVE_ENTERPRISE_VALUE|NON_POSITIVE_EQUITY_VALUE|NON_POSITIVE_TERMINAL_FCF</x:v>
      </x:c>
    </x:row>
    <x:row r="2440">
      <x:c r="A2440" s="54" t="n">
        <x:v>45382</x:v>
      </x:c>
      <x:c r="B2440" t="n">
        <x:v>45382.624999988424</x:v>
      </x:c>
      <x:c r="C2440" t="str">
        <x:v>021050</x:v>
      </x:c>
      <x:c r="D2440" t="str">
        <x:v>서원</x:v>
      </x:c>
      <x:c r="E2440" t="str">
        <x:v>KOSPI</x:v>
      </x:c>
      <x:c r="F2440" t="str">
        <x:v>SMALL</x:v>
      </x:c>
      <x:c r="G2440" t="str">
        <x:v>DCF_SCREENING_EXCLUSION</x:v>
      </x:c>
      <x:c r="H2440" t="str">
        <x:v>NON_POSITIVE_EQUITY_VALUE</x:v>
      </x:c>
      <x:c r="I2440" s="54" t="n">
        <x:v>45380</x:v>
      </x:c>
      <x:c r="J2440" s="55" t="n">
        <x:v>1285</x:v>
      </x:c>
      <x:c r="K2440" s="55" t="n">
        <x:v>61004848150</x:v>
      </x:c>
      <x:c r="L2440" s="55" t="n">
        <x:v>47474590</x:v>
      </x:c>
      <x:c r="M2440" t="str">
        <x:v>20240320000669</x:v>
      </x:c>
      <x:c r="N2440" t="n">
        <x:v>45371.624999988424</x:v>
      </x:c>
      <x:c r="O2440" s="54" t="n">
        <x:v>45291</x:v>
      </x:c>
      <x:c r="P2440" t="str">
        <x:v>False</x:v>
      </x:c>
      <x:c r="Q2440" t="str">
        <x:v>13707779d33111bbbaa4b1cda7b65a9d917cfde93d6321bdaf18f2aa8c3fbf7d</x:v>
      </x:c>
      <x:c r="R2440" t="str">
        <x:v>0d3dc2f27a1014934f6fa3b2a755f1a6003dcd24254b2aa3015fc492d5b2bc72</x:v>
      </x:c>
      <x:c r="S2440" t="n">
        <x:v>6</x:v>
      </x:c>
      <x:c r="T2440" t="str">
        <x:v>2018-12-31|2019-12-31|2020-12-31|2021-12-31|2022-12-31|2023-12-31</x:v>
      </x:c>
      <x:c r="U2440" s="57" t="n">
        <x:v>-1207.9812308175005</x:v>
      </x:c>
      <x:c r="V2440" s="57" t="n">
        <x:v>-1.9400632146439691</x:v>
      </x:c>
      <x:c r="W2440"/>
      <x:c r="X2440"/>
      <x:c r="Y2440" s="38" t="n">
        <x:v>0.6409090909090909</x:v>
      </x:c>
      <x:c r="Z2440" s="38" t="n">
        <x:v>0.8019023146303658</x:v>
      </x:c>
      <x:c r="AA2440" t="str">
        <x:v>NON_POSITIVE_EQUITY_VALUE</x:v>
      </x:c>
    </x:row>
    <x:row r="2441">
      <x:c r="A2441" s="54" t="n">
        <x:v>45382</x:v>
      </x:c>
      <x:c r="B2441" t="n">
        <x:v>45382.624999988424</x:v>
      </x:c>
      <x:c r="C2441" t="str">
        <x:v>134790</x:v>
      </x:c>
      <x:c r="D2441" t="str">
        <x:v>시디즈</x:v>
      </x:c>
      <x:c r="E2441" t="str">
        <x:v>KOSPI</x:v>
      </x:c>
      <x:c r="F2441" t="str">
        <x:v>SMALL</x:v>
      </x:c>
      <x:c r="G2441" t="str">
        <x:v>DCF_SCREENING_EXCLUSION</x:v>
      </x:c>
      <x:c r="H2441" t="str">
        <x:v>UNRELIABLE_TERMINAL_VALUE_SHARE</x:v>
      </x:c>
      <x:c r="I2441" s="54" t="n">
        <x:v>45380</x:v>
      </x:c>
      <x:c r="J2441" s="55" t="n">
        <x:v>28250</x:v>
      </x:c>
      <x:c r="K2441" s="55" t="n">
        <x:v>56500000000</x:v>
      </x:c>
      <x:c r="L2441" s="55" t="n">
        <x:v>2000000</x:v>
      </x:c>
      <x:c r="M2441" t="str">
        <x:v>20240321001589</x:v>
      </x:c>
      <x:c r="N2441" t="n">
        <x:v>45372.624999988424</x:v>
      </x:c>
      <x:c r="O2441" s="54" t="n">
        <x:v>45291</x:v>
      </x:c>
      <x:c r="P2441" t="str">
        <x:v>False</x:v>
      </x:c>
      <x:c r="Q2441" t="str">
        <x:v>71fd6eaec2fa751df2f680d2a9892f3a2c6083cce0eda5a28afa1df0f798582f</x:v>
      </x:c>
      <x:c r="R2441" t="str">
        <x:v>c0df1fe29e63e10e52d6d574ce4d4a6fec7a8e932a7232f34910265e23beab7d</x:v>
      </x:c>
      <x:c r="S2441" t="n">
        <x:v>6</x:v>
      </x:c>
      <x:c r="T2441" t="str">
        <x:v>2018-12-31|2019-12-31|2020-12-31|2021-12-31|2022-12-31|2023-12-31</x:v>
      </x:c>
      <x:c r="U2441" s="57" t="n">
        <x:v>20770.659888979455</x:v>
      </x:c>
      <x:c r="V2441" s="57" t="n">
        <x:v>-0.2647554021600193</x:v>
      </x:c>
      <x:c r="W2441"/>
      <x:c r="X2441"/>
      <x:c r="Y2441" s="38" t="n">
        <x:v>0.6409090909090909</x:v>
      </x:c>
      <x:c r="Z2441" s="38" t="n">
        <x:v>0.982914719870955</x:v>
      </x:c>
      <x:c r="AA2441" t="str">
        <x:v>UNRELIABLE_TERMINAL_VALUE_SHARE</x:v>
      </x:c>
    </x:row>
    <x:row r="2442">
      <x:c r="A2442" s="54" t="n">
        <x:v>45382</x:v>
      </x:c>
      <x:c r="B2442" t="n">
        <x:v>45382.624999988424</x:v>
      </x:c>
      <x:c r="C2442" t="str">
        <x:v>004920</x:v>
      </x:c>
      <x:c r="D2442" t="str">
        <x:v>씨아이테크</x:v>
      </x:c>
      <x:c r="E2442" t="str">
        <x:v>KOSPI</x:v>
      </x:c>
      <x:c r="F2442" t="str">
        <x:v>SMALL</x:v>
      </x:c>
      <x:c r="G2442" t="str">
        <x:v>DCF_SCREENING_EXCLUSION</x:v>
      </x:c>
      <x:c r="H2442" t="str">
        <x:v>NON_POSITIVE_ENTERPRISE_VALUE|NON_POSITIVE_EQUITY_VALUE|NON_POSITIVE_TERMINAL_FCF</x:v>
      </x:c>
      <x:c r="I2442" s="54" t="n">
        <x:v>45380</x:v>
      </x:c>
      <x:c r="J2442" s="55" t="n">
        <x:v>1199</x:v>
      </x:c>
      <x:c r="K2442" s="55" t="n">
        <x:v>60028885807</x:v>
      </x:c>
      <x:c r="L2442" s="55" t="n">
        <x:v>50065793</x:v>
      </x:c>
      <x:c r="M2442" t="str">
        <x:v>20240312000745</x:v>
      </x:c>
      <x:c r="N2442" t="n">
        <x:v>45363.624999988424</x:v>
      </x:c>
      <x:c r="O2442" s="54" t="n">
        <x:v>45291</x:v>
      </x:c>
      <x:c r="P2442" t="str">
        <x:v>False</x:v>
      </x:c>
      <x:c r="Q2442" t="str">
        <x:v>9fc3980aa4e006f4fb140ce6e77665d0c20ad7ff610bfd18054adecb2bed49d3</x:v>
      </x:c>
      <x:c r="R2442" t="str">
        <x:v>45fd3c94430ebffafd26e1e32a990f8f8874d51cdb0a0a0f4cafc40ec6031961</x:v>
      </x:c>
      <x:c r="S2442" t="n">
        <x:v>6</x:v>
      </x:c>
      <x:c r="T2442" t="str">
        <x:v>2018-12-31|2019-12-31|2020-12-31|2021-12-31|2022-12-31|2023-12-31</x:v>
      </x:c>
      <x:c r="U2442" s="57" t="n">
        <x:v>-1338.7906223848158</x:v>
      </x:c>
      <x:c r="V2442" s="57" t="n">
        <x:v>-2.116589343106602</x:v>
      </x:c>
      <x:c r="W2442"/>
      <x:c r="X2442"/>
      <x:c r="Y2442" s="38" t="n">
        <x:v>0.6409090909090909</x:v>
      </x:c>
      <x:c r="Z2442" s="38" t="n">
        <x:v>0.49105839688091174</x:v>
      </x:c>
      <x:c r="AA2442" t="str">
        <x:v>NON_POSITIVE_ENTERPRISE_VALUE|NON_POSITIVE_EQUITY_VALUE|NON_POSITIVE_TERMINAL_FCF</x:v>
      </x:c>
    </x:row>
    <x:row r="2443">
      <x:c r="A2443" s="54" t="n">
        <x:v>45382</x:v>
      </x:c>
      <x:c r="B2443" t="n">
        <x:v>45382.624999988424</x:v>
      </x:c>
      <x:c r="C2443" t="str">
        <x:v>058730</x:v>
      </x:c>
      <x:c r="D2443" t="str">
        <x:v>다스코</x:v>
      </x:c>
      <x:c r="E2443" t="str">
        <x:v>KOSPI</x:v>
      </x:c>
      <x:c r="F2443" t="str">
        <x:v>SMALL</x:v>
      </x:c>
      <x:c r="G2443" t="str">
        <x:v>ELIGIBLE</x:v>
      </x:c>
      <x:c r="H2443"/>
      <x:c r="I2443" s="54" t="n">
        <x:v>45380</x:v>
      </x:c>
      <x:c r="J2443" s="55" t="n">
        <x:v>3665</x:v>
      </x:c>
      <x:c r="K2443" s="55" t="n">
        <x:v>71089788765</x:v>
      </x:c>
      <x:c r="L2443" s="55" t="n">
        <x:v>19396941</x:v>
      </x:c>
      <x:c r="M2443" t="str">
        <x:v>20240318000513</x:v>
      </x:c>
      <x:c r="N2443" t="n">
        <x:v>45369.624999988424</x:v>
      </x:c>
      <x:c r="O2443" s="54" t="n">
        <x:v>45291</x:v>
      </x:c>
      <x:c r="P2443" t="str">
        <x:v>False</x:v>
      </x:c>
      <x:c r="Q2443" t="str">
        <x:v>b1799d56761d7ad862919dc211fd8cc6521f964950ecb3c50cc9a511ff9d9af9</x:v>
      </x:c>
      <x:c r="R2443" t="str">
        <x:v>87b0088345015d392662a0f86392f19a7771af40288322e29d996059398d1793</x:v>
      </x:c>
      <x:c r="S2443" t="n">
        <x:v>7</x:v>
      </x:c>
      <x:c r="T2443" t="str">
        <x:v>2019-12-31|2020-12-31|2021-12-31|2022-12-31|2023-12-31</x:v>
      </x:c>
      <x:c r="U2443" s="57" t="n">
        <x:v>553.2546543946439</x:v>
      </x:c>
      <x:c r="V2443" s="57" t="n">
        <x:v>-0.8490437505062363</x:v>
      </x:c>
      <x:c r="W2443" t="n">
        <x:v>60</x:v>
      </x:c>
      <x:c r="X2443" t="n">
        <x:v>5</x:v>
      </x:c>
      <x:c r="Y2443" s="38" t="n">
        <x:v>0.6409090909090909</x:v>
      </x:c>
      <x:c r="Z2443" s="38" t="n">
        <x:v>0.144991969908655</x:v>
      </x:c>
      <x:c r="AA2443"/>
    </x:row>
    <x:row r="2444">
      <x:c r="A2444" s="54" t="n">
        <x:v>45382</x:v>
      </x:c>
      <x:c r="B2444" t="n">
        <x:v>45382.624999988424</x:v>
      </x:c>
      <x:c r="C2444" t="str">
        <x:v>465770</x:v>
      </x:c>
      <x:c r="D2444" t="str">
        <x:v>STX그린로지스</x:v>
      </x:c>
      <x:c r="E2444" t="str">
        <x:v>KOSPI</x:v>
      </x:c>
      <x:c r="F2444" t="str">
        <x:v>SMALL</x:v>
      </x:c>
      <x:c r="G2444" t="str">
        <x:v>NO_PIT_FINANCIALS</x:v>
      </x:c>
      <x:c r="H2444"/>
      <x:c r="I2444" s="54" t="n">
        <x:v>45380</x:v>
      </x:c>
      <x:c r="J2444" s="55" t="n">
        <x:v>8230</x:v>
      </x:c>
      <x:c r="K2444" s="55" t="n">
        <x:v>59017593360</x:v>
      </x:c>
      <x:c r="L2444" s="55" t="n">
        <x:v>7171032</x:v>
      </x:c>
      <x:c r="M2444"/>
      <x:c r="N2444"/>
      <x:c r="O2444" s="54"/>
      <x:c r="P2444"/>
      <x:c r="Q2444"/>
      <x:c r="R2444"/>
      <x:c r="S2444"/>
      <x:c r="T2444"/>
      <x:c r="U2444" s="57"/>
      <x:c r="V2444" s="57"/>
      <x:c r="W2444"/>
      <x:c r="X2444"/>
      <x:c r="Y2444" s="38"/>
      <x:c r="Z2444" s="38"/>
      <x:c r="AA2444"/>
    </x:row>
    <x:row r="2445">
      <x:c r="A2445" s="54" t="n">
        <x:v>45382</x:v>
      </x:c>
      <x:c r="B2445" t="n">
        <x:v>45382.624999988424</x:v>
      </x:c>
      <x:c r="C2445" t="str">
        <x:v>000950</x:v>
      </x:c>
      <x:c r="D2445" t="str">
        <x:v>전방</x:v>
      </x:c>
      <x:c r="E2445" t="str">
        <x:v>KOSPI</x:v>
      </x:c>
      <x:c r="F2445" t="str">
        <x:v>SMALL</x:v>
      </x:c>
      <x:c r="G2445" t="str">
        <x:v>DCF_SCREENING_EXCLUSION</x:v>
      </x:c>
      <x:c r="H2445" t="str">
        <x:v>NON_POSITIVE_ENTERPRISE_VALUE|NON_POSITIVE_EQUITY_VALUE|NON_POSITIVE_TERMINAL_FCF</x:v>
      </x:c>
      <x:c r="I2445" s="54" t="n">
        <x:v>45380</x:v>
      </x:c>
      <x:c r="J2445" s="55" t="n">
        <x:v>21650</x:v>
      </x:c>
      <x:c r="K2445" s="55" t="n">
        <x:v>36372000000</x:v>
      </x:c>
      <x:c r="L2445" s="55" t="n">
        <x:v>1680000</x:v>
      </x:c>
      <x:c r="M2445" t="str">
        <x:v>20240314001271</x:v>
      </x:c>
      <x:c r="N2445" t="n">
        <x:v>45365.624999988424</x:v>
      </x:c>
      <x:c r="O2445" s="54" t="n">
        <x:v>45291</x:v>
      </x:c>
      <x:c r="P2445" t="str">
        <x:v>False</x:v>
      </x:c>
      <x:c r="Q2445" t="str">
        <x:v>58dd3829eabf7b7557a79f6277780d6fea8d93e254fedd7f7680ba0df8f4675c</x:v>
      </x:c>
      <x:c r="R2445" t="str">
        <x:v>1b68ef9c2f30834bc0f16435717c9a7b7df2117d2d5a38b8e79c1ffa58a0745e</x:v>
      </x:c>
      <x:c r="S2445" t="n">
        <x:v>6</x:v>
      </x:c>
      <x:c r="T2445" t="str">
        <x:v>2018-12-31|2019-12-31|2020-12-31|2021-12-31|2022-12-31|2023-12-31</x:v>
      </x:c>
      <x:c r="U2445" s="57" t="n">
        <x:v>-85707.24367455572</x:v>
      </x:c>
      <x:c r="V2445" s="57" t="n">
        <x:v>-4.958764142011812</x:v>
      </x:c>
      <x:c r="W2445"/>
      <x:c r="X2445"/>
      <x:c r="Y2445" s="38" t="n">
        <x:v>0.6409090909090909</x:v>
      </x:c>
      <x:c r="Z2445" s="38" t="n">
        <x:v>0.6421691932697219</x:v>
      </x:c>
      <x:c r="AA2445" t="str">
        <x:v>NON_POSITIVE_ENTERPRISE_VALUE|NON_POSITIVE_EQUITY_VALUE|NON_POSITIVE_TERMINAL_FCF</x:v>
      </x:c>
    </x:row>
    <x:row r="2446">
      <x:c r="A2446" s="54" t="n">
        <x:v>45382</x:v>
      </x:c>
      <x:c r="B2446" t="n">
        <x:v>45382.624999988424</x:v>
      </x:c>
      <x:c r="C2446" t="str">
        <x:v>019180</x:v>
      </x:c>
      <x:c r="D2446" t="str">
        <x:v>티에이치엔</x:v>
      </x:c>
      <x:c r="E2446" t="str">
        <x:v>KOSPI</x:v>
      </x:c>
      <x:c r="F2446" t="str">
        <x:v>SMALL</x:v>
      </x:c>
      <x:c r="G2446" t="str">
        <x:v>ELIGIBLE</x:v>
      </x:c>
      <x:c r="H2446"/>
      <x:c r="I2446" s="54" t="n">
        <x:v>45380</x:v>
      </x:c>
      <x:c r="J2446" s="55" t="n">
        <x:v>3565</x:v>
      </x:c>
      <x:c r="K2446" s="55" t="n">
        <x:v>64170000000</x:v>
      </x:c>
      <x:c r="L2446" s="55" t="n">
        <x:v>18000000</x:v>
      </x:c>
      <x:c r="M2446" t="str">
        <x:v>20240320001057</x:v>
      </x:c>
      <x:c r="N2446" t="n">
        <x:v>45371.624999988424</x:v>
      </x:c>
      <x:c r="O2446" s="54" t="n">
        <x:v>45291</x:v>
      </x:c>
      <x:c r="P2446" t="str">
        <x:v>False</x:v>
      </x:c>
      <x:c r="Q2446" t="str">
        <x:v>94d5fe5e3b01bada9704628e28b7efc42c3ba8cc94dbf7d4b5665bbc34322aad</x:v>
      </x:c>
      <x:c r="R2446" t="str">
        <x:v>f17a34203fcc300e5e982172224dc617873eefc397c933b83156654f242224d3</x:v>
      </x:c>
      <x:c r="S2446" t="n">
        <x:v>6</x:v>
      </x:c>
      <x:c r="T2446" t="str">
        <x:v>2018-12-31|2019-12-31|2020-12-31|2021-12-31|2022-12-31|2023-12-31</x:v>
      </x:c>
      <x:c r="U2446" s="57" t="n">
        <x:v>6739.232065289754</x:v>
      </x:c>
      <x:c r="V2446" s="57" t="n">
        <x:v>0.8903876760981078</x:v>
      </x:c>
      <x:c r="W2446" t="n">
        <x:v>14</x:v>
      </x:c>
      <x:c r="X2446" t="n">
        <x:v>1</x:v>
      </x:c>
      <x:c r="Y2446" s="38" t="n">
        <x:v>0.6409090909090909</x:v>
      </x:c>
      <x:c r="Z2446" s="38" t="n">
        <x:v>0.5164052084034038</x:v>
      </x:c>
      <x:c r="AA2446"/>
    </x:row>
    <x:row r="2447">
      <x:c r="A2447" s="54" t="n">
        <x:v>45382</x:v>
      </x:c>
      <x:c r="B2447" t="n">
        <x:v>45382.624999988424</x:v>
      </x:c>
      <x:c r="C2447" t="str">
        <x:v>020760</x:v>
      </x:c>
      <x:c r="D2447" t="str">
        <x:v>일진디스플</x:v>
      </x:c>
      <x:c r="E2447" t="str">
        <x:v>KOSPI</x:v>
      </x:c>
      <x:c r="F2447" t="str">
        <x:v>SMALL</x:v>
      </x:c>
      <x:c r="G2447" t="str">
        <x:v>DCF_SCREENING_EXCLUSION</x:v>
      </x:c>
      <x:c r="H2447" t="str">
        <x:v>NON_POSITIVE_ENTERPRISE_VALUE|NON_POSITIVE_EQUITY_VALUE|NON_POSITIVE_TERMINAL_FCF</x:v>
      </x:c>
      <x:c r="I2447" s="54" t="n">
        <x:v>45380</x:v>
      </x:c>
      <x:c r="J2447" s="55" t="n">
        <x:v>1129</x:v>
      </x:c>
      <x:c r="K2447" s="55" t="n">
        <x:v>58159013589</x:v>
      </x:c>
      <x:c r="L2447" s="55" t="n">
        <x:v>51513741</x:v>
      </x:c>
      <x:c r="M2447" t="str">
        <x:v>20240321001473</x:v>
      </x:c>
      <x:c r="N2447" t="n">
        <x:v>45372.624999988424</x:v>
      </x:c>
      <x:c r="O2447" s="54" t="n">
        <x:v>45291</x:v>
      </x:c>
      <x:c r="P2447" t="str">
        <x:v>False</x:v>
      </x:c>
      <x:c r="Q2447" t="str">
        <x:v>9c995e89352a2b5cdf57277db2a8c3ca65806474ba5d0affbd8494974407d338</x:v>
      </x:c>
      <x:c r="R2447" t="str">
        <x:v>879cec65b290be0c02ae6330fa19167fcbdbc44efbecfea1dfd7cc79f1597e76</x:v>
      </x:c>
      <x:c r="S2447" t="n">
        <x:v>6</x:v>
      </x:c>
      <x:c r="T2447" t="str">
        <x:v>2018-12-31|2019-12-31|2020-12-31|2021-12-31|2022-12-31|2023-12-31</x:v>
      </x:c>
      <x:c r="U2447" s="57" t="n">
        <x:v>-2349.731108985517</x:v>
      </x:c>
      <x:c r="V2447" s="57" t="n">
        <x:v>-3.0812498750978894</x:v>
      </x:c>
      <x:c r="W2447"/>
      <x:c r="X2447"/>
      <x:c r="Y2447" s="38" t="n">
        <x:v>0.6409090909090909</x:v>
      </x:c>
      <x:c r="Z2447" s="38" t="n">
        <x:v>0.6581502733436171</x:v>
      </x:c>
      <x:c r="AA2447" t="str">
        <x:v>NON_POSITIVE_ENTERPRISE_VALUE|NON_POSITIVE_EQUITY_VALUE|NON_POSITIVE_TERMINAL_FCF</x:v>
      </x:c>
    </x:row>
    <x:row r="2448">
      <x:c r="A2448" s="54" t="n">
        <x:v>45382</x:v>
      </x:c>
      <x:c r="B2448" t="n">
        <x:v>45382.624999988424</x:v>
      </x:c>
      <x:c r="C2448" t="str">
        <x:v>069640</x:v>
      </x:c>
      <x:c r="D2448" t="str">
        <x:v>한세엠케이</x:v>
      </x:c>
      <x:c r="E2448" t="str">
        <x:v>KOSPI</x:v>
      </x:c>
      <x:c r="F2448" t="str">
        <x:v>SMALL</x:v>
      </x:c>
      <x:c r="G2448" t="str">
        <x:v>DCF_SCREENING_EXCLUSION</x:v>
      </x:c>
      <x:c r="H2448" t="str">
        <x:v>NON_POSITIVE_ENTERPRISE_VALUE|NON_POSITIVE_EQUITY_VALUE|NON_POSITIVE_TERMINAL_FCF</x:v>
      </x:c>
      <x:c r="I2448" s="54" t="n">
        <x:v>45380</x:v>
      </x:c>
      <x:c r="J2448" s="55" t="n">
        <x:v>2190</x:v>
      </x:c>
      <x:c r="K2448" s="55" t="n">
        <x:v>65933239380</x:v>
      </x:c>
      <x:c r="L2448" s="55" t="n">
        <x:v>30106502</x:v>
      </x:c>
      <x:c r="M2448" t="str">
        <x:v>20240321000107</x:v>
      </x:c>
      <x:c r="N2448" t="n">
        <x:v>45372.624999988424</x:v>
      </x:c>
      <x:c r="O2448" s="54" t="n">
        <x:v>45291</x:v>
      </x:c>
      <x:c r="P2448" t="str">
        <x:v>True</x:v>
      </x:c>
      <x:c r="Q2448" t="str">
        <x:v>c6c624ecad0caf29ef149a109a8c52a53ae799047eaff9c1c4473581418c8825</x:v>
      </x:c>
      <x:c r="R2448" t="str">
        <x:v>171f558e1151da07ffa10f911a581cd7b1da5c947fc9be89af3d7c8100a922cf</x:v>
      </x:c>
      <x:c r="S2448" t="n">
        <x:v>6</x:v>
      </x:c>
      <x:c r="T2448" t="str">
        <x:v>2018-12-31|2019-12-31|2020-12-31|2021-12-31|2022-12-31|2023-12-31</x:v>
      </x:c>
      <x:c r="U2448" s="57" t="n">
        <x:v>-8034.13585691119</x:v>
      </x:c>
      <x:c r="V2448" s="57" t="n">
        <x:v>-4.6685551858041965</x:v>
      </x:c>
      <x:c r="W2448"/>
      <x:c r="X2448"/>
      <x:c r="Y2448" s="38" t="n">
        <x:v>0.6409090909090909</x:v>
      </x:c>
      <x:c r="Z2448" s="38" t="n">
        <x:v>0.7685873680556787</x:v>
      </x:c>
      <x:c r="AA2448" t="str">
        <x:v>NON_POSITIVE_ENTERPRISE_VALUE|NON_POSITIVE_EQUITY_VALUE|NON_POSITIVE_TERMINAL_FCF</x:v>
      </x:c>
    </x:row>
    <x:row r="2449">
      <x:c r="A2449" s="54" t="n">
        <x:v>45382</x:v>
      </x:c>
      <x:c r="B2449" t="n">
        <x:v>45382.624999988424</x:v>
      </x:c>
      <x:c r="C2449" t="str">
        <x:v>000040</x:v>
      </x:c>
      <x:c r="D2449" t="str">
        <x:v>KR모터스</x:v>
      </x:c>
      <x:c r="E2449" t="str">
        <x:v>KOSPI</x:v>
      </x:c>
      <x:c r="F2449" t="str">
        <x:v>SMALL</x:v>
      </x:c>
      <x:c r="G2449" t="str">
        <x:v>DCF_SCREENING_EXCLUSION</x:v>
      </x:c>
      <x:c r="H2449" t="str">
        <x:v>NON_POSITIVE_ENTERPRISE_VALUE|NON_POSITIVE_EQUITY_VALUE|NON_POSITIVE_TERMINAL_FCF</x:v>
      </x:c>
      <x:c r="I2449" s="54" t="n">
        <x:v>45380</x:v>
      </x:c>
      <x:c r="J2449" s="55" t="n">
        <x:v>1025</x:v>
      </x:c>
      <x:c r="K2449" s="55" t="n">
        <x:v>29861189700</x:v>
      </x:c>
      <x:c r="L2449" s="55" t="n">
        <x:v>29132868</x:v>
      </x:c>
      <x:c r="M2449" t="str">
        <x:v>20240321002062</x:v>
      </x:c>
      <x:c r="N2449" t="n">
        <x:v>45372.624999988424</x:v>
      </x:c>
      <x:c r="O2449" s="54" t="n">
        <x:v>45291</x:v>
      </x:c>
      <x:c r="P2449" t="str">
        <x:v>False</x:v>
      </x:c>
      <x:c r="Q2449" t="str">
        <x:v>2f9eded2ace2c621de3e5bda4d271b017b34b655a8cd7d03d373060803c53315</x:v>
      </x:c>
      <x:c r="R2449" t="str">
        <x:v>98f936772d8238d60c680cae69992200bef04cf3236dda197953f9312090cded</x:v>
      </x:c>
      <x:c r="S2449" t="n">
        <x:v>6</x:v>
      </x:c>
      <x:c r="T2449" t="str">
        <x:v>2018-12-31|2019-12-31|2020-12-31|2021-12-31|2022-12-31|2023-12-31</x:v>
      </x:c>
      <x:c r="U2449" s="57" t="n">
        <x:v>-3175.3284082526716</x:v>
      </x:c>
      <x:c r="V2449" s="57" t="n">
        <x:v>-4.097881373905046</x:v>
      </x:c>
      <x:c r="W2449"/>
      <x:c r="X2449"/>
      <x:c r="Y2449" s="38" t="n">
        <x:v>0.6409090909090909</x:v>
      </x:c>
      <x:c r="Z2449" s="38" t="n">
        <x:v>0.5333062008682303</x:v>
      </x:c>
      <x:c r="AA2449" t="str">
        <x:v>NON_POSITIVE_ENTERPRISE_VALUE|NON_POSITIVE_EQUITY_VALUE|NON_POSITIVE_TERMINAL_FCF</x:v>
      </x:c>
    </x:row>
    <x:row r="2450">
      <x:c r="A2450" s="54" t="n">
        <x:v>45382</x:v>
      </x:c>
      <x:c r="B2450" t="n">
        <x:v>45382.624999988424</x:v>
      </x:c>
      <x:c r="C2450" t="str">
        <x:v>003680</x:v>
      </x:c>
      <x:c r="D2450" t="str">
        <x:v>한성기업</x:v>
      </x:c>
      <x:c r="E2450" t="str">
        <x:v>KOSPI</x:v>
      </x:c>
      <x:c r="F2450" t="str">
        <x:v>SMALL</x:v>
      </x:c>
      <x:c r="G2450" t="str">
        <x:v>DCF_SCREENING_EXCLUSION</x:v>
      </x:c>
      <x:c r="H2450" t="str">
        <x:v>NON_POSITIVE_EQUITY_VALUE</x:v>
      </x:c>
      <x:c r="I2450" s="54" t="n">
        <x:v>45380</x:v>
      </x:c>
      <x:c r="J2450" s="55" t="n">
        <x:v>5420</x:v>
      </x:c>
      <x:c r="K2450" s="55" t="n">
        <x:v>33655571300</x:v>
      </x:c>
      <x:c r="L2450" s="55" t="n">
        <x:v>6209515</x:v>
      </x:c>
      <x:c r="M2450" t="str">
        <x:v>20240320000851</x:v>
      </x:c>
      <x:c r="N2450" t="n">
        <x:v>45371.624999988424</x:v>
      </x:c>
      <x:c r="O2450" s="54" t="n">
        <x:v>45291</x:v>
      </x:c>
      <x:c r="P2450" t="str">
        <x:v>False</x:v>
      </x:c>
      <x:c r="Q2450" t="str">
        <x:v>4d3b13cc19e66ba4c11683b19dd4a9fff06cc03287eb96eb808fa9bb53525127</x:v>
      </x:c>
      <x:c r="R2450" t="str">
        <x:v>aeaeb4eafcf7e2169330bef04f4ceffb70a69df8703cb76add8d5c06c50c55f2</x:v>
      </x:c>
      <x:c r="S2450" t="n">
        <x:v>7</x:v>
      </x:c>
      <x:c r="T2450" t="str">
        <x:v>2018-12-31|2019-12-31|2020-12-31|2021-12-31|2022-12-31|2023-12-31</x:v>
      </x:c>
      <x:c r="U2450" s="57" t="n">
        <x:v>-251.2292333481937</x:v>
      </x:c>
      <x:c r="V2450" s="57" t="n">
        <x:v>-1.0463522570753125</x:v>
      </x:c>
      <x:c r="W2450"/>
      <x:c r="X2450"/>
      <x:c r="Y2450" s="38" t="n">
        <x:v>0.6409090909090909</x:v>
      </x:c>
      <x:c r="Z2450" s="38" t="n">
        <x:v>0.41485910212059907</x:v>
      </x:c>
      <x:c r="AA2450" t="str">
        <x:v>NON_POSITIVE_EQUITY_VALUE</x:v>
      </x:c>
    </x:row>
    <x:row r="2451">
      <x:c r="A2451" s="54" t="n">
        <x:v>45382</x:v>
      </x:c>
      <x:c r="B2451" t="n">
        <x:v>45382.624999988424</x:v>
      </x:c>
      <x:c r="C2451" t="str">
        <x:v>008600</x:v>
      </x:c>
      <x:c r="D2451" t="str">
        <x:v>윌비스</x:v>
      </x:c>
      <x:c r="E2451" t="str">
        <x:v>KOSPI</x:v>
      </x:c>
      <x:c r="F2451" t="str">
        <x:v>SMALL</x:v>
      </x:c>
      <x:c r="G2451" t="str">
        <x:v>DCF_SCREENING_EXCLUSION</x:v>
      </x:c>
      <x:c r="H2451" t="str">
        <x:v>NON_POSITIVE_ENTERPRISE_VALUE|NON_POSITIVE_EQUITY_VALUE|NON_POSITIVE_TERMINAL_FCF|UNRELIABLE_TERMINAL_VALUE_SHARE</x:v>
      </x:c>
      <x:c r="I2451" s="54" t="n">
        <x:v>45380</x:v>
      </x:c>
      <x:c r="J2451" s="55" t="n">
        <x:v>507</x:v>
      </x:c>
      <x:c r="K2451" s="55" t="n">
        <x:v>34088671773</x:v>
      </x:c>
      <x:c r="L2451" s="55" t="n">
        <x:v>67236039</x:v>
      </x:c>
      <x:c r="M2451" t="str">
        <x:v>20240321001447</x:v>
      </x:c>
      <x:c r="N2451" t="n">
        <x:v>45372.624999988424</x:v>
      </x:c>
      <x:c r="O2451" s="54" t="n">
        <x:v>45291</x:v>
      </x:c>
      <x:c r="P2451" t="str">
        <x:v>False</x:v>
      </x:c>
      <x:c r="Q2451" t="str">
        <x:v>2b2bcbc75dccb36df46b9b9baf8736ac46a111885d7844e74bc39e18d97f56e8</x:v>
      </x:c>
      <x:c r="R2451" t="str">
        <x:v>3a1540abc77616d8d510e3e9d5cd1867bc6d8a51975437ce72c1ff35b4d019d2</x:v>
      </x:c>
      <x:c r="S2451" t="n">
        <x:v>6</x:v>
      </x:c>
      <x:c r="T2451" t="str">
        <x:v>2018-12-31|2019-12-31|2020-12-31|2021-12-31|2022-12-31|2023-12-31</x:v>
      </x:c>
      <x:c r="U2451" s="57" t="n">
        <x:v>-2244.048633515764</x:v>
      </x:c>
      <x:c r="V2451" s="57" t="n">
        <x:v>-5.4261314270527885</x:v>
      </x:c>
      <x:c r="W2451"/>
      <x:c r="X2451"/>
      <x:c r="Y2451" s="38" t="n">
        <x:v>0.6409090909090909</x:v>
      </x:c>
      <x:c r="Z2451" s="38" t="n">
        <x:v>1.0651186144863742</x:v>
      </x:c>
      <x:c r="AA2451" t="str">
        <x:v>NON_POSITIVE_ENTERPRISE_VALUE|NON_POSITIVE_EQUITY_VALUE|NON_POSITIVE_TERMINAL_FCF|UNRELIABLE_TERMINAL_VALUE_SHARE</x:v>
      </x:c>
    </x:row>
    <x:row r="2452">
      <x:c r="A2452" s="54" t="n">
        <x:v>45382</x:v>
      </x:c>
      <x:c r="B2452" t="n">
        <x:v>45382.624999988424</x:v>
      </x:c>
      <x:c r="C2452" t="str">
        <x:v>018310</x:v>
      </x:c>
      <x:c r="D2452" t="str">
        <x:v>삼목에스폼</x:v>
      </x:c>
      <x:c r="E2452" t="str">
        <x:v>KOSDAQ</x:v>
      </x:c>
      <x:c r="F2452" t="str">
        <x:v>MID</x:v>
      </x:c>
      <x:c r="G2452" t="str">
        <x:v>ELIGIBLE</x:v>
      </x:c>
      <x:c r="H2452"/>
      <x:c r="I2452" s="54" t="n">
        <x:v>45380</x:v>
      </x:c>
      <x:c r="J2452" s="55" t="n">
        <x:v>24550</x:v>
      </x:c>
      <x:c r="K2452" s="55" t="n">
        <x:v>360885000000</x:v>
      </x:c>
      <x:c r="L2452" s="55" t="n">
        <x:v>14700000</x:v>
      </x:c>
      <x:c r="M2452" t="str">
        <x:v>20240321001591</x:v>
      </x:c>
      <x:c r="N2452" t="n">
        <x:v>45372.624999988424</x:v>
      </x:c>
      <x:c r="O2452" s="54" t="n">
        <x:v>45291</x:v>
      </x:c>
      <x:c r="P2452" t="str">
        <x:v>False</x:v>
      </x:c>
      <x:c r="Q2452" t="str">
        <x:v>b642c65f29eeb6af33c837fb4f87024ed3698ab7140eb33f5c98e1bf48137c08</x:v>
      </x:c>
      <x:c r="R2452" t="str">
        <x:v>274d7ac112ebedf4e991cbf1ea1b36c68be73c87a7c18528e3d2597bdb5a6953</x:v>
      </x:c>
      <x:c r="S2452" t="n">
        <x:v>6</x:v>
      </x:c>
      <x:c r="T2452" t="str">
        <x:v>2018-12-31|2019-12-31|2020-12-31|2021-12-31|2022-12-31|2023-12-31</x:v>
      </x:c>
      <x:c r="U2452" s="57" t="n">
        <x:v>47359.36110143023</x:v>
      </x:c>
      <x:c r="V2452" s="57" t="n">
        <x:v>0.9290982118708853</x:v>
      </x:c>
      <x:c r="W2452" t="n">
        <x:v>13</x:v>
      </x:c>
      <x:c r="X2452" t="n">
        <x:v>1</x:v>
      </x:c>
      <x:c r="Y2452" s="38" t="n">
        <x:v>0.6409090909090909</x:v>
      </x:c>
      <x:c r="Z2452" s="38" t="n">
        <x:v>0.5795746440054866</x:v>
      </x:c>
      <x:c r="AA2452"/>
    </x:row>
    <x:row r="2453">
      <x:c r="A2453" s="54" t="n">
        <x:v>45382</x:v>
      </x:c>
      <x:c r="B2453" t="n">
        <x:v>45382.624999988424</x:v>
      </x:c>
      <x:c r="C2453" t="str">
        <x:v>090360</x:v>
      </x:c>
      <x:c r="D2453" t="str">
        <x:v>로보스타</x:v>
      </x:c>
      <x:c r="E2453" t="str">
        <x:v>KOSDAQ</x:v>
      </x:c>
      <x:c r="F2453" t="str">
        <x:v>MID</x:v>
      </x:c>
      <x:c r="G2453" t="str">
        <x:v>DCF_SCREENING_EXCLUSION</x:v>
      </x:c>
      <x:c r="H2453" t="str">
        <x:v>NON_POSITIVE_ENTERPRISE_VALUE|NON_POSITIVE_TERMINAL_FCF|UNRELIABLE_TERMINAL_VALUE_SHARE</x:v>
      </x:c>
      <x:c r="I2453" s="54" t="n">
        <x:v>45380</x:v>
      </x:c>
      <x:c r="J2453" s="55" t="n">
        <x:v>34200</x:v>
      </x:c>
      <x:c r="K2453" s="55" t="n">
        <x:v>333450000000</x:v>
      </x:c>
      <x:c r="L2453" s="55" t="n">
        <x:v>9750000</x:v>
      </x:c>
      <x:c r="M2453" t="str">
        <x:v>20240314001416</x:v>
      </x:c>
      <x:c r="N2453" t="n">
        <x:v>45365.624999988424</x:v>
      </x:c>
      <x:c r="O2453" s="54" t="n">
        <x:v>45291</x:v>
      </x:c>
      <x:c r="P2453" t="str">
        <x:v>False</x:v>
      </x:c>
      <x:c r="Q2453" t="str">
        <x:v>37ee07bfb8d061c135df8bd2eb69253a734b8f52886d8cce2f024a20d1cc237e</x:v>
      </x:c>
      <x:c r="R2453" t="str">
        <x:v>aa3db28f0145e23dff5dbed4d487e72ea79203422a04851f738cb41708fc7da8</x:v>
      </x:c>
      <x:c r="S2453" t="n">
        <x:v>5</x:v>
      </x:c>
      <x:c r="T2453" t="str">
        <x:v>2018-12-31|2019-12-31|2020-12-31|2021-12-31|2022-12-31|2023-12-31</x:v>
      </x:c>
      <x:c r="U2453" s="57" t="n">
        <x:v>2043.0268994379805</x:v>
      </x:c>
      <x:c r="V2453" s="57" t="n">
        <x:v>-0.9402623713614625</x:v>
      </x:c>
      <x:c r="W2453"/>
      <x:c r="X2453"/>
      <x:c r="Y2453" s="38" t="n">
        <x:v>0.6409090909090909</x:v>
      </x:c>
      <x:c r="Z2453" s="38" t="n">
        <x:v>1.1319150275221614</x:v>
      </x:c>
      <x:c r="AA2453" t="str">
        <x:v>NON_POSITIVE_ENTERPRISE_VALUE|NON_POSITIVE_TERMINAL_FCF|UNRELIABLE_TERMINAL_VALUE_SHARE</x:v>
      </x:c>
    </x:row>
    <x:row r="2454">
      <x:c r="A2454" s="54" t="n">
        <x:v>45382</x:v>
      </x:c>
      <x:c r="B2454" t="n">
        <x:v>45382.624999988424</x:v>
      </x:c>
      <x:c r="C2454" t="str">
        <x:v>144960</x:v>
      </x:c>
      <x:c r="D2454" t="str">
        <x:v>뉴파워프라즈마</x:v>
      </x:c>
      <x:c r="E2454" t="str">
        <x:v>KOSDAQ</x:v>
      </x:c>
      <x:c r="F2454" t="str">
        <x:v>MID</x:v>
      </x:c>
      <x:c r="G2454" t="str">
        <x:v>DCF_SCREENING_EXCLUSION</x:v>
      </x:c>
      <x:c r="H2454" t="str">
        <x:v>UNRELIABLE_TERMINAL_VALUE_SHARE</x:v>
      </x:c>
      <x:c r="I2454" s="54" t="n">
        <x:v>45380</x:v>
      </x:c>
      <x:c r="J2454" s="55" t="n">
        <x:v>5000</x:v>
      </x:c>
      <x:c r="K2454" s="55" t="n">
        <x:v>218463120000</x:v>
      </x:c>
      <x:c r="L2454" s="55" t="n">
        <x:v>43692624</x:v>
      </x:c>
      <x:c r="M2454" t="str">
        <x:v>20240321000704</x:v>
      </x:c>
      <x:c r="N2454" t="n">
        <x:v>45372.624999988424</x:v>
      </x:c>
      <x:c r="O2454" s="54" t="n">
        <x:v>45291</x:v>
      </x:c>
      <x:c r="P2454" t="str">
        <x:v>False</x:v>
      </x:c>
      <x:c r="Q2454" t="str">
        <x:v>b5e89db27ae39318ccb2673d5a114f48c2d3177720aeef0fb3ebdc01f3fcc69c</x:v>
      </x:c>
      <x:c r="R2454" t="str">
        <x:v>ff46cc8323fdf10cd2f64b2bb4c57f836a1a61d98b17a6bcd0bf337779d7591f</x:v>
      </x:c>
      <x:c r="S2454" t="n">
        <x:v>6</x:v>
      </x:c>
      <x:c r="T2454" t="str">
        <x:v>2018-12-31|2019-12-31|2020-12-31|2021-12-31|2022-12-31|2023-12-31</x:v>
      </x:c>
      <x:c r="U2454" s="57" t="n">
        <x:v>387.1672566268894</x:v>
      </x:c>
      <x:c r="V2454" s="57" t="n">
        <x:v>-0.9225665486746221</x:v>
      </x:c>
      <x:c r="W2454"/>
      <x:c r="X2454"/>
      <x:c r="Y2454" s="38" t="n">
        <x:v>0.6409090909090909</x:v>
      </x:c>
      <x:c r="Z2454" s="38" t="n">
        <x:v>1.0088078840844468</x:v>
      </x:c>
      <x:c r="AA2454" t="str">
        <x:v>UNRELIABLE_TERMINAL_VALUE_SHARE</x:v>
      </x:c>
    </x:row>
    <x:row r="2455">
      <x:c r="A2455" s="54" t="n">
        <x:v>45382</x:v>
      </x:c>
      <x:c r="B2455" t="n">
        <x:v>45382.624999988424</x:v>
      </x:c>
      <x:c r="C2455" t="str">
        <x:v>065660</x:v>
      </x:c>
      <x:c r="D2455" t="str">
        <x:v>안트로젠</x:v>
      </x:c>
      <x:c r="E2455" t="str">
        <x:v>KOSDAQ</x:v>
      </x:c>
      <x:c r="F2455" t="str">
        <x:v>MID</x:v>
      </x:c>
      <x:c r="G2455" t="str">
        <x:v>DCF_SCREENING_EXCLUSION</x:v>
      </x:c>
      <x:c r="H2455" t="str">
        <x:v>NON_POSITIVE_ENTERPRISE_VALUE|NON_POSITIVE_EQUITY_VALUE|NON_POSITIVE_TERMINAL_FCF</x:v>
      </x:c>
      <x:c r="I2455" s="54" t="n">
        <x:v>45380</x:v>
      </x:c>
      <x:c r="J2455" s="55" t="n">
        <x:v>14370</x:v>
      </x:c>
      <x:c r="K2455" s="55" t="n">
        <x:v>139839830010</x:v>
      </x:c>
      <x:c r="L2455" s="55" t="n">
        <x:v>9731373</x:v>
      </x:c>
      <x:c r="M2455" t="str">
        <x:v>20240318000493</x:v>
      </x:c>
      <x:c r="N2455" t="n">
        <x:v>45369.624999988424</x:v>
      </x:c>
      <x:c r="O2455" s="54" t="n">
        <x:v>45291</x:v>
      </x:c>
      <x:c r="P2455" t="str">
        <x:v>False</x:v>
      </x:c>
      <x:c r="Q2455" t="str">
        <x:v>ef60674049d682351099faa34e3eb62d977003f9a33daf57158b2ec3042418b6</x:v>
      </x:c>
      <x:c r="R2455" t="str">
        <x:v>355c77e90835ddf6571455999b69129084341fcdd9472c5729fb0d907b43ba6e</x:v>
      </x:c>
      <x:c r="S2455" t="n">
        <x:v>6</x:v>
      </x:c>
      <x:c r="T2455" t="str">
        <x:v>2018-12-31|2019-12-31|2020-12-31|2021-12-31|2023-12-31</x:v>
      </x:c>
      <x:c r="U2455" s="57" t="n">
        <x:v>-2734.5691435966323</x:v>
      </x:c>
      <x:c r="V2455" s="57" t="n">
        <x:v>-1.1902970872370655</x:v>
      </x:c>
      <x:c r="W2455"/>
      <x:c r="X2455"/>
      <x:c r="Y2455" s="38" t="n">
        <x:v>0.6409090909090909</x:v>
      </x:c>
      <x:c r="Z2455" s="38" t="n">
        <x:v>0.6666592455022953</x:v>
      </x:c>
      <x:c r="AA2455" t="str">
        <x:v>NON_POSITIVE_ENTERPRISE_VALUE|NON_POSITIVE_EQUITY_VALUE|NON_POSITIVE_TERMINAL_FCF</x:v>
      </x:c>
    </x:row>
    <x:row r="2456">
      <x:c r="A2456" s="54" t="n">
        <x:v>45382</x:v>
      </x:c>
      <x:c r="B2456" t="n">
        <x:v>45382.624999988424</x:v>
      </x:c>
      <x:c r="C2456" t="str">
        <x:v>255220</x:v>
      </x:c>
      <x:c r="D2456" t="str">
        <x:v>SG</x:v>
      </x:c>
      <x:c r="E2456" t="str">
        <x:v>KOSDAQ</x:v>
      </x:c>
      <x:c r="F2456" t="str">
        <x:v>MID</x:v>
      </x:c>
      <x:c r="G2456" t="str">
        <x:v>DCF_SCREENING_EXCLUSION</x:v>
      </x:c>
      <x:c r="H2456" t="str">
        <x:v>NON_POSITIVE_ENTERPRISE_VALUE|NON_POSITIVE_EQUITY_VALUE|NON_POSITIVE_TERMINAL_FCF</x:v>
      </x:c>
      <x:c r="I2456" s="54" t="n">
        <x:v>45380</x:v>
      </x:c>
      <x:c r="J2456" s="55" t="n">
        <x:v>2200</x:v>
      </x:c>
      <x:c r="K2456" s="55" t="n">
        <x:v>129170003600</x:v>
      </x:c>
      <x:c r="L2456" s="55" t="n">
        <x:v>58713638</x:v>
      </x:c>
      <x:c r="M2456" t="str">
        <x:v>20240320001577</x:v>
      </x:c>
      <x:c r="N2456" t="n">
        <x:v>45371.624999988424</x:v>
      </x:c>
      <x:c r="O2456" s="54" t="n">
        <x:v>45291</x:v>
      </x:c>
      <x:c r="P2456" t="str">
        <x:v>False</x:v>
      </x:c>
      <x:c r="Q2456" t="str">
        <x:v>802033ebe05b476b11a5cd33571e1b1340c0db3ce02c2d235192981aee1f89bd</x:v>
      </x:c>
      <x:c r="R2456" t="str">
        <x:v>8b0a222bea654a5f7372b265555038bdf285365448e48f99856645c6bb017357</x:v>
      </x:c>
      <x:c r="S2456" t="n">
        <x:v>6</x:v>
      </x:c>
      <x:c r="T2456" t="str">
        <x:v>2018-12-31|2019-12-31|2020-12-31|2021-12-31|2022-12-31|2023-12-31</x:v>
      </x:c>
      <x:c r="U2456" s="57" t="n">
        <x:v>-1269.4684594894723</x:v>
      </x:c>
      <x:c r="V2456" s="57" t="n">
        <x:v>-1.57703111794976</x:v>
      </x:c>
      <x:c r="W2456"/>
      <x:c r="X2456"/>
      <x:c r="Y2456" s="38" t="n">
        <x:v>0.6409090909090909</x:v>
      </x:c>
      <x:c r="Z2456" s="38" t="n">
        <x:v>0.07725377279525597</x:v>
      </x:c>
      <x:c r="AA2456" t="str">
        <x:v>NON_POSITIVE_ENTERPRISE_VALUE|NON_POSITIVE_EQUITY_VALUE|NON_POSITIVE_TERMINAL_FCF</x:v>
      </x:c>
    </x:row>
    <x:row r="2457">
      <x:c r="A2457" s="54" t="n">
        <x:v>45382</x:v>
      </x:c>
      <x:c r="B2457" t="n">
        <x:v>45382.624999988424</x:v>
      </x:c>
      <x:c r="C2457" t="str">
        <x:v>356680</x:v>
      </x:c>
      <x:c r="D2457" t="str">
        <x:v>엑스게이트</x:v>
      </x:c>
      <x:c r="E2457" t="str">
        <x:v>KOSDAQ</x:v>
      </x:c>
      <x:c r="F2457" t="str">
        <x:v>MID</x:v>
      </x:c>
      <x:c r="G2457" t="str">
        <x:v>ELIGIBLE</x:v>
      </x:c>
      <x:c r="H2457"/>
      <x:c r="I2457" s="54" t="n">
        <x:v>45380</x:v>
      </x:c>
      <x:c r="J2457" s="55" t="n">
        <x:v>6170</x:v>
      </x:c>
      <x:c r="K2457" s="55" t="n">
        <x:v>176113345640</x:v>
      </x:c>
      <x:c r="L2457" s="55" t="n">
        <x:v>28543492</x:v>
      </x:c>
      <x:c r="M2457" t="str">
        <x:v>20240320000741</x:v>
      </x:c>
      <x:c r="N2457" t="n">
        <x:v>45371.624999988424</x:v>
      </x:c>
      <x:c r="O2457" s="54" t="n">
        <x:v>45291</x:v>
      </x:c>
      <x:c r="P2457" t="str">
        <x:v>False</x:v>
      </x:c>
      <x:c r="Q2457" t="str">
        <x:v>411dba391a5618a47e342cff6469dfec93ffa310f1426596899b9268827e4688</x:v>
      </x:c>
      <x:c r="R2457" t="str">
        <x:v>91c28fca4bd93ccfc833effbc7172fbbb98fdc8d3de43e888c92a2b75ddc7b35</x:v>
      </x:c>
      <x:c r="S2457" t="n">
        <x:v>7</x:v>
      </x:c>
      <x:c r="T2457" t="str">
        <x:v>2022-12-31|2023-12-31</x:v>
      </x:c>
      <x:c r="U2457" s="57" t="n">
        <x:v>1527.357058793884</x:v>
      </x:c>
      <x:c r="V2457" s="57" t="n">
        <x:v>-0.7524542854466962</x:v>
      </x:c>
      <x:c r="W2457" t="n">
        <x:v>57</x:v>
      </x:c>
      <x:c r="X2457" t="n">
        <x:v>5</x:v>
      </x:c>
      <x:c r="Y2457" s="38" t="n">
        <x:v>0.6409090909090909</x:v>
      </x:c>
      <x:c r="Z2457" s="38" t="n">
        <x:v>0.8118552005286007</x:v>
      </x:c>
      <x:c r="AA2457"/>
    </x:row>
    <x:row r="2458">
      <x:c r="A2458" s="54" t="n">
        <x:v>45382</x:v>
      </x:c>
      <x:c r="B2458" t="n">
        <x:v>45382.624999988424</x:v>
      </x:c>
      <x:c r="C2458" t="str">
        <x:v>038390</x:v>
      </x:c>
      <x:c r="D2458" t="str">
        <x:v>레드캡투어</x:v>
      </x:c>
      <x:c r="E2458" t="str">
        <x:v>KOSDAQ</x:v>
      </x:c>
      <x:c r="F2458" t="str">
        <x:v>MID</x:v>
      </x:c>
      <x:c r="G2458" t="str">
        <x:v>ELIGIBLE</x:v>
      </x:c>
      <x:c r="H2458"/>
      <x:c r="I2458" s="54" t="n">
        <x:v>45380</x:v>
      </x:c>
      <x:c r="J2458" s="55" t="n">
        <x:v>15410</x:v>
      </x:c>
      <x:c r="K2458" s="55" t="n">
        <x:v>132363886800</x:v>
      </x:c>
      <x:c r="L2458" s="55" t="n">
        <x:v>8589480</x:v>
      </x:c>
      <x:c r="M2458" t="str">
        <x:v>20240314001063</x:v>
      </x:c>
      <x:c r="N2458" t="n">
        <x:v>45365.624999988424</x:v>
      </x:c>
      <x:c r="O2458" s="54" t="n">
        <x:v>45291</x:v>
      </x:c>
      <x:c r="P2458" t="str">
        <x:v>False</x:v>
      </x:c>
      <x:c r="Q2458" t="str">
        <x:v>fd36d793118950285fee662f10fac7fcdc129f8f3143b98ce551f6ce54038473</x:v>
      </x:c>
      <x:c r="R2458" t="str">
        <x:v>568919094dea73f6d3a242c07a8b08042db0121da9db32409f91e94da6d96886</x:v>
      </x:c>
      <x:c r="S2458" t="n">
        <x:v>6</x:v>
      </x:c>
      <x:c r="T2458" t="str">
        <x:v>2018-12-31|2019-12-31|2020-12-31|2021-12-31|2022-12-31|2023-12-31</x:v>
      </x:c>
      <x:c r="U2458" s="57" t="n">
        <x:v>21649.652872592273</x:v>
      </x:c>
      <x:c r="V2458" s="57" t="n">
        <x:v>0.4049093363135803</x:v>
      </x:c>
      <x:c r="W2458" t="n">
        <x:v>20</x:v>
      </x:c>
      <x:c r="X2458" t="n">
        <x:v>2</x:v>
      </x:c>
      <x:c r="Y2458" s="38" t="n">
        <x:v>0.6409090909090909</x:v>
      </x:c>
      <x:c r="Z2458" s="38" t="n">
        <x:v>0.6611393478171571</x:v>
      </x:c>
      <x:c r="AA2458"/>
    </x:row>
    <x:row r="2459">
      <x:c r="A2459" s="54" t="n">
        <x:v>45382</x:v>
      </x:c>
      <x:c r="B2459" t="n">
        <x:v>45382.624999988424</x:v>
      </x:c>
      <x:c r="C2459" t="str">
        <x:v>083930</x:v>
      </x:c>
      <x:c r="D2459" t="str">
        <x:v>아바코</x:v>
      </x:c>
      <x:c r="E2459" t="str">
        <x:v>KOSDAQ</x:v>
      </x:c>
      <x:c r="F2459" t="str">
        <x:v>MID</x:v>
      </x:c>
      <x:c r="G2459" t="str">
        <x:v>ELIGIBLE</x:v>
      </x:c>
      <x:c r="H2459"/>
      <x:c r="I2459" s="54" t="n">
        <x:v>45380</x:v>
      </x:c>
      <x:c r="J2459" s="55" t="n">
        <x:v>17120</x:v>
      </x:c>
      <x:c r="K2459" s="55" t="n">
        <x:v>263867101760</x:v>
      </x:c>
      <x:c r="L2459" s="55" t="n">
        <x:v>15412798</x:v>
      </x:c>
      <x:c r="M2459" t="str">
        <x:v>20240318000914</x:v>
      </x:c>
      <x:c r="N2459" t="n">
        <x:v>45369.624999988424</x:v>
      </x:c>
      <x:c r="O2459" s="54" t="n">
        <x:v>45291</x:v>
      </x:c>
      <x:c r="P2459" t="str">
        <x:v>False</x:v>
      </x:c>
      <x:c r="Q2459" t="str">
        <x:v>eac8cc9607a0566e093b43e10cd0248e654a9f6f02ed08872c70bffceefc109e</x:v>
      </x:c>
      <x:c r="R2459" t="str">
        <x:v>b9cbe3e6660c5aa662f945e617e327022628d74035681c27e70835169136833f</x:v>
      </x:c>
      <x:c r="S2459" t="n">
        <x:v>7</x:v>
      </x:c>
      <x:c r="T2459" t="str">
        <x:v>2018-12-31|2019-12-31|2020-12-31|2021-12-31|2022-12-31|2023-12-31</x:v>
      </x:c>
      <x:c r="U2459" s="57" t="n">
        <x:v>8344.54782253785</x:v>
      </x:c>
      <x:c r="V2459" s="57" t="n">
        <x:v>-0.5125848234498919</x:v>
      </x:c>
      <x:c r="W2459" t="n">
        <x:v>43</x:v>
      </x:c>
      <x:c r="X2459" t="n">
        <x:v>4</x:v>
      </x:c>
      <x:c r="Y2459" s="38" t="n">
        <x:v>0.6409090909090909</x:v>
      </x:c>
      <x:c r="Z2459" s="38" t="n">
        <x:v>0.6466073177770937</x:v>
      </x:c>
      <x:c r="AA2459"/>
    </x:row>
    <x:row r="2460">
      <x:c r="A2460" s="54" t="n">
        <x:v>45382</x:v>
      </x:c>
      <x:c r="B2460" t="n">
        <x:v>45382.624999988424</x:v>
      </x:c>
      <x:c r="C2460" t="str">
        <x:v>089600</x:v>
      </x:c>
      <x:c r="D2460" t="str">
        <x:v>KT나스미디어</x:v>
      </x:c>
      <x:c r="E2460" t="str">
        <x:v>KOSDAQ</x:v>
      </x:c>
      <x:c r="F2460" t="str">
        <x:v>MID</x:v>
      </x:c>
      <x:c r="G2460" t="str">
        <x:v>ELIGIBLE</x:v>
      </x:c>
      <x:c r="H2460"/>
      <x:c r="I2460" s="54" t="n">
        <x:v>45380</x:v>
      </x:c>
      <x:c r="J2460" s="55" t="n">
        <x:v>19980</x:v>
      </x:c>
      <x:c r="K2460" s="55" t="n">
        <x:v>231131896740</x:v>
      </x:c>
      <x:c r="L2460" s="55" t="n">
        <x:v>11568163</x:v>
      </x:c>
      <x:c r="M2460" t="str">
        <x:v>20240321000363</x:v>
      </x:c>
      <x:c r="N2460" t="n">
        <x:v>45372.624999988424</x:v>
      </x:c>
      <x:c r="O2460" s="54" t="n">
        <x:v>45291</x:v>
      </x:c>
      <x:c r="P2460" t="str">
        <x:v>False</x:v>
      </x:c>
      <x:c r="Q2460" t="str">
        <x:v>b7f1a5437ad92e7e9513650155787e077663f0826124db50bc5289e11593d832</x:v>
      </x:c>
      <x:c r="R2460" t="str">
        <x:v>bfef28c66cd78518c4a6de78e6be33333001fa056bbf8f8aa7f33a26a359f112</x:v>
      </x:c>
      <x:c r="S2460" t="n">
        <x:v>6</x:v>
      </x:c>
      <x:c r="T2460" t="str">
        <x:v>2019-12-31|2020-12-31|2021-12-31|2022-12-31|2023-12-31</x:v>
      </x:c>
      <x:c r="U2460" s="57" t="n">
        <x:v>28670.885048986216</x:v>
      </x:c>
      <x:c r="V2460" s="57" t="n">
        <x:v>0.4349792316809918</x:v>
      </x:c>
      <x:c r="W2460" t="n">
        <x:v>19</x:v>
      </x:c>
      <x:c r="X2460" t="n">
        <x:v>2</x:v>
      </x:c>
      <x:c r="Y2460" s="38" t="n">
        <x:v>0.6409090909090909</x:v>
      </x:c>
      <x:c r="Z2460" s="38" t="n">
        <x:v>0.7341956370746694</x:v>
      </x:c>
      <x:c r="AA2460"/>
    </x:row>
    <x:row r="2461">
      <x:c r="A2461" s="54" t="n">
        <x:v>45382</x:v>
      </x:c>
      <x:c r="B2461" t="n">
        <x:v>45382.624999988424</x:v>
      </x:c>
      <x:c r="C2461" t="str">
        <x:v>091120</x:v>
      </x:c>
      <x:c r="D2461" t="str">
        <x:v>이엠텍</x:v>
      </x:c>
      <x:c r="E2461" t="str">
        <x:v>KOSDAQ</x:v>
      </x:c>
      <x:c r="F2461" t="str">
        <x:v>MID</x:v>
      </x:c>
      <x:c r="G2461" t="str">
        <x:v>DCF_SCREENING_EXCLUSION</x:v>
      </x:c>
      <x:c r="H2461" t="str">
        <x:v>NON_POSITIVE_ENTERPRISE_VALUE|UNRELIABLE_TERMINAL_VALUE_SHARE</x:v>
      </x:c>
      <x:c r="I2461" s="54" t="n">
        <x:v>45380</x:v>
      </x:c>
      <x:c r="J2461" s="55" t="n">
        <x:v>31200</x:v>
      </x:c>
      <x:c r="K2461" s="55" t="n">
        <x:v>534547603200</x:v>
      </x:c>
      <x:c r="L2461" s="55" t="n">
        <x:v>17132936</x:v>
      </x:c>
      <x:c r="M2461" t="str">
        <x:v>20240314001506</x:v>
      </x:c>
      <x:c r="N2461" t="n">
        <x:v>45365.624999988424</x:v>
      </x:c>
      <x:c r="O2461" s="54" t="n">
        <x:v>45291</x:v>
      </x:c>
      <x:c r="P2461" t="str">
        <x:v>False</x:v>
      </x:c>
      <x:c r="Q2461" t="str">
        <x:v>1e9bdeeeb99966967879c14799c39dff65e37442904a3c9d07caf9f71e6d664e</x:v>
      </x:c>
      <x:c r="R2461" t="str">
        <x:v>14bbcc55b02b46a094d8ade0f8480b198900f5c5233bc97983c83a6daff4b579</x:v>
      </x:c>
      <x:c r="S2461" t="n">
        <x:v>6</x:v>
      </x:c>
      <x:c r="T2461" t="str">
        <x:v>2018-12-31|2019-12-31|2020-12-31|2021-12-31|2022-12-31|2023-12-31</x:v>
      </x:c>
      <x:c r="U2461" s="57" t="n">
        <x:v>144.63258920150412</x:v>
      </x:c>
      <x:c r="V2461" s="57" t="n">
        <x:v>-0.9953643400896954</x:v>
      </x:c>
      <x:c r="W2461"/>
      <x:c r="X2461"/>
      <x:c r="Y2461" s="38" t="n">
        <x:v>0.6409090909090909</x:v>
      </x:c>
      <x:c r="Z2461" s="38" t="n">
        <x:v>-0.0027763268057279674</x:v>
      </x:c>
      <x:c r="AA2461" t="str">
        <x:v>NON_POSITIVE_ENTERPRISE_VALUE|UNRELIABLE_TERMINAL_VALUE_SHARE</x:v>
      </x:c>
    </x:row>
    <x:row r="2462">
      <x:c r="A2462" s="54" t="n">
        <x:v>45382</x:v>
      </x:c>
      <x:c r="B2462" t="n">
        <x:v>45382.624999988424</x:v>
      </x:c>
      <x:c r="C2462" t="str">
        <x:v>353810</x:v>
      </x:c>
      <x:c r="D2462" t="str">
        <x:v>이지바이오</x:v>
      </x:c>
      <x:c r="E2462" t="str">
        <x:v>KOSDAQ</x:v>
      </x:c>
      <x:c r="F2462" t="str">
        <x:v>MID</x:v>
      </x:c>
      <x:c r="G2462" t="str">
        <x:v>ELIGIBLE</x:v>
      </x:c>
      <x:c r="H2462"/>
      <x:c r="I2462" s="54" t="n">
        <x:v>45380</x:v>
      </x:c>
      <x:c r="J2462" s="55" t="n">
        <x:v>3680</x:v>
      </x:c>
      <x:c r="K2462" s="55" t="n">
        <x:v>125825529600</x:v>
      </x:c>
      <x:c r="L2462" s="55" t="n">
        <x:v>34191720</x:v>
      </x:c>
      <x:c r="M2462" t="str">
        <x:v>20240321001360</x:v>
      </x:c>
      <x:c r="N2462" t="n">
        <x:v>45372.624999988424</x:v>
      </x:c>
      <x:c r="O2462" s="54" t="n">
        <x:v>45291</x:v>
      </x:c>
      <x:c r="P2462" t="str">
        <x:v>False</x:v>
      </x:c>
      <x:c r="Q2462" t="str">
        <x:v>0c595a4289176d26f4bb211a8777e3552707069c69111b627265c5a9988199b2</x:v>
      </x:c>
      <x:c r="R2462" t="str">
        <x:v>abd6bec6d7dbfa84737cf0be785800c3f2ef5a1062ea4dac1b0cc07e2e0ea7fe</x:v>
      </x:c>
      <x:c r="S2462" t="n">
        <x:v>6</x:v>
      </x:c>
      <x:c r="T2462" t="str">
        <x:v>2021-12-31|2022-12-31|2023-12-31</x:v>
      </x:c>
      <x:c r="U2462" s="57" t="n">
        <x:v>5566.0717405511205</x:v>
      </x:c>
      <x:c r="V2462" s="57" t="n">
        <x:v>0.5125194947149784</x:v>
      </x:c>
      <x:c r="W2462" t="n">
        <x:v>18</x:v>
      </x:c>
      <x:c r="X2462" t="n">
        <x:v>2</x:v>
      </x:c>
      <x:c r="Y2462" s="38" t="n">
        <x:v>0.6409090909090909</x:v>
      </x:c>
      <x:c r="Z2462" s="38" t="n">
        <x:v>0.7093808942265634</x:v>
      </x:c>
      <x:c r="AA2462"/>
    </x:row>
    <x:row r="2463">
      <x:c r="A2463" s="54" t="n">
        <x:v>45382</x:v>
      </x:c>
      <x:c r="B2463" t="n">
        <x:v>45382.624999988424</x:v>
      </x:c>
      <x:c r="C2463" t="str">
        <x:v>203650</x:v>
      </x:c>
      <x:c r="D2463" t="str">
        <x:v>드림시큐리티</x:v>
      </x:c>
      <x:c r="E2463" t="str">
        <x:v>KOSDAQ</x:v>
      </x:c>
      <x:c r="F2463" t="str">
        <x:v>MID</x:v>
      </x:c>
      <x:c r="G2463" t="str">
        <x:v>ELIGIBLE</x:v>
      </x:c>
      <x:c r="H2463"/>
      <x:c r="I2463" s="54" t="n">
        <x:v>45380</x:v>
      </x:c>
      <x:c r="J2463" s="55" t="n">
        <x:v>3590</x:v>
      </x:c>
      <x:c r="K2463" s="55" t="n">
        <x:v>181674656860</x:v>
      </x:c>
      <x:c r="L2463" s="55" t="n">
        <x:v>50605754</x:v>
      </x:c>
      <x:c r="M2463" t="str">
        <x:v>20240320001616</x:v>
      </x:c>
      <x:c r="N2463" t="n">
        <x:v>45371.624999988424</x:v>
      </x:c>
      <x:c r="O2463" s="54" t="n">
        <x:v>45291</x:v>
      </x:c>
      <x:c r="P2463" t="str">
        <x:v>False</x:v>
      </x:c>
      <x:c r="Q2463" t="str">
        <x:v>59557a89bd1d47b720b80a53a15be6f50c0d82bf0b9f2520c87a5022cb4045a6</x:v>
      </x:c>
      <x:c r="R2463" t="str">
        <x:v>59a24d7af35dd416ea554fb005afe1310718f8bdadef140cad50d43e02d4f4ed</x:v>
      </x:c>
      <x:c r="S2463" t="n">
        <x:v>6</x:v>
      </x:c>
      <x:c r="T2463" t="str">
        <x:v>2018-12-31|2019-12-31|2020-12-31|2021-12-31|2022-12-31|2023-12-31</x:v>
      </x:c>
      <x:c r="U2463" s="57" t="n">
        <x:v>2552.939432679765</x:v>
      </x:c>
      <x:c r="V2463" s="57" t="n">
        <x:v>-0.2888748098385056</x:v>
      </x:c>
      <x:c r="W2463" t="n">
        <x:v>35</x:v>
      </x:c>
      <x:c r="X2463" t="n">
        <x:v>3</x:v>
      </x:c>
      <x:c r="Y2463" s="38" t="n">
        <x:v>0.6409090909090909</x:v>
      </x:c>
      <x:c r="Z2463" s="38" t="n">
        <x:v>0.6404933526297818</x:v>
      </x:c>
      <x:c r="AA2463"/>
    </x:row>
    <x:row r="2464">
      <x:c r="A2464" s="54" t="n">
        <x:v>45382</x:v>
      </x:c>
      <x:c r="B2464" t="n">
        <x:v>45382.624999988424</x:v>
      </x:c>
      <x:c r="C2464" t="str">
        <x:v>251120</x:v>
      </x:c>
      <x:c r="D2464" t="str">
        <x:v>바이오에프디엔씨</x:v>
      </x:c>
      <x:c r="E2464" t="str">
        <x:v>KOSDAQ</x:v>
      </x:c>
      <x:c r="F2464" t="str">
        <x:v>MID</x:v>
      </x:c>
      <x:c r="G2464" t="str">
        <x:v>ELIGIBLE</x:v>
      </x:c>
      <x:c r="H2464"/>
      <x:c r="I2464" s="54" t="n">
        <x:v>45380</x:v>
      </x:c>
      <x:c r="J2464" s="55" t="n">
        <x:v>12600</x:v>
      </x:c>
      <x:c r="K2464" s="55" t="n">
        <x:v>109565820000</x:v>
      </x:c>
      <x:c r="L2464" s="55" t="n">
        <x:v>8695700</x:v>
      </x:c>
      <x:c r="M2464" t="str">
        <x:v>20240321000249</x:v>
      </x:c>
      <x:c r="N2464" t="n">
        <x:v>45372.624999988424</x:v>
      </x:c>
      <x:c r="O2464" s="54" t="n">
        <x:v>45291</x:v>
      </x:c>
      <x:c r="P2464" t="str">
        <x:v>False</x:v>
      </x:c>
      <x:c r="Q2464" t="str">
        <x:v>c894555c5fdfdb9baf6bf268f5640c81148c59946a1eafa8da5b49d314396693</x:v>
      </x:c>
      <x:c r="R2464" t="str">
        <x:v>35019dcd4d45a807ec26f115e7a76ad156ed28697c042def8718bf6a0cc77e88</x:v>
      </x:c>
      <x:c r="S2464" t="n">
        <x:v>5</x:v>
      </x:c>
      <x:c r="T2464" t="str">
        <x:v>2021-12-31|2022-12-31|2023-12-31</x:v>
      </x:c>
      <x:c r="U2464" s="57" t="n">
        <x:v>7712.335656881882</x:v>
      </x:c>
      <x:c r="V2464" s="57" t="n">
        <x:v>-0.38790986850143794</x:v>
      </x:c>
      <x:c r="W2464" t="n">
        <x:v>41</x:v>
      </x:c>
      <x:c r="X2464" t="n">
        <x:v>3</x:v>
      </x:c>
      <x:c r="Y2464" s="38" t="n">
        <x:v>0.6409090909090909</x:v>
      </x:c>
      <x:c r="Z2464" s="38" t="n">
        <x:v>0.6857096411955244</x:v>
      </x:c>
      <x:c r="AA2464"/>
    </x:row>
    <x:row r="2465">
      <x:c r="A2465" s="54" t="n">
        <x:v>45382</x:v>
      </x:c>
      <x:c r="B2465" t="n">
        <x:v>45382.624999988424</x:v>
      </x:c>
      <x:c r="C2465" t="str">
        <x:v>094820</x:v>
      </x:c>
      <x:c r="D2465" t="str">
        <x:v>일진파워</x:v>
      </x:c>
      <x:c r="E2465" t="str">
        <x:v>KOSDAQ</x:v>
      </x:c>
      <x:c r="F2465" t="str">
        <x:v>MID</x:v>
      </x:c>
      <x:c r="G2465" t="str">
        <x:v>ELIGIBLE</x:v>
      </x:c>
      <x:c r="H2465"/>
      <x:c r="I2465" s="54" t="n">
        <x:v>45380</x:v>
      </x:c>
      <x:c r="J2465" s="55" t="n">
        <x:v>12420</x:v>
      </x:c>
      <x:c r="K2465" s="55" t="n">
        <x:v>187277565780</x:v>
      </x:c>
      <x:c r="L2465" s="55" t="n">
        <x:v>15078709</x:v>
      </x:c>
      <x:c r="M2465" t="str">
        <x:v>20240321001764</x:v>
      </x:c>
      <x:c r="N2465" t="n">
        <x:v>45372.624999988424</x:v>
      </x:c>
      <x:c r="O2465" s="54" t="n">
        <x:v>45291</x:v>
      </x:c>
      <x:c r="P2465" t="str">
        <x:v>False</x:v>
      </x:c>
      <x:c r="Q2465" t="str">
        <x:v>8c5fa5ba08df3c46a6c9cb3b32b03d2c7c85ac50aa13ff9446297e85309caec8</x:v>
      </x:c>
      <x:c r="R2465" t="str">
        <x:v>b2a2fceaaef99e188f7034d4081d0b975740594c9da3f86d04ce5e260695d90f</x:v>
      </x:c>
      <x:c r="S2465" t="n">
        <x:v>6</x:v>
      </x:c>
      <x:c r="T2465" t="str">
        <x:v>2018-12-31|2019-12-31|2020-12-31|2021-12-31|2022-12-31|2023-12-31</x:v>
      </x:c>
      <x:c r="U2465" s="57" t="n">
        <x:v>11601.18410293352</x:v>
      </x:c>
      <x:c r="V2465" s="57" t="n">
        <x:v>-0.06592720588296942</x:v>
      </x:c>
      <x:c r="W2465" t="n">
        <x:v>28</x:v>
      </x:c>
      <x:c r="X2465" t="n">
        <x:v>3</x:v>
      </x:c>
      <x:c r="Y2465" s="38" t="n">
        <x:v>0.6409090909090909</x:v>
      </x:c>
      <x:c r="Z2465" s="38" t="n">
        <x:v>0.7050890831920046</x:v>
      </x:c>
      <x:c r="AA2465"/>
    </x:row>
    <x:row r="2466">
      <x:c r="A2466" s="54" t="n">
        <x:v>45382</x:v>
      </x:c>
      <x:c r="B2466" t="n">
        <x:v>45382.624999988424</x:v>
      </x:c>
      <x:c r="C2466" t="str">
        <x:v>333430</x:v>
      </x:c>
      <x:c r="D2466" t="str">
        <x:v>일승</x:v>
      </x:c>
      <x:c r="E2466" t="str">
        <x:v>KOSDAQ</x:v>
      </x:c>
      <x:c r="F2466" t="str">
        <x:v>MID</x:v>
      </x:c>
      <x:c r="G2466" t="str">
        <x:v>ELIGIBLE</x:v>
      </x:c>
      <x:c r="H2466"/>
      <x:c r="I2466" s="54" t="n">
        <x:v>45380</x:v>
      </x:c>
      <x:c r="J2466" s="55" t="n">
        <x:v>3075</x:v>
      </x:c>
      <x:c r="K2466" s="55" t="n">
        <x:v>94484747025</x:v>
      </x:c>
      <x:c r="L2466" s="55" t="n">
        <x:v>30726747</x:v>
      </x:c>
      <x:c r="M2466" t="str">
        <x:v>20240320001390</x:v>
      </x:c>
      <x:c r="N2466" t="n">
        <x:v>45371.624999988424</x:v>
      </x:c>
      <x:c r="O2466" s="54" t="n">
        <x:v>45291</x:v>
      </x:c>
      <x:c r="P2466" t="str">
        <x:v>False</x:v>
      </x:c>
      <x:c r="Q2466" t="str">
        <x:v>05cf1e22aafc5d920c8c81b418025835d5932b5c50d9228145fa25d47cd4ef22</x:v>
      </x:c>
      <x:c r="R2466" t="str">
        <x:v>3369e7e64e23442f481936057f32ca618633ffe3c990fb52bad4734b6afb620f</x:v>
      </x:c>
      <x:c r="S2466" t="n">
        <x:v>6</x:v>
      </x:c>
      <x:c r="T2466" t="str">
        <x:v>2021-12-31|2022-12-31|2023-12-31</x:v>
      </x:c>
      <x:c r="U2466" s="57" t="n">
        <x:v>1044.0587971328735</x:v>
      </x:c>
      <x:c r="V2466" s="57" t="n">
        <x:v>-0.6604686838592281</x:v>
      </x:c>
      <x:c r="W2466" t="n">
        <x:v>51</x:v>
      </x:c>
      <x:c r="X2466" t="n">
        <x:v>4</x:v>
      </x:c>
      <x:c r="Y2466" s="38" t="n">
        <x:v>0.6409090909090909</x:v>
      </x:c>
      <x:c r="Z2466" s="38" t="n">
        <x:v>0.678303173070809</x:v>
      </x:c>
      <x:c r="AA2466"/>
    </x:row>
    <x:row r="2467">
      <x:c r="A2467" s="54" t="n">
        <x:v>45382</x:v>
      </x:c>
      <x:c r="B2467" t="n">
        <x:v>45382.624999988424</x:v>
      </x:c>
      <x:c r="C2467" t="str">
        <x:v>041440</x:v>
      </x:c>
      <x:c r="D2467" t="str">
        <x:v>현대에버다임</x:v>
      </x:c>
      <x:c r="E2467" t="str">
        <x:v>KOSDAQ</x:v>
      </x:c>
      <x:c r="F2467" t="str">
        <x:v>MID</x:v>
      </x:c>
      <x:c r="G2467" t="str">
        <x:v>DCF_SCREENING_EXCLUSION</x:v>
      </x:c>
      <x:c r="H2467" t="str">
        <x:v>NON_POSITIVE_ENTERPRISE_VALUE|NON_POSITIVE_EQUITY_VALUE|NON_POSITIVE_TERMINAL_FCF</x:v>
      </x:c>
      <x:c r="I2467" s="54" t="n">
        <x:v>45380</x:v>
      </x:c>
      <x:c r="J2467" s="55" t="n">
        <x:v>6720</x:v>
      </x:c>
      <x:c r="K2467" s="55" t="n">
        <x:v>120395143680</x:v>
      </x:c>
      <x:c r="L2467" s="55" t="n">
        <x:v>17915944</x:v>
      </x:c>
      <x:c r="M2467" t="str">
        <x:v>20240312001027</x:v>
      </x:c>
      <x:c r="N2467" t="n">
        <x:v>45363.624999988424</x:v>
      </x:c>
      <x:c r="O2467" s="54" t="n">
        <x:v>45291</x:v>
      </x:c>
      <x:c r="P2467" t="str">
        <x:v>False</x:v>
      </x:c>
      <x:c r="Q2467" t="str">
        <x:v>7e46271a69192a51a876226fc710db6e424a950de4b5ef8ae1bcf70976ae6352</x:v>
      </x:c>
      <x:c r="R2467" t="str">
        <x:v>c986d76643fde8ddb48387593a879a224b39986131f53a2e70a46324061690f4</x:v>
      </x:c>
      <x:c r="S2467" t="n">
        <x:v>7</x:v>
      </x:c>
      <x:c r="T2467" t="str">
        <x:v>2018-12-31|2019-12-31|2020-12-31|2021-12-31|2022-12-31|2023-12-31</x:v>
      </x:c>
      <x:c r="U2467" s="57" t="n">
        <x:v>-2012.5319738242547</x:v>
      </x:c>
      <x:c r="V2467" s="57" t="n">
        <x:v>-1.2994839246762284</x:v>
      </x:c>
      <x:c r="W2467"/>
      <x:c r="X2467"/>
      <x:c r="Y2467" s="38" t="n">
        <x:v>0.6409090909090909</x:v>
      </x:c>
      <x:c r="Z2467" s="38" t="n">
        <x:v>0.3466080451041223</x:v>
      </x:c>
      <x:c r="AA2467" t="str">
        <x:v>NON_POSITIVE_ENTERPRISE_VALUE|NON_POSITIVE_EQUITY_VALUE|NON_POSITIVE_TERMINAL_FCF</x:v>
      </x:c>
    </x:row>
    <x:row r="2468">
      <x:c r="A2468" s="54" t="n">
        <x:v>45382</x:v>
      </x:c>
      <x:c r="B2468" t="n">
        <x:v>45382.624999988424</x:v>
      </x:c>
      <x:c r="C2468" t="str">
        <x:v>067990</x:v>
      </x:c>
      <x:c r="D2468" t="str">
        <x:v>도이치모터스</x:v>
      </x:c>
      <x:c r="E2468" t="str">
        <x:v>KOSDAQ</x:v>
      </x:c>
      <x:c r="F2468" t="str">
        <x:v>MID</x:v>
      </x:c>
      <x:c r="G2468" t="str">
        <x:v>DCF_SCREENING_EXCLUSION</x:v>
      </x:c>
      <x:c r="H2468" t="str">
        <x:v>NON_POSITIVE_EQUITY_VALUE</x:v>
      </x:c>
      <x:c r="I2468" s="54" t="n">
        <x:v>45380</x:v>
      </x:c>
      <x:c r="J2468" s="55" t="n">
        <x:v>5760</x:v>
      </x:c>
      <x:c r="K2468" s="55" t="n">
        <x:v>179605728000</x:v>
      </x:c>
      <x:c r="L2468" s="55" t="n">
        <x:v>31181550</x:v>
      </x:c>
      <x:c r="M2468" t="str">
        <x:v>20240320001811</x:v>
      </x:c>
      <x:c r="N2468" t="n">
        <x:v>45371.624999988424</x:v>
      </x:c>
      <x:c r="O2468" s="54" t="n">
        <x:v>45291</x:v>
      </x:c>
      <x:c r="P2468" t="str">
        <x:v>False</x:v>
      </x:c>
      <x:c r="Q2468" t="str">
        <x:v>0bc7f3d8d46eeca98074f004bde11ebaceccb4d0727220416c04f6ece769a38b</x:v>
      </x:c>
      <x:c r="R2468" t="str">
        <x:v>2fe0dc46726ebab2714b5d5a488616fe5159fc6c4dd7b3039c7bcb1783cdbe0a</x:v>
      </x:c>
      <x:c r="S2468" t="n">
        <x:v>6</x:v>
      </x:c>
      <x:c r="T2468" t="str">
        <x:v>2016-12-31|2018-12-31|2019-12-31|2020-12-31|2021-12-31|2022-12-31|2023-12-31</x:v>
      </x:c>
      <x:c r="U2468" s="57" t="n">
        <x:v>-4043.3077429932177</x:v>
      </x:c>
      <x:c r="V2468" s="57" t="n">
        <x:v>-1.7019631498252115</x:v>
      </x:c>
      <x:c r="W2468"/>
      <x:c r="X2468"/>
      <x:c r="Y2468" s="38" t="n">
        <x:v>0.6409090909090909</x:v>
      </x:c>
      <x:c r="Z2468" s="38" t="n">
        <x:v>0.8283303031315056</x:v>
      </x:c>
      <x:c r="AA2468" t="str">
        <x:v>NON_POSITIVE_EQUITY_VALUE</x:v>
      </x:c>
    </x:row>
    <x:row r="2469">
      <x:c r="A2469" s="54" t="n">
        <x:v>45382</x:v>
      </x:c>
      <x:c r="B2469" t="n">
        <x:v>45382.624999988424</x:v>
      </x:c>
      <x:c r="C2469" t="str">
        <x:v>037070</x:v>
      </x:c>
      <x:c r="D2469" t="str">
        <x:v>파세코</x:v>
      </x:c>
      <x:c r="E2469" t="str">
        <x:v>KOSDAQ</x:v>
      </x:c>
      <x:c r="F2469" t="str">
        <x:v>MID</x:v>
      </x:c>
      <x:c r="G2469" t="str">
        <x:v>DCF_SCREENING_EXCLUSION</x:v>
      </x:c>
      <x:c r="H2469" t="str">
        <x:v>UNRELIABLE_TERMINAL_VALUE_SHARE</x:v>
      </x:c>
      <x:c r="I2469" s="54" t="n">
        <x:v>45380</x:v>
      </x:c>
      <x:c r="J2469" s="55" t="n">
        <x:v>10200</x:v>
      </x:c>
      <x:c r="K2469" s="55" t="n">
        <x:v>204000000000</x:v>
      </x:c>
      <x:c r="L2469" s="55" t="n">
        <x:v>20000000</x:v>
      </x:c>
      <x:c r="M2469" t="str">
        <x:v>20240321000783</x:v>
      </x:c>
      <x:c r="N2469" t="n">
        <x:v>45372.624999988424</x:v>
      </x:c>
      <x:c r="O2469" s="54" t="n">
        <x:v>45291</x:v>
      </x:c>
      <x:c r="P2469" t="str">
        <x:v>False</x:v>
      </x:c>
      <x:c r="Q2469" t="str">
        <x:v>784393044605cd99f115f12712e4d213e1008d38343a2c7f9152ad39cdd13c7d</x:v>
      </x:c>
      <x:c r="R2469" t="str">
        <x:v>e993a3ec31febcb41e3bc61f6c681f23684150b0414f372f5f522aaf1908f978</x:v>
      </x:c>
      <x:c r="S2469" t="n">
        <x:v>7</x:v>
      </x:c>
      <x:c r="T2469" t="str">
        <x:v>2018-12-31|2019-12-31|2020-12-31|2021-12-31|2022-12-31|2023-12-31</x:v>
      </x:c>
      <x:c r="U2469" s="57" t="n">
        <x:v>4248.1881586291975</x:v>
      </x:c>
      <x:c r="V2469" s="57" t="n">
        <x:v>-0.5835109648402748</x:v>
      </x:c>
      <x:c r="W2469"/>
      <x:c r="X2469"/>
      <x:c r="Y2469" s="38" t="n">
        <x:v>0.6409090909090909</x:v>
      </x:c>
      <x:c r="Z2469" s="38" t="n">
        <x:v>0.9240520239327586</x:v>
      </x:c>
      <x:c r="AA2469" t="str">
        <x:v>UNRELIABLE_TERMINAL_VALUE_SHARE</x:v>
      </x:c>
    </x:row>
    <x:row r="2470">
      <x:c r="A2470" s="54" t="n">
        <x:v>45382</x:v>
      </x:c>
      <x:c r="B2470" t="n">
        <x:v>45382.624999988424</x:v>
      </x:c>
      <x:c r="C2470" t="str">
        <x:v>365330</x:v>
      </x:c>
      <x:c r="D2470" t="str">
        <x:v>에스와이스틸텍</x:v>
      </x:c>
      <x:c r="E2470" t="str">
        <x:v>KOSDAQ</x:v>
      </x:c>
      <x:c r="F2470" t="str">
        <x:v>MID</x:v>
      </x:c>
      <x:c r="G2470" t="str">
        <x:v>ELIGIBLE</x:v>
      </x:c>
      <x:c r="H2470"/>
      <x:c r="I2470" s="54" t="n">
        <x:v>45380</x:v>
      </x:c>
      <x:c r="J2470" s="55" t="n">
        <x:v>2785</x:v>
      </x:c>
      <x:c r="K2470" s="55" t="n">
        <x:v>85248850000</x:v>
      </x:c>
      <x:c r="L2470" s="55" t="n">
        <x:v>30610000</x:v>
      </x:c>
      <x:c r="M2470" t="str">
        <x:v>20240320000887</x:v>
      </x:c>
      <x:c r="N2470" t="n">
        <x:v>45371.624999988424</x:v>
      </x:c>
      <x:c r="O2470" s="54" t="n">
        <x:v>45291</x:v>
      </x:c>
      <x:c r="P2470" t="str">
        <x:v>False</x:v>
      </x:c>
      <x:c r="Q2470" t="str">
        <x:v>24573bfdcd10bad4ce40d7dee1546ba30c331c97bb0d8f9057b6fa4ab0f1cc87</x:v>
      </x:c>
      <x:c r="R2470" t="str">
        <x:v>0d3f2e5727184a349b90ab2537360e91a99b544acbb94997ce0b227032ecba06</x:v>
      </x:c>
      <x:c r="S2470" t="n">
        <x:v>4</x:v>
      </x:c>
      <x:c r="T2470" t="str">
        <x:v>2023-12-31</x:v>
      </x:c>
      <x:c r="U2470" s="57" t="n">
        <x:v>4523.773780380267</x:v>
      </x:c>
      <x:c r="V2470" s="57" t="n">
        <x:v>0.6243352891850154</x:v>
      </x:c>
      <x:c r="W2470" t="n">
        <x:v>17</x:v>
      </x:c>
      <x:c r="X2470" t="n">
        <x:v>2</x:v>
      </x:c>
      <x:c r="Y2470" s="38" t="n">
        <x:v>0.6409090909090909</x:v>
      </x:c>
      <x:c r="Z2470" s="38" t="n">
        <x:v>0.6701769222689359</x:v>
      </x:c>
      <x:c r="AA2470"/>
    </x:row>
    <x:row r="2471">
      <x:c r="A2471" s="54" t="n">
        <x:v>45382</x:v>
      </x:c>
      <x:c r="B2471" t="n">
        <x:v>45382.624999988424</x:v>
      </x:c>
      <x:c r="C2471" t="str">
        <x:v>086960</x:v>
      </x:c>
      <x:c r="D2471" t="str">
        <x:v>MDS테크</x:v>
      </x:c>
      <x:c r="E2471" t="str">
        <x:v>KOSDAQ</x:v>
      </x:c>
      <x:c r="F2471" t="str">
        <x:v>MID</x:v>
      </x:c>
      <x:c r="G2471" t="str">
        <x:v>ELIGIBLE</x:v>
      </x:c>
      <x:c r="H2471"/>
      <x:c r="I2471" s="54" t="n">
        <x:v>45380</x:v>
      </x:c>
      <x:c r="J2471" s="55" t="n">
        <x:v>1864</x:v>
      </x:c>
      <x:c r="K2471" s="55" t="n">
        <x:v>163246391104</x:v>
      </x:c>
      <x:c r="L2471" s="55" t="n">
        <x:v>87578536</x:v>
      </x:c>
      <x:c r="M2471" t="str">
        <x:v>20240320001272</x:v>
      </x:c>
      <x:c r="N2471" t="n">
        <x:v>45371.624999988424</x:v>
      </x:c>
      <x:c r="O2471" s="54" t="n">
        <x:v>45291</x:v>
      </x:c>
      <x:c r="P2471" t="str">
        <x:v>False</x:v>
      </x:c>
      <x:c r="Q2471" t="str">
        <x:v>84de4515ca1119a24d9147eddc788440aecaaee691f2865c90aa8ed59fc89a1d</x:v>
      </x:c>
      <x:c r="R2471" t="str">
        <x:v>3e08d93b2f163c2e15943a2607b75a5534844c24473dd034ace6e16e0edd5ab7</x:v>
      </x:c>
      <x:c r="S2471" t="n">
        <x:v>6</x:v>
      </x:c>
      <x:c r="T2471" t="str">
        <x:v>2018-12-31|2019-12-31|2020-12-31|2021-12-31|2022-12-31|2023-12-31</x:v>
      </x:c>
      <x:c r="U2471" s="57" t="n">
        <x:v>1262.9408047758272</x:v>
      </x:c>
      <x:c r="V2471" s="57" t="n">
        <x:v>-0.32245664979837596</x:v>
      </x:c>
      <x:c r="W2471" t="n">
        <x:v>37</x:v>
      </x:c>
      <x:c r="X2471" t="n">
        <x:v>3</x:v>
      </x:c>
      <x:c r="Y2471" s="38" t="n">
        <x:v>0.6409090909090909</x:v>
      </x:c>
      <x:c r="Z2471" s="38" t="n">
        <x:v>0.6113041702507156</x:v>
      </x:c>
      <x:c r="AA2471"/>
    </x:row>
    <x:row r="2472">
      <x:c r="A2472" s="54" t="n">
        <x:v>45382</x:v>
      </x:c>
      <x:c r="B2472" t="n">
        <x:v>45382.624999988424</x:v>
      </x:c>
      <x:c r="C2472" t="str">
        <x:v>014970</x:v>
      </x:c>
      <x:c r="D2472" t="str">
        <x:v>삼륭물산</x:v>
      </x:c>
      <x:c r="E2472" t="str">
        <x:v>KOSDAQ</x:v>
      </x:c>
      <x:c r="F2472" t="str">
        <x:v>MID</x:v>
      </x:c>
      <x:c r="G2472" t="str">
        <x:v>DCF_SCREENING_EXCLUSION</x:v>
      </x:c>
      <x:c r="H2472" t="str">
        <x:v>NON_POSITIVE_ENTERPRISE_VALUE|NON_POSITIVE_EQUITY_VALUE|NON_POSITIVE_TERMINAL_FCF</x:v>
      </x:c>
      <x:c r="I2472" s="54" t="n">
        <x:v>45380</x:v>
      </x:c>
      <x:c r="J2472" s="55" t="n">
        <x:v>3765</x:v>
      </x:c>
      <x:c r="K2472" s="55" t="n">
        <x:v>56945625000</x:v>
      </x:c>
      <x:c r="L2472" s="55" t="n">
        <x:v>15125000</x:v>
      </x:c>
      <x:c r="M2472" t="str">
        <x:v>20240320000719</x:v>
      </x:c>
      <x:c r="N2472" t="n">
        <x:v>45371.624999988424</x:v>
      </x:c>
      <x:c r="O2472" s="54" t="n">
        <x:v>45291</x:v>
      </x:c>
      <x:c r="P2472" t="str">
        <x:v>False</x:v>
      </x:c>
      <x:c r="Q2472" t="str">
        <x:v>2cadfc6d7219ebba9d011695e07f4b6314ecd5df7ec1ae231e8cf6b97f5bef45</x:v>
      </x:c>
      <x:c r="R2472" t="str">
        <x:v>8e030fcab7ea2a0ed13b3f3fd4694f1f7256ca3970f5581f149752a285031d6d</x:v>
      </x:c>
      <x:c r="S2472" t="n">
        <x:v>6</x:v>
      </x:c>
      <x:c r="T2472" t="str">
        <x:v>2018-12-31|2019-12-31|2020-12-31|2021-12-31|2022-12-31|2023-12-31</x:v>
      </x:c>
      <x:c r="U2472" s="57" t="n">
        <x:v>-1515.1892678884392</x:v>
      </x:c>
      <x:c r="V2472" s="57" t="n">
        <x:v>-1.402440708602507</x:v>
      </x:c>
      <x:c r="W2472"/>
      <x:c r="X2472"/>
      <x:c r="Y2472" s="38" t="n">
        <x:v>0.6409090909090909</x:v>
      </x:c>
      <x:c r="Z2472" s="38" t="n">
        <x:v>0.6814610306368521</x:v>
      </x:c>
      <x:c r="AA2472" t="str">
        <x:v>NON_POSITIVE_ENTERPRISE_VALUE|NON_POSITIVE_EQUITY_VALUE|NON_POSITIVE_TERMINAL_FCF</x:v>
      </x:c>
    </x:row>
    <x:row r="2473">
      <x:c r="A2473" s="54" t="n">
        <x:v>45382</x:v>
      </x:c>
      <x:c r="B2473" t="n">
        <x:v>45382.624999988424</x:v>
      </x:c>
      <x:c r="C2473" t="str">
        <x:v>088390</x:v>
      </x:c>
      <x:c r="D2473" t="str">
        <x:v>이녹스</x:v>
      </x:c>
      <x:c r="E2473" t="str">
        <x:v>KOSDAQ</x:v>
      </x:c>
      <x:c r="F2473" t="str">
        <x:v>MID</x:v>
      </x:c>
      <x:c r="G2473" t="str">
        <x:v>ELIGIBLE</x:v>
      </x:c>
      <x:c r="H2473"/>
      <x:c r="I2473" s="54" t="n">
        <x:v>45380</x:v>
      </x:c>
      <x:c r="J2473" s="55" t="n">
        <x:v>22300</x:v>
      </x:c>
      <x:c r="K2473" s="55" t="n">
        <x:v>209304321200</x:v>
      </x:c>
      <x:c r="L2473" s="55" t="n">
        <x:v>9385844</x:v>
      </x:c>
      <x:c r="M2473" t="str">
        <x:v>20240320001657</x:v>
      </x:c>
      <x:c r="N2473" t="n">
        <x:v>45371.624999988424</x:v>
      </x:c>
      <x:c r="O2473" s="54" t="n">
        <x:v>45291</x:v>
      </x:c>
      <x:c r="P2473" t="str">
        <x:v>False</x:v>
      </x:c>
      <x:c r="Q2473" t="str">
        <x:v>8dc6d17d648284619088b51a47683a39d7c9ed1736f616904b02e68189eceadb</x:v>
      </x:c>
      <x:c r="R2473" t="str">
        <x:v>f2b8c39a537bef7a34bd1d926810f6f2272c3e414fb936e3f96940d36f9a1331</x:v>
      </x:c>
      <x:c r="S2473" t="n">
        <x:v>6</x:v>
      </x:c>
      <x:c r="T2473" t="str">
        <x:v>2018-12-31|2019-12-31|2020-12-31|2021-12-31|2022-12-31|2023-12-31</x:v>
      </x:c>
      <x:c r="U2473" s="57" t="n">
        <x:v>8672.755239064714</x:v>
      </x:c>
      <x:c r="V2473" s="57" t="n">
        <x:v>-0.6110872090105509</x:v>
      </x:c>
      <x:c r="W2473" t="n">
        <x:v>48</x:v>
      </x:c>
      <x:c r="X2473" t="n">
        <x:v>4</x:v>
      </x:c>
      <x:c r="Y2473" s="38" t="n">
        <x:v>0.6409090909090909</x:v>
      </x:c>
      <x:c r="Z2473" s="38" t="n">
        <x:v>0.7494179855138948</x:v>
      </x:c>
      <x:c r="AA2473"/>
    </x:row>
    <x:row r="2474">
      <x:c r="A2474" s="54" t="n">
        <x:v>45382</x:v>
      </x:c>
      <x:c r="B2474" t="n">
        <x:v>45382.624999988424</x:v>
      </x:c>
      <x:c r="C2474" t="str">
        <x:v>170920</x:v>
      </x:c>
      <x:c r="D2474" t="str">
        <x:v>엘티씨</x:v>
      </x:c>
      <x:c r="E2474" t="str">
        <x:v>KOSDAQ</x:v>
      </x:c>
      <x:c r="F2474" t="str">
        <x:v>MID</x:v>
      </x:c>
      <x:c r="G2474" t="str">
        <x:v>DCF_SCREENING_EXCLUSION</x:v>
      </x:c>
      <x:c r="H2474" t="str">
        <x:v>NON_POSITIVE_ENTERPRISE_VALUE|NON_POSITIVE_EQUITY_VALUE|UNRELIABLE_TERMINAL_VALUE_SHARE</x:v>
      </x:c>
      <x:c r="I2474" s="54" t="n">
        <x:v>45380</x:v>
      </x:c>
      <x:c r="J2474" s="55" t="n">
        <x:v>14480</x:v>
      </x:c>
      <x:c r="K2474" s="55" t="n">
        <x:v>141985377600</x:v>
      </x:c>
      <x:c r="L2474" s="55" t="n">
        <x:v>9805620</x:v>
      </x:c>
      <x:c r="M2474" t="str">
        <x:v>20240321001742</x:v>
      </x:c>
      <x:c r="N2474" t="n">
        <x:v>45372.624999988424</x:v>
      </x:c>
      <x:c r="O2474" s="54" t="n">
        <x:v>45291</x:v>
      </x:c>
      <x:c r="P2474" t="str">
        <x:v>False</x:v>
      </x:c>
      <x:c r="Q2474" t="str">
        <x:v>e0fb18466957ab0f83d20a2f4e800266152f0cbe424990d422a2254e9053e290</x:v>
      </x:c>
      <x:c r="R2474" t="str">
        <x:v>c96edd30d1785443fbfc98210e3ff88ce203af94559a254a9db7253a722dc9b0</x:v>
      </x:c>
      <x:c r="S2474" t="n">
        <x:v>6</x:v>
      </x:c>
      <x:c r="T2474" t="str">
        <x:v>2018-12-31|2019-12-31|2020-12-31|2021-12-31|2022-12-31|2023-12-31</x:v>
      </x:c>
      <x:c r="U2474" s="57" t="n">
        <x:v>-7442.29652600761</x:v>
      </x:c>
      <x:c r="V2474" s="57" t="n">
        <x:v>-1.5139707545585366</x:v>
      </x:c>
      <x:c r="W2474"/>
      <x:c r="X2474"/>
      <x:c r="Y2474" s="38" t="n">
        <x:v>0.6409090909090909</x:v>
      </x:c>
      <x:c r="Z2474" s="38" t="n">
        <x:v>-0.5601716319008023</x:v>
      </x:c>
      <x:c r="AA2474" t="str">
        <x:v>NON_POSITIVE_ENTERPRISE_VALUE|NON_POSITIVE_EQUITY_VALUE|UNRELIABLE_TERMINAL_VALUE_SHARE</x:v>
      </x:c>
    </x:row>
    <x:row r="2475">
      <x:c r="A2475" s="54" t="n">
        <x:v>45382</x:v>
      </x:c>
      <x:c r="B2475" t="n">
        <x:v>45382.624999988424</x:v>
      </x:c>
      <x:c r="C2475" t="str">
        <x:v>021080</x:v>
      </x:c>
      <x:c r="D2475" t="str">
        <x:v>에이티넘인베스트</x:v>
      </x:c>
      <x:c r="E2475" t="str">
        <x:v>KOSDAQ</x:v>
      </x:c>
      <x:c r="F2475" t="str">
        <x:v>MID</x:v>
      </x:c>
      <x:c r="G2475" t="str">
        <x:v>ELIGIBLE</x:v>
      </x:c>
      <x:c r="H2475"/>
      <x:c r="I2475" s="54" t="n">
        <x:v>45380</x:v>
      </x:c>
      <x:c r="J2475" s="55" t="n">
        <x:v>2900</x:v>
      </x:c>
      <x:c r="K2475" s="55" t="n">
        <x:v>139200000000</x:v>
      </x:c>
      <x:c r="L2475" s="55" t="n">
        <x:v>48000000</x:v>
      </x:c>
      <x:c r="M2475" t="str">
        <x:v>20240312000765</x:v>
      </x:c>
      <x:c r="N2475" t="n">
        <x:v>45363.624999988424</x:v>
      </x:c>
      <x:c r="O2475" s="54" t="n">
        <x:v>45291</x:v>
      </x:c>
      <x:c r="P2475" t="str">
        <x:v>False</x:v>
      </x:c>
      <x:c r="Q2475" t="str">
        <x:v>585e092b523d9f6610c602b3553f86e82bb9685ce00a429285a4a5e44a1b69ad</x:v>
      </x:c>
      <x:c r="R2475" t="str">
        <x:v>d63c9082395f6f464c3496fb0527874d7a68bea07199380a9ea6a3a2ff1a2912</x:v>
      </x:c>
      <x:c r="S2475" t="n">
        <x:v>4</x:v>
      </x:c>
      <x:c r="T2475" t="str">
        <x:v>2018-12-31|2019-12-31|2020-12-31|2021-12-31|2022-12-31|2023-12-31</x:v>
      </x:c>
      <x:c r="U2475" s="57" t="n">
        <x:v>11357.071815195002</x:v>
      </x:c>
      <x:c r="V2475" s="57" t="n">
        <x:v>2.9162316604120697</x:v>
      </x:c>
      <x:c r="W2475" t="n">
        <x:v>4</x:v>
      </x:c>
      <x:c r="X2475" t="n">
        <x:v>1</x:v>
      </x:c>
      <x:c r="Y2475" s="38" t="n">
        <x:v>0.6409090909090909</x:v>
      </x:c>
      <x:c r="Z2475" s="38" t="n">
        <x:v>0.7437819354512628</x:v>
      </x:c>
      <x:c r="AA2475"/>
    </x:row>
    <x:row r="2476">
      <x:c r="A2476" s="54" t="n">
        <x:v>45382</x:v>
      </x:c>
      <x:c r="B2476" t="n">
        <x:v>45382.624999988424</x:v>
      </x:c>
      <x:c r="C2476" t="str">
        <x:v>302550</x:v>
      </x:c>
      <x:c r="D2476" t="str">
        <x:v>리메드</x:v>
      </x:c>
      <x:c r="E2476" t="str">
        <x:v>KOSDAQ</x:v>
      </x:c>
      <x:c r="F2476" t="str">
        <x:v>MID</x:v>
      </x:c>
      <x:c r="G2476" t="str">
        <x:v>DCF_SCREENING_EXCLUSION</x:v>
      </x:c>
      <x:c r="H2476" t="str">
        <x:v>UNRELIABLE_TERMINAL_VALUE_SHARE</x:v>
      </x:c>
      <x:c r="I2476" s="54" t="n">
        <x:v>45380</x:v>
      </x:c>
      <x:c r="J2476" s="55" t="n">
        <x:v>2755</x:v>
      </x:c>
      <x:c r="K2476" s="55" t="n">
        <x:v>84407910400</x:v>
      </x:c>
      <x:c r="L2476" s="55" t="n">
        <x:v>30638080</x:v>
      </x:c>
      <x:c r="M2476" t="str">
        <x:v>20240320001869</x:v>
      </x:c>
      <x:c r="N2476" t="n">
        <x:v>45371.624999988424</x:v>
      </x:c>
      <x:c r="O2476" s="54" t="n">
        <x:v>45291</x:v>
      </x:c>
      <x:c r="P2476" t="str">
        <x:v>False</x:v>
      </x:c>
      <x:c r="Q2476" t="str">
        <x:v>f37bc9e8f50b278bc61fcb7d91d37a08aac4133ac1040e52e1169030f5622bfc</x:v>
      </x:c>
      <x:c r="R2476" t="str">
        <x:v>2a41be552012dc833bc4448b5f83106223e2b37ba0073ee2d8cce05d9ebdec12</x:v>
      </x:c>
      <x:c r="S2476" t="n">
        <x:v>5</x:v>
      </x:c>
      <x:c r="T2476" t="str">
        <x:v>2019-12-31|2020-12-31|2021-12-31|2022-12-31|2023-12-31</x:v>
      </x:c>
      <x:c r="U2476" s="57" t="n">
        <x:v>437.18455656227076</x:v>
      </x:c>
      <x:c r="V2476" s="57" t="n">
        <x:v>-0.8413123206670523</x:v>
      </x:c>
      <x:c r="W2476"/>
      <x:c r="X2476"/>
      <x:c r="Y2476" s="38" t="n">
        <x:v>0.6409090909090909</x:v>
      </x:c>
      <x:c r="Z2476" s="38" t="n">
        <x:v>1.167331447241464</x:v>
      </x:c>
      <x:c r="AA2476" t="str">
        <x:v>UNRELIABLE_TERMINAL_VALUE_SHARE</x:v>
      </x:c>
    </x:row>
    <x:row r="2477">
      <x:c r="A2477" s="54" t="n">
        <x:v>45382</x:v>
      </x:c>
      <x:c r="B2477" t="n">
        <x:v>45382.624999988424</x:v>
      </x:c>
      <x:c r="C2477" t="str">
        <x:v>011760</x:v>
      </x:c>
      <x:c r="D2477" t="str">
        <x:v>현대코퍼레이션</x:v>
      </x:c>
      <x:c r="E2477" t="str">
        <x:v>KOSPI</x:v>
      </x:c>
      <x:c r="F2477" t="str">
        <x:v>MID</x:v>
      </x:c>
      <x:c r="G2477" t="str">
        <x:v>ELIGIBLE</x:v>
      </x:c>
      <x:c r="H2477"/>
      <x:c r="I2477" s="54" t="n">
        <x:v>45380</x:v>
      </x:c>
      <x:c r="J2477" s="55" t="n">
        <x:v>17650</x:v>
      </x:c>
      <x:c r="K2477" s="55" t="n">
        <x:v>233491249900</x:v>
      </x:c>
      <x:c r="L2477" s="55" t="n">
        <x:v>13228966</x:v>
      </x:c>
      <x:c r="M2477" t="str">
        <x:v>20240318000785</x:v>
      </x:c>
      <x:c r="N2477" t="n">
        <x:v>45369.624999988424</x:v>
      </x:c>
      <x:c r="O2477" s="54" t="n">
        <x:v>45291</x:v>
      </x:c>
      <x:c r="P2477" t="str">
        <x:v>False</x:v>
      </x:c>
      <x:c r="Q2477" t="str">
        <x:v>bd05e601957c225260fa17bce33245bbeb5087b300ec05c3078d2af44b23856f</x:v>
      </x:c>
      <x:c r="R2477" t="str">
        <x:v>1c4e9c8420b26b511d1e44e0285bfb973453d5b57b84484050f2da19059bf4b0</x:v>
      </x:c>
      <x:c r="S2477" t="n">
        <x:v>6</x:v>
      </x:c>
      <x:c r="T2477" t="str">
        <x:v>2018-12-31|2019-12-31|2020-12-31|2021-12-31|2022-12-31|2023-12-31</x:v>
      </x:c>
      <x:c r="U2477" s="57" t="n">
        <x:v>5583.9450786115685</x:v>
      </x:c>
      <x:c r="V2477" s="57" t="n">
        <x:v>-0.6836291740163417</x:v>
      </x:c>
      <x:c r="W2477" t="n">
        <x:v>52</x:v>
      </x:c>
      <x:c r="X2477" t="n">
        <x:v>4</x:v>
      </x:c>
      <x:c r="Y2477" s="38" t="n">
        <x:v>0.6409090909090909</x:v>
      </x:c>
      <x:c r="Z2477" s="38" t="n">
        <x:v>0.6111192753275378</x:v>
      </x:c>
      <x:c r="AA2477"/>
    </x:row>
    <x:row r="2478">
      <x:c r="A2478" s="54" t="n">
        <x:v>45382</x:v>
      </x:c>
      <x:c r="B2478" t="n">
        <x:v>45382.624999988424</x:v>
      </x:c>
      <x:c r="C2478" t="str">
        <x:v>010690</x:v>
      </x:c>
      <x:c r="D2478" t="str">
        <x:v>화신</x:v>
      </x:c>
      <x:c r="E2478" t="str">
        <x:v>KOSPI</x:v>
      </x:c>
      <x:c r="F2478" t="str">
        <x:v>MID</x:v>
      </x:c>
      <x:c r="G2478" t="str">
        <x:v>DCF_SCREENING_EXCLUSION</x:v>
      </x:c>
      <x:c r="H2478" t="str">
        <x:v>NON_POSITIVE_ENTERPRISE_VALUE|NON_POSITIVE_EQUITY_VALUE|NON_POSITIVE_TERMINAL_FCF|UNRELIABLE_TERMINAL_VALUE_SHARE</x:v>
      </x:c>
      <x:c r="I2478" s="54" t="n">
        <x:v>45380</x:v>
      </x:c>
      <x:c r="J2478" s="55" t="n">
        <x:v>10710</x:v>
      </x:c>
      <x:c r="K2478" s="55" t="n">
        <x:v>373997591100</x:v>
      </x:c>
      <x:c r="L2478" s="55" t="n">
        <x:v>34920410</x:v>
      </x:c>
      <x:c r="M2478" t="str">
        <x:v>20240320000628</x:v>
      </x:c>
      <x:c r="N2478" t="n">
        <x:v>45371.624999988424</x:v>
      </x:c>
      <x:c r="O2478" s="54" t="n">
        <x:v>45291</x:v>
      </x:c>
      <x:c r="P2478" t="str">
        <x:v>False</x:v>
      </x:c>
      <x:c r="Q2478" t="str">
        <x:v>e81705d8d6ba1afc0afef48e6b5e8812525711e6cd1c45d6819869d7b9b99be1</x:v>
      </x:c>
      <x:c r="R2478" t="str">
        <x:v>1cfc709ce29738cc466feeb517f518e423ab5954b30269b72d371bf06ee4533a</x:v>
      </x:c>
      <x:c r="S2478" t="n">
        <x:v>6</x:v>
      </x:c>
      <x:c r="T2478" t="str">
        <x:v>2018-12-31|2019-12-31|2020-12-31|2021-12-31|2022-12-31|2023-12-31</x:v>
      </x:c>
      <x:c r="U2478" s="57" t="n">
        <x:v>-10980.749844779888</x:v>
      </x:c>
      <x:c r="V2478" s="57" t="n">
        <x:v>-2.02528009755181</x:v>
      </x:c>
      <x:c r="W2478"/>
      <x:c r="X2478"/>
      <x:c r="Y2478" s="38" t="n">
        <x:v>0.6409090909090909</x:v>
      </x:c>
      <x:c r="Z2478" s="38" t="n">
        <x:v>0.9229095949043173</x:v>
      </x:c>
      <x:c r="AA2478" t="str">
        <x:v>NON_POSITIVE_ENTERPRISE_VALUE|NON_POSITIVE_EQUITY_VALUE|NON_POSITIVE_TERMINAL_FCF|UNRELIABLE_TERMINAL_VALUE_SHARE</x:v>
      </x:c>
    </x:row>
    <x:row r="2479">
      <x:c r="A2479" s="54" t="n">
        <x:v>45382</x:v>
      </x:c>
      <x:c r="B2479" t="n">
        <x:v>45382.624999988424</x:v>
      </x:c>
      <x:c r="C2479" t="str">
        <x:v>029460</x:v>
      </x:c>
      <x:c r="D2479" t="str">
        <x:v>케이씨</x:v>
      </x:c>
      <x:c r="E2479" t="str">
        <x:v>KOSPI</x:v>
      </x:c>
      <x:c r="F2479" t="str">
        <x:v>MID</x:v>
      </x:c>
      <x:c r="G2479" t="str">
        <x:v>ELIGIBLE</x:v>
      </x:c>
      <x:c r="H2479"/>
      <x:c r="I2479" s="54" t="n">
        <x:v>45380</x:v>
      </x:c>
      <x:c r="J2479" s="55" t="n">
        <x:v>24600</x:v>
      </x:c>
      <x:c r="K2479" s="55" t="n">
        <x:v>333429482400</x:v>
      </x:c>
      <x:c r="L2479" s="55" t="n">
        <x:v>13554044</x:v>
      </x:c>
      <x:c r="M2479" t="str">
        <x:v>20240320001938</x:v>
      </x:c>
      <x:c r="N2479" t="n">
        <x:v>45371.624999988424</x:v>
      </x:c>
      <x:c r="O2479" s="54" t="n">
        <x:v>45291</x:v>
      </x:c>
      <x:c r="P2479" t="str">
        <x:v>False</x:v>
      </x:c>
      <x:c r="Q2479" t="str">
        <x:v>c14886d85c95ef98f0cb4a19df3b598ddb2981a5a15fc88ae7c3335125c0f27e</x:v>
      </x:c>
      <x:c r="R2479" t="str">
        <x:v>22a13afaea6021ee4bf693c4026f93fafaa7a8fba704d505a71c242704fcc3e8</x:v>
      </x:c>
      <x:c r="S2479" t="n">
        <x:v>7</x:v>
      </x:c>
      <x:c r="T2479" t="str">
        <x:v>2018-12-31|2019-12-31|2020-12-31|2021-12-31|2022-12-31|2023-12-31</x:v>
      </x:c>
      <x:c r="U2479" s="57" t="n">
        <x:v>45130.92374360341</x:v>
      </x:c>
      <x:c r="V2479" s="57" t="n">
        <x:v>0.8345903960814395</x:v>
      </x:c>
      <x:c r="W2479" t="n">
        <x:v>15</x:v>
      </x:c>
      <x:c r="X2479" t="n">
        <x:v>2</x:v>
      </x:c>
      <x:c r="Y2479" s="38" t="n">
        <x:v>0.6409090909090909</x:v>
      </x:c>
      <x:c r="Z2479" s="38" t="n">
        <x:v>0.7089059046499804</x:v>
      </x:c>
      <x:c r="AA2479"/>
    </x:row>
    <x:row r="2480">
      <x:c r="A2480" s="54" t="n">
        <x:v>45382</x:v>
      </x:c>
      <x:c r="B2480" t="n">
        <x:v>45382.624999988424</x:v>
      </x:c>
      <x:c r="C2480" t="str">
        <x:v>122900</x:v>
      </x:c>
      <x:c r="D2480" t="str">
        <x:v>아이마켓코리아</x:v>
      </x:c>
      <x:c r="E2480" t="str">
        <x:v>KOSPI</x:v>
      </x:c>
      <x:c r="F2480" t="str">
        <x:v>MID</x:v>
      </x:c>
      <x:c r="G2480" t="str">
        <x:v>ELIGIBLE</x:v>
      </x:c>
      <x:c r="H2480"/>
      <x:c r="I2480" s="54" t="n">
        <x:v>45380</x:v>
      </x:c>
      <x:c r="J2480" s="55" t="n">
        <x:v>8500</x:v>
      </x:c>
      <x:c r="K2480" s="55" t="n">
        <x:v>284145140000</x:v>
      </x:c>
      <x:c r="L2480" s="55" t="n">
        <x:v>33428840</x:v>
      </x:c>
      <x:c r="M2480" t="str">
        <x:v>20240320001539</x:v>
      </x:c>
      <x:c r="N2480" t="n">
        <x:v>45371.624999988424</x:v>
      </x:c>
      <x:c r="O2480" s="54" t="n">
        <x:v>45291</x:v>
      </x:c>
      <x:c r="P2480" t="str">
        <x:v>False</x:v>
      </x:c>
      <x:c r="Q2480" t="str">
        <x:v>d1503789c50ef811d0de22a09dbf8dc2d39a26a93f95f814ae38fa4dd228ed72</x:v>
      </x:c>
      <x:c r="R2480" t="str">
        <x:v>e28ed1210e03ccf7a9f73952a8150699e698367f047dd509b998036ce69b2f89</x:v>
      </x:c>
      <x:c r="S2480" t="n">
        <x:v>7</x:v>
      </x:c>
      <x:c r="T2480" t="str">
        <x:v>2018-12-31|2019-12-31|2020-12-31|2021-12-31|2022-12-31|2023-12-31</x:v>
      </x:c>
      <x:c r="U2480" s="57" t="n">
        <x:v>8276.257238095726</x:v>
      </x:c>
      <x:c r="V2480" s="57" t="n">
        <x:v>-0.026322677871090994</x:v>
      </x:c>
      <x:c r="W2480" t="n">
        <x:v>26</x:v>
      </x:c>
      <x:c r="X2480" t="n">
        <x:v>2</x:v>
      </x:c>
      <x:c r="Y2480" s="38" t="n">
        <x:v>0.6409090909090909</x:v>
      </x:c>
      <x:c r="Z2480" s="38" t="n">
        <x:v>0.6641229820729971</x:v>
      </x:c>
      <x:c r="AA2480"/>
    </x:row>
    <x:row r="2481">
      <x:c r="A2481" s="54" t="n">
        <x:v>45382</x:v>
      </x:c>
      <x:c r="B2481" t="n">
        <x:v>45382.624999988424</x:v>
      </x:c>
      <x:c r="C2481" t="str">
        <x:v>001820</x:v>
      </x:c>
      <x:c r="D2481" t="str">
        <x:v>삼화콘덴서</x:v>
      </x:c>
      <x:c r="E2481" t="str">
        <x:v>KOSPI</x:v>
      </x:c>
      <x:c r="F2481" t="str">
        <x:v>MID</x:v>
      </x:c>
      <x:c r="G2481" t="str">
        <x:v>ELIGIBLE</x:v>
      </x:c>
      <x:c r="H2481"/>
      <x:c r="I2481" s="54" t="n">
        <x:v>45380</x:v>
      </x:c>
      <x:c r="J2481" s="55" t="n">
        <x:v>33300</x:v>
      </x:c>
      <x:c r="K2481" s="55" t="n">
        <x:v>346153500000</x:v>
      </x:c>
      <x:c r="L2481" s="55" t="n">
        <x:v>10395000</x:v>
      </x:c>
      <x:c r="M2481" t="str">
        <x:v>20240314001464</x:v>
      </x:c>
      <x:c r="N2481" t="n">
        <x:v>45365.624999988424</x:v>
      </x:c>
      <x:c r="O2481" s="54" t="n">
        <x:v>45291</x:v>
      </x:c>
      <x:c r="P2481" t="str">
        <x:v>False</x:v>
      </x:c>
      <x:c r="Q2481" t="str">
        <x:v>274a5347b9dabbb2482dfee0910723d6566dfabab115cb38d8e94d1bd1edface</x:v>
      </x:c>
      <x:c r="R2481" t="str">
        <x:v>cf569ee3978138fde2695bac84c5bc8c63f354d09fc34a554225e8d2005758d2</x:v>
      </x:c>
      <x:c r="S2481" t="n">
        <x:v>6</x:v>
      </x:c>
      <x:c r="T2481" t="str">
        <x:v>2018-12-31|2019-12-31|2020-12-31|2021-12-31|2022-12-31|2023-12-31</x:v>
      </x:c>
      <x:c r="U2481" s="57" t="n">
        <x:v>20806.516685187282</x:v>
      </x:c>
      <x:c r="V2481" s="57" t="n">
        <x:v>-0.3751796791235051</x:v>
      </x:c>
      <x:c r="W2481" t="n">
        <x:v>40</x:v>
      </x:c>
      <x:c r="X2481" t="n">
        <x:v>3</x:v>
      </x:c>
      <x:c r="Y2481" s="38" t="n">
        <x:v>0.6409090909090909</x:v>
      </x:c>
      <x:c r="Z2481" s="38" t="n">
        <x:v>0.7219471498277276</x:v>
      </x:c>
      <x:c r="AA2481"/>
    </x:row>
    <x:row r="2482">
      <x:c r="A2482" s="54" t="n">
        <x:v>45382</x:v>
      </x:c>
      <x:c r="B2482" t="n">
        <x:v>45382.624999988424</x:v>
      </x:c>
      <x:c r="C2482" t="str">
        <x:v>001790</x:v>
      </x:c>
      <x:c r="D2482" t="str">
        <x:v>대한제당</x:v>
      </x:c>
      <x:c r="E2482" t="str">
        <x:v>KOSPI</x:v>
      </x:c>
      <x:c r="F2482" t="str">
        <x:v>MID</x:v>
      </x:c>
      <x:c r="G2482" t="str">
        <x:v>ELIGIBLE</x:v>
      </x:c>
      <x:c r="H2482"/>
      <x:c r="I2482" s="54" t="n">
        <x:v>45380</x:v>
      </x:c>
      <x:c r="J2482" s="55" t="n">
        <x:v>3160</x:v>
      </x:c>
      <x:c r="K2482" s="55" t="n">
        <x:v>283441192800</x:v>
      </x:c>
      <x:c r="L2482" s="55" t="n">
        <x:v>89696580</x:v>
      </x:c>
      <x:c r="M2482" t="str">
        <x:v>20240314001234</x:v>
      </x:c>
      <x:c r="N2482" t="n">
        <x:v>45365.624999988424</x:v>
      </x:c>
      <x:c r="O2482" s="54" t="n">
        <x:v>45291</x:v>
      </x:c>
      <x:c r="P2482" t="str">
        <x:v>False</x:v>
      </x:c>
      <x:c r="Q2482" t="str">
        <x:v>df56a246a05df0b3fabb54db375323623b0235bb5736b3320cf8ef71f3e0dca7</x:v>
      </x:c>
      <x:c r="R2482" t="str">
        <x:v>95750ec16fad2e2d24c3b44296bd94ca5da4245c47d0c3845aa3b1a4c61c7771</x:v>
      </x:c>
      <x:c r="S2482" t="n">
        <x:v>6</x:v>
      </x:c>
      <x:c r="T2482" t="str">
        <x:v>2018-12-31|2019-12-31|2020-12-31|2021-12-31|2022-12-31|2023-12-31</x:v>
      </x:c>
      <x:c r="U2482" s="57" t="n">
        <x:v>3415.658777254967</x:v>
      </x:c>
      <x:c r="V2482" s="57" t="n">
        <x:v>0.08090467634650846</x:v>
      </x:c>
      <x:c r="W2482" t="n">
        <x:v>23</x:v>
      </x:c>
      <x:c r="X2482" t="n">
        <x:v>2</x:v>
      </x:c>
      <x:c r="Y2482" s="38" t="n">
        <x:v>0.6409090909090909</x:v>
      </x:c>
      <x:c r="Z2482" s="38" t="n">
        <x:v>0.6282445060315464</x:v>
      </x:c>
      <x:c r="AA2482"/>
    </x:row>
    <x:row r="2483">
      <x:c r="A2483" s="54" t="n">
        <x:v>45382</x:v>
      </x:c>
      <x:c r="B2483" t="n">
        <x:v>45382.624999988424</x:v>
      </x:c>
      <x:c r="C2483" t="str">
        <x:v>001340</x:v>
      </x:c>
      <x:c r="D2483" t="str">
        <x:v>PKC</x:v>
      </x:c>
      <x:c r="E2483" t="str">
        <x:v>KOSPI</x:v>
      </x:c>
      <x:c r="F2483" t="str">
        <x:v>MID</x:v>
      </x:c>
      <x:c r="G2483" t="str">
        <x:v>DCF_SCREENING_EXCLUSION</x:v>
      </x:c>
      <x:c r="H2483" t="str">
        <x:v>NON_POSITIVE_EQUITY_VALUE</x:v>
      </x:c>
      <x:c r="I2483" s="54" t="n">
        <x:v>45380</x:v>
      </x:c>
      <x:c r="J2483" s="55" t="n">
        <x:v>7790</x:v>
      </x:c>
      <x:c r="K2483" s="55" t="n">
        <x:v>349914390530</x:v>
      </x:c>
      <x:c r="L2483" s="55" t="n">
        <x:v>44918407</x:v>
      </x:c>
      <x:c r="M2483" t="str">
        <x:v>20240320001979</x:v>
      </x:c>
      <x:c r="N2483" t="n">
        <x:v>45371.624999988424</x:v>
      </x:c>
      <x:c r="O2483" s="54" t="n">
        <x:v>45291</x:v>
      </x:c>
      <x:c r="P2483" t="str">
        <x:v>False</x:v>
      </x:c>
      <x:c r="Q2483" t="str">
        <x:v>3c6ac6dfee2c7c5af21ff44265a33e23602bb7d3184a696b2b272cd587a4e2f8</x:v>
      </x:c>
      <x:c r="R2483" t="str">
        <x:v>37c0fe6d2ee64845eaf70afcce40d9a39f2a58d7f9bf1537b18fbf2299467f70</x:v>
      </x:c>
      <x:c r="S2483" t="n">
        <x:v>6</x:v>
      </x:c>
      <x:c r="T2483" t="str">
        <x:v>2016-12-31|2017-12-31|2018-12-31|2019-12-31|2020-12-31|2021-12-31|2022-12-31|2023-12-31</x:v>
      </x:c>
      <x:c r="U2483" s="57" t="n">
        <x:v>-680.2452659586256</x:v>
      </x:c>
      <x:c r="V2483" s="57" t="n">
        <x:v>-1.0873228839484756</x:v>
      </x:c>
      <x:c r="W2483"/>
      <x:c r="X2483"/>
      <x:c r="Y2483" s="38" t="n">
        <x:v>0.6409090909090909</x:v>
      </x:c>
      <x:c r="Z2483" s="38" t="n">
        <x:v>0.719630078039282</x:v>
      </x:c>
      <x:c r="AA2483" t="str">
        <x:v>NON_POSITIVE_EQUITY_VALUE</x:v>
      </x:c>
    </x:row>
    <x:row r="2484">
      <x:c r="A2484" s="54" t="n">
        <x:v>45382</x:v>
      </x:c>
      <x:c r="B2484" t="n">
        <x:v>45382.624999988424</x:v>
      </x:c>
      <x:c r="C2484" t="str">
        <x:v>096760</x:v>
      </x:c>
      <x:c r="D2484" t="str">
        <x:v>JW홀딩스</x:v>
      </x:c>
      <x:c r="E2484" t="str">
        <x:v>KOSPI</x:v>
      </x:c>
      <x:c r="F2484" t="str">
        <x:v>MID</x:v>
      </x:c>
      <x:c r="G2484" t="str">
        <x:v>EXCLUDED_ARCHETYPE</x:v>
      </x:c>
      <x:c r="H2484" t="str">
        <x:v>FCFF_NOT_COMPARABLE_FOR_FINANCE_OR_HOLDING_HINT</x:v>
      </x:c>
      <x:c r="I2484" s="54"/>
      <x:c r="J2484" s="55"/>
      <x:c r="K2484" s="55"/>
      <x:c r="L2484" s="55"/>
      <x:c r="M2484"/>
      <x:c r="N2484"/>
      <x:c r="O2484" s="54"/>
      <x:c r="P2484"/>
      <x:c r="Q2484"/>
      <x:c r="R2484"/>
      <x:c r="S2484"/>
      <x:c r="T2484"/>
      <x:c r="U2484" s="57"/>
      <x:c r="V2484" s="57"/>
      <x:c r="W2484"/>
      <x:c r="X2484"/>
      <x:c r="Y2484" s="38"/>
      <x:c r="Z2484" s="38"/>
      <x:c r="AA2484"/>
    </x:row>
    <x:row r="2485">
      <x:c r="A2485" s="54" t="n">
        <x:v>45382</x:v>
      </x:c>
      <x:c r="B2485" t="n">
        <x:v>45382.624999988424</x:v>
      </x:c>
      <x:c r="C2485" t="str">
        <x:v>005010</x:v>
      </x:c>
      <x:c r="D2485" t="str">
        <x:v>휴스틸</x:v>
      </x:c>
      <x:c r="E2485" t="str">
        <x:v>KOSPI</x:v>
      </x:c>
      <x:c r="F2485" t="str">
        <x:v>MID</x:v>
      </x:c>
      <x:c r="G2485" t="str">
        <x:v>ELIGIBLE</x:v>
      </x:c>
      <x:c r="H2485"/>
      <x:c r="I2485" s="54" t="n">
        <x:v>45380</x:v>
      </x:c>
      <x:c r="J2485" s="55" t="n">
        <x:v>4985</x:v>
      </x:c>
      <x:c r="K2485" s="55" t="n">
        <x:v>280097553875</x:v>
      </x:c>
      <x:c r="L2485" s="55" t="n">
        <x:v>56188075</x:v>
      </x:c>
      <x:c r="M2485" t="str">
        <x:v>20240320001603</x:v>
      </x:c>
      <x:c r="N2485" t="n">
        <x:v>45371.624999988424</x:v>
      </x:c>
      <x:c r="O2485" s="54" t="n">
        <x:v>45291</x:v>
      </x:c>
      <x:c r="P2485" t="str">
        <x:v>False</x:v>
      </x:c>
      <x:c r="Q2485" t="str">
        <x:v>35aae45fefebaf10aa2c86741eb7509a2cff890309dfeb292b0a34398125d0ed</x:v>
      </x:c>
      <x:c r="R2485" t="str">
        <x:v>55c6ff67c8f62cec78e5b4d1a25f40746047d70c48fcc8b9976e04ef6ee101d9</x:v>
      </x:c>
      <x:c r="S2485" t="n">
        <x:v>7</x:v>
      </x:c>
      <x:c r="T2485" t="str">
        <x:v>2018-12-31|2019-12-31|2020-12-31|2021-12-31|2022-12-31|2023-12-31</x:v>
      </x:c>
      <x:c r="U2485" s="57" t="n">
        <x:v>10468.317900691738</x:v>
      </x:c>
      <x:c r="V2485" s="57" t="n">
        <x:v>1.0999634705499979</x:v>
      </x:c>
      <x:c r="W2485" t="n">
        <x:v>11</x:v>
      </x:c>
      <x:c r="X2485" t="n">
        <x:v>1</x:v>
      </x:c>
      <x:c r="Y2485" s="38" t="n">
        <x:v>0.6409090909090909</x:v>
      </x:c>
      <x:c r="Z2485" s="38" t="n">
        <x:v>0.447207451895078</x:v>
      </x:c>
      <x:c r="AA2485"/>
    </x:row>
    <x:row r="2486">
      <x:c r="A2486" s="54" t="n">
        <x:v>45382</x:v>
      </x:c>
      <x:c r="B2486" t="n">
        <x:v>45382.624999988424</x:v>
      </x:c>
      <x:c r="C2486" t="str">
        <x:v>001630</x:v>
      </x:c>
      <x:c r="D2486" t="str">
        <x:v>종근당홀딩스</x:v>
      </x:c>
      <x:c r="E2486" t="str">
        <x:v>KOSPI</x:v>
      </x:c>
      <x:c r="F2486" t="str">
        <x:v>MID</x:v>
      </x:c>
      <x:c r="G2486" t="str">
        <x:v>EXCLUDED_ARCHETYPE</x:v>
      </x:c>
      <x:c r="H2486" t="str">
        <x:v>FCFF_NOT_COMPARABLE_FOR_FINANCE_OR_HOLDING_HINT</x:v>
      </x:c>
      <x:c r="I2486" s="54"/>
      <x:c r="J2486" s="55"/>
      <x:c r="K2486" s="55"/>
      <x:c r="L2486" s="55"/>
      <x:c r="M2486"/>
      <x:c r="N2486"/>
      <x:c r="O2486" s="54"/>
      <x:c r="P2486"/>
      <x:c r="Q2486"/>
      <x:c r="R2486"/>
      <x:c r="S2486"/>
      <x:c r="T2486"/>
      <x:c r="U2486" s="57"/>
      <x:c r="V2486" s="57"/>
      <x:c r="W2486"/>
      <x:c r="X2486"/>
      <x:c r="Y2486" s="38"/>
      <x:c r="Z2486" s="38"/>
      <x:c r="AA2486"/>
    </x:row>
    <x:row r="2487">
      <x:c r="A2487" s="54" t="n">
        <x:v>45382</x:v>
      </x:c>
      <x:c r="B2487" t="n">
        <x:v>45382.624999988424</x:v>
      </x:c>
      <x:c r="C2487" t="str">
        <x:v>005680</x:v>
      </x:c>
      <x:c r="D2487" t="str">
        <x:v>삼영전자</x:v>
      </x:c>
      <x:c r="E2487" t="str">
        <x:v>KOSPI</x:v>
      </x:c>
      <x:c r="F2487" t="str">
        <x:v>MID</x:v>
      </x:c>
      <x:c r="G2487" t="str">
        <x:v>ELIGIBLE</x:v>
      </x:c>
      <x:c r="H2487"/>
      <x:c r="I2487" s="54" t="n">
        <x:v>45380</x:v>
      </x:c>
      <x:c r="J2487" s="55" t="n">
        <x:v>9530</x:v>
      </x:c>
      <x:c r="K2487" s="55" t="n">
        <x:v>190600000000</x:v>
      </x:c>
      <x:c r="L2487" s="55" t="n">
        <x:v>20000000</x:v>
      </x:c>
      <x:c r="M2487" t="str">
        <x:v>20240326000917</x:v>
      </x:c>
      <x:c r="N2487" t="n">
        <x:v>45377.624999988424</x:v>
      </x:c>
      <x:c r="O2487" s="54" t="n">
        <x:v>45291</x:v>
      </x:c>
      <x:c r="P2487" t="str">
        <x:v>False</x:v>
      </x:c>
      <x:c r="Q2487" t="str">
        <x:v>c9489600e923660150670cea88e10103608288ea56fadc66095a9aeeb1947124</x:v>
      </x:c>
      <x:c r="R2487" t="str">
        <x:v>f302bc68e8759b0aa0925fdb1b06b3e93b20fe5c27a5437c64873a5ca5bd9f85</x:v>
      </x:c>
      <x:c r="S2487" t="n">
        <x:v>6</x:v>
      </x:c>
      <x:c r="T2487" t="str">
        <x:v>2018-12-31|2019-12-31|2020-12-31|2021-12-31|2022-12-31|2023-12-31</x:v>
      </x:c>
      <x:c r="U2487" s="57" t="n">
        <x:v>4030.562647874543</x:v>
      </x:c>
      <x:c r="V2487" s="57" t="n">
        <x:v>-0.5770658291842032</x:v>
      </x:c>
      <x:c r="W2487" t="n">
        <x:v>45</x:v>
      </x:c>
      <x:c r="X2487" t="n">
        <x:v>4</x:v>
      </x:c>
      <x:c r="Y2487" s="38" t="n">
        <x:v>0.6409090909090909</x:v>
      </x:c>
      <x:c r="Z2487" s="38" t="n">
        <x:v>0.5975463439034572</x:v>
      </x:c>
      <x:c r="AA2487"/>
    </x:row>
    <x:row r="2488">
      <x:c r="A2488" s="54" t="n">
        <x:v>45382</x:v>
      </x:c>
      <x:c r="B2488" t="n">
        <x:v>45382.624999988424</x:v>
      </x:c>
      <x:c r="C2488" t="str">
        <x:v>028100</x:v>
      </x:c>
      <x:c r="D2488" t="str">
        <x:v>동아지질</x:v>
      </x:c>
      <x:c r="E2488" t="str">
        <x:v>KOSPI</x:v>
      </x:c>
      <x:c r="F2488" t="str">
        <x:v>MID</x:v>
      </x:c>
      <x:c r="G2488" t="str">
        <x:v>ELIGIBLE</x:v>
      </x:c>
      <x:c r="H2488"/>
      <x:c r="I2488" s="54" t="n">
        <x:v>45380</x:v>
      </x:c>
      <x:c r="J2488" s="55" t="n">
        <x:v>12810</x:v>
      </x:c>
      <x:c r="K2488" s="55" t="n">
        <x:v>180014395260</x:v>
      </x:c>
      <x:c r="L2488" s="55" t="n">
        <x:v>14052646</x:v>
      </x:c>
      <x:c r="M2488" t="str">
        <x:v>20240320001574</x:v>
      </x:c>
      <x:c r="N2488" t="n">
        <x:v>45371.624999988424</x:v>
      </x:c>
      <x:c r="O2488" s="54" t="n">
        <x:v>45291</x:v>
      </x:c>
      <x:c r="P2488" t="str">
        <x:v>False</x:v>
      </x:c>
      <x:c r="Q2488" t="str">
        <x:v>ee52a2e3e477bd9e8cfb8f2ba62b81403571f1861c743963d4d6485d911c75be</x:v>
      </x:c>
      <x:c r="R2488" t="str">
        <x:v>4d06e68b268047c2158644a358ddec39196c4ce7f8c0bd01059dd2aaef3abcdd</x:v>
      </x:c>
      <x:c r="S2488" t="n">
        <x:v>7</x:v>
      </x:c>
      <x:c r="T2488" t="str">
        <x:v>2018-12-31|2019-12-31|2020-12-31|2021-12-31|2022-12-31|2023-12-31</x:v>
      </x:c>
      <x:c r="U2488" s="57" t="n">
        <x:v>8765.107670137253</x:v>
      </x:c>
      <x:c r="V2488" s="57" t="n">
        <x:v>-0.31576052536008953</x:v>
      </x:c>
      <x:c r="W2488" t="n">
        <x:v>36</x:v>
      </x:c>
      <x:c r="X2488" t="n">
        <x:v>3</x:v>
      </x:c>
      <x:c r="Y2488" s="38" t="n">
        <x:v>0.6409090909090909</x:v>
      </x:c>
      <x:c r="Z2488" s="38" t="n">
        <x:v>0.49011150122882485</x:v>
      </x:c>
      <x:c r="AA2488"/>
    </x:row>
    <x:row r="2489">
      <x:c r="A2489" s="54" t="n">
        <x:v>45382</x:v>
      </x:c>
      <x:c r="B2489" t="n">
        <x:v>45382.624999988424</x:v>
      </x:c>
      <x:c r="C2489" t="str">
        <x:v>001750</x:v>
      </x:c>
      <x:c r="D2489" t="str">
        <x:v>한양증권</x:v>
      </x:c>
      <x:c r="E2489" t="str">
        <x:v>KOSPI</x:v>
      </x:c>
      <x:c r="F2489" t="str">
        <x:v>MID</x:v>
      </x:c>
      <x:c r="G2489" t="str">
        <x:v>EXCLUDED_ARCHETYPE</x:v>
      </x:c>
      <x:c r="H2489" t="str">
        <x:v>FCFF_NOT_COMPARABLE_FOR_FINANCE_OR_HOLDING_HINT</x:v>
      </x:c>
      <x:c r="I2489" s="54"/>
      <x:c r="J2489" s="55"/>
      <x:c r="K2489" s="55"/>
      <x:c r="L2489" s="55"/>
      <x:c r="M2489"/>
      <x:c r="N2489"/>
      <x:c r="O2489" s="54"/>
      <x:c r="P2489"/>
      <x:c r="Q2489"/>
      <x:c r="R2489"/>
      <x:c r="S2489"/>
      <x:c r="T2489"/>
      <x:c r="U2489" s="57"/>
      <x:c r="V2489" s="57"/>
      <x:c r="W2489"/>
      <x:c r="X2489"/>
      <x:c r="Y2489" s="38"/>
      <x:c r="Z2489" s="38"/>
      <x:c r="AA2489"/>
    </x:row>
    <x:row r="2490">
      <x:c r="A2490" s="54" t="n">
        <x:v>45382</x:v>
      </x:c>
      <x:c r="B2490" t="n">
        <x:v>45382.624999988424</x:v>
      </x:c>
      <x:c r="C2490" t="str">
        <x:v>102460</x:v>
      </x:c>
      <x:c r="D2490" t="str">
        <x:v>이연제약</x:v>
      </x:c>
      <x:c r="E2490" t="str">
        <x:v>KOSPI</x:v>
      </x:c>
      <x:c r="F2490" t="str">
        <x:v>MID</x:v>
      </x:c>
      <x:c r="G2490" t="str">
        <x:v>ELIGIBLE</x:v>
      </x:c>
      <x:c r="H2490"/>
      <x:c r="I2490" s="54" t="n">
        <x:v>45380</x:v>
      </x:c>
      <x:c r="J2490" s="55" t="n">
        <x:v>15250</x:v>
      </x:c>
      <x:c r="K2490" s="55" t="n">
        <x:v>283448867750</x:v>
      </x:c>
      <x:c r="L2490" s="55" t="n">
        <x:v>18586811</x:v>
      </x:c>
      <x:c r="M2490" t="str">
        <x:v>20240321001807</x:v>
      </x:c>
      <x:c r="N2490" t="n">
        <x:v>45372.624999988424</x:v>
      </x:c>
      <x:c r="O2490" s="54" t="n">
        <x:v>45291</x:v>
      </x:c>
      <x:c r="P2490" t="str">
        <x:v>False</x:v>
      </x:c>
      <x:c r="Q2490" t="str">
        <x:v>80d21ff9a7e0cc91512ce41db0823ff69fde89fde7aa4df36154d1bf9cf32883</x:v>
      </x:c>
      <x:c r="R2490" t="str">
        <x:v>5abe4fd2790dc39b5a5e6080a797e3d1f134ad081f87807db896d3642047e82d</x:v>
      </x:c>
      <x:c r="S2490" t="n">
        <x:v>4</x:v>
      </x:c>
      <x:c r="T2490" t="str">
        <x:v>2018-12-31|2019-12-31|2020-12-31|2021-12-31|2022-12-31|2023-12-31</x:v>
      </x:c>
      <x:c r="U2490" s="57" t="n">
        <x:v>2170.4219230363597</x:v>
      </x:c>
      <x:c r="V2490" s="57" t="n">
        <x:v>-0.8576772509484354</x:v>
      </x:c>
      <x:c r="W2490" t="n">
        <x:v>62</x:v>
      </x:c>
      <x:c r="X2490" t="n">
        <x:v>5</x:v>
      </x:c>
      <x:c r="Y2490" s="38" t="n">
        <x:v>0.6409090909090909</x:v>
      </x:c>
      <x:c r="Z2490" s="38" t="n">
        <x:v>0.8239939514401352</x:v>
      </x:c>
      <x:c r="AA2490"/>
    </x:row>
    <x:row r="2491">
      <x:c r="A2491" s="54" t="n">
        <x:v>45382</x:v>
      </x:c>
      <x:c r="B2491" t="n">
        <x:v>45382.624999988424</x:v>
      </x:c>
      <x:c r="C2491" t="str">
        <x:v>053690</x:v>
      </x:c>
      <x:c r="D2491" t="str">
        <x:v>한미글로벌</x:v>
      </x:c>
      <x:c r="E2491" t="str">
        <x:v>KOSPI</x:v>
      </x:c>
      <x:c r="F2491" t="str">
        <x:v>MID</x:v>
      </x:c>
      <x:c r="G2491" t="str">
        <x:v>ELIGIBLE</x:v>
      </x:c>
      <x:c r="H2491"/>
      <x:c r="I2491" s="54" t="n">
        <x:v>45380</x:v>
      </x:c>
      <x:c r="J2491" s="55" t="n">
        <x:v>16670</x:v>
      </x:c>
      <x:c r="K2491" s="55" t="n">
        <x:v>182662358500</x:v>
      </x:c>
      <x:c r="L2491" s="55" t="n">
        <x:v>10957550</x:v>
      </x:c>
      <x:c r="M2491" t="str">
        <x:v>20240313000849</x:v>
      </x:c>
      <x:c r="N2491" t="n">
        <x:v>45364.624999988424</x:v>
      </x:c>
      <x:c r="O2491" s="54" t="n">
        <x:v>45291</x:v>
      </x:c>
      <x:c r="P2491" t="str">
        <x:v>False</x:v>
      </x:c>
      <x:c r="Q2491" t="str">
        <x:v>600ede85d8fc76ab530b9b07c7cb77f2a7e9a31bbf1c2792ce98764725fae529</x:v>
      </x:c>
      <x:c r="R2491" t="str">
        <x:v>b62dda95c5ba2018a83c44b538c7f4363dc397a14cafc5bec0d3704c830014df</x:v>
      </x:c>
      <x:c r="S2491" t="n">
        <x:v>6</x:v>
      </x:c>
      <x:c r="T2491" t="str">
        <x:v>2018-12-31|2019-12-31|2020-12-31|2021-12-31|2022-12-31|2023-12-31</x:v>
      </x:c>
      <x:c r="U2491" s="57" t="n">
        <x:v>28120.708258603623</x:v>
      </x:c>
      <x:c r="V2491" s="57" t="n">
        <x:v>0.6869051144933188</x:v>
      </x:c>
      <x:c r="W2491" t="n">
        <x:v>16</x:v>
      </x:c>
      <x:c r="X2491" t="n">
        <x:v>2</x:v>
      </x:c>
      <x:c r="Y2491" s="38" t="n">
        <x:v>0.6409090909090909</x:v>
      </x:c>
      <x:c r="Z2491" s="38" t="n">
        <x:v>0.7211920712773437</x:v>
      </x:c>
      <x:c r="AA2491"/>
    </x:row>
    <x:row r="2492">
      <x:c r="A2492" s="54" t="n">
        <x:v>45382</x:v>
      </x:c>
      <x:c r="B2492" t="n">
        <x:v>45382.624999988424</x:v>
      </x:c>
      <x:c r="C2492" t="str">
        <x:v>213500</x:v>
      </x:c>
      <x:c r="D2492" t="str">
        <x:v>한솔제지</x:v>
      </x:c>
      <x:c r="E2492" t="str">
        <x:v>KOSPI</x:v>
      </x:c>
      <x:c r="F2492" t="str">
        <x:v>MID</x:v>
      </x:c>
      <x:c r="G2492" t="str">
        <x:v>ELIGIBLE</x:v>
      </x:c>
      <x:c r="H2492"/>
      <x:c r="I2492" s="54" t="n">
        <x:v>45380</x:v>
      </x:c>
      <x:c r="J2492" s="55" t="n">
        <x:v>10300</x:v>
      </x:c>
      <x:c r="K2492" s="55" t="n">
        <x:v>245145932800</x:v>
      </x:c>
      <x:c r="L2492" s="55" t="n">
        <x:v>23800576</x:v>
      </x:c>
      <x:c r="M2492" t="str">
        <x:v>20240312000971</x:v>
      </x:c>
      <x:c r="N2492" t="n">
        <x:v>45363.624999988424</x:v>
      </x:c>
      <x:c r="O2492" s="54" t="n">
        <x:v>45291</x:v>
      </x:c>
      <x:c r="P2492" t="str">
        <x:v>False</x:v>
      </x:c>
      <x:c r="Q2492" t="str">
        <x:v>19dff331e8b1c6ee5277754cd0302ed39450af4fcdb182c178e95c0d536d86c3</x:v>
      </x:c>
      <x:c r="R2492" t="str">
        <x:v>ee2ea9fea7706535f462605c9bbd31b8c46a23812968bbcab329a050fc29d719</x:v>
      </x:c>
      <x:c r="S2492" t="n">
        <x:v>7</x:v>
      </x:c>
      <x:c r="T2492" t="str">
        <x:v>2018-12-31|2019-12-31|2020-12-31|2021-12-31|2022-12-31|2023-12-31</x:v>
      </x:c>
      <x:c r="U2492" s="57" t="n">
        <x:v>25881.732116932646</x:v>
      </x:c>
      <x:c r="V2492" s="57" t="n">
        <x:v>1.512789525915791</x:v>
      </x:c>
      <x:c r="W2492" t="n">
        <x:v>9</x:v>
      </x:c>
      <x:c r="X2492" t="n">
        <x:v>1</x:v>
      </x:c>
      <x:c r="Y2492" s="38" t="n">
        <x:v>0.6409090909090909</x:v>
      </x:c>
      <x:c r="Z2492" s="38" t="n">
        <x:v>0.7969868076380493</x:v>
      </x:c>
      <x:c r="AA2492"/>
    </x:row>
    <x:row r="2493">
      <x:c r="A2493" s="54" t="n">
        <x:v>45382</x:v>
      </x:c>
      <x:c r="B2493" t="n">
        <x:v>45382.624999988424</x:v>
      </x:c>
      <x:c r="C2493" t="str">
        <x:v>005430</x:v>
      </x:c>
      <x:c r="D2493" t="str">
        <x:v>한국공항</x:v>
      </x:c>
      <x:c r="E2493" t="str">
        <x:v>KOSPI</x:v>
      </x:c>
      <x:c r="F2493" t="str">
        <x:v>MID</x:v>
      </x:c>
      <x:c r="G2493" t="str">
        <x:v>ELIGIBLE</x:v>
      </x:c>
      <x:c r="H2493"/>
      <x:c r="I2493" s="54" t="n">
        <x:v>45380</x:v>
      </x:c>
      <x:c r="J2493" s="55" t="n">
        <x:v>56800</x:v>
      </x:c>
      <x:c r="K2493" s="55" t="n">
        <x:v>179848964000</x:v>
      </x:c>
      <x:c r="L2493" s="55" t="n">
        <x:v>3166355</x:v>
      </x:c>
      <x:c r="M2493" t="str">
        <x:v>20240313001250</x:v>
      </x:c>
      <x:c r="N2493" t="n">
        <x:v>45364.624999988424</x:v>
      </x:c>
      <x:c r="O2493" s="54" t="n">
        <x:v>45291</x:v>
      </x:c>
      <x:c r="P2493" t="str">
        <x:v>False</x:v>
      </x:c>
      <x:c r="Q2493" t="str">
        <x:v>91288d905d329bc748c57e4da2087a6810ead9e2eb7289cf7df63e0f6be160d7</x:v>
      </x:c>
      <x:c r="R2493" t="str">
        <x:v>29f2c59495d30dcc25005b2cbc9d508ccbe1c6e25677cf3fa2fbbf9a8e4b05b1</x:v>
      </x:c>
      <x:c r="S2493" t="n">
        <x:v>7</x:v>
      </x:c>
      <x:c r="T2493" t="str">
        <x:v>2018-12-31|2019-12-31|2020-12-31|2021-12-31|2022-12-31|2023-12-31</x:v>
      </x:c>
      <x:c r="U2493" s="57" t="n">
        <x:v>61944.748552711986</x:v>
      </x:c>
      <x:c r="V2493" s="57" t="n">
        <x:v>0.09057655902661943</x:v>
      </x:c>
      <x:c r="W2493" t="n">
        <x:v>22</x:v>
      </x:c>
      <x:c r="X2493" t="n">
        <x:v>2</x:v>
      </x:c>
      <x:c r="Y2493" s="38" t="n">
        <x:v>0.6409090909090909</x:v>
      </x:c>
      <x:c r="Z2493" s="38" t="n">
        <x:v>0.5315329476545686</x:v>
      </x:c>
      <x:c r="AA2493"/>
    </x:row>
    <x:row r="2494">
      <x:c r="A2494" s="54" t="n">
        <x:v>45382</x:v>
      </x:c>
      <x:c r="B2494" t="n">
        <x:v>45382.624999988424</x:v>
      </x:c>
      <x:c r="C2494" t="str">
        <x:v>003460</x:v>
      </x:c>
      <x:c r="D2494" t="str">
        <x:v>유화증권</x:v>
      </x:c>
      <x:c r="E2494" t="str">
        <x:v>KOSPI</x:v>
      </x:c>
      <x:c r="F2494" t="str">
        <x:v>MID</x:v>
      </x:c>
      <x:c r="G2494" t="str">
        <x:v>EXCLUDED_ARCHETYPE</x:v>
      </x:c>
      <x:c r="H2494" t="str">
        <x:v>FCFF_NOT_COMPARABLE_FOR_FINANCE_OR_HOLDING_HINT</x:v>
      </x:c>
      <x:c r="I2494" s="54"/>
      <x:c r="J2494" s="55"/>
      <x:c r="K2494" s="55"/>
      <x:c r="L2494" s="55"/>
      <x:c r="M2494"/>
      <x:c r="N2494"/>
      <x:c r="O2494" s="54"/>
      <x:c r="P2494"/>
      <x:c r="Q2494"/>
      <x:c r="R2494"/>
      <x:c r="S2494"/>
      <x:c r="T2494"/>
      <x:c r="U2494" s="57"/>
      <x:c r="V2494" s="57"/>
      <x:c r="W2494"/>
      <x:c r="X2494"/>
      <x:c r="Y2494" s="38"/>
      <x:c r="Z2494" s="38"/>
      <x:c r="AA2494"/>
    </x:row>
    <x:row r="2495">
      <x:c r="A2495" s="54" t="n">
        <x:v>45382</x:v>
      </x:c>
      <x:c r="B2495" t="n">
        <x:v>45382.624999988424</x:v>
      </x:c>
      <x:c r="C2495" t="str">
        <x:v>004140</x:v>
      </x:c>
      <x:c r="D2495" t="str">
        <x:v>동방</x:v>
      </x:c>
      <x:c r="E2495" t="str">
        <x:v>KOSPI</x:v>
      </x:c>
      <x:c r="F2495" t="str">
        <x:v>MID</x:v>
      </x:c>
      <x:c r="G2495" t="str">
        <x:v>ELIGIBLE</x:v>
      </x:c>
      <x:c r="H2495"/>
      <x:c r="I2495" s="54" t="n">
        <x:v>45380</x:v>
      </x:c>
      <x:c r="J2495" s="55" t="n">
        <x:v>2210</x:v>
      </x:c>
      <x:c r="K2495" s="55" t="n">
        <x:v>106017602860</x:v>
      </x:c>
      <x:c r="L2495" s="55" t="n">
        <x:v>47971766</x:v>
      </x:c>
      <x:c r="M2495" t="str">
        <x:v>20240321001580</x:v>
      </x:c>
      <x:c r="N2495" t="n">
        <x:v>45372.624999988424</x:v>
      </x:c>
      <x:c r="O2495" s="54" t="n">
        <x:v>45291</x:v>
      </x:c>
      <x:c r="P2495" t="str">
        <x:v>False</x:v>
      </x:c>
      <x:c r="Q2495" t="str">
        <x:v>cb972dcae33b5fe915c126c95898fd6f6f7e4564cf7e930abea935125474e09c</x:v>
      </x:c>
      <x:c r="R2495" t="str">
        <x:v>de1f0d0bfea597d8482dadfeb4006a8840d2b9e5f343aa9e189c4f1287213fec</x:v>
      </x:c>
      <x:c r="S2495" t="n">
        <x:v>6</x:v>
      </x:c>
      <x:c r="T2495" t="str">
        <x:v>2013-12-31|2014-12-31|2015-12-31|2016-12-31|2018-12-31|2019-12-31|2020-12-31|2021-12-31|2022-12-31|2023-12-31</x:v>
      </x:c>
      <x:c r="U2495" s="57" t="n">
        <x:v>247.8871572399862</x:v>
      </x:c>
      <x:c r="V2495" s="57" t="n">
        <x:v>-0.8878338655022687</x:v>
      </x:c>
      <x:c r="W2495" t="n">
        <x:v>65</x:v>
      </x:c>
      <x:c r="X2495" t="n">
        <x:v>5</x:v>
      </x:c>
      <x:c r="Y2495" s="38" t="n">
        <x:v>0.6409090909090909</x:v>
      </x:c>
      <x:c r="Z2495" s="38" t="n">
        <x:v>0.6002060477668534</x:v>
      </x:c>
      <x:c r="AA2495"/>
    </x:row>
    <x:row r="2496">
      <x:c r="A2496" s="54" t="n">
        <x:v>45382</x:v>
      </x:c>
      <x:c r="B2496" t="n">
        <x:v>45382.624999988424</x:v>
      </x:c>
      <x:c r="C2496" t="str">
        <x:v>317400</x:v>
      </x:c>
      <x:c r="D2496" t="str">
        <x:v>자이에스앤디</x:v>
      </x:c>
      <x:c r="E2496" t="str">
        <x:v>KOSPI</x:v>
      </x:c>
      <x:c r="F2496" t="str">
        <x:v>MID</x:v>
      </x:c>
      <x:c r="G2496" t="str">
        <x:v>ELIGIBLE</x:v>
      </x:c>
      <x:c r="H2496"/>
      <x:c r="I2496" s="54" t="n">
        <x:v>45380</x:v>
      </x:c>
      <x:c r="J2496" s="55" t="n">
        <x:v>4245</x:v>
      </x:c>
      <x:c r="K2496" s="55" t="n">
        <x:v>164631797400</x:v>
      </x:c>
      <x:c r="L2496" s="55" t="n">
        <x:v>38782520</x:v>
      </x:c>
      <x:c r="M2496" t="str">
        <x:v>20240326000881</x:v>
      </x:c>
      <x:c r="N2496" t="n">
        <x:v>45377.624999988424</x:v>
      </x:c>
      <x:c r="O2496" s="54" t="n">
        <x:v>45291</x:v>
      </x:c>
      <x:c r="P2496" t="str">
        <x:v>True</x:v>
      </x:c>
      <x:c r="Q2496" t="str">
        <x:v>62243e72979fac9eb9c35ba9a1755566586ed81ff5034a5c1fe8b1feb2ed6895</x:v>
      </x:c>
      <x:c r="R2496" t="str">
        <x:v>aee106395813db3ab5be1dd79dac8df2df94d014e69795e3423a55111987f7a4</x:v>
      </x:c>
      <x:c r="S2496" t="n">
        <x:v>5</x:v>
      </x:c>
      <x:c r="T2496" t="str">
        <x:v>2019-12-31|2020-12-31|2021-12-31|2022-12-31|2023-12-31</x:v>
      </x:c>
      <x:c r="U2496" s="57" t="n">
        <x:v>55408.75127847823</x:v>
      </x:c>
      <x:c r="V2496" s="57" t="n">
        <x:v>12.05270937066625</x:v>
      </x:c>
      <x:c r="W2496" t="n">
        <x:v>2</x:v>
      </x:c>
      <x:c r="X2496" t="n">
        <x:v>1</x:v>
      </x:c>
      <x:c r="Y2496" s="38" t="n">
        <x:v>0.6409090909090909</x:v>
      </x:c>
      <x:c r="Z2496" s="38" t="n">
        <x:v>0.7436843944694342</x:v>
      </x:c>
      <x:c r="AA2496"/>
    </x:row>
    <x:row r="2497">
      <x:c r="A2497" s="54" t="n">
        <x:v>45382</x:v>
      </x:c>
      <x:c r="B2497" t="n">
        <x:v>45382.624999988424</x:v>
      </x:c>
      <x:c r="C2497" t="str">
        <x:v>077500</x:v>
      </x:c>
      <x:c r="D2497" t="str">
        <x:v>유니퀘스트</x:v>
      </x:c>
      <x:c r="E2497" t="str">
        <x:v>KOSPI</x:v>
      </x:c>
      <x:c r="F2497" t="str">
        <x:v>MID</x:v>
      </x:c>
      <x:c r="G2497" t="str">
        <x:v>ELIGIBLE</x:v>
      </x:c>
      <x:c r="H2497"/>
      <x:c r="I2497" s="54" t="n">
        <x:v>45380</x:v>
      </x:c>
      <x:c r="J2497" s="55" t="n">
        <x:v>7870</x:v>
      </x:c>
      <x:c r="K2497" s="55" t="n">
        <x:v>171518898050</x:v>
      </x:c>
      <x:c r="L2497" s="55" t="n">
        <x:v>21794015</x:v>
      </x:c>
      <x:c r="M2497" t="str">
        <x:v>20240321001571</x:v>
      </x:c>
      <x:c r="N2497" t="n">
        <x:v>45372.624999988424</x:v>
      </x:c>
      <x:c r="O2497" s="54" t="n">
        <x:v>45291</x:v>
      </x:c>
      <x:c r="P2497" t="str">
        <x:v>False</x:v>
      </x:c>
      <x:c r="Q2497" t="str">
        <x:v>73ab5a56c9611f1aa2b93c841dfc282fc89e2067fad0a1fb87019519be18c160</x:v>
      </x:c>
      <x:c r="R2497" t="str">
        <x:v>3b17a27842d2359136a23ce256ea6bc6152f38e08d27763ca467c67c613b99f1</x:v>
      </x:c>
      <x:c r="S2497" t="n">
        <x:v>6</x:v>
      </x:c>
      <x:c r="T2497" t="str">
        <x:v>2011-12-31|2012-12-31|2013-12-31|2014-12-31|2015-12-31|2016-12-31|2017-12-31|2018-12-31|2019-12-31|2020-12-31|2021-12-31|2022-12-31|2023-12-31</x:v>
      </x:c>
      <x:c r="U2497" s="57" t="n">
        <x:v>5315.942478598926</x:v>
      </x:c>
      <x:c r="V2497" s="57" t="n">
        <x:v>-0.32453081593406286</x:v>
      </x:c>
      <x:c r="W2497" t="n">
        <x:v>38</x:v>
      </x:c>
      <x:c r="X2497" t="n">
        <x:v>3</x:v>
      </x:c>
      <x:c r="Y2497" s="38" t="n">
        <x:v>0.6409090909090909</x:v>
      </x:c>
      <x:c r="Z2497" s="38" t="n">
        <x:v>0.6307992148694126</x:v>
      </x:c>
      <x:c r="AA2497"/>
    </x:row>
    <x:row r="2498">
      <x:c r="A2498" s="54" t="n">
        <x:v>45382</x:v>
      </x:c>
      <x:c r="B2498" t="n">
        <x:v>45382.624999988424</x:v>
      </x:c>
      <x:c r="C2498" t="str">
        <x:v>012800</x:v>
      </x:c>
      <x:c r="D2498" t="str">
        <x:v>대창</x:v>
      </x:c>
      <x:c r="E2498" t="str">
        <x:v>KOSPI</x:v>
      </x:c>
      <x:c r="F2498" t="str">
        <x:v>MID</x:v>
      </x:c>
      <x:c r="G2498" t="str">
        <x:v>DCF_SCREENING_EXCLUSION</x:v>
      </x:c>
      <x:c r="H2498" t="str">
        <x:v>NON_POSITIVE_EQUITY_VALUE|UNRELIABLE_TERMINAL_VALUE_SHARE</x:v>
      </x:c>
      <x:c r="I2498" s="54" t="n">
        <x:v>45380</x:v>
      </x:c>
      <x:c r="J2498" s="55" t="n">
        <x:v>1400</x:v>
      </x:c>
      <x:c r="K2498" s="55" t="n">
        <x:v>127596698600</x:v>
      </x:c>
      <x:c r="L2498" s="55" t="n">
        <x:v>91140499</x:v>
      </x:c>
      <x:c r="M2498" t="str">
        <x:v>20240319000397</x:v>
      </x:c>
      <x:c r="N2498" t="n">
        <x:v>45370.624999988424</x:v>
      </x:c>
      <x:c r="O2498" s="54" t="n">
        <x:v>45291</x:v>
      </x:c>
      <x:c r="P2498" t="str">
        <x:v>False</x:v>
      </x:c>
      <x:c r="Q2498" t="str">
        <x:v>c884aaf8bda599a6589039d2af0b7536bf2d9b85b3f7408b94d7249667032480</x:v>
      </x:c>
      <x:c r="R2498" t="str">
        <x:v>12825b7a99ca3f11e6a1c01b450f304f4b2a6cd864f55f76ed52ee51ae206687</x:v>
      </x:c>
      <x:c r="S2498" t="n">
        <x:v>6</x:v>
      </x:c>
      <x:c r="T2498" t="str">
        <x:v>2018-12-31|2019-12-31|2020-12-31|2021-12-31|2022-12-31|2023-12-31</x:v>
      </x:c>
      <x:c r="U2498" s="57" t="n">
        <x:v>-2835.27425876338</x:v>
      </x:c>
      <x:c r="V2498" s="57" t="n">
        <x:v>-3.0251958991167</x:v>
      </x:c>
      <x:c r="W2498"/>
      <x:c r="X2498"/>
      <x:c r="Y2498" s="38" t="n">
        <x:v>0.6409090909090909</x:v>
      </x:c>
      <x:c r="Z2498" s="38" t="n">
        <x:v>1.2542393020244607</x:v>
      </x:c>
      <x:c r="AA2498" t="str">
        <x:v>NON_POSITIVE_EQUITY_VALUE|UNRELIABLE_TERMINAL_VALUE_SHARE</x:v>
      </x:c>
    </x:row>
    <x:row r="2499">
      <x:c r="A2499" s="54" t="n">
        <x:v>45382</x:v>
      </x:c>
      <x:c r="B2499" t="n">
        <x:v>45382.624999988424</x:v>
      </x:c>
      <x:c r="C2499" t="str">
        <x:v>063160</x:v>
      </x:c>
      <x:c r="D2499" t="str">
        <x:v>종근당바이오</x:v>
      </x:c>
      <x:c r="E2499" t="str">
        <x:v>KOSPI</x:v>
      </x:c>
      <x:c r="F2499" t="str">
        <x:v>MID</x:v>
      </x:c>
      <x:c r="G2499" t="str">
        <x:v>DCF_SCREENING_EXCLUSION</x:v>
      </x:c>
      <x:c r="H2499" t="str">
        <x:v>NON_POSITIVE_ENTERPRISE_VALUE|NON_POSITIVE_EQUITY_VALUE|NON_POSITIVE_TERMINAL_FCF</x:v>
      </x:c>
      <x:c r="I2499" s="54" t="n">
        <x:v>45380</x:v>
      </x:c>
      <x:c r="J2499" s="55" t="n">
        <x:v>23950</x:v>
      </x:c>
      <x:c r="K2499" s="55" t="n">
        <x:v>131388789900</x:v>
      </x:c>
      <x:c r="L2499" s="55" t="n">
        <x:v>5485962</x:v>
      </x:c>
      <x:c r="M2499" t="str">
        <x:v>20240320001689</x:v>
      </x:c>
      <x:c r="N2499" t="n">
        <x:v>45371.624999988424</x:v>
      </x:c>
      <x:c r="O2499" s="54" t="n">
        <x:v>45291</x:v>
      </x:c>
      <x:c r="P2499" t="str">
        <x:v>False</x:v>
      </x:c>
      <x:c r="Q2499" t="str">
        <x:v>93e252d7dcae6de697e231778352f4d313713c6c1fbe2146b14da4849e4fac5c</x:v>
      </x:c>
      <x:c r="R2499" t="str">
        <x:v>16da8cdf2ba55bf0d25ef8f0739d6b99254dd7661ecd7093de4281353ebda5e8</x:v>
      </x:c>
      <x:c r="S2499" t="n">
        <x:v>6</x:v>
      </x:c>
      <x:c r="T2499" t="str">
        <x:v>2018-12-31|2019-12-31|2020-12-31|2021-12-31|2022-12-31|2023-12-31</x:v>
      </x:c>
      <x:c r="U2499" s="57" t="n">
        <x:v>-45514.57621893075</x:v>
      </x:c>
      <x:c r="V2499" s="57" t="n">
        <x:v>-2.900399842126545</x:v>
      </x:c>
      <x:c r="W2499"/>
      <x:c r="X2499"/>
      <x:c r="Y2499" s="38" t="n">
        <x:v>0.6409090909090909</x:v>
      </x:c>
      <x:c r="Z2499" s="38" t="n">
        <x:v>0.5142144965024156</x:v>
      </x:c>
      <x:c r="AA2499" t="str">
        <x:v>NON_POSITIVE_ENTERPRISE_VALUE|NON_POSITIVE_EQUITY_VALUE|NON_POSITIVE_TERMINAL_FCF</x:v>
      </x:c>
    </x:row>
    <x:row r="2500">
      <x:c r="A2500" s="54" t="n">
        <x:v>45382</x:v>
      </x:c>
      <x:c r="B2500" t="n">
        <x:v>45382.624999988424</x:v>
      </x:c>
      <x:c r="C2500" t="str">
        <x:v>013570</x:v>
      </x:c>
      <x:c r="D2500" t="str">
        <x:v>디와이</x:v>
      </x:c>
      <x:c r="E2500" t="str">
        <x:v>KOSPI</x:v>
      </x:c>
      <x:c r="F2500" t="str">
        <x:v>MID</x:v>
      </x:c>
      <x:c r="G2500" t="str">
        <x:v>ELIGIBLE</x:v>
      </x:c>
      <x:c r="H2500"/>
      <x:c r="I2500" s="54" t="n">
        <x:v>45380</x:v>
      </x:c>
      <x:c r="J2500" s="55" t="n">
        <x:v>5740</x:v>
      </x:c>
      <x:c r="K2500" s="55" t="n">
        <x:v>151074693420</x:v>
      </x:c>
      <x:c r="L2500" s="55" t="n">
        <x:v>26319633</x:v>
      </x:c>
      <x:c r="M2500" t="str">
        <x:v>20240313001243</x:v>
      </x:c>
      <x:c r="N2500" t="n">
        <x:v>45364.624999988424</x:v>
      </x:c>
      <x:c r="O2500" s="54" t="n">
        <x:v>45291</x:v>
      </x:c>
      <x:c r="P2500" t="str">
        <x:v>False</x:v>
      </x:c>
      <x:c r="Q2500" t="str">
        <x:v>5b93197c4315775238e13da809d27c345451f041c63c57432f379f3055212c04</x:v>
      </x:c>
      <x:c r="R2500" t="str">
        <x:v>c05e3809b025eb9c415a01ff07fab054469996c80b404b67909179775d4ea5e8</x:v>
      </x:c>
      <x:c r="S2500" t="n">
        <x:v>6</x:v>
      </x:c>
      <x:c r="T2500" t="str">
        <x:v>2018-12-31|2019-12-31|2020-12-31|2021-12-31|2022-12-31|2023-12-31</x:v>
      </x:c>
      <x:c r="U2500" s="57" t="n">
        <x:v>11956.0318836646</x:v>
      </x:c>
      <x:c r="V2500" s="57" t="n">
        <x:v>1.0829323839136935</x:v>
      </x:c>
      <x:c r="W2500" t="n">
        <x:v>12</x:v>
      </x:c>
      <x:c r="X2500" t="n">
        <x:v>1</x:v>
      </x:c>
      <x:c r="Y2500" s="38" t="n">
        <x:v>0.6409090909090909</x:v>
      </x:c>
      <x:c r="Z2500" s="38" t="n">
        <x:v>0.8130986732652858</x:v>
      </x:c>
      <x:c r="AA2500"/>
    </x:row>
    <x:row r="2501">
      <x:c r="A2501" s="54" t="n">
        <x:v>45382</x:v>
      </x:c>
      <x:c r="B2501" t="n">
        <x:v>45382.624999988424</x:v>
      </x:c>
      <x:c r="C2501" t="str">
        <x:v>227840</x:v>
      </x:c>
      <x:c r="D2501" t="str">
        <x:v>현대코퍼레이션홀딩스</x:v>
      </x:c>
      <x:c r="E2501" t="str">
        <x:v>KOSPI</x:v>
      </x:c>
      <x:c r="F2501" t="str">
        <x:v>MID</x:v>
      </x:c>
      <x:c r="G2501" t="str">
        <x:v>EXCLUDED_ARCHETYPE</x:v>
      </x:c>
      <x:c r="H2501" t="str">
        <x:v>FCFF_NOT_COMPARABLE_FOR_FINANCE_OR_HOLDING_HINT</x:v>
      </x:c>
      <x:c r="I2501" s="54"/>
      <x:c r="J2501" s="55"/>
      <x:c r="K2501" s="55"/>
      <x:c r="L2501" s="55"/>
      <x:c r="M2501"/>
      <x:c r="N2501"/>
      <x:c r="O2501" s="54"/>
      <x:c r="P2501"/>
      <x:c r="Q2501"/>
      <x:c r="R2501"/>
      <x:c r="S2501"/>
      <x:c r="T2501"/>
      <x:c r="U2501" s="57"/>
      <x:c r="V2501" s="57"/>
      <x:c r="W2501"/>
      <x:c r="X2501"/>
      <x:c r="Y2501" s="38"/>
      <x:c r="Z2501" s="38"/>
      <x:c r="AA2501"/>
    </x:row>
    <x:row r="2502">
      <x:c r="A2502" s="54" t="n">
        <x:v>45382</x:v>
      </x:c>
      <x:c r="B2502" t="n">
        <x:v>45382.624999988424</x:v>
      </x:c>
      <x:c r="C2502" t="str">
        <x:v>247540</x:v>
      </x:c>
      <x:c r="D2502" t="str">
        <x:v>에코프로비엠</x:v>
      </x:c>
      <x:c r="E2502" t="str">
        <x:v>KOSDAQ</x:v>
      </x:c>
      <x:c r="F2502" t="str">
        <x:v>LARGE</x:v>
      </x:c>
      <x:c r="G2502" t="str">
        <x:v>DCF_SCREENING_EXCLUSION</x:v>
      </x:c>
      <x:c r="H2502" t="str">
        <x:v>NON_POSITIVE_ENTERPRISE_VALUE|NON_POSITIVE_EQUITY_VALUE|NON_POSITIVE_TERMINAL_FCF</x:v>
      </x:c>
      <x:c r="I2502" s="54" t="n">
        <x:v>45380</x:v>
      </x:c>
      <x:c r="J2502" s="55" t="n">
        <x:v>274000</x:v>
      </x:c>
      <x:c r="K2502" s="55" t="n">
        <x:v>26797568256000</x:v>
      </x:c>
      <x:c r="L2502" s="55" t="n">
        <x:v>97801344</x:v>
      </x:c>
      <x:c r="M2502" t="str">
        <x:v>20240318000873</x:v>
      </x:c>
      <x:c r="N2502" t="n">
        <x:v>45369.624999988424</x:v>
      </x:c>
      <x:c r="O2502" s="54" t="n">
        <x:v>45291</x:v>
      </x:c>
      <x:c r="P2502" t="str">
        <x:v>False</x:v>
      </x:c>
      <x:c r="Q2502" t="str">
        <x:v>8917d875e1f8cb29329f35b2291227b1aeec8bcf95ea86b5961f91c850d4ddf7</x:v>
      </x:c>
      <x:c r="R2502" t="str">
        <x:v>becbc08c7ba11a61579fdf27784b39e77707d39b0550155576ec0232f2c66fd9</x:v>
      </x:c>
      <x:c r="S2502" t="n">
        <x:v>7</x:v>
      </x:c>
      <x:c r="T2502" t="str">
        <x:v>2018-12-31|2019-12-31|2020-12-31|2021-12-31|2022-12-31|2023-12-31</x:v>
      </x:c>
      <x:c r="U2502" s="57" t="n">
        <x:v>-107538.59393692066</x:v>
      </x:c>
      <x:c r="V2502" s="57" t="n">
        <x:v>-1.3924766202077397</x:v>
      </x:c>
      <x:c r="W2502"/>
      <x:c r="X2502"/>
      <x:c r="Y2502" s="38" t="n">
        <x:v>0.6409090909090909</x:v>
      </x:c>
      <x:c r="Z2502" s="38" t="n">
        <x:v>0.6279002068373618</x:v>
      </x:c>
      <x:c r="AA2502" t="str">
        <x:v>NON_POSITIVE_ENTERPRISE_VALUE|NON_POSITIVE_EQUITY_VALUE|NON_POSITIVE_TERMINAL_FCF</x:v>
      </x:c>
    </x:row>
    <x:row r="2503">
      <x:c r="A2503" s="54" t="n">
        <x:v>45382</x:v>
      </x:c>
      <x:c r="B2503" t="n">
        <x:v>45382.624999988424</x:v>
      </x:c>
      <x:c r="C2503" t="str">
        <x:v>086520</x:v>
      </x:c>
      <x:c r="D2503" t="str">
        <x:v>에코프로</x:v>
      </x:c>
      <x:c r="E2503" t="str">
        <x:v>KOSDAQ</x:v>
      </x:c>
      <x:c r="F2503" t="str">
        <x:v>LARGE</x:v>
      </x:c>
      <x:c r="G2503" t="str">
        <x:v>DCF_SCREENING_EXCLUSION</x:v>
      </x:c>
      <x:c r="H2503" t="str">
        <x:v>NON_POSITIVE_EQUITY_VALUE|UNRELIABLE_TERMINAL_VALUE_SHARE</x:v>
      </x:c>
      <x:c r="I2503" s="54" t="n">
        <x:v>45380</x:v>
      </x:c>
      <x:c r="J2503" s="55" t="n">
        <x:v>633000</x:v>
      </x:c>
      <x:c r="K2503" s="55" t="n">
        <x:v>16855313844000</x:v>
      </x:c>
      <x:c r="L2503" s="55" t="n">
        <x:v>26627668</x:v>
      </x:c>
      <x:c r="M2503" t="str">
        <x:v>20240320001872</x:v>
      </x:c>
      <x:c r="N2503" t="n">
        <x:v>45371.624999988424</x:v>
      </x:c>
      <x:c r="O2503" s="54" t="n">
        <x:v>45291</x:v>
      </x:c>
      <x:c r="P2503" t="str">
        <x:v>False</x:v>
      </x:c>
      <x:c r="Q2503" t="str">
        <x:v>f73669addc9bc839a68628d4353f392fc746ac6219da76c22f1f6e4379f02e84</x:v>
      </x:c>
      <x:c r="R2503" t="str">
        <x:v>dc5d02fea6a2d555012f3da41ce906ac4c3c3b4f91b303e0f128b204346720d0</x:v>
      </x:c>
      <x:c r="S2503" t="n">
        <x:v>6</x:v>
      </x:c>
      <x:c r="T2503" t="str">
        <x:v>2018-12-31|2019-12-31|2020-12-31|2021-12-31|2022-12-31|2023-12-31</x:v>
      </x:c>
      <x:c r="U2503" s="57" t="n">
        <x:v>-20070.975927525287</x:v>
      </x:c>
      <x:c r="V2503" s="57" t="n">
        <x:v>-1.0317077028870858</x:v>
      </x:c>
      <x:c r="W2503"/>
      <x:c r="X2503"/>
      <x:c r="Y2503" s="38" t="n">
        <x:v>0.6409090909090909</x:v>
      </x:c>
      <x:c r="Z2503" s="38" t="n">
        <x:v>5.583488695579711</x:v>
      </x:c>
      <x:c r="AA2503" t="str">
        <x:v>NON_POSITIVE_EQUITY_VALUE|UNRELIABLE_TERMINAL_VALUE_SHARE</x:v>
      </x:c>
    </x:row>
    <x:row r="2504">
      <x:c r="A2504" s="54" t="n">
        <x:v>45382</x:v>
      </x:c>
      <x:c r="B2504" t="n">
        <x:v>45382.624999988424</x:v>
      </x:c>
      <x:c r="C2504" t="str">
        <x:v>214450</x:v>
      </x:c>
      <x:c r="D2504" t="str">
        <x:v>파마리서치</x:v>
      </x:c>
      <x:c r="E2504" t="str">
        <x:v>KOSDAQ</x:v>
      </x:c>
      <x:c r="F2504" t="str">
        <x:v>LARGE</x:v>
      </x:c>
      <x:c r="G2504" t="str">
        <x:v>ELIGIBLE</x:v>
      </x:c>
      <x:c r="H2504"/>
      <x:c r="I2504" s="54" t="n">
        <x:v>45380</x:v>
      </x:c>
      <x:c r="J2504" s="55" t="n">
        <x:v>100900</x:v>
      </x:c>
      <x:c r="K2504" s="55" t="n">
        <x:v>1041330680700</x:v>
      </x:c>
      <x:c r="L2504" s="55" t="n">
        <x:v>10320423</x:v>
      </x:c>
      <x:c r="M2504" t="str">
        <x:v>20240315000795</x:v>
      </x:c>
      <x:c r="N2504" t="n">
        <x:v>45366.624999988424</x:v>
      </x:c>
      <x:c r="O2504" s="54" t="n">
        <x:v>45291</x:v>
      </x:c>
      <x:c r="P2504" t="str">
        <x:v>False</x:v>
      </x:c>
      <x:c r="Q2504" t="str">
        <x:v>1ca6653e737ac1ab4647915c3685d32c933a6338658bbc237f5442a5b8bd304c</x:v>
      </x:c>
      <x:c r="R2504" t="str">
        <x:v>586578e116185a501e396a08e037a1519b9bbd009d43388e5023f6b18bb210cb</x:v>
      </x:c>
      <x:c r="S2504" t="n">
        <x:v>6</x:v>
      </x:c>
      <x:c r="T2504" t="str">
        <x:v>2018-12-31|2019-12-31|2020-12-31|2021-12-31|2022-12-31|2023-12-31</x:v>
      </x:c>
      <x:c r="U2504" s="57" t="n">
        <x:v>98942.30418884262</x:v>
      </x:c>
      <x:c r="V2504" s="57" t="n">
        <x:v>-0.019402337077872846</x:v>
      </x:c>
      <x:c r="W2504" t="n">
        <x:v>25</x:v>
      </x:c>
      <x:c r="X2504" t="n">
        <x:v>2</x:v>
      </x:c>
      <x:c r="Y2504" s="38" t="n">
        <x:v>0.6409090909090909</x:v>
      </x:c>
      <x:c r="Z2504" s="38" t="n">
        <x:v>0.7131539854290058</x:v>
      </x:c>
      <x:c r="AA2504"/>
    </x:row>
    <x:row r="2505">
      <x:c r="A2505" s="54" t="n">
        <x:v>45382</x:v>
      </x:c>
      <x:c r="B2505" t="n">
        <x:v>45382.624999988424</x:v>
      </x:c>
      <x:c r="C2505" t="str">
        <x:v>277810</x:v>
      </x:c>
      <x:c r="D2505" t="str">
        <x:v>레인보우로보틱스</x:v>
      </x:c>
      <x:c r="E2505" t="str">
        <x:v>KOSDAQ</x:v>
      </x:c>
      <x:c r="F2505" t="str">
        <x:v>LARGE</x:v>
      </x:c>
      <x:c r="G2505" t="str">
        <x:v>DCF_SCREENING_EXCLUSION</x:v>
      </x:c>
      <x:c r="H2505" t="str">
        <x:v>NON_POSITIVE_ENTERPRISE_VALUE|NON_POSITIVE_TERMINAL_FCF</x:v>
      </x:c>
      <x:c r="I2505" s="54" t="n">
        <x:v>45380</x:v>
      </x:c>
      <x:c r="J2505" s="55" t="n">
        <x:v>187500</x:v>
      </x:c>
      <x:c r="K2505" s="55" t="n">
        <x:v>3637473375000</x:v>
      </x:c>
      <x:c r="L2505" s="55" t="n">
        <x:v>19399858</x:v>
      </x:c>
      <x:c r="M2505" t="str">
        <x:v>20240321001029</x:v>
      </x:c>
      <x:c r="N2505" t="n">
        <x:v>45372.624999988424</x:v>
      </x:c>
      <x:c r="O2505" s="54" t="n">
        <x:v>45291</x:v>
      </x:c>
      <x:c r="P2505" t="str">
        <x:v>False</x:v>
      </x:c>
      <x:c r="Q2505" t="str">
        <x:v>6faf0823956f1a0a084e90db4ad447ebe74845120ffac4a66fa07667e2bf8af4</x:v>
      </x:c>
      <x:c r="R2505" t="str">
        <x:v>31210a3857756860f0f1911cc01a9700fe3f215b91245e6200fa14ccb0b5ab40</x:v>
      </x:c>
      <x:c r="S2505" t="n">
        <x:v>6</x:v>
      </x:c>
      <x:c r="T2505" t="str">
        <x:v>2020-12-31|2021-12-31|2022-12-31|2023-12-31</x:v>
      </x:c>
      <x:c r="U2505" s="57" t="n">
        <x:v>2129.059522379487</x:v>
      </x:c>
      <x:c r="V2505" s="57" t="n">
        <x:v>-0.9886450158806427</x:v>
      </x:c>
      <x:c r="W2505"/>
      <x:c r="X2505"/>
      <x:c r="Y2505" s="38" t="n">
        <x:v>0.6409090909090909</x:v>
      </x:c>
      <x:c r="Z2505" s="38" t="n">
        <x:v>0.6832451360716333</x:v>
      </x:c>
      <x:c r="AA2505" t="str">
        <x:v>NON_POSITIVE_ENTERPRISE_VALUE|NON_POSITIVE_TERMINAL_FCF</x:v>
      </x:c>
    </x:row>
    <x:row r="2506">
      <x:c r="A2506" s="54" t="n">
        <x:v>45382</x:v>
      </x:c>
      <x:c r="B2506" t="n">
        <x:v>45382.624999988424</x:v>
      </x:c>
      <x:c r="C2506" t="str">
        <x:v>310210</x:v>
      </x:c>
      <x:c r="D2506" t="str">
        <x:v>보로노이</x:v>
      </x:c>
      <x:c r="E2506" t="str">
        <x:v>KOSDAQ</x:v>
      </x:c>
      <x:c r="F2506" t="str">
        <x:v>LARGE</x:v>
      </x:c>
      <x:c r="G2506" t="str">
        <x:v>DCF_SCREENING_EXCLUSION</x:v>
      </x:c>
      <x:c r="H2506" t="str">
        <x:v>NON_POSITIVE_ENTERPRISE_VALUE|NON_POSITIVE_EQUITY_VALUE|NON_POSITIVE_TERMINAL_FCF</x:v>
      </x:c>
      <x:c r="I2506" s="54" t="n">
        <x:v>45380</x:v>
      </x:c>
      <x:c r="J2506" s="55" t="n">
        <x:v>35800</x:v>
      </x:c>
      <x:c r="K2506" s="55" t="n">
        <x:v>622877290600</x:v>
      </x:c>
      <x:c r="L2506" s="55" t="n">
        <x:v>17398807</x:v>
      </x:c>
      <x:c r="M2506" t="str">
        <x:v>20230323001447</x:v>
      </x:c>
      <x:c r="N2506" t="n">
        <x:v>45008.624999988424</x:v>
      </x:c>
      <x:c r="O2506" s="54" t="n">
        <x:v>44926</x:v>
      </x:c>
      <x:c r="P2506" t="str">
        <x:v>False</x:v>
      </x:c>
      <x:c r="Q2506" t="str">
        <x:v>38d2b1f5e9c968f4f6fa965d42cb2f1a325c069332624c3eed7a50315d302dcc</x:v>
      </x:c>
      <x:c r="R2506" t="str">
        <x:v>576c97c4daed21efafcbd8890e5b797da413a5a092541c93f1595fcf7c74e341</x:v>
      </x:c>
      <x:c r="S2506" t="n">
        <x:v>5</x:v>
      </x:c>
      <x:c r="T2506" t="str">
        <x:v>2022-12-31</x:v>
      </x:c>
      <x:c r="U2506" s="57" t="n">
        <x:v>-2134.9665077312484</x:v>
      </x:c>
      <x:c r="V2506" s="57" t="n">
        <x:v>-1.0596359359701466</x:v>
      </x:c>
      <x:c r="W2506"/>
      <x:c r="X2506"/>
      <x:c r="Y2506" s="38" t="n">
        <x:v>0.6409090909090909</x:v>
      </x:c>
      <x:c r="Z2506" s="38" t="n">
        <x:v>0.7013426708992583</x:v>
      </x:c>
      <x:c r="AA2506" t="str">
        <x:v>NON_POSITIVE_ENTERPRISE_VALUE|NON_POSITIVE_EQUITY_VALUE|NON_POSITIVE_TERMINAL_FCF</x:v>
      </x:c>
    </x:row>
    <x:row r="2507">
      <x:c r="A2507" s="54" t="n">
        <x:v>45382</x:v>
      </x:c>
      <x:c r="B2507" t="n">
        <x:v>45382.624999988424</x:v>
      </x:c>
      <x:c r="C2507" t="str">
        <x:v>195940</x:v>
      </x:c>
      <x:c r="D2507" t="str">
        <x:v>HK이노엔</x:v>
      </x:c>
      <x:c r="E2507" t="str">
        <x:v>KOSDAQ</x:v>
      </x:c>
      <x:c r="F2507" t="str">
        <x:v>LARGE</x:v>
      </x:c>
      <x:c r="G2507" t="str">
        <x:v>ELIGIBLE</x:v>
      </x:c>
      <x:c r="H2507"/>
      <x:c r="I2507" s="54" t="n">
        <x:v>45380</x:v>
      </x:c>
      <x:c r="J2507" s="55" t="n">
        <x:v>37050</x:v>
      </x:c>
      <x:c r="K2507" s="55" t="n">
        <x:v>1049622461550</x:v>
      </x:c>
      <x:c r="L2507" s="55" t="n">
        <x:v>28329891</x:v>
      </x:c>
      <x:c r="M2507" t="str">
        <x:v>20240320001555</x:v>
      </x:c>
      <x:c r="N2507" t="n">
        <x:v>45371.624999988424</x:v>
      </x:c>
      <x:c r="O2507" s="54" t="n">
        <x:v>45291</x:v>
      </x:c>
      <x:c r="P2507" t="str">
        <x:v>False</x:v>
      </x:c>
      <x:c r="Q2507" t="str">
        <x:v>bc835d0dc49a60e43618a45db225222ed10219260b1196a3404c984acf25a164</x:v>
      </x:c>
      <x:c r="R2507" t="str">
        <x:v>fe877cecd8b4c6f1f2ecfa519ee2c0dab312cbd9aff04d6aadad7f148db87b46</x:v>
      </x:c>
      <x:c r="S2507" t="n">
        <x:v>6</x:v>
      </x:c>
      <x:c r="T2507" t="str">
        <x:v>2021-12-31|2022-12-31|2023-12-31</x:v>
      </x:c>
      <x:c r="U2507" s="57" t="n">
        <x:v>4019.7724806511023</x:v>
      </x:c>
      <x:c r="V2507" s="57" t="n">
        <x:v>-0.8915041165816167</x:v>
      </x:c>
      <x:c r="W2507" t="n">
        <x:v>66</x:v>
      </x:c>
      <x:c r="X2507" t="n">
        <x:v>5</x:v>
      </x:c>
      <x:c r="Y2507" s="38" t="n">
        <x:v>0.6409090909090909</x:v>
      </x:c>
      <x:c r="Z2507" s="38" t="n">
        <x:v>0.6762156517019531</x:v>
      </x:c>
      <x:c r="AA2507"/>
    </x:row>
    <x:row r="2508">
      <x:c r="A2508" s="54" t="n">
        <x:v>45382</x:v>
      </x:c>
      <x:c r="B2508" t="n">
        <x:v>45382.624999988424</x:v>
      </x:c>
      <x:c r="C2508" t="str">
        <x:v>039200</x:v>
      </x:c>
      <x:c r="D2508" t="str">
        <x:v>오스코텍</x:v>
      </x:c>
      <x:c r="E2508" t="str">
        <x:v>KOSDAQ</x:v>
      </x:c>
      <x:c r="F2508" t="str">
        <x:v>LARGE</x:v>
      </x:c>
      <x:c r="G2508" t="str">
        <x:v>DCF_SCREENING_EXCLUSION</x:v>
      </x:c>
      <x:c r="H2508" t="str">
        <x:v>NON_POSITIVE_ENTERPRISE_VALUE|NON_POSITIVE_EQUITY_VALUE|NON_POSITIVE_TERMINAL_FCF</x:v>
      </x:c>
      <x:c r="I2508" s="54" t="n">
        <x:v>45380</x:v>
      </x:c>
      <x:c r="J2508" s="55" t="n">
        <x:v>27600</x:v>
      </x:c>
      <x:c r="K2508" s="55" t="n">
        <x:v>1048633434000</x:v>
      </x:c>
      <x:c r="L2508" s="55" t="n">
        <x:v>37993965</x:v>
      </x:c>
      <x:c r="M2508" t="str">
        <x:v>20240318000560</x:v>
      </x:c>
      <x:c r="N2508" t="n">
        <x:v>45369.624999988424</x:v>
      </x:c>
      <x:c r="O2508" s="54" t="n">
        <x:v>45291</x:v>
      </x:c>
      <x:c r="P2508" t="str">
        <x:v>False</x:v>
      </x:c>
      <x:c r="Q2508" t="str">
        <x:v>fa78055b80d7f3cc41c605aa4835ac75b86d483e7455456b98769cca3d71a27e</x:v>
      </x:c>
      <x:c r="R2508" t="str">
        <x:v>77fbbdbf0aed21c0debf106a088ad9da9f83f8b18d6bf28b8e4a2df0137cf6f5</x:v>
      </x:c>
      <x:c r="S2508" t="n">
        <x:v>6</x:v>
      </x:c>
      <x:c r="T2508" t="str">
        <x:v>2018-12-31|2019-12-31|2020-12-31|2021-12-31|2022-12-31|2023-12-31</x:v>
      </x:c>
      <x:c r="U2508" s="57" t="n">
        <x:v>-55.19003386457931</x:v>
      </x:c>
      <x:c r="V2508" s="57" t="n">
        <x:v>-1.001999638908137</x:v>
      </x:c>
      <x:c r="W2508"/>
      <x:c r="X2508"/>
      <x:c r="Y2508" s="38" t="n">
        <x:v>0.6409090909090909</x:v>
      </x:c>
      <x:c r="Z2508" s="38" t="n">
        <x:v>0.7058896170186482</x:v>
      </x:c>
      <x:c r="AA2508" t="str">
        <x:v>NON_POSITIVE_ENTERPRISE_VALUE|NON_POSITIVE_EQUITY_VALUE|NON_POSITIVE_TERMINAL_FCF</x:v>
      </x:c>
    </x:row>
    <x:row r="2509">
      <x:c r="A2509" s="54" t="n">
        <x:v>45382</x:v>
      </x:c>
      <x:c r="B2509" t="n">
        <x:v>45382.624999988424</x:v>
      </x:c>
      <x:c r="C2509" t="str">
        <x:v>084370</x:v>
      </x:c>
      <x:c r="D2509" t="str">
        <x:v>유진테크</x:v>
      </x:c>
      <x:c r="E2509" t="str">
        <x:v>KOSDAQ</x:v>
      </x:c>
      <x:c r="F2509" t="str">
        <x:v>LARGE</x:v>
      </x:c>
      <x:c r="G2509" t="str">
        <x:v>ELIGIBLE</x:v>
      </x:c>
      <x:c r="H2509"/>
      <x:c r="I2509" s="54" t="n">
        <x:v>45380</x:v>
      </x:c>
      <x:c r="J2509" s="55" t="n">
        <x:v>44000</x:v>
      </x:c>
      <x:c r="K2509" s="55" t="n">
        <x:v>1008305848000</x:v>
      </x:c>
      <x:c r="L2509" s="55" t="n">
        <x:v>22916042</x:v>
      </x:c>
      <x:c r="M2509" t="str">
        <x:v>20240321001566</x:v>
      </x:c>
      <x:c r="N2509" t="n">
        <x:v>45372.624999988424</x:v>
      </x:c>
      <x:c r="O2509" s="54" t="n">
        <x:v>45291</x:v>
      </x:c>
      <x:c r="P2509" t="str">
        <x:v>False</x:v>
      </x:c>
      <x:c r="Q2509" t="str">
        <x:v>5231344ec0918c3914c3b36ef88b559c2ae8a4ee043536c010b4450f86fdd1a0</x:v>
      </x:c>
      <x:c r="R2509" t="str">
        <x:v>c2b7a3f2f581f0b2e2849c5115cb6f1cb06355e9fa6f7646697709eef5a1ba49</x:v>
      </x:c>
      <x:c r="S2509" t="n">
        <x:v>6</x:v>
      </x:c>
      <x:c r="T2509" t="str">
        <x:v>2018-12-31|2019-12-31|2020-12-31|2021-12-31|2022-12-31|2023-12-31</x:v>
      </x:c>
      <x:c r="U2509" s="57" t="n">
        <x:v>12476.303701351173</x:v>
      </x:c>
      <x:c r="V2509" s="57" t="n">
        <x:v>-0.7164476431511098</x:v>
      </x:c>
      <x:c r="W2509" t="n">
        <x:v>54</x:v>
      </x:c>
      <x:c r="X2509" t="n">
        <x:v>4</x:v>
      </x:c>
      <x:c r="Y2509" s="38" t="n">
        <x:v>0.6409090909090909</x:v>
      </x:c>
      <x:c r="Z2509" s="38" t="n">
        <x:v>0.7279301673798181</x:v>
      </x:c>
      <x:c r="AA2509"/>
    </x:row>
    <x:row r="2510">
      <x:c r="A2510" s="54" t="n">
        <x:v>45382</x:v>
      </x:c>
      <x:c r="B2510" t="n">
        <x:v>45382.624999988424</x:v>
      </x:c>
      <x:c r="C2510" t="str">
        <x:v>160190</x:v>
      </x:c>
      <x:c r="D2510" t="str">
        <x:v>하이젠알앤엠</x:v>
      </x:c>
      <x:c r="E2510" t="str">
        <x:v>KOSDAQ</x:v>
      </x:c>
      <x:c r="F2510" t="str">
        <x:v>LARGE</x:v>
      </x:c>
      <x:c r="G2510" t="str">
        <x:v>NOT_LISTED_OR_NO_PRICE</x:v>
      </x:c>
      <x:c r="H2510"/>
      <x:c r="I2510" s="54"/>
      <x:c r="J2510" s="55"/>
      <x:c r="K2510" s="55"/>
      <x:c r="L2510" s="55"/>
      <x:c r="M2510"/>
      <x:c r="N2510"/>
      <x:c r="O2510" s="54"/>
      <x:c r="P2510"/>
      <x:c r="Q2510"/>
      <x:c r="R2510"/>
      <x:c r="S2510"/>
      <x:c r="T2510"/>
      <x:c r="U2510" s="57"/>
      <x:c r="V2510" s="57"/>
      <x:c r="W2510"/>
      <x:c r="X2510"/>
      <x:c r="Y2510" s="38"/>
      <x:c r="Z2510" s="38"/>
      <x:c r="AA2510"/>
    </x:row>
    <x:row r="2511">
      <x:c r="A2511" s="54" t="n">
        <x:v>45382</x:v>
      </x:c>
      <x:c r="B2511" t="n">
        <x:v>45382.624999988424</x:v>
      </x:c>
      <x:c r="C2511" t="str">
        <x:v>281740</x:v>
      </x:c>
      <x:c r="D2511" t="str">
        <x:v>레이크머티리얼즈</x:v>
      </x:c>
      <x:c r="E2511" t="str">
        <x:v>KOSDAQ</x:v>
      </x:c>
      <x:c r="F2511" t="str">
        <x:v>LARGE</x:v>
      </x:c>
      <x:c r="G2511" t="str">
        <x:v>ELIGIBLE</x:v>
      </x:c>
      <x:c r="H2511"/>
      <x:c r="I2511" s="54" t="n">
        <x:v>45380</x:v>
      </x:c>
      <x:c r="J2511" s="55" t="n">
        <x:v>24500</x:v>
      </x:c>
      <x:c r="K2511" s="55" t="n">
        <x:v>1610398426000</x:v>
      </x:c>
      <x:c r="L2511" s="55" t="n">
        <x:v>65730548</x:v>
      </x:c>
      <x:c r="M2511" t="str">
        <x:v>20240320000555</x:v>
      </x:c>
      <x:c r="N2511" t="n">
        <x:v>45371.624999988424</x:v>
      </x:c>
      <x:c r="O2511" s="54" t="n">
        <x:v>45291</x:v>
      </x:c>
      <x:c r="P2511" t="str">
        <x:v>False</x:v>
      </x:c>
      <x:c r="Q2511" t="str">
        <x:v>e48009a48bdc7d2f8f2c00276113fc227cdd6b48e967a314a504818c28300ca4</x:v>
      </x:c>
      <x:c r="R2511" t="str">
        <x:v>6f503c29bd608940742624a61507c77234fbfb7d232eab6267770926c04728de</x:v>
      </x:c>
      <x:c r="S2511" t="n">
        <x:v>6</x:v>
      </x:c>
      <x:c r="T2511" t="str">
        <x:v>2020-12-31|2021-12-31|2022-12-31|2023-12-31</x:v>
      </x:c>
      <x:c r="U2511" s="57" t="n">
        <x:v>3478.766264193427</x:v>
      </x:c>
      <x:c r="V2511" s="57" t="n">
        <x:v>-0.8580095402370029</x:v>
      </x:c>
      <x:c r="W2511" t="n">
        <x:v>63</x:v>
      </x:c>
      <x:c r="X2511" t="n">
        <x:v>5</x:v>
      </x:c>
      <x:c r="Y2511" s="38" t="n">
        <x:v>0.6409090909090909</x:v>
      </x:c>
      <x:c r="Z2511" s="38" t="n">
        <x:v>0.7468053248574974</x:v>
      </x:c>
      <x:c r="AA2511"/>
    </x:row>
    <x:row r="2512">
      <x:c r="A2512" s="54" t="n">
        <x:v>45382</x:v>
      </x:c>
      <x:c r="B2512" t="n">
        <x:v>45382.624999988424</x:v>
      </x:c>
      <x:c r="C2512" t="str">
        <x:v>078130</x:v>
      </x:c>
      <x:c r="D2512" t="str">
        <x:v>국일제지</x:v>
      </x:c>
      <x:c r="E2512" t="str">
        <x:v>KOSDAQ</x:v>
      </x:c>
      <x:c r="F2512" t="str">
        <x:v>LARGE</x:v>
      </x:c>
      <x:c r="G2512" t="str">
        <x:v>DCF_SCREENING_EXCLUSION</x:v>
      </x:c>
      <x:c r="H2512" t="str">
        <x:v>NON_POSITIVE_ENTERPRISE_VALUE|NON_POSITIVE_TERMINAL_FCF</x:v>
      </x:c>
      <x:c r="I2512" s="54" t="n">
        <x:v>45380</x:v>
      </x:c>
      <x:c r="J2512" s="55" t="n">
        <x:v>800</x:v>
      </x:c>
      <x:c r="K2512" s="55" t="n">
        <x:v>901924696800</x:v>
      </x:c>
      <x:c r="L2512" s="55" t="n">
        <x:v>1127405871</x:v>
      </x:c>
      <x:c r="M2512" t="str">
        <x:v>20240321001819</x:v>
      </x:c>
      <x:c r="N2512" t="n">
        <x:v>45372.624999988424</x:v>
      </x:c>
      <x:c r="O2512" s="54" t="n">
        <x:v>45291</x:v>
      </x:c>
      <x:c r="P2512" t="str">
        <x:v>False</x:v>
      </x:c>
      <x:c r="Q2512" t="str">
        <x:v>cac5fc1c6ff1a14dcf38476dd7409e9e086b5713e50cbb58359adb9134109ba9</x:v>
      </x:c>
      <x:c r="R2512" t="str">
        <x:v>a596ab6b40c4a26381c37c1e9d462e963486ede8040fbe78068010beed4d32ab</x:v>
      </x:c>
      <x:c r="S2512" t="n">
        <x:v>5</x:v>
      </x:c>
      <x:c r="T2512" t="str">
        <x:v>2018-12-31|2019-12-31|2020-12-31|2021-12-31|2022-12-31|2023-12-31</x:v>
      </x:c>
      <x:c r="U2512" s="57" t="n">
        <x:v>5.016268408445829</x:v>
      </x:c>
      <x:c r="V2512" s="57" t="n">
        <x:v>-0.9937296644894427</x:v>
      </x:c>
      <x:c r="W2512"/>
      <x:c r="X2512"/>
      <x:c r="Y2512" s="38" t="n">
        <x:v>0.6409090909090909</x:v>
      </x:c>
      <x:c r="Z2512" s="38" t="n">
        <x:v>0.5262628967257946</x:v>
      </x:c>
      <x:c r="AA2512" t="str">
        <x:v>NON_POSITIVE_ENTERPRISE_VALUE|NON_POSITIVE_TERMINAL_FCF</x:v>
      </x:c>
    </x:row>
    <x:row r="2513">
      <x:c r="A2513" s="54" t="n">
        <x:v>45382</x:v>
      </x:c>
      <x:c r="B2513" t="n">
        <x:v>45382.624999988424</x:v>
      </x:c>
      <x:c r="C2513" t="str">
        <x:v>131970</x:v>
      </x:c>
      <x:c r="D2513" t="str">
        <x:v>두산테스나</x:v>
      </x:c>
      <x:c r="E2513" t="str">
        <x:v>KOSDAQ</x:v>
      </x:c>
      <x:c r="F2513" t="str">
        <x:v>LARGE</x:v>
      </x:c>
      <x:c r="G2513" t="str">
        <x:v>ELIGIBLE</x:v>
      </x:c>
      <x:c r="H2513"/>
      <x:c r="I2513" s="54" t="n">
        <x:v>45380</x:v>
      </x:c>
      <x:c r="J2513" s="55" t="n">
        <x:v>50200</x:v>
      </x:c>
      <x:c r="K2513" s="55" t="n">
        <x:v>853729613200</x:v>
      </x:c>
      <x:c r="L2513" s="55" t="n">
        <x:v>17006566</x:v>
      </x:c>
      <x:c r="M2513" t="str">
        <x:v>20240320000768</x:v>
      </x:c>
      <x:c r="N2513" t="n">
        <x:v>45371.624999988424</x:v>
      </x:c>
      <x:c r="O2513" s="54" t="n">
        <x:v>45291</x:v>
      </x:c>
      <x:c r="P2513" t="str">
        <x:v>False</x:v>
      </x:c>
      <x:c r="Q2513" t="str">
        <x:v>40bad6e60031b403936d643f32613a1e9e21b7f03fd3114ef7c95a70bf1006f6</x:v>
      </x:c>
      <x:c r="R2513" t="str">
        <x:v>3d0ca6829b423ddba5543185c23cc15f13ce87ffbbdb4b6626a4ec7f73137ff1</x:v>
      </x:c>
      <x:c r="S2513" t="n">
        <x:v>6</x:v>
      </x:c>
      <x:c r="T2513" t="str">
        <x:v>2018-12-31|2019-12-31|2020-12-31|2021-12-31|2022-12-31|2023-12-31</x:v>
      </x:c>
      <x:c r="U2513" s="57" t="n">
        <x:v>44223.64769136174</x:v>
      </x:c>
      <x:c r="V2513" s="57" t="n">
        <x:v>-0.11905084280155896</x:v>
      </x:c>
      <x:c r="W2513" t="n">
        <x:v>30</x:v>
      </x:c>
      <x:c r="X2513" t="n">
        <x:v>3</x:v>
      </x:c>
      <x:c r="Y2513" s="38" t="n">
        <x:v>0.6409090909090909</x:v>
      </x:c>
      <x:c r="Z2513" s="38" t="n">
        <x:v>0.7653441082853836</x:v>
      </x:c>
      <x:c r="AA2513"/>
    </x:row>
    <x:row r="2514">
      <x:c r="A2514" s="54" t="n">
        <x:v>45382</x:v>
      </x:c>
      <x:c r="B2514" t="n">
        <x:v>45382.624999988424</x:v>
      </x:c>
      <x:c r="C2514" t="str">
        <x:v>025320</x:v>
      </x:c>
      <x:c r="D2514" t="str">
        <x:v>시노펙스</x:v>
      </x:c>
      <x:c r="E2514" t="str">
        <x:v>KOSDAQ</x:v>
      </x:c>
      <x:c r="F2514" t="str">
        <x:v>LARGE</x:v>
      </x:c>
      <x:c r="G2514" t="str">
        <x:v>DCF_SCREENING_EXCLUSION</x:v>
      </x:c>
      <x:c r="H2514" t="str">
        <x:v>NON_POSITIVE_TERMINAL_FCF|UNRELIABLE_TERMINAL_VALUE_SHARE</x:v>
      </x:c>
      <x:c r="I2514" s="54" t="n">
        <x:v>45380</x:v>
      </x:c>
      <x:c r="J2514" s="55" t="n">
        <x:v>8900</x:v>
      </x:c>
      <x:c r="K2514" s="55" t="n">
        <x:v>745979630400</x:v>
      </x:c>
      <x:c r="L2514" s="55" t="n">
        <x:v>83817936</x:v>
      </x:c>
      <x:c r="M2514" t="str">
        <x:v>20240319000824</x:v>
      </x:c>
      <x:c r="N2514" t="n">
        <x:v>45370.624999988424</x:v>
      </x:c>
      <x:c r="O2514" s="54" t="n">
        <x:v>45291</x:v>
      </x:c>
      <x:c r="P2514" t="str">
        <x:v>False</x:v>
      </x:c>
      <x:c r="Q2514" t="str">
        <x:v>fc07d195fe498e8e68aedbf4db8f4f882567dd521ff667e04ba608362a05750b</x:v>
      </x:c>
      <x:c r="R2514" t="str">
        <x:v>2dd4c6603e35a0156e9a0cea29fb980ee3e8ed9d0390d27d2c878a187461202a</x:v>
      </x:c>
      <x:c r="S2514" t="n">
        <x:v>6</x:v>
      </x:c>
      <x:c r="T2514" t="str">
        <x:v>2018-12-31|2019-12-31|2020-12-31|2021-12-31|2022-12-31|2023-12-31</x:v>
      </x:c>
      <x:c r="U2514" s="57" t="n">
        <x:v>311.18425799108013</x:v>
      </x:c>
      <x:c r="V2514" s="57" t="n">
        <x:v>-0.9650354766302157</x:v>
      </x:c>
      <x:c r="W2514"/>
      <x:c r="X2514"/>
      <x:c r="Y2514" s="38" t="n">
        <x:v>0.6409090909090909</x:v>
      </x:c>
      <x:c r="Z2514" s="38" t="n">
        <x:v>-0.005765002764426046</x:v>
      </x:c>
      <x:c r="AA2514" t="str">
        <x:v>NON_POSITIVE_TERMINAL_FCF|UNRELIABLE_TERMINAL_VALUE_SHARE</x:v>
      </x:c>
    </x:row>
    <x:row r="2515">
      <x:c r="A2515" s="54" t="n">
        <x:v>45382</x:v>
      </x:c>
      <x:c r="B2515" t="n">
        <x:v>45382.624999988424</x:v>
      </x:c>
      <x:c r="C2515" t="str">
        <x:v>347700</x:v>
      </x:c>
      <x:c r="D2515" t="str">
        <x:v>스피어</x:v>
      </x:c>
      <x:c r="E2515" t="str">
        <x:v>KOSDAQ</x:v>
      </x:c>
      <x:c r="F2515" t="str">
        <x:v>LARGE</x:v>
      </x:c>
      <x:c r="G2515" t="str">
        <x:v>DCF_SCREENING_EXCLUSION</x:v>
      </x:c>
      <x:c r="H2515" t="str">
        <x:v>NON_POSITIVE_ENTERPRISE_VALUE|NON_POSITIVE_EQUITY_VALUE|NON_POSITIVE_TERMINAL_FCF</x:v>
      </x:c>
      <x:c r="I2515" s="54" t="n">
        <x:v>45380</x:v>
      </x:c>
      <x:c r="J2515" s="55" t="n">
        <x:v>2055</x:v>
      </x:c>
      <x:c r="K2515" s="55" t="n">
        <x:v>32190568050</x:v>
      </x:c>
      <x:c r="L2515" s="55" t="n">
        <x:v>15664510</x:v>
      </x:c>
      <x:c r="M2515" t="str">
        <x:v>20240321001584</x:v>
      </x:c>
      <x:c r="N2515" t="n">
        <x:v>45372.624999988424</x:v>
      </x:c>
      <x:c r="O2515" s="54" t="n">
        <x:v>45291</x:v>
      </x:c>
      <x:c r="P2515" t="str">
        <x:v>False</x:v>
      </x:c>
      <x:c r="Q2515" t="str">
        <x:v>c8db85bb879b3aca01865650c951a23a693799760087fa6122ff9d96f3ba2ca1</x:v>
      </x:c>
      <x:c r="R2515" t="str">
        <x:v>f18dddc557142c1619a97ea54e9197a2221e951ed4b86ff85e4b22d09f4bfa19</x:v>
      </x:c>
      <x:c r="S2515" t="n">
        <x:v>6</x:v>
      </x:c>
      <x:c r="T2515" t="str">
        <x:v>2020-12-31|2021-12-31|2022-12-31|2023-12-31</x:v>
      </x:c>
      <x:c r="U2515" s="57" t="n">
        <x:v>-444.4133709032316</x:v>
      </x:c>
      <x:c r="V2515" s="57" t="n">
        <x:v>-1.2162595478847842</x:v>
      </x:c>
      <x:c r="W2515"/>
      <x:c r="X2515"/>
      <x:c r="Y2515" s="38" t="n">
        <x:v>0.6409090909090909</x:v>
      </x:c>
      <x:c r="Z2515" s="38" t="n">
        <x:v>0.708015697222301</x:v>
      </x:c>
      <x:c r="AA2515" t="str">
        <x:v>NON_POSITIVE_ENTERPRISE_VALUE|NON_POSITIVE_EQUITY_VALUE|NON_POSITIVE_TERMINAL_FCF</x:v>
      </x:c>
    </x:row>
    <x:row r="2516">
      <x:c r="A2516" s="54" t="n">
        <x:v>45382</x:v>
      </x:c>
      <x:c r="B2516" t="n">
        <x:v>45382.624999988424</x:v>
      </x:c>
      <x:c r="C2516" t="str">
        <x:v>119850</x:v>
      </x:c>
      <x:c r="D2516" t="str">
        <x:v>지엔씨에너지</x:v>
      </x:c>
      <x:c r="E2516" t="str">
        <x:v>KOSDAQ</x:v>
      </x:c>
      <x:c r="F2516" t="str">
        <x:v>LARGE</x:v>
      </x:c>
      <x:c r="G2516" t="str">
        <x:v>ELIGIBLE</x:v>
      </x:c>
      <x:c r="H2516"/>
      <x:c r="I2516" s="54" t="n">
        <x:v>45380</x:v>
      </x:c>
      <x:c r="J2516" s="55" t="n">
        <x:v>6200</x:v>
      </x:c>
      <x:c r="K2516" s="55" t="n">
        <x:v>101983235800</x:v>
      </x:c>
      <x:c r="L2516" s="55" t="n">
        <x:v>16448909</x:v>
      </x:c>
      <x:c r="M2516" t="str">
        <x:v>20240319000205</x:v>
      </x:c>
      <x:c r="N2516" t="n">
        <x:v>45370.624999988424</x:v>
      </x:c>
      <x:c r="O2516" s="54" t="n">
        <x:v>45291</x:v>
      </x:c>
      <x:c r="P2516" t="str">
        <x:v>False</x:v>
      </x:c>
      <x:c r="Q2516" t="str">
        <x:v>3380204f5fcae5364c06e29c73eecafe1e6911e92f8f3b124ed75664c9267a06</x:v>
      </x:c>
      <x:c r="R2516" t="str">
        <x:v>3656c24a643e9a337a23adc52722d05405bb9505046c54d499dc35844579874a</x:v>
      </x:c>
      <x:c r="S2516" t="n">
        <x:v>6</x:v>
      </x:c>
      <x:c r="T2516" t="str">
        <x:v>2018-12-31|2019-12-31|2020-12-31|2021-12-31|2022-12-31|2023-12-31</x:v>
      </x:c>
      <x:c r="U2516" s="57" t="n">
        <x:v>5889.2035628156855</x:v>
      </x:c>
      <x:c r="V2516" s="57" t="n">
        <x:v>-0.05012845761037331</x:v>
      </x:c>
      <x:c r="W2516" t="n">
        <x:v>27</x:v>
      </x:c>
      <x:c r="X2516" t="n">
        <x:v>2</x:v>
      </x:c>
      <x:c r="Y2516" s="38" t="n">
        <x:v>0.6409090909090909</x:v>
      </x:c>
      <x:c r="Z2516" s="38" t="n">
        <x:v>0.6498777413726008</x:v>
      </x:c>
      <x:c r="AA2516"/>
    </x:row>
    <x:row r="2517">
      <x:c r="A2517" s="54" t="n">
        <x:v>45382</x:v>
      </x:c>
      <x:c r="B2517" t="n">
        <x:v>45382.624999988424</x:v>
      </x:c>
      <x:c r="C2517" t="str">
        <x:v>084110</x:v>
      </x:c>
      <x:c r="D2517" t="str">
        <x:v>휴온스글로벌</x:v>
      </x:c>
      <x:c r="E2517" t="str">
        <x:v>KOSDAQ</x:v>
      </x:c>
      <x:c r="F2517" t="str">
        <x:v>LARGE</x:v>
      </x:c>
      <x:c r="G2517" t="str">
        <x:v>ELIGIBLE</x:v>
      </x:c>
      <x:c r="H2517"/>
      <x:c r="I2517" s="54" t="n">
        <x:v>45380</x:v>
      </x:c>
      <x:c r="J2517" s="55" t="n">
        <x:v>22950</x:v>
      </x:c>
      <x:c r="K2517" s="55" t="n">
        <x:v>289663241400</x:v>
      </x:c>
      <x:c r="L2517" s="55" t="n">
        <x:v>12621492</x:v>
      </x:c>
      <x:c r="M2517" t="str">
        <x:v>20240321001484</x:v>
      </x:c>
      <x:c r="N2517" t="n">
        <x:v>45372.624999988424</x:v>
      </x:c>
      <x:c r="O2517" s="54" t="n">
        <x:v>45291</x:v>
      </x:c>
      <x:c r="P2517" t="str">
        <x:v>True</x:v>
      </x:c>
      <x:c r="Q2517" t="str">
        <x:v>68bda756301fe1b6a3ebf0355b558ed15edc835d74a3ebca20911d8b2dd4eb5c</x:v>
      </x:c>
      <x:c r="R2517" t="str">
        <x:v>c0abd5c9731931252a7557433816c5757272af750c6e9199150f71e6ca6ff48a</x:v>
      </x:c>
      <x:c r="S2517" t="n">
        <x:v>6</x:v>
      </x:c>
      <x:c r="T2517" t="str">
        <x:v>2018-12-31|2019-12-31|2020-12-31|2021-12-31|2022-12-31|2023-12-31</x:v>
      </x:c>
      <x:c r="U2517" s="57" t="n">
        <x:v>88399.3096107096</x:v>
      </x:c>
      <x:c r="V2517" s="57" t="n">
        <x:v>2.8518217695298302</x:v>
      </x:c>
      <x:c r="W2517" t="n">
        <x:v>5</x:v>
      </x:c>
      <x:c r="X2517" t="n">
        <x:v>1</x:v>
      </x:c>
      <x:c r="Y2517" s="38" t="n">
        <x:v>0.6409090909090909</x:v>
      </x:c>
      <x:c r="Z2517" s="38" t="n">
        <x:v>0.7414426298123072</x:v>
      </x:c>
      <x:c r="AA2517"/>
    </x:row>
    <x:row r="2518">
      <x:c r="A2518" s="54" t="n">
        <x:v>45382</x:v>
      </x:c>
      <x:c r="B2518" t="n">
        <x:v>45382.624999988424</x:v>
      </x:c>
      <x:c r="C2518" t="str">
        <x:v>206650</x:v>
      </x:c>
      <x:c r="D2518" t="str">
        <x:v>유바이오로직스</x:v>
      </x:c>
      <x:c r="E2518" t="str">
        <x:v>KOSDAQ</x:v>
      </x:c>
      <x:c r="F2518" t="str">
        <x:v>LARGE</x:v>
      </x:c>
      <x:c r="G2518" t="str">
        <x:v>ELIGIBLE</x:v>
      </x:c>
      <x:c r="H2518"/>
      <x:c r="I2518" s="54" t="n">
        <x:v>45380</x:v>
      </x:c>
      <x:c r="J2518" s="55" t="n">
        <x:v>12120</x:v>
      </x:c>
      <x:c r="K2518" s="55" t="n">
        <x:v>441832260840</x:v>
      </x:c>
      <x:c r="L2518" s="55" t="n">
        <x:v>36454807</x:v>
      </x:c>
      <x:c r="M2518" t="str">
        <x:v>20240319000532</x:v>
      </x:c>
      <x:c r="N2518" t="n">
        <x:v>45370.624999988424</x:v>
      </x:c>
      <x:c r="O2518" s="54" t="n">
        <x:v>45291</x:v>
      </x:c>
      <x:c r="P2518" t="str">
        <x:v>False</x:v>
      </x:c>
      <x:c r="Q2518" t="str">
        <x:v>c275c7dd12ee24ebe6fa42287990ee8e0fdfae41775f20a1e1fcb29570f277c9</x:v>
      </x:c>
      <x:c r="R2518" t="str">
        <x:v>7fc033611224efb7c803bf597ac87dfc5f9e64e7e31588f8eba7e4e94a0c831b</x:v>
      </x:c>
      <x:c r="S2518" t="n">
        <x:v>5</x:v>
      </x:c>
      <x:c r="T2518" t="str">
        <x:v>2018-12-31|2019-12-31|2020-12-31|2021-12-31|2022-12-31|2023-12-31</x:v>
      </x:c>
      <x:c r="U2518" s="57" t="n">
        <x:v>378.32465573538855</x:v>
      </x:c>
      <x:c r="V2518" s="57" t="n">
        <x:v>-0.9687850944112716</x:v>
      </x:c>
      <x:c r="W2518" t="n">
        <x:v>67</x:v>
      </x:c>
      <x:c r="X2518" t="n">
        <x:v>5</x:v>
      </x:c>
      <x:c r="Y2518" s="38" t="n">
        <x:v>0.6409090909090909</x:v>
      </x:c>
      <x:c r="Z2518" s="38" t="n">
        <x:v>0.2531187603046695</x:v>
      </x:c>
      <x:c r="AA2518"/>
    </x:row>
    <x:row r="2519">
      <x:c r="A2519" s="54" t="n">
        <x:v>45382</x:v>
      </x:c>
      <x:c r="B2519" t="n">
        <x:v>45382.624999988424</x:v>
      </x:c>
      <x:c r="C2519" t="str">
        <x:v>365340</x:v>
      </x:c>
      <x:c r="D2519" t="str">
        <x:v>성일하이텍</x:v>
      </x:c>
      <x:c r="E2519" t="str">
        <x:v>KOSDAQ</x:v>
      </x:c>
      <x:c r="F2519" t="str">
        <x:v>LARGE</x:v>
      </x:c>
      <x:c r="G2519" t="str">
        <x:v>DCF_SCREENING_EXCLUSION</x:v>
      </x:c>
      <x:c r="H2519" t="str">
        <x:v>NON_POSITIVE_ENTERPRISE_VALUE|NON_POSITIVE_EQUITY_VALUE|UNRELIABLE_TERMINAL_VALUE_SHARE</x:v>
      </x:c>
      <x:c r="I2519" s="54" t="n">
        <x:v>45380</x:v>
      </x:c>
      <x:c r="J2519" s="55" t="n">
        <x:v>90300</x:v>
      </x:c>
      <x:c r="K2519" s="55" t="n">
        <x:v>1093071567000</x:v>
      </x:c>
      <x:c r="L2519" s="55" t="n">
        <x:v>12104890</x:v>
      </x:c>
      <x:c r="M2519" t="str">
        <x:v>20240320001734</x:v>
      </x:c>
      <x:c r="N2519" t="n">
        <x:v>45371.624999988424</x:v>
      </x:c>
      <x:c r="O2519" s="54" t="n">
        <x:v>45291</x:v>
      </x:c>
      <x:c r="P2519" t="str">
        <x:v>True</x:v>
      </x:c>
      <x:c r="Q2519" t="str">
        <x:v>d4ee4e9dd90905cf92f0a6849477c640efd013410a1ffdf823037d2d677a4793</x:v>
      </x:c>
      <x:c r="R2519" t="str">
        <x:v>c85952a24e7024b94d58b72ef170b9c9907751801bf9597f2d6450bd0a9f7cd1</x:v>
      </x:c>
      <x:c r="S2519" t="n">
        <x:v>6</x:v>
      </x:c>
      <x:c r="T2519" t="str">
        <x:v>2022-12-31|2023-12-31</x:v>
      </x:c>
      <x:c r="U2519" s="57" t="n">
        <x:v>-5572.9548057796355</x:v>
      </x:c>
      <x:c r="V2519" s="57" t="n">
        <x:v>-1.061716000064005</x:v>
      </x:c>
      <x:c r="W2519"/>
      <x:c r="X2519"/>
      <x:c r="Y2519" s="38" t="n">
        <x:v>0.6409090909090909</x:v>
      </x:c>
      <x:c r="Z2519" s="38" t="n">
        <x:v>-0.9336002145733966</x:v>
      </x:c>
      <x:c r="AA2519" t="str">
        <x:v>NON_POSITIVE_ENTERPRISE_VALUE|NON_POSITIVE_EQUITY_VALUE|UNRELIABLE_TERMINAL_VALUE_SHARE</x:v>
      </x:c>
    </x:row>
    <x:row r="2520">
      <x:c r="A2520" s="54" t="n">
        <x:v>45382</x:v>
      </x:c>
      <x:c r="B2520" t="n">
        <x:v>45382.624999988424</x:v>
      </x:c>
      <x:c r="C2520" t="str">
        <x:v>030530</x:v>
      </x:c>
      <x:c r="D2520" t="str">
        <x:v>원익홀딩스</x:v>
      </x:c>
      <x:c r="E2520" t="str">
        <x:v>KOSDAQ</x:v>
      </x:c>
      <x:c r="F2520" t="str">
        <x:v>LARGE</x:v>
      </x:c>
      <x:c r="G2520" t="str">
        <x:v>EXCLUDED_ARCHETYPE</x:v>
      </x:c>
      <x:c r="H2520" t="str">
        <x:v>FCFF_NOT_COMPARABLE_FOR_FINANCE_OR_HOLDING_HINT</x:v>
      </x:c>
      <x:c r="I2520" s="54"/>
      <x:c r="J2520" s="55"/>
      <x:c r="K2520" s="55"/>
      <x:c r="L2520" s="55"/>
      <x:c r="M2520"/>
      <x:c r="N2520"/>
      <x:c r="O2520" s="54"/>
      <x:c r="P2520"/>
      <x:c r="Q2520"/>
      <x:c r="R2520"/>
      <x:c r="S2520"/>
      <x:c r="T2520"/>
      <x:c r="U2520" s="57"/>
      <x:c r="V2520" s="57"/>
      <x:c r="W2520"/>
      <x:c r="X2520"/>
      <x:c r="Y2520" s="38"/>
      <x:c r="Z2520" s="38"/>
      <x:c r="AA2520"/>
    </x:row>
    <x:row r="2521">
      <x:c r="A2521" s="54" t="n">
        <x:v>45382</x:v>
      </x:c>
      <x:c r="B2521" t="n">
        <x:v>45382.624999988424</x:v>
      </x:c>
      <x:c r="C2521" t="str">
        <x:v>220100</x:v>
      </x:c>
      <x:c r="D2521" t="str">
        <x:v>퓨쳐켐</x:v>
      </x:c>
      <x:c r="E2521" t="str">
        <x:v>KOSDAQ</x:v>
      </x:c>
      <x:c r="F2521" t="str">
        <x:v>LARGE</x:v>
      </x:c>
      <x:c r="G2521" t="str">
        <x:v>DCF_SCREENING_EXCLUSION</x:v>
      </x:c>
      <x:c r="H2521" t="str">
        <x:v>NON_POSITIVE_ENTERPRISE_VALUE|NON_POSITIVE_EQUITY_VALUE|NON_POSITIVE_TERMINAL_FCF</x:v>
      </x:c>
      <x:c r="I2521" s="54" t="n">
        <x:v>45380</x:v>
      </x:c>
      <x:c r="J2521" s="55" t="n">
        <x:v>10310</x:v>
      </x:c>
      <x:c r="K2521" s="55" t="n">
        <x:v>227873218050</x:v>
      </x:c>
      <x:c r="L2521" s="55" t="n">
        <x:v>22102155</x:v>
      </x:c>
      <x:c r="M2521" t="str">
        <x:v>20240320000866</x:v>
      </x:c>
      <x:c r="N2521" t="n">
        <x:v>45371.624999988424</x:v>
      </x:c>
      <x:c r="O2521" s="54" t="n">
        <x:v>45291</x:v>
      </x:c>
      <x:c r="P2521" t="str">
        <x:v>False</x:v>
      </x:c>
      <x:c r="Q2521" t="str">
        <x:v>19aeda2f917d3d8c136224e5b636dd6047fcb3bad57309a3fded43faa8e6afc3</x:v>
      </x:c>
      <x:c r="R2521" t="str">
        <x:v>d24985bf25ba105e1014c7557b1691373f5aac20e2cb8486e5a58ba2b62bdac0</x:v>
      </x:c>
      <x:c r="S2521" t="n">
        <x:v>5</x:v>
      </x:c>
      <x:c r="T2521" t="str">
        <x:v>2018-12-31|2019-12-31|2020-12-31|2021-12-31|2022-12-31|2023-12-31</x:v>
      </x:c>
      <x:c r="U2521" s="57" t="n">
        <x:v>-1744.6815438320666</x:v>
      </x:c>
      <x:c r="V2521" s="57" t="n">
        <x:v>-1.1692222641932168</x:v>
      </x:c>
      <x:c r="W2521"/>
      <x:c r="X2521"/>
      <x:c r="Y2521" s="38" t="n">
        <x:v>0.6409090909090909</x:v>
      </x:c>
      <x:c r="Z2521" s="38" t="n">
        <x:v>0.7030899933568922</x:v>
      </x:c>
      <x:c r="AA2521" t="str">
        <x:v>NON_POSITIVE_ENTERPRISE_VALUE|NON_POSITIVE_EQUITY_VALUE|NON_POSITIVE_TERMINAL_FCF</x:v>
      </x:c>
    </x:row>
    <x:row r="2522">
      <x:c r="A2522" s="54" t="n">
        <x:v>45382</x:v>
      </x:c>
      <x:c r="B2522" t="n">
        <x:v>45382.624999988424</x:v>
      </x:c>
      <x:c r="C2522" t="str">
        <x:v>416180</x:v>
      </x:c>
      <x:c r="D2522" t="str">
        <x:v>신성에스티</x:v>
      </x:c>
      <x:c r="E2522" t="str">
        <x:v>KOSDAQ</x:v>
      </x:c>
      <x:c r="F2522" t="str">
        <x:v>LARGE</x:v>
      </x:c>
      <x:c r="G2522" t="str">
        <x:v>ELIGIBLE</x:v>
      </x:c>
      <x:c r="H2522"/>
      <x:c r="I2522" s="54" t="n">
        <x:v>45380</x:v>
      </x:c>
      <x:c r="J2522" s="55" t="n">
        <x:v>43150</x:v>
      </x:c>
      <x:c r="K2522" s="55" t="n">
        <x:v>390066420700</x:v>
      </x:c>
      <x:c r="L2522" s="55" t="n">
        <x:v>9039778</x:v>
      </x:c>
      <x:c r="M2522" t="str">
        <x:v>20240318000868</x:v>
      </x:c>
      <x:c r="N2522" t="n">
        <x:v>45369.624999988424</x:v>
      </x:c>
      <x:c r="O2522" s="54" t="n">
        <x:v>45291</x:v>
      </x:c>
      <x:c r="P2522" t="str">
        <x:v>True</x:v>
      </x:c>
      <x:c r="Q2522" t="str">
        <x:v>83365fda00f2859a3b0ddff8c98389930a65a5f3d9df38e420f7d88759a900f9</x:v>
      </x:c>
      <x:c r="R2522" t="str">
        <x:v>62eb0976f911e83b581cf67eda351f7a58d22f66167afead8dd2901cc6c187eb</x:v>
      </x:c>
      <x:c r="S2522" t="n">
        <x:v>6</x:v>
      </x:c>
      <x:c r="T2522" t="str">
        <x:v>2023-12-31</x:v>
      </x:c>
      <x:c r="U2522" s="57" t="n">
        <x:v>5107.11562013138</x:v>
      </x:c>
      <x:c r="V2522" s="57" t="n">
        <x:v>-0.881642743450026</x:v>
      </x:c>
      <x:c r="W2522" t="n">
        <x:v>64</x:v>
      </x:c>
      <x:c r="X2522" t="n">
        <x:v>5</x:v>
      </x:c>
      <x:c r="Y2522" s="38" t="n">
        <x:v>0.6409090909090909</x:v>
      </x:c>
      <x:c r="Z2522" s="38" t="n">
        <x:v>0.7013426708992583</x:v>
      </x:c>
      <x:c r="AA2522"/>
    </x:row>
    <x:row r="2523">
      <x:c r="A2523" s="54" t="n">
        <x:v>45382</x:v>
      </x:c>
      <x:c r="B2523" t="n">
        <x:v>45382.624999988424</x:v>
      </x:c>
      <x:c r="C2523" t="str">
        <x:v>082800</x:v>
      </x:c>
      <x:c r="D2523" t="str">
        <x:v>비보존제약</x:v>
      </x:c>
      <x:c r="E2523" t="str">
        <x:v>KOSDAQ</x:v>
      </x:c>
      <x:c r="F2523" t="str">
        <x:v>LARGE</x:v>
      </x:c>
      <x:c r="G2523" t="str">
        <x:v>DCF_SCREENING_EXCLUSION</x:v>
      </x:c>
      <x:c r="H2523" t="str">
        <x:v>NON_POSITIVE_ENTERPRISE_VALUE|NON_POSITIVE_EQUITY_VALUE|NON_POSITIVE_TERMINAL_FCF</x:v>
      </x:c>
      <x:c r="I2523" s="54" t="n">
        <x:v>45380</x:v>
      </x:c>
      <x:c r="J2523" s="55" t="n">
        <x:v>3435</x:v>
      </x:c>
      <x:c r="K2523" s="55" t="n">
        <x:v>165607241025</x:v>
      </x:c>
      <x:c r="L2523" s="55" t="n">
        <x:v>48211715</x:v>
      </x:c>
      <x:c r="M2523" t="str">
        <x:v>20240321002013</x:v>
      </x:c>
      <x:c r="N2523" t="n">
        <x:v>45372.624999988424</x:v>
      </x:c>
      <x:c r="O2523" s="54" t="n">
        <x:v>45291</x:v>
      </x:c>
      <x:c r="P2523" t="str">
        <x:v>False</x:v>
      </x:c>
      <x:c r="Q2523" t="str">
        <x:v>1200d231ac66b364cd6dd71a9544ba9e11e21657093a252947ece200f617a847</x:v>
      </x:c>
      <x:c r="R2523" t="str">
        <x:v>e7d3c35d2a64f21d3d18e7af4df5f0b8ddb379d53162010627b5b42a5d50b5c8</x:v>
      </x:c>
      <x:c r="S2523" t="n">
        <x:v>7</x:v>
      </x:c>
      <x:c r="T2523" t="str">
        <x:v>2018-12-31|2019-12-31|2020-12-31|2021-12-31|2022-12-31|2023-12-31</x:v>
      </x:c>
      <x:c r="U2523" s="57" t="n">
        <x:v>-5542.3737318582125</x:v>
      </x:c>
      <x:c r="V2523" s="57" t="n">
        <x:v>-2.613500358619567</x:v>
      </x:c>
      <x:c r="W2523"/>
      <x:c r="X2523"/>
      <x:c r="Y2523" s="38" t="n">
        <x:v>0.6409090909090909</x:v>
      </x:c>
      <x:c r="Z2523" s="38" t="n">
        <x:v>0.7855842606227819</x:v>
      </x:c>
      <x:c r="AA2523" t="str">
        <x:v>NON_POSITIVE_ENTERPRISE_VALUE|NON_POSITIVE_EQUITY_VALUE|NON_POSITIVE_TERMINAL_FCF</x:v>
      </x:c>
    </x:row>
    <x:row r="2524">
      <x:c r="A2524" s="54" t="n">
        <x:v>45382</x:v>
      </x:c>
      <x:c r="B2524" t="n">
        <x:v>45382.624999988424</x:v>
      </x:c>
      <x:c r="C2524" t="str">
        <x:v>204620</x:v>
      </x:c>
      <x:c r="D2524" t="str">
        <x:v>글로벌텍스프리</x:v>
      </x:c>
      <x:c r="E2524" t="str">
        <x:v>KOSDAQ</x:v>
      </x:c>
      <x:c r="F2524" t="str">
        <x:v>LARGE</x:v>
      </x:c>
      <x:c r="G2524" t="str">
        <x:v>DCF_SCREENING_EXCLUSION</x:v>
      </x:c>
      <x:c r="H2524" t="str">
        <x:v>NON_POSITIVE_ENTERPRISE_VALUE|NON_POSITIVE_TERMINAL_FCF|UNRELIABLE_TERMINAL_VALUE_SHARE</x:v>
      </x:c>
      <x:c r="I2524" s="54" t="n">
        <x:v>45380</x:v>
      </x:c>
      <x:c r="J2524" s="55" t="n">
        <x:v>5180</x:v>
      </x:c>
      <x:c r="K2524" s="55" t="n">
        <x:v>294161052640</x:v>
      </x:c>
      <x:c r="L2524" s="55" t="n">
        <x:v>56787848</x:v>
      </x:c>
      <x:c r="M2524" t="str">
        <x:v>20240321001393</x:v>
      </x:c>
      <x:c r="N2524" t="n">
        <x:v>45372.624999988424</x:v>
      </x:c>
      <x:c r="O2524" s="54" t="n">
        <x:v>45291</x:v>
      </x:c>
      <x:c r="P2524" t="str">
        <x:v>False</x:v>
      </x:c>
      <x:c r="Q2524" t="str">
        <x:v>e0b1e3ddb687ee203f0d57ff8debef6acfd63433052d16645e27c5766207b915</x:v>
      </x:c>
      <x:c r="R2524" t="str">
        <x:v>dcce45606b137b650c55576cddd69363c5753775be21a64637c0d8c6b4be2bd1</x:v>
      </x:c>
      <x:c r="S2524" t="n">
        <x:v>7</x:v>
      </x:c>
      <x:c r="T2524" t="str">
        <x:v>2018-12-31|2019-12-31|2020-12-31|2021-12-31|2022-12-31|2023-12-31</x:v>
      </x:c>
      <x:c r="U2524" s="57" t="n">
        <x:v>500.93871703014366</x:v>
      </x:c>
      <x:c r="V2524" s="57" t="n">
        <x:v>-0.9032936839710147</x:v>
      </x:c>
      <x:c r="W2524"/>
      <x:c r="X2524"/>
      <x:c r="Y2524" s="38" t="n">
        <x:v>0.6409090909090909</x:v>
      </x:c>
      <x:c r="Z2524" s="38" t="n">
        <x:v>2.277431839577951</x:v>
      </x:c>
      <x:c r="AA2524" t="str">
        <x:v>NON_POSITIVE_ENTERPRISE_VALUE|NON_POSITIVE_TERMINAL_FCF|UNRELIABLE_TERMINAL_VALUE_SHARE</x:v>
      </x:c>
    </x:row>
    <x:row r="2525">
      <x:c r="A2525" s="54" t="n">
        <x:v>45382</x:v>
      </x:c>
      <x:c r="B2525" t="n">
        <x:v>45382.624999988424</x:v>
      </x:c>
      <x:c r="C2525" t="str">
        <x:v>445090</x:v>
      </x:c>
      <x:c r="D2525" t="str">
        <x:v>에이직랜드</x:v>
      </x:c>
      <x:c r="E2525" t="str">
        <x:v>KOSDAQ</x:v>
      </x:c>
      <x:c r="F2525" t="str">
        <x:v>LARGE</x:v>
      </x:c>
      <x:c r="G2525" t="str">
        <x:v>DCF_SCREENING_EXCLUSION</x:v>
      </x:c>
      <x:c r="H2525" t="str">
        <x:v>NON_POSITIVE_ENTERPRISE_VALUE|NON_POSITIVE_TERMINAL_FCF</x:v>
      </x:c>
      <x:c r="I2525" s="54" t="n">
        <x:v>45380</x:v>
      </x:c>
      <x:c r="J2525" s="55" t="n">
        <x:v>60900</x:v>
      </x:c>
      <x:c r="K2525" s="55" t="n">
        <x:v>650314803600</x:v>
      </x:c>
      <x:c r="L2525" s="55" t="n">
        <x:v>10678404</x:v>
      </x:c>
      <x:c r="M2525" t="str">
        <x:v>20240321001771</x:v>
      </x:c>
      <x:c r="N2525" t="n">
        <x:v>45372.624999988424</x:v>
      </x:c>
      <x:c r="O2525" s="54" t="n">
        <x:v>45291</x:v>
      </x:c>
      <x:c r="P2525" t="str">
        <x:v>False</x:v>
      </x:c>
      <x:c r="Q2525" t="str">
        <x:v>3d21d9a3bcf8fe2c32b7f6dc6c7e026a5a5ae3046838b7fffa2eaa84e779cd56</x:v>
      </x:c>
      <x:c r="R2525" t="str">
        <x:v>784df8526e318aaddcf117b9d3686ba8818f97378f177aea4967c3f10bc5b0da</x:v>
      </x:c>
      <x:c r="S2525" t="n">
        <x:v>6</x:v>
      </x:c>
      <x:c r="T2525" t="str">
        <x:v>2023-12-31</x:v>
      </x:c>
      <x:c r="U2525" s="57" t="n">
        <x:v>2006.9272086944827</x:v>
      </x:c>
      <x:c r="V2525" s="57" t="n">
        <x:v>-0.9670455302349018</x:v>
      </x:c>
      <x:c r="W2525"/>
      <x:c r="X2525"/>
      <x:c r="Y2525" s="38" t="n">
        <x:v>0.6409090909090909</x:v>
      </x:c>
      <x:c r="Z2525" s="38" t="n">
        <x:v>0.7013426708992583</x:v>
      </x:c>
      <x:c r="AA2525" t="str">
        <x:v>NON_POSITIVE_ENTERPRISE_VALUE|NON_POSITIVE_TERMINAL_FCF</x:v>
      </x:c>
    </x:row>
    <x:row r="2526">
      <x:c r="A2526" s="54" t="n">
        <x:v>45382</x:v>
      </x:c>
      <x:c r="B2526" t="n">
        <x:v>45382.624999988424</x:v>
      </x:c>
      <x:c r="C2526" t="str">
        <x:v>115450</x:v>
      </x:c>
      <x:c r="D2526" t="str">
        <x:v>HLB테라퓨틱스</x:v>
      </x:c>
      <x:c r="E2526" t="str">
        <x:v>KOSDAQ</x:v>
      </x:c>
      <x:c r="F2526" t="str">
        <x:v>LARGE</x:v>
      </x:c>
      <x:c r="G2526" t="str">
        <x:v>DCF_SCREENING_EXCLUSION</x:v>
      </x:c>
      <x:c r="H2526" t="str">
        <x:v>NON_POSITIVE_ENTERPRISE_VALUE|NON_POSITIVE_EQUITY_VALUE|NON_POSITIVE_TERMINAL_FCF</x:v>
      </x:c>
      <x:c r="I2526" s="54" t="n">
        <x:v>45380</x:v>
      </x:c>
      <x:c r="J2526" s="55" t="n">
        <x:v>13520</x:v>
      </x:c>
      <x:c r="K2526" s="55" t="n">
        <x:v>1018982417440</x:v>
      </x:c>
      <x:c r="L2526" s="55" t="n">
        <x:v>75368522</x:v>
      </x:c>
      <x:c r="M2526" t="str">
        <x:v>20240318000872</x:v>
      </x:c>
      <x:c r="N2526" t="n">
        <x:v>45369.624999988424</x:v>
      </x:c>
      <x:c r="O2526" s="54" t="n">
        <x:v>45291</x:v>
      </x:c>
      <x:c r="P2526" t="str">
        <x:v>False</x:v>
      </x:c>
      <x:c r="Q2526" t="str">
        <x:v>3b6234af336dabd6e48013d36719da3fe04641f207116acbfd61cf15ca526468</x:v>
      </x:c>
      <x:c r="R2526" t="str">
        <x:v>14ce768734819761b4fea6078d67aa7b456271a4c41dd8f377614d02e84bcf15</x:v>
      </x:c>
      <x:c r="S2526" t="n">
        <x:v>6</x:v>
      </x:c>
      <x:c r="T2526" t="str">
        <x:v>2018-12-31|2019-12-31|2020-12-31|2021-12-31|2022-12-31|2023-12-31</x:v>
      </x:c>
      <x:c r="U2526" s="57" t="n">
        <x:v>-1646.4297959258358</x:v>
      </x:c>
      <x:c r="V2526" s="57" t="n">
        <x:v>-1.1217773517696623</x:v>
      </x:c>
      <x:c r="W2526"/>
      <x:c r="X2526"/>
      <x:c r="Y2526" s="38" t="n">
        <x:v>0.6409090909090909</x:v>
      </x:c>
      <x:c r="Z2526" s="38" t="n">
        <x:v>0.710888543448263</x:v>
      </x:c>
      <x:c r="AA2526" t="str">
        <x:v>NON_POSITIVE_ENTERPRISE_VALUE|NON_POSITIVE_EQUITY_VALUE|NON_POSITIVE_TERMINAL_FCF</x:v>
      </x:c>
    </x:row>
    <x:row r="2527">
      <x:c r="A2527" s="54" t="n">
        <x:v>45382</x:v>
      </x:c>
      <x:c r="B2527" t="n">
        <x:v>45382.624999988424</x:v>
      </x:c>
      <x:c r="C2527" t="str">
        <x:v>035420</x:v>
      </x:c>
      <x:c r="D2527" t="str">
        <x:v>NAVER</x:v>
      </x:c>
      <x:c r="E2527" t="str">
        <x:v>KOSPI</x:v>
      </x:c>
      <x:c r="F2527" t="str">
        <x:v>LARGE</x:v>
      </x:c>
      <x:c r="G2527" t="str">
        <x:v>ELIGIBLE</x:v>
      </x:c>
      <x:c r="H2527"/>
      <x:c r="I2527" s="54" t="n">
        <x:v>45380</x:v>
      </x:c>
      <x:c r="J2527" s="55" t="n">
        <x:v>187400</x:v>
      </x:c>
      <x:c r="K2527" s="55" t="n">
        <x:v>30435370515600</x:v>
      </x:c>
      <x:c r="L2527" s="55" t="n">
        <x:v>162408594</x:v>
      </x:c>
      <x:c r="M2527" t="str">
        <x:v>20240318000844</x:v>
      </x:c>
      <x:c r="N2527" t="n">
        <x:v>45369.624999988424</x:v>
      </x:c>
      <x:c r="O2527" s="54" t="n">
        <x:v>45291</x:v>
      </x:c>
      <x:c r="P2527" t="str">
        <x:v>False</x:v>
      </x:c>
      <x:c r="Q2527" t="str">
        <x:v>54a4f93f439c775756a90e1084778b46efe9cf0b2eb153fd52376c1005518a32</x:v>
      </x:c>
      <x:c r="R2527" t="str">
        <x:v>4aef43ac8569b66133cd1ad7d79e9087c487c40f813fb2d86ba2c4cda0ae7475</x:v>
      </x:c>
      <x:c r="S2527" t="n">
        <x:v>7</x:v>
      </x:c>
      <x:c r="T2527" t="str">
        <x:v>2018-12-31|2019-12-31|2020-12-31|2021-12-31|2022-12-31|2023-12-31</x:v>
      </x:c>
      <x:c r="U2527" s="57" t="n">
        <x:v>63694.281539004354</x:v>
      </x:c>
      <x:c r="V2527" s="57" t="n">
        <x:v>-0.6601158936018978</x:v>
      </x:c>
      <x:c r="W2527" t="n">
        <x:v>50</x:v>
      </x:c>
      <x:c r="X2527" t="n">
        <x:v>4</x:v>
      </x:c>
      <x:c r="Y2527" s="38" t="n">
        <x:v>0.6409090909090909</x:v>
      </x:c>
      <x:c r="Z2527" s="38" t="n">
        <x:v>0.7282407134116271</x:v>
      </x:c>
      <x:c r="AA2527"/>
    </x:row>
    <x:row r="2528">
      <x:c r="A2528" s="54" t="n">
        <x:v>45382</x:v>
      </x:c>
      <x:c r="B2528" t="n">
        <x:v>45382.624999988424</x:v>
      </x:c>
      <x:c r="C2528" t="str">
        <x:v>030200</x:v>
      </x:c>
      <x:c r="D2528" t="str">
        <x:v>KT</x:v>
      </x:c>
      <x:c r="E2528" t="str">
        <x:v>KOSPI</x:v>
      </x:c>
      <x:c r="F2528" t="str">
        <x:v>LARGE</x:v>
      </x:c>
      <x:c r="G2528" t="str">
        <x:v>ELIGIBLE</x:v>
      </x:c>
      <x:c r="H2528"/>
      <x:c r="I2528" s="54" t="n">
        <x:v>45380</x:v>
      </x:c>
      <x:c r="J2528" s="55" t="n">
        <x:v>37700</x:v>
      </x:c>
      <x:c r="K2528" s="55" t="n">
        <x:v>9721350652000</x:v>
      </x:c>
      <x:c r="L2528" s="55" t="n">
        <x:v>257860760</x:v>
      </x:c>
      <x:c r="M2528" t="str">
        <x:v>20240320002050</x:v>
      </x:c>
      <x:c r="N2528" t="n">
        <x:v>45371.624999988424</x:v>
      </x:c>
      <x:c r="O2528" s="54" t="n">
        <x:v>45291</x:v>
      </x:c>
      <x:c r="P2528" t="str">
        <x:v>True</x:v>
      </x:c>
      <x:c r="Q2528" t="str">
        <x:v>2143c9277fcc2280c3e9087bb1f7a6d900c560447e104f2fb74a2f19629cb33d</x:v>
      </x:c>
      <x:c r="R2528" t="str">
        <x:v>ce62a2e350a2e18746a25525a6040070e636efbf5510fc922d5568edfb628d68</x:v>
      </x:c>
      <x:c r="S2528" t="n">
        <x:v>7</x:v>
      </x:c>
      <x:c r="T2528" t="str">
        <x:v>2018-12-31|2019-12-31|2020-12-31|2021-12-31|2022-12-31|2023-12-31</x:v>
      </x:c>
      <x:c r="U2528" s="57" t="n">
        <x:v>208044.5844619116</x:v>
      </x:c>
      <x:c r="V2528" s="57" t="n">
        <x:v>4.518423991032138</x:v>
      </x:c>
      <x:c r="W2528" t="n">
        <x:v>3</x:v>
      </x:c>
      <x:c r="X2528" t="n">
        <x:v>1</x:v>
      </x:c>
      <x:c r="Y2528" s="38" t="n">
        <x:v>0.6409090909090909</x:v>
      </x:c>
      <x:c r="Z2528" s="38" t="n">
        <x:v>0.6999060533575371</x:v>
      </x:c>
      <x:c r="AA2528"/>
    </x:row>
    <x:row r="2529">
      <x:c r="A2529" s="54" t="n">
        <x:v>45382</x:v>
      </x:c>
      <x:c r="B2529" t="n">
        <x:v>45382.624999988424</x:v>
      </x:c>
      <x:c r="C2529" t="str">
        <x:v>018260</x:v>
      </x:c>
      <x:c r="D2529" t="str">
        <x:v>삼성에스디에스</x:v>
      </x:c>
      <x:c r="E2529" t="str">
        <x:v>KOSPI</x:v>
      </x:c>
      <x:c r="F2529" t="str">
        <x:v>LARGE</x:v>
      </x:c>
      <x:c r="G2529" t="str">
        <x:v>ELIGIBLE</x:v>
      </x:c>
      <x:c r="H2529"/>
      <x:c r="I2529" s="54" t="n">
        <x:v>45380</x:v>
      </x:c>
      <x:c r="J2529" s="55" t="n">
        <x:v>163500</x:v>
      </x:c>
      <x:c r="K2529" s="55" t="n">
        <x:v>12651270300000</x:v>
      </x:c>
      <x:c r="L2529" s="55" t="n">
        <x:v>77377800</x:v>
      </x:c>
      <x:c r="M2529" t="str">
        <x:v>20240329003204</x:v>
      </x:c>
      <x:c r="N2529" t="n">
        <x:v>45380.624999988424</x:v>
      </x:c>
      <x:c r="O2529" s="54" t="n">
        <x:v>45291</x:v>
      </x:c>
      <x:c r="P2529" t="str">
        <x:v>True</x:v>
      </x:c>
      <x:c r="Q2529" t="str">
        <x:v>18cebc8465d97b583091200410d012c12877fbf1b506f8f03e42d9acfaec4cb1</x:v>
      </x:c>
      <x:c r="R2529" t="str">
        <x:v>884bd679c7548d9c28c708b054cf4bec75102ff25dbeea45d78762e80128f816</x:v>
      </x:c>
      <x:c r="S2529" t="n">
        <x:v>7</x:v>
      </x:c>
      <x:c r="T2529" t="str">
        <x:v>2018-12-31|2019-12-31|2020-12-31|2021-12-31|2022-12-31|2023-12-31</x:v>
      </x:c>
      <x:c r="U2529" s="57" t="n">
        <x:v>122288.21245529415</x:v>
      </x:c>
      <x:c r="V2529" s="57" t="n">
        <x:v>-0.25205986265875135</x:v>
      </x:c>
      <x:c r="W2529" t="n">
        <x:v>32</x:v>
      </x:c>
      <x:c r="X2529" t="n">
        <x:v>3</x:v>
      </x:c>
      <x:c r="Y2529" s="38" t="n">
        <x:v>0.6409090909090909</x:v>
      </x:c>
      <x:c r="Z2529" s="38" t="n">
        <x:v>0.7228476007504209</x:v>
      </x:c>
      <x:c r="AA2529"/>
    </x:row>
    <x:row r="2530">
      <x:c r="A2530" s="54" t="n">
        <x:v>45382</x:v>
      </x:c>
      <x:c r="B2530" t="n">
        <x:v>45382.624999988424</x:v>
      </x:c>
      <x:c r="C2530" t="str">
        <x:v>090430</x:v>
      </x:c>
      <x:c r="D2530" t="str">
        <x:v>아모레퍼시픽</x:v>
      </x:c>
      <x:c r="E2530" t="str">
        <x:v>KOSPI</x:v>
      </x:c>
      <x:c r="F2530" t="str">
        <x:v>LARGE</x:v>
      </x:c>
      <x:c r="G2530" t="str">
        <x:v>ELIGIBLE</x:v>
      </x:c>
      <x:c r="H2530"/>
      <x:c r="I2530" s="54" t="n">
        <x:v>45380</x:v>
      </x:c>
      <x:c r="J2530" s="55" t="n">
        <x:v>121400</x:v>
      </x:c>
      <x:c r="K2530" s="55" t="n">
        <x:v>7101020942600</x:v>
      </x:c>
      <x:c r="L2530" s="55" t="n">
        <x:v>58492759</x:v>
      </x:c>
      <x:c r="M2530" t="str">
        <x:v>20240307000545</x:v>
      </x:c>
      <x:c r="N2530" t="n">
        <x:v>45358.624999988424</x:v>
      </x:c>
      <x:c r="O2530" s="54" t="n">
        <x:v>45291</x:v>
      </x:c>
      <x:c r="P2530" t="str">
        <x:v>False</x:v>
      </x:c>
      <x:c r="Q2530" t="str">
        <x:v>983705de0a1f45b92e9108d2cb5f8067751611ea62c2277984777ce1708ab8e8</x:v>
      </x:c>
      <x:c r="R2530" t="str">
        <x:v>e29e63aa8ddfd106584ad95dd808ba765e379e85945cd4910e62fca85bcf965d</x:v>
      </x:c>
      <x:c r="S2530" t="n">
        <x:v>7</x:v>
      </x:c>
      <x:c r="T2530" t="str">
        <x:v>2018-12-31|2019-12-31|2020-12-31|2021-12-31|2022-12-31|2023-12-31</x:v>
      </x:c>
      <x:c r="U2530" s="57" t="n">
        <x:v>45185.40296952942</x:v>
      </x:c>
      <x:c r="V2530" s="57" t="n">
        <x:v>-0.6277973396249635</x:v>
      </x:c>
      <x:c r="W2530" t="n">
        <x:v>49</x:v>
      </x:c>
      <x:c r="X2530" t="n">
        <x:v>4</x:v>
      </x:c>
      <x:c r="Y2530" s="38" t="n">
        <x:v>0.6409090909090909</x:v>
      </x:c>
      <x:c r="Z2530" s="38" t="n">
        <x:v>0.6871955991456108</x:v>
      </x:c>
      <x:c r="AA2530"/>
    </x:row>
    <x:row r="2531">
      <x:c r="A2531" s="54" t="n">
        <x:v>45382</x:v>
      </x:c>
      <x:c r="B2531" t="n">
        <x:v>45382.624999988424</x:v>
      </x:c>
      <x:c r="C2531" t="str">
        <x:v>278470</x:v>
      </x:c>
      <x:c r="D2531" t="str">
        <x:v>에이피알</x:v>
      </x:c>
      <x:c r="E2531" t="str">
        <x:v>KOSPI</x:v>
      </x:c>
      <x:c r="F2531" t="str">
        <x:v>LARGE</x:v>
      </x:c>
      <x:c r="G2531" t="str">
        <x:v>ELIGIBLE</x:v>
      </x:c>
      <x:c r="H2531"/>
      <x:c r="I2531" s="54" t="n">
        <x:v>45380</x:v>
      </x:c>
      <x:c r="J2531" s="55" t="n">
        <x:v>250000</x:v>
      </x:c>
      <x:c r="K2531" s="55" t="n">
        <x:v>1896094500000</x:v>
      </x:c>
      <x:c r="L2531" s="55" t="n">
        <x:v>7584378</x:v>
      </x:c>
      <x:c r="M2531" t="str">
        <x:v>20240321000964</x:v>
      </x:c>
      <x:c r="N2531" t="n">
        <x:v>45372.624999988424</x:v>
      </x:c>
      <x:c r="O2531" s="54" t="n">
        <x:v>45291</x:v>
      </x:c>
      <x:c r="P2531" t="str">
        <x:v>False</x:v>
      </x:c>
      <x:c r="Q2531" t="str">
        <x:v>04ca5e6c1f6cf209dc5de4b17e6b617de4ae883decea2ff2eb03b79a7a17d4a8</x:v>
      </x:c>
      <x:c r="R2531" t="str">
        <x:v>7e6dc7df6c5293196d2366117fc3ec877656460492a4b7bdbe26034dd5231cb2</x:v>
      </x:c>
      <x:c r="S2531" t="n">
        <x:v>7</x:v>
      </x:c>
      <x:c r="T2531" t="str">
        <x:v>2019-12-31|2020-12-31|2021-12-31|2022-12-31|2023-12-31</x:v>
      </x:c>
      <x:c r="U2531" s="57" t="n">
        <x:v>78686.8389234681</x:v>
      </x:c>
      <x:c r="V2531" s="57" t="n">
        <x:v>-0.6852526443061276</x:v>
      </x:c>
      <x:c r="W2531" t="n">
        <x:v>53</x:v>
      </x:c>
      <x:c r="X2531" t="n">
        <x:v>4</x:v>
      </x:c>
      <x:c r="Y2531" s="38" t="n">
        <x:v>0.6409090909090909</x:v>
      </x:c>
      <x:c r="Z2531" s="38" t="n">
        <x:v>0.5293064792577115</x:v>
      </x:c>
      <x:c r="AA2531"/>
    </x:row>
    <x:row r="2532">
      <x:c r="A2532" s="54" t="n">
        <x:v>45382</x:v>
      </x:c>
      <x:c r="B2532" t="n">
        <x:v>45382.624999988424</x:v>
      </x:c>
      <x:c r="C2532" t="str">
        <x:v>006260</x:v>
      </x:c>
      <x:c r="D2532" t="str">
        <x:v>LS</x:v>
      </x:c>
      <x:c r="E2532" t="str">
        <x:v>KOSPI</x:v>
      </x:c>
      <x:c r="F2532" t="str">
        <x:v>LARGE</x:v>
      </x:c>
      <x:c r="G2532" t="str">
        <x:v>DCF_SCREENING_EXCLUSION</x:v>
      </x:c>
      <x:c r="H2532" t="str">
        <x:v>NON_POSITIVE_EQUITY_VALUE|UNRELIABLE_TERMINAL_VALUE_SHARE</x:v>
      </x:c>
      <x:c r="I2532" s="54" t="n">
        <x:v>45380</x:v>
      </x:c>
      <x:c r="J2532" s="55" t="n">
        <x:v>113400</x:v>
      </x:c>
      <x:c r="K2532" s="55" t="n">
        <x:v>3651480000000</x:v>
      </x:c>
      <x:c r="L2532" s="55" t="n">
        <x:v>32200000</x:v>
      </x:c>
      <x:c r="M2532" t="str">
        <x:v>20240328001620</x:v>
      </x:c>
      <x:c r="N2532" t="n">
        <x:v>45379.624999988424</x:v>
      </x:c>
      <x:c r="O2532" s="54" t="n">
        <x:v>45291</x:v>
      </x:c>
      <x:c r="P2532" t="str">
        <x:v>True</x:v>
      </x:c>
      <x:c r="Q2532" t="str">
        <x:v>9fe30320efdcad1c5340f294e9f56b892e6082fae219d016336f02b346091952</x:v>
      </x:c>
      <x:c r="R2532" t="str">
        <x:v>d082c090d3a116ec85d400af7eee463106482a7d7859353ff448782f574e64db</x:v>
      </x:c>
      <x:c r="S2532" t="n">
        <x:v>7</x:v>
      </x:c>
      <x:c r="T2532" t="str">
        <x:v>2017-12-31|2018-12-31|2019-12-31|2020-12-31|2021-12-31|2022-12-31|2023-12-31</x:v>
      </x:c>
      <x:c r="U2532" s="57" t="n">
        <x:v>-105361.65513133879</x:v>
      </x:c>
      <x:c r="V2532" s="57" t="n">
        <x:v>-1.9291151246149805</x:v>
      </x:c>
      <x:c r="W2532"/>
      <x:c r="X2532"/>
      <x:c r="Y2532" s="38" t="n">
        <x:v>0.6409090909090909</x:v>
      </x:c>
      <x:c r="Z2532" s="38" t="n">
        <x:v>1.5056673965553193</x:v>
      </x:c>
      <x:c r="AA2532" t="str">
        <x:v>NON_POSITIVE_EQUITY_VALUE|UNRELIABLE_TERMINAL_VALUE_SHARE</x:v>
      </x:c>
    </x:row>
    <x:row r="2533">
      <x:c r="A2533" s="54" t="n">
        <x:v>45382</x:v>
      </x:c>
      <x:c r="B2533" t="n">
        <x:v>45382.624999988424</x:v>
      </x:c>
      <x:c r="C2533" t="str">
        <x:v>454910</x:v>
      </x:c>
      <x:c r="D2533" t="str">
        <x:v>두산로보틱스</x:v>
      </x:c>
      <x:c r="E2533" t="str">
        <x:v>KOSPI</x:v>
      </x:c>
      <x:c r="F2533" t="str">
        <x:v>LARGE</x:v>
      </x:c>
      <x:c r="G2533" t="str">
        <x:v>DCF_SCREENING_EXCLUSION</x:v>
      </x:c>
      <x:c r="H2533" t="str">
        <x:v>NON_POSITIVE_ENTERPRISE_VALUE|NON_POSITIVE_TERMINAL_FCF</x:v>
      </x:c>
      <x:c r="I2533" s="54" t="n">
        <x:v>45380</x:v>
      </x:c>
      <x:c r="J2533" s="55" t="n">
        <x:v>88200</x:v>
      </x:c>
      <x:c r="K2533" s="55" t="n">
        <x:v>5717122236000</x:v>
      </x:c>
      <x:c r="L2533" s="55" t="n">
        <x:v>64819980</x:v>
      </x:c>
      <x:c r="M2533" t="str">
        <x:v>20240320001860</x:v>
      </x:c>
      <x:c r="N2533" t="n">
        <x:v>45371.624999988424</x:v>
      </x:c>
      <x:c r="O2533" s="54" t="n">
        <x:v>45291</x:v>
      </x:c>
      <x:c r="P2533" t="str">
        <x:v>False</x:v>
      </x:c>
      <x:c r="Q2533" t="str">
        <x:v>5d0c8526a769dfb699e3a5a8d541b959348fa56a7fb0e13db871219f978613e8</x:v>
      </x:c>
      <x:c r="R2533" t="str">
        <x:v>9e2915c65080adc971a419f9d19db45fca450e2aaa5867ba5968fdfdcd809cda</x:v>
      </x:c>
      <x:c r="S2533" t="n">
        <x:v>6</x:v>
      </x:c>
      <x:c r="T2533" t="str">
        <x:v>2023-12-31</x:v>
      </x:c>
      <x:c r="U2533" s="57" t="n">
        <x:v>2405.426797352491</x:v>
      </x:c>
      <x:c r="V2533" s="57" t="n">
        <x:v>-0.9727275873316044</x:v>
      </x:c>
      <x:c r="W2533"/>
      <x:c r="X2533"/>
      <x:c r="Y2533" s="38" t="n">
        <x:v>0.6409090909090909</x:v>
      </x:c>
      <x:c r="Z2533" s="38" t="n">
        <x:v>0.7013426708992583</x:v>
      </x:c>
      <x:c r="AA2533" t="str">
        <x:v>NON_POSITIVE_ENTERPRISE_VALUE|NON_POSITIVE_TERMINAL_FCF</x:v>
      </x:c>
    </x:row>
    <x:row r="2534">
      <x:c r="A2534" s="54" t="n">
        <x:v>45382</x:v>
      </x:c>
      <x:c r="B2534" t="n">
        <x:v>45382.624999988424</x:v>
      </x:c>
      <x:c r="C2534" t="str">
        <x:v>012750</x:v>
      </x:c>
      <x:c r="D2534" t="str">
        <x:v>에스원</x:v>
      </x:c>
      <x:c r="E2534" t="str">
        <x:v>KOSPI</x:v>
      </x:c>
      <x:c r="F2534" t="str">
        <x:v>LARGE</x:v>
      </x:c>
      <x:c r="G2534" t="str">
        <x:v>ELIGIBLE</x:v>
      </x:c>
      <x:c r="H2534"/>
      <x:c r="I2534" s="54" t="n">
        <x:v>45380</x:v>
      </x:c>
      <x:c r="J2534" s="55" t="n">
        <x:v>60100</x:v>
      </x:c>
      <x:c r="K2534" s="55" t="n">
        <x:v>2283750597800</x:v>
      </x:c>
      <x:c r="L2534" s="55" t="n">
        <x:v>37999178</x:v>
      </x:c>
      <x:c r="M2534" t="str">
        <x:v>20240313001360</x:v>
      </x:c>
      <x:c r="N2534" t="n">
        <x:v>45364.624999988424</x:v>
      </x:c>
      <x:c r="O2534" s="54" t="n">
        <x:v>45291</x:v>
      </x:c>
      <x:c r="P2534" t="str">
        <x:v>False</x:v>
      </x:c>
      <x:c r="Q2534" t="str">
        <x:v>983905c80557b47aaa55369ad23ffd7c797eb22f2d713724cdbe16330a9bee29</x:v>
      </x:c>
      <x:c r="R2534" t="str">
        <x:v>418b9c21ccc966183bf35367fadeaa591f28b941468ebf25e7ce65b3896bab07</x:v>
      </x:c>
      <x:c r="S2534" t="n">
        <x:v>6</x:v>
      </x:c>
      <x:c r="T2534" t="str">
        <x:v>2018-12-31|2019-12-31|2020-12-31|2021-12-31|2022-12-31|2023-12-31</x:v>
      </x:c>
      <x:c r="U2534" s="57" t="n">
        <x:v>53073.583077988624</x:v>
      </x:c>
      <x:c r="V2534" s="57" t="n">
        <x:v>-0.11691209520817604</x:v>
      </x:c>
      <x:c r="W2534" t="n">
        <x:v>29</x:v>
      </x:c>
      <x:c r="X2534" t="n">
        <x:v>3</x:v>
      </x:c>
      <x:c r="Y2534" s="38" t="n">
        <x:v>0.6409090909090909</x:v>
      </x:c>
      <x:c r="Z2534" s="38" t="n">
        <x:v>0.7167269513942994</x:v>
      </x:c>
      <x:c r="AA2534"/>
    </x:row>
    <x:row r="2535">
      <x:c r="A2535" s="54" t="n">
        <x:v>45382</x:v>
      </x:c>
      <x:c r="B2535" t="n">
        <x:v>45382.624999988424</x:v>
      </x:c>
      <x:c r="C2535" t="str">
        <x:v>081660</x:v>
      </x:c>
      <x:c r="D2535" t="str">
        <x:v>미스토홀딩스</x:v>
      </x:c>
      <x:c r="E2535" t="str">
        <x:v>KOSPI</x:v>
      </x:c>
      <x:c r="F2535" t="str">
        <x:v>LARGE</x:v>
      </x:c>
      <x:c r="G2535" t="str">
        <x:v>EXCLUDED_ARCHETYPE</x:v>
      </x:c>
      <x:c r="H2535" t="str">
        <x:v>FCFF_NOT_COMPARABLE_FOR_FINANCE_OR_HOLDING_HINT</x:v>
      </x:c>
      <x:c r="I2535" s="54"/>
      <x:c r="J2535" s="55"/>
      <x:c r="K2535" s="55"/>
      <x:c r="L2535" s="55"/>
      <x:c r="M2535"/>
      <x:c r="N2535"/>
      <x:c r="O2535" s="54"/>
      <x:c r="P2535"/>
      <x:c r="Q2535"/>
      <x:c r="R2535"/>
      <x:c r="S2535"/>
      <x:c r="T2535"/>
      <x:c r="U2535" s="57"/>
      <x:c r="V2535" s="57"/>
      <x:c r="W2535"/>
      <x:c r="X2535"/>
      <x:c r="Y2535" s="38"/>
      <x:c r="Z2535" s="38"/>
      <x:c r="AA2535"/>
    </x:row>
    <x:row r="2536">
      <x:c r="A2536" s="54" t="n">
        <x:v>45382</x:v>
      </x:c>
      <x:c r="B2536" t="n">
        <x:v>45382.624999988424</x:v>
      </x:c>
      <x:c r="C2536" t="str">
        <x:v>282330</x:v>
      </x:c>
      <x:c r="D2536" t="str">
        <x:v>BGF리테일</x:v>
      </x:c>
      <x:c r="E2536" t="str">
        <x:v>KOSPI</x:v>
      </x:c>
      <x:c r="F2536" t="str">
        <x:v>LARGE</x:v>
      </x:c>
      <x:c r="G2536" t="str">
        <x:v>ELIGIBLE</x:v>
      </x:c>
      <x:c r="H2536"/>
      <x:c r="I2536" s="54" t="n">
        <x:v>45380</x:v>
      </x:c>
      <x:c r="J2536" s="55" t="n">
        <x:v>117700</x:v>
      </x:c>
      <x:c r="K2536" s="55" t="n">
        <x:v>2034315736200</x:v>
      </x:c>
      <x:c r="L2536" s="55" t="n">
        <x:v>17283906</x:v>
      </x:c>
      <x:c r="M2536" t="str">
        <x:v>20240313001437</x:v>
      </x:c>
      <x:c r="N2536" t="n">
        <x:v>45364.624999988424</x:v>
      </x:c>
      <x:c r="O2536" s="54" t="n">
        <x:v>45291</x:v>
      </x:c>
      <x:c r="P2536" t="str">
        <x:v>False</x:v>
      </x:c>
      <x:c r="Q2536" t="str">
        <x:v>7a998509f37bb54328ceaffeff28113fb68b7e4e9bc9b1fb64fbb8ee1ee928e2</x:v>
      </x:c>
      <x:c r="R2536" t="str">
        <x:v>b9a69c00ee83b688490a6d631368f35ddc03146c73bbf98a3cb90ca104891650</x:v>
      </x:c>
      <x:c r="S2536" t="n">
        <x:v>7</x:v>
      </x:c>
      <x:c r="T2536" t="str">
        <x:v>2018-12-31|2019-12-31|2020-12-31|2021-12-31|2022-12-31|2023-12-31</x:v>
      </x:c>
      <x:c r="U2536" s="57" t="n">
        <x:v>148920.85850352462</x:v>
      </x:c>
      <x:c r="V2536" s="57" t="n">
        <x:v>0.2652579312109144</x:v>
      </x:c>
      <x:c r="W2536" t="n">
        <x:v>21</x:v>
      </x:c>
      <x:c r="X2536" t="n">
        <x:v>2</x:v>
      </x:c>
      <x:c r="Y2536" s="38" t="n">
        <x:v>0.6409090909090909</x:v>
      </x:c>
      <x:c r="Z2536" s="38" t="n">
        <x:v>0.7118873154840263</x:v>
      </x:c>
      <x:c r="AA2536"/>
    </x:row>
    <x:row r="2537">
      <x:c r="A2537" s="54" t="n">
        <x:v>45382</x:v>
      </x:c>
      <x:c r="B2537" t="n">
        <x:v>45382.624999988424</x:v>
      </x:c>
      <x:c r="C2537" t="str">
        <x:v>023590</x:v>
      </x:c>
      <x:c r="D2537" t="str">
        <x:v>다우기술</x:v>
      </x:c>
      <x:c r="E2537" t="str">
        <x:v>KOSPI</x:v>
      </x:c>
      <x:c r="F2537" t="str">
        <x:v>LARGE</x:v>
      </x:c>
      <x:c r="G2537" t="str">
        <x:v>ELIGIBLE</x:v>
      </x:c>
      <x:c r="H2537"/>
      <x:c r="I2537" s="54" t="n">
        <x:v>45380</x:v>
      </x:c>
      <x:c r="J2537" s="55" t="n">
        <x:v>20450</x:v>
      </x:c>
      <x:c r="K2537" s="55" t="n">
        <x:v>917522317650</x:v>
      </x:c>
      <x:c r="L2537" s="55" t="n">
        <x:v>44866617</x:v>
      </x:c>
      <x:c r="M2537" t="str">
        <x:v>20240320001719</x:v>
      </x:c>
      <x:c r="N2537" t="n">
        <x:v>45371.624999988424</x:v>
      </x:c>
      <x:c r="O2537" s="54" t="n">
        <x:v>45291</x:v>
      </x:c>
      <x:c r="P2537" t="str">
        <x:v>False</x:v>
      </x:c>
      <x:c r="Q2537" t="str">
        <x:v>7794020640f841938df6de0ab2cc083ffa7af19e3b8e73ccb0b21ec4189c4cdc</x:v>
      </x:c>
      <x:c r="R2537" t="str">
        <x:v>8d8def05dbb4edc06fae723db1c51a21604287b327a228b7d5b89af822e337b7</x:v>
      </x:c>
      <x:c r="S2537" t="n">
        <x:v>7</x:v>
      </x:c>
      <x:c r="T2537" t="str">
        <x:v>2015-12-31|2016-12-31|2017-12-31|2018-12-31|2019-12-31|2020-12-31|2021-12-31|2022-12-31|2023-12-31</x:v>
      </x:c>
      <x:c r="U2537" s="57" t="n">
        <x:v>499115.9136980873</x:v>
      </x:c>
      <x:c r="V2537" s="57" t="n">
        <x:v>23.406646146605734</x:v>
      </x:c>
      <x:c r="W2537" t="n">
        <x:v>1</x:v>
      </x:c>
      <x:c r="X2537" t="n">
        <x:v>1</x:v>
      </x:c>
      <x:c r="Y2537" s="38" t="n">
        <x:v>0.6409090909090909</x:v>
      </x:c>
      <x:c r="Z2537" s="38" t="n">
        <x:v>0.797836132376199</x:v>
      </x:c>
      <x:c r="AA2537"/>
    </x:row>
    <x:row r="2538">
      <x:c r="A2538" s="54" t="n">
        <x:v>45382</x:v>
      </x:c>
      <x:c r="B2538" t="n">
        <x:v>45382.624999988424</x:v>
      </x:c>
      <x:c r="C2538" t="str">
        <x:v>300720</x:v>
      </x:c>
      <x:c r="D2538" t="str">
        <x:v>한일시멘트</x:v>
      </x:c>
      <x:c r="E2538" t="str">
        <x:v>KOSPI</x:v>
      </x:c>
      <x:c r="F2538" t="str">
        <x:v>LARGE</x:v>
      </x:c>
      <x:c r="G2538" t="str">
        <x:v>ELIGIBLE</x:v>
      </x:c>
      <x:c r="H2538"/>
      <x:c r="I2538" s="54" t="n">
        <x:v>45380</x:v>
      </x:c>
      <x:c r="J2538" s="55" t="n">
        <x:v>12300</x:v>
      </x:c>
      <x:c r="K2538" s="55" t="n">
        <x:v>851916942000</x:v>
      </x:c>
      <x:c r="L2538" s="55" t="n">
        <x:v>69261540</x:v>
      </x:c>
      <x:c r="M2538" t="str">
        <x:v>20240320001711</x:v>
      </x:c>
      <x:c r="N2538" t="n">
        <x:v>45371.624999988424</x:v>
      </x:c>
      <x:c r="O2538" s="54" t="n">
        <x:v>45291</x:v>
      </x:c>
      <x:c r="P2538" t="str">
        <x:v>False</x:v>
      </x:c>
      <x:c r="Q2538" t="str">
        <x:v>efeb156f499068f934e7f6adc03553c51257bed2c8134fb026ce3ee629479a7f</x:v>
      </x:c>
      <x:c r="R2538" t="str">
        <x:v>069d8b2ae8d57e8a16050e57f9e1d4a09dfea2f176312162cf3af0431f66ce8e</x:v>
      </x:c>
      <x:c r="S2538" t="n">
        <x:v>6</x:v>
      </x:c>
      <x:c r="T2538" t="str">
        <x:v>2019-12-31|2020-12-31|2021-12-31|2022-12-31|2023-12-31</x:v>
      </x:c>
      <x:c r="U2538" s="57" t="n">
        <x:v>29988.40651458377</x:v>
      </x:c>
      <x:c r="V2538" s="57" t="n">
        <x:v>1.4380818304539649</x:v>
      </x:c>
      <x:c r="W2538" t="n">
        <x:v>10</x:v>
      </x:c>
      <x:c r="X2538" t="n">
        <x:v>1</x:v>
      </x:c>
      <x:c r="Y2538" s="38" t="n">
        <x:v>0.6409090909090909</x:v>
      </x:c>
      <x:c r="Z2538" s="38" t="n">
        <x:v>0.6613647926762065</x:v>
      </x:c>
      <x:c r="AA2538"/>
    </x:row>
    <x:row r="2539">
      <x:c r="A2539" s="54" t="n">
        <x:v>45382</x:v>
      </x:c>
      <x:c r="B2539" t="n">
        <x:v>45382.624999988424</x:v>
      </x:c>
      <x:c r="C2539" t="str">
        <x:v>007070</x:v>
      </x:c>
      <x:c r="D2539" t="str">
        <x:v>GS리테일</x:v>
      </x:c>
      <x:c r="E2539" t="str">
        <x:v>KOSPI</x:v>
      </x:c>
      <x:c r="F2539" t="str">
        <x:v>LARGE</x:v>
      </x:c>
      <x:c r="G2539" t="str">
        <x:v>ELIGIBLE</x:v>
      </x:c>
      <x:c r="H2539"/>
      <x:c r="I2539" s="54" t="n">
        <x:v>45380</x:v>
      </x:c>
      <x:c r="J2539" s="55" t="n">
        <x:v>20300</x:v>
      </x:c>
      <x:c r="K2539" s="55" t="n">
        <x:v>2125773816600</x:v>
      </x:c>
      <x:c r="L2539" s="55" t="n">
        <x:v>104717922</x:v>
      </x:c>
      <x:c r="M2539" t="str">
        <x:v>20240313001562</x:v>
      </x:c>
      <x:c r="N2539" t="n">
        <x:v>45364.624999988424</x:v>
      </x:c>
      <x:c r="O2539" s="54" t="n">
        <x:v>45291</x:v>
      </x:c>
      <x:c r="P2539" t="str">
        <x:v>False</x:v>
      </x:c>
      <x:c r="Q2539" t="str">
        <x:v>b1f2763dd71c8820978b2202ac60192bb2bb8b166147a204f886f99dd700f787</x:v>
      </x:c>
      <x:c r="R2539" t="str">
        <x:v>4cdb562ddc0bfb260a9bc436de1d38e80cdaf775c7991639941a34d6d51df9db</x:v>
      </x:c>
      <x:c r="S2539" t="n">
        <x:v>7</x:v>
      </x:c>
      <x:c r="T2539" t="str">
        <x:v>2018-12-31|2019-12-31|2020-12-31|2021-12-31|2022-12-31|2023-12-31</x:v>
      </x:c>
      <x:c r="U2539" s="57" t="n">
        <x:v>5672.259130661726</x:v>
      </x:c>
      <x:c r="V2539" s="57" t="n">
        <x:v>-0.7205783679476983</x:v>
      </x:c>
      <x:c r="W2539" t="n">
        <x:v>55</x:v>
      </x:c>
      <x:c r="X2539" t="n">
        <x:v>5</x:v>
      </x:c>
      <x:c r="Y2539" s="38" t="n">
        <x:v>0.6409090909090909</x:v>
      </x:c>
      <x:c r="Z2539" s="38" t="n">
        <x:v>0.6853688907017809</x:v>
      </x:c>
      <x:c r="AA2539"/>
    </x:row>
    <x:row r="2540">
      <x:c r="A2540" s="54" t="n">
        <x:v>45382</x:v>
      </x:c>
      <x:c r="B2540" t="n">
        <x:v>45382.624999988424</x:v>
      </x:c>
      <x:c r="C2540" t="str">
        <x:v>280360</x:v>
      </x:c>
      <x:c r="D2540" t="str">
        <x:v>롯데웰푸드</x:v>
      </x:c>
      <x:c r="E2540" t="str">
        <x:v>KOSPI</x:v>
      </x:c>
      <x:c r="F2540" t="str">
        <x:v>LARGE</x:v>
      </x:c>
      <x:c r="G2540" t="str">
        <x:v>DCF_SCREENING_EXCLUSION</x:v>
      </x:c>
      <x:c r="H2540" t="str">
        <x:v>NON_POSITIVE_ENTERPRISE_VALUE|NON_POSITIVE_EQUITY_VALUE|NON_POSITIVE_TERMINAL_FCF</x:v>
      </x:c>
      <x:c r="I2540" s="54" t="n">
        <x:v>45380</x:v>
      </x:c>
      <x:c r="J2540" s="55" t="n">
        <x:v>122200</x:v>
      </x:c>
      <x:c r="K2540" s="55" t="n">
        <x:v>1152904942800</x:v>
      </x:c>
      <x:c r="L2540" s="55" t="n">
        <x:v>9434574</x:v>
      </x:c>
      <x:c r="M2540" t="str">
        <x:v>20240322000503</x:v>
      </x:c>
      <x:c r="N2540" t="n">
        <x:v>45373.624999988424</x:v>
      </x:c>
      <x:c r="O2540" s="54" t="n">
        <x:v>45291</x:v>
      </x:c>
      <x:c r="P2540" t="str">
        <x:v>True</x:v>
      </x:c>
      <x:c r="Q2540" t="str">
        <x:v>d5e8d1b97bc8df8fa4512c5438099b631380c1de7f7030abf5754dd3643e0535</x:v>
      </x:c>
      <x:c r="R2540" t="str">
        <x:v>e56de214d4b32594cdefd0605ff9fdca6712d818b7d17816429b21ba27086a3b</x:v>
      </x:c>
      <x:c r="S2540" t="n">
        <x:v>7</x:v>
      </x:c>
      <x:c r="T2540" t="str">
        <x:v>2018-12-31|2019-12-31|2020-12-31|2021-12-31|2022-12-31|2023-12-31</x:v>
      </x:c>
      <x:c r="U2540" s="57" t="n">
        <x:v>-13896.654975482745</x:v>
      </x:c>
      <x:c r="V2540" s="57" t="n">
        <x:v>-1.1137205808140977</x:v>
      </x:c>
      <x:c r="W2540"/>
      <x:c r="X2540"/>
      <x:c r="Y2540" s="38" t="n">
        <x:v>0.6409090909090909</x:v>
      </x:c>
      <x:c r="Z2540" s="38" t="n">
        <x:v>0.3321805813890434</x:v>
      </x:c>
      <x:c r="AA2540" t="str">
        <x:v>NON_POSITIVE_ENTERPRISE_VALUE|NON_POSITIVE_EQUITY_VALUE|NON_POSITIVE_TERMINAL_FCF</x:v>
      </x:c>
    </x:row>
    <x:row r="2541">
      <x:c r="A2541" s="54" t="n">
        <x:v>45382</x:v>
      </x:c>
      <x:c r="B2541" t="n">
        <x:v>45382.624999988424</x:v>
      </x:c>
      <x:c r="C2541" t="str">
        <x:v>039130</x:v>
      </x:c>
      <x:c r="D2541" t="str">
        <x:v>하나투어</x:v>
      </x:c>
      <x:c r="E2541" t="str">
        <x:v>KOSPI</x:v>
      </x:c>
      <x:c r="F2541" t="str">
        <x:v>LARGE</x:v>
      </x:c>
      <x:c r="G2541" t="str">
        <x:v>DCF_SCREENING_EXCLUSION</x:v>
      </x:c>
      <x:c r="H2541" t="str">
        <x:v>NON_POSITIVE_ENTERPRISE_VALUE|NON_POSITIVE_EQUITY_VALUE|NON_POSITIVE_TERMINAL_FCF|UNRELIABLE_TERMINAL_VALUE_SHARE</x:v>
      </x:c>
      <x:c r="I2541" s="54" t="n">
        <x:v>45380</x:v>
      </x:c>
      <x:c r="J2541" s="55" t="n">
        <x:v>64500</x:v>
      </x:c>
      <x:c r="K2541" s="55" t="n">
        <x:v>1034527432500</x:v>
      </x:c>
      <x:c r="L2541" s="55" t="n">
        <x:v>16039185</x:v>
      </x:c>
      <x:c r="M2541" t="str">
        <x:v>20240321001614</x:v>
      </x:c>
      <x:c r="N2541" t="n">
        <x:v>45372.624999988424</x:v>
      </x:c>
      <x:c r="O2541" s="54" t="n">
        <x:v>45291</x:v>
      </x:c>
      <x:c r="P2541" t="str">
        <x:v>False</x:v>
      </x:c>
      <x:c r="Q2541" t="str">
        <x:v>f0c2c55a272091d14bd377d8caf7fb527cb7c384fef945523a89c7b0d0b39f64</x:v>
      </x:c>
      <x:c r="R2541" t="str">
        <x:v>c62286508cd3dc77d0382b786563efc5ed20454c4cf4d924c6dd2df19e1e055a</x:v>
      </x:c>
      <x:c r="S2541" t="n">
        <x:v>5</x:v>
      </x:c>
      <x:c r="T2541" t="str">
        <x:v>2018-12-31|2019-12-31|2020-12-31|2021-12-31|2022-12-31|2023-12-31</x:v>
      </x:c>
      <x:c r="U2541" s="57" t="n">
        <x:v>-33024.08135487313</x:v>
      </x:c>
      <x:c r="V2541" s="57" t="n">
        <x:v>-1.5120012613158624</x:v>
      </x:c>
      <x:c r="W2541"/>
      <x:c r="X2541"/>
      <x:c r="Y2541" s="38" t="n">
        <x:v>0.6409090909090909</x:v>
      </x:c>
      <x:c r="Z2541" s="38" t="n">
        <x:v>0.8961738839877824</x:v>
      </x:c>
      <x:c r="AA2541" t="str">
        <x:v>NON_POSITIVE_ENTERPRISE_VALUE|NON_POSITIVE_EQUITY_VALUE|NON_POSITIVE_TERMINAL_FCF|UNRELIABLE_TERMINAL_VALUE_SHARE</x:v>
      </x:c>
    </x:row>
    <x:row r="2542">
      <x:c r="A2542" s="54" t="n">
        <x:v>45382</x:v>
      </x:c>
      <x:c r="B2542" t="n">
        <x:v>45382.624999988424</x:v>
      </x:c>
      <x:c r="C2542" t="str">
        <x:v>005690</x:v>
      </x:c>
      <x:c r="D2542" t="str">
        <x:v>파미셀</x:v>
      </x:c>
      <x:c r="E2542" t="str">
        <x:v>KOSPI</x:v>
      </x:c>
      <x:c r="F2542" t="str">
        <x:v>LARGE</x:v>
      </x:c>
      <x:c r="G2542" t="str">
        <x:v>DCF_SCREENING_EXCLUSION</x:v>
      </x:c>
      <x:c r="H2542" t="str">
        <x:v>UNRELIABLE_TERMINAL_VALUE_SHARE</x:v>
      </x:c>
      <x:c r="I2542" s="54" t="n">
        <x:v>45380</x:v>
      </x:c>
      <x:c r="J2542" s="55" t="n">
        <x:v>6250</x:v>
      </x:c>
      <x:c r="K2542" s="55" t="n">
        <x:v>375106025000</x:v>
      </x:c>
      <x:c r="L2542" s="55" t="n">
        <x:v>60016964</x:v>
      </x:c>
      <x:c r="M2542" t="str">
        <x:v>20240320001254</x:v>
      </x:c>
      <x:c r="N2542" t="n">
        <x:v>45371.624999988424</x:v>
      </x:c>
      <x:c r="O2542" s="54" t="n">
        <x:v>45291</x:v>
      </x:c>
      <x:c r="P2542" t="str">
        <x:v>False</x:v>
      </x:c>
      <x:c r="Q2542" t="str">
        <x:v>f0839badcfbb3da29d835ed372fece953eb7f29e42063d7caa50114dfb7f481f</x:v>
      </x:c>
      <x:c r="R2542" t="str">
        <x:v>0c4e3b410f04a539b8a2129aa4e552281a487dda7d3fc9ef8b21a508f86db6f8</x:v>
      </x:c>
      <x:c r="S2542" t="n">
        <x:v>6</x:v>
      </x:c>
      <x:c r="T2542" t="str">
        <x:v>2018-12-31|2019-12-31|2020-12-31|2021-12-31|2022-12-31|2023-12-31</x:v>
      </x:c>
      <x:c r="U2542" s="57" t="n">
        <x:v>640.0509380092717</x:v>
      </x:c>
      <x:c r="V2542" s="57" t="n">
        <x:v>-0.8975918499185165</x:v>
      </x:c>
      <x:c r="W2542"/>
      <x:c r="X2542"/>
      <x:c r="Y2542" s="38" t="n">
        <x:v>0.6409090909090909</x:v>
      </x:c>
      <x:c r="Z2542" s="38" t="n">
        <x:v>1.1033716279088626</x:v>
      </x:c>
      <x:c r="AA2542" t="str">
        <x:v>UNRELIABLE_TERMINAL_VALUE_SHARE</x:v>
      </x:c>
    </x:row>
    <x:row r="2543">
      <x:c r="A2543" s="54" t="n">
        <x:v>45382</x:v>
      </x:c>
      <x:c r="B2543" t="n">
        <x:v>45382.624999988424</x:v>
      </x:c>
      <x:c r="C2543" t="str">
        <x:v>002030</x:v>
      </x:c>
      <x:c r="D2543" t="str">
        <x:v>아세아</x:v>
      </x:c>
      <x:c r="E2543" t="str">
        <x:v>KOSPI</x:v>
      </x:c>
      <x:c r="F2543" t="str">
        <x:v>LARGE</x:v>
      </x:c>
      <x:c r="G2543" t="str">
        <x:v>ELIGIBLE</x:v>
      </x:c>
      <x:c r="H2543"/>
      <x:c r="I2543" s="54" t="n">
        <x:v>45380</x:v>
      </x:c>
      <x:c r="J2543" s="55" t="n">
        <x:v>239000</x:v>
      </x:c>
      <x:c r="K2543" s="55" t="n">
        <x:v>510504956000</x:v>
      </x:c>
      <x:c r="L2543" s="55" t="n">
        <x:v>2136004</x:v>
      </x:c>
      <x:c r="M2543" t="str">
        <x:v>20240313001757</x:v>
      </x:c>
      <x:c r="N2543" t="n">
        <x:v>45364.624999988424</x:v>
      </x:c>
      <x:c r="O2543" s="54" t="n">
        <x:v>45291</x:v>
      </x:c>
      <x:c r="P2543" t="str">
        <x:v>False</x:v>
      </x:c>
      <x:c r="Q2543" t="str">
        <x:v>a680d904a9b9d506cad43e9759b24df2b4b20291b41c26df7759b19bcbce1fef</x:v>
      </x:c>
      <x:c r="R2543" t="str">
        <x:v>4f17ce090378c0538c7d299dc843941d9d3a128bc9867e044058fa92c4eadcd4</x:v>
      </x:c>
      <x:c r="S2543" t="n">
        <x:v>6</x:v>
      </x:c>
      <x:c r="T2543" t="str">
        <x:v>2018-12-31|2019-12-31|2020-12-31|2021-12-31|2022-12-31|2023-12-31</x:v>
      </x:c>
      <x:c r="U2543" s="57" t="n">
        <x:v>834320.2309127745</x:v>
      </x:c>
      <x:c r="V2543" s="57" t="n">
        <x:v>2.490879627250102</x:v>
      </x:c>
      <x:c r="W2543" t="n">
        <x:v>7</x:v>
      </x:c>
      <x:c r="X2543" t="n">
        <x:v>1</x:v>
      </x:c>
      <x:c r="Y2543" s="38" t="n">
        <x:v>0.6409090909090909</x:v>
      </x:c>
      <x:c r="Z2543" s="38" t="n">
        <x:v>0.7000897107068127</x:v>
      </x:c>
      <x:c r="AA2543"/>
    </x:row>
    <x:row r="2544">
      <x:c r="A2544" s="54" t="n">
        <x:v>45382</x:v>
      </x:c>
      <x:c r="B2544" t="n">
        <x:v>45382.624999988424</x:v>
      </x:c>
      <x:c r="C2544" t="str">
        <x:v>009410</x:v>
      </x:c>
      <x:c r="D2544" t="str">
        <x:v>태영건설</x:v>
      </x:c>
      <x:c r="E2544" t="str">
        <x:v>KOSPI</x:v>
      </x:c>
      <x:c r="F2544" t="str">
        <x:v>LARGE</x:v>
      </x:c>
      <x:c r="G2544" t="str">
        <x:v>DCF_SCREENING_EXCLUSION</x:v>
      </x:c>
      <x:c r="H2544" t="str">
        <x:v>NON_POSITIVE_EQUITY_VALUE|UNRELIABLE_TERMINAL_VALUE_SHARE</x:v>
      </x:c>
      <x:c r="I2544" s="54" t="n">
        <x:v>45380</x:v>
      </x:c>
      <x:c r="J2544" s="55" t="n">
        <x:v>2310</x:v>
      </x:c>
      <x:c r="K2544" s="55" t="n">
        <x:v>89856916380</x:v>
      </x:c>
      <x:c r="L2544" s="55" t="n">
        <x:v>38899098</x:v>
      </x:c>
      <x:c r="M2544" t="str">
        <x:v>20240320001781</x:v>
      </x:c>
      <x:c r="N2544" t="n">
        <x:v>45371.624999988424</x:v>
      </x:c>
      <x:c r="O2544" s="54" t="n">
        <x:v>45291</x:v>
      </x:c>
      <x:c r="P2544" t="str">
        <x:v>False</x:v>
      </x:c>
      <x:c r="Q2544" t="str">
        <x:v>e3acec91cecb30a182d6df8b31c1746ffac398a513f7484fa6dcf20a62d4df60</x:v>
      </x:c>
      <x:c r="R2544" t="str">
        <x:v>276a116a2623d4add156721ad5f802d3c379756420f128282eca0ff898dae053</x:v>
      </x:c>
      <x:c r="S2544" t="n">
        <x:v>7</x:v>
      </x:c>
      <x:c r="T2544" t="str">
        <x:v>2018-12-31|2019-12-31|2020-12-31|2021-12-31|2022-12-31|2023-12-31</x:v>
      </x:c>
      <x:c r="U2544" s="57" t="n">
        <x:v>-28104.399790154337</x:v>
      </x:c>
      <x:c r="V2544" s="57" t="n">
        <x:v>-13.166406835564649</x:v>
      </x:c>
      <x:c r="W2544"/>
      <x:c r="X2544"/>
      <x:c r="Y2544" s="38" t="n">
        <x:v>0.6409090909090909</x:v>
      </x:c>
      <x:c r="Z2544" s="38" t="n">
        <x:v>0.9430332039167455</x:v>
      </x:c>
      <x:c r="AA2544" t="str">
        <x:v>NON_POSITIVE_EQUITY_VALUE|UNRELIABLE_TERMINAL_VALUE_SHARE</x:v>
      </x:c>
    </x:row>
    <x:row r="2545">
      <x:c r="A2545" s="54" t="n">
        <x:v>45382</x:v>
      </x:c>
      <x:c r="B2545" t="n">
        <x:v>45382.624999988424</x:v>
      </x:c>
      <x:c r="C2545" t="str">
        <x:v>010780</x:v>
      </x:c>
      <x:c r="D2545" t="str">
        <x:v>아이에스동서</x:v>
      </x:c>
      <x:c r="E2545" t="str">
        <x:v>KOSPI</x:v>
      </x:c>
      <x:c r="F2545" t="str">
        <x:v>LARGE</x:v>
      </x:c>
      <x:c r="G2545" t="str">
        <x:v>ELIGIBLE</x:v>
      </x:c>
      <x:c r="H2545"/>
      <x:c r="I2545" s="54" t="n">
        <x:v>45380</x:v>
      </x:c>
      <x:c r="J2545" s="55" t="n">
        <x:v>28750</x:v>
      </x:c>
      <x:c r="K2545" s="55" t="n">
        <x:v>867875560000</x:v>
      </x:c>
      <x:c r="L2545" s="55" t="n">
        <x:v>30186976</x:v>
      </x:c>
      <x:c r="M2545" t="str">
        <x:v>20240321001950</x:v>
      </x:c>
      <x:c r="N2545" t="n">
        <x:v>45372.624999988424</x:v>
      </x:c>
      <x:c r="O2545" s="54" t="n">
        <x:v>45291</x:v>
      </x:c>
      <x:c r="P2545" t="str">
        <x:v>False</x:v>
      </x:c>
      <x:c r="Q2545" t="str">
        <x:v>fbea4927e5b6cb734c186be848c447c8eefa8c7f06ba5c3cebd66f496b1378b9</x:v>
      </x:c>
      <x:c r="R2545" t="str">
        <x:v>8b112f82f6db1542c1f3c393bdc93a6a8f0d0c88670321d84b28ced0f894d285</x:v>
      </x:c>
      <x:c r="S2545" t="n">
        <x:v>7</x:v>
      </x:c>
      <x:c r="T2545" t="str">
        <x:v>2018-12-31|2019-12-31|2020-12-31|2021-12-31|2022-12-31|2023-12-31</x:v>
      </x:c>
      <x:c r="U2545" s="57" t="n">
        <x:v>100474.68258026625</x:v>
      </x:c>
      <x:c r="V2545" s="57" t="n">
        <x:v>2.494771568009261</x:v>
      </x:c>
      <x:c r="W2545" t="n">
        <x:v>6</x:v>
      </x:c>
      <x:c r="X2545" t="n">
        <x:v>1</x:v>
      </x:c>
      <x:c r="Y2545" s="38" t="n">
        <x:v>0.6409090909090909</x:v>
      </x:c>
      <x:c r="Z2545" s="38" t="n">
        <x:v>0.7562607547073226</x:v>
      </x:c>
      <x:c r="AA2545"/>
    </x:row>
    <x:row r="2546">
      <x:c r="A2546" s="54" t="n">
        <x:v>45382</x:v>
      </x:c>
      <x:c r="B2546" t="n">
        <x:v>45382.624999988424</x:v>
      </x:c>
      <x:c r="C2546" t="str">
        <x:v>453340</x:v>
      </x:c>
      <x:c r="D2546" t="str">
        <x:v>현대그린푸드</x:v>
      </x:c>
      <x:c r="E2546" t="str">
        <x:v>KOSPI</x:v>
      </x:c>
      <x:c r="F2546" t="str">
        <x:v>LARGE</x:v>
      </x:c>
      <x:c r="G2546" t="str">
        <x:v>NO_PIT_FINANCIALS</x:v>
      </x:c>
      <x:c r="H2546"/>
      <x:c r="I2546" s="54" t="n">
        <x:v>45380</x:v>
      </x:c>
      <x:c r="J2546" s="55" t="n">
        <x:v>11920</x:v>
      </x:c>
      <x:c r="K2546" s="55" t="n">
        <x:v>403860494880</x:v>
      </x:c>
      <x:c r="L2546" s="55" t="n">
        <x:v>33880914</x:v>
      </x:c>
      <x:c r="M2546"/>
      <x:c r="N2546"/>
      <x:c r="O2546" s="54"/>
      <x:c r="P2546"/>
      <x:c r="Q2546"/>
      <x:c r="R2546"/>
      <x:c r="S2546"/>
      <x:c r="T2546"/>
      <x:c r="U2546" s="57"/>
      <x:c r="V2546" s="57"/>
      <x:c r="W2546"/>
      <x:c r="X2546"/>
      <x:c r="Y2546" s="38"/>
      <x:c r="Z2546" s="38"/>
      <x:c r="AA2546"/>
    </x:row>
    <x:row r="2547">
      <x:c r="A2547" s="54" t="n">
        <x:v>45382</x:v>
      </x:c>
      <x:c r="B2547" t="n">
        <x:v>45382.624999988424</x:v>
      </x:c>
      <x:c r="C2547" t="str">
        <x:v>006220</x:v>
      </x:c>
      <x:c r="D2547" t="str">
        <x:v>제주은행</x:v>
      </x:c>
      <x:c r="E2547" t="str">
        <x:v>KOSPI</x:v>
      </x:c>
      <x:c r="F2547" t="str">
        <x:v>LARGE</x:v>
      </x:c>
      <x:c r="G2547" t="str">
        <x:v>EXCLUDED_ARCHETYPE</x:v>
      </x:c>
      <x:c r="H2547" t="str">
        <x:v>FCFF_NOT_COMPARABLE_FOR_FINANCE_OR_HOLDING_HINT</x:v>
      </x:c>
      <x:c r="I2547" s="54"/>
      <x:c r="J2547" s="55"/>
      <x:c r="K2547" s="55"/>
      <x:c r="L2547" s="55"/>
      <x:c r="M2547"/>
      <x:c r="N2547"/>
      <x:c r="O2547" s="54"/>
      <x:c r="P2547"/>
      <x:c r="Q2547"/>
      <x:c r="R2547"/>
      <x:c r="S2547"/>
      <x:c r="T2547"/>
      <x:c r="U2547" s="57"/>
      <x:c r="V2547" s="57"/>
      <x:c r="W2547"/>
      <x:c r="X2547"/>
      <x:c r="Y2547" s="38"/>
      <x:c r="Z2547" s="38"/>
      <x:c r="AA2547"/>
    </x:row>
    <x:row r="2548">
      <x:c r="A2548" s="54" t="n">
        <x:v>45382</x:v>
      </x:c>
      <x:c r="B2548" t="n">
        <x:v>45382.624999988424</x:v>
      </x:c>
      <x:c r="C2548" t="str">
        <x:v>094800</x:v>
      </x:c>
      <x:c r="D2548" t="str">
        <x:v>맵스리얼티1</x:v>
      </x:c>
      <x:c r="E2548" t="str">
        <x:v>KOSPI</x:v>
      </x:c>
      <x:c r="F2548" t="str">
        <x:v>LARGE</x:v>
      </x:c>
      <x:c r="G2548" t="str">
        <x:v>NO_PIT_FINANCIALS</x:v>
      </x:c>
      <x:c r="H2548"/>
      <x:c r="I2548" s="54" t="n">
        <x:v>45380</x:v>
      </x:c>
      <x:c r="J2548" s="55" t="n">
        <x:v>4360</x:v>
      </x:c>
      <x:c r="K2548" s="55" t="n">
        <x:v>404757683160</x:v>
      </x:c>
      <x:c r="L2548" s="55" t="n">
        <x:v>92834331</x:v>
      </x:c>
      <x:c r="M2548"/>
      <x:c r="N2548"/>
      <x:c r="O2548" s="54"/>
      <x:c r="P2548"/>
      <x:c r="Q2548"/>
      <x:c r="R2548"/>
      <x:c r="S2548"/>
      <x:c r="T2548"/>
      <x:c r="U2548" s="57"/>
      <x:c r="V2548" s="57"/>
      <x:c r="W2548"/>
      <x:c r="X2548"/>
      <x:c r="Y2548" s="38"/>
      <x:c r="Z2548" s="38"/>
      <x:c r="AA2548"/>
    </x:row>
    <x:row r="2549">
      <x:c r="A2549" s="54" t="n">
        <x:v>45382</x:v>
      </x:c>
      <x:c r="B2549" t="n">
        <x:v>45382.624999988424</x:v>
      </x:c>
      <x:c r="C2549" t="str">
        <x:v>003160</x:v>
      </x:c>
      <x:c r="D2549" t="str">
        <x:v>디아이</x:v>
      </x:c>
      <x:c r="E2549" t="str">
        <x:v>KOSPI</x:v>
      </x:c>
      <x:c r="F2549" t="str">
        <x:v>LARGE</x:v>
      </x:c>
      <x:c r="G2549" t="str">
        <x:v>DCF_SCREENING_EXCLUSION</x:v>
      </x:c>
      <x:c r="H2549" t="str">
        <x:v>UNRELIABLE_TERMINAL_VALUE_SHARE</x:v>
      </x:c>
      <x:c r="I2549" s="54" t="n">
        <x:v>45380</x:v>
      </x:c>
      <x:c r="J2549" s="55" t="n">
        <x:v>12750</x:v>
      </x:c>
      <x:c r="K2549" s="55" t="n">
        <x:v>360825000000</x:v>
      </x:c>
      <x:c r="L2549" s="55" t="n">
        <x:v>28300000</x:v>
      </x:c>
      <x:c r="M2549" t="str">
        <x:v>20240314001500</x:v>
      </x:c>
      <x:c r="N2549" t="n">
        <x:v>45365.624999988424</x:v>
      </x:c>
      <x:c r="O2549" s="54" t="n">
        <x:v>45291</x:v>
      </x:c>
      <x:c r="P2549" t="str">
        <x:v>False</x:v>
      </x:c>
      <x:c r="Q2549" t="str">
        <x:v>dac2e3ac15f544bbda785aa8eb802639cd592ddc9e7a28cdec0dd3b4739c8a6b</x:v>
      </x:c>
      <x:c r="R2549" t="str">
        <x:v>db36b92c2651e031285906040eb2a80ad276d6f76bc0778f25411e230780a42c</x:v>
      </x:c>
      <x:c r="S2549" t="n">
        <x:v>6</x:v>
      </x:c>
      <x:c r="T2549" t="str">
        <x:v>2013-12-31|2014-12-31|2015-12-31|2016-12-31|2017-12-31|2018-12-31|2019-12-31|2020-12-31|2021-12-31|2022-12-31|2023-12-31</x:v>
      </x:c>
      <x:c r="U2549" s="57" t="n">
        <x:v>1722.8460865310212</x:v>
      </x:c>
      <x:c r="V2549" s="57" t="n">
        <x:v>-0.864874816742665</x:v>
      </x:c>
      <x:c r="W2549"/>
      <x:c r="X2549"/>
      <x:c r="Y2549" s="38" t="n">
        <x:v>0.6409090909090909</x:v>
      </x:c>
      <x:c r="Z2549" s="38" t="n">
        <x:v>1.0528919898805427</x:v>
      </x:c>
      <x:c r="AA2549" t="str">
        <x:v>UNRELIABLE_TERMINAL_VALUE_SHARE</x:v>
      </x:c>
    </x:row>
    <x:row r="2550">
      <x:c r="A2550" s="54" t="n">
        <x:v>45382</x:v>
      </x:c>
      <x:c r="B2550" t="n">
        <x:v>45382.624999988424</x:v>
      </x:c>
      <x:c r="C2550" t="str">
        <x:v>001940</x:v>
      </x:c>
      <x:c r="D2550" t="str">
        <x:v>KISCO홀딩스</x:v>
      </x:c>
      <x:c r="E2550" t="str">
        <x:v>KOSPI</x:v>
      </x:c>
      <x:c r="F2550" t="str">
        <x:v>LARGE</x:v>
      </x:c>
      <x:c r="G2550" t="str">
        <x:v>EXCLUDED_ARCHETYPE</x:v>
      </x:c>
      <x:c r="H2550" t="str">
        <x:v>FCFF_NOT_COMPARABLE_FOR_FINANCE_OR_HOLDING_HINT</x:v>
      </x:c>
      <x:c r="I2550" s="54"/>
      <x:c r="J2550" s="55"/>
      <x:c r="K2550" s="55"/>
      <x:c r="L2550" s="55"/>
      <x:c r="M2550"/>
      <x:c r="N2550"/>
      <x:c r="O2550" s="54"/>
      <x:c r="P2550"/>
      <x:c r="Q2550"/>
      <x:c r="R2550"/>
      <x:c r="S2550"/>
      <x:c r="T2550"/>
      <x:c r="U2550" s="57"/>
      <x:c r="V2550" s="57"/>
      <x:c r="W2550"/>
      <x:c r="X2550"/>
      <x:c r="Y2550" s="38"/>
      <x:c r="Z2550" s="38"/>
      <x:c r="AA2550"/>
    </x:row>
    <x:row r="2551">
      <x:c r="A2551" s="54" t="n">
        <x:v>45382</x:v>
      </x:c>
      <x:c r="B2551" t="n">
        <x:v>45382.624999988424</x:v>
      </x:c>
      <x:c r="C2551" t="str">
        <x:v>009290</x:v>
      </x:c>
      <x:c r="D2551" t="str">
        <x:v>광동제약</x:v>
      </x:c>
      <x:c r="E2551" t="str">
        <x:v>KOSPI</x:v>
      </x:c>
      <x:c r="F2551" t="str">
        <x:v>LARGE</x:v>
      </x:c>
      <x:c r="G2551" t="str">
        <x:v>ELIGIBLE</x:v>
      </x:c>
      <x:c r="H2551"/>
      <x:c r="I2551" s="54" t="n">
        <x:v>45380</x:v>
      </x:c>
      <x:c r="J2551" s="55" t="n">
        <x:v>7270</x:v>
      </x:c>
      <x:c r="K2551" s="55" t="n">
        <x:v>381099586770</x:v>
      </x:c>
      <x:c r="L2551" s="55" t="n">
        <x:v>52420851</x:v>
      </x:c>
      <x:c r="M2551" t="str">
        <x:v>20240322001015</x:v>
      </x:c>
      <x:c r="N2551" t="n">
        <x:v>45373.624999988424</x:v>
      </x:c>
      <x:c r="O2551" s="54" t="n">
        <x:v>45291</x:v>
      </x:c>
      <x:c r="P2551" t="str">
        <x:v>True</x:v>
      </x:c>
      <x:c r="Q2551" t="str">
        <x:v>87b75add28c49abcf3770810120379fb304a6fd40cb56b9b7895bce718024b62</x:v>
      </x:c>
      <x:c r="R2551" t="str">
        <x:v>37698f7b518c5d2f77a2dc63dda3f15fbe7f6a11f5b09e52f0501e56895fcc80</x:v>
      </x:c>
      <x:c r="S2551" t="n">
        <x:v>5</x:v>
      </x:c>
      <x:c r="T2551" t="str">
        <x:v>2018-12-31|2019-12-31|2020-12-31|2021-12-31|2022-12-31|2023-12-31</x:v>
      </x:c>
      <x:c r="U2551" s="57" t="n">
        <x:v>7580.073710058031</x:v>
      </x:c>
      <x:c r="V2551" s="57" t="n">
        <x:v>0.04265112930646913</x:v>
      </x:c>
      <x:c r="W2551" t="n">
        <x:v>24</x:v>
      </x:c>
      <x:c r="X2551" t="n">
        <x:v>2</x:v>
      </x:c>
      <x:c r="Y2551" s="38" t="n">
        <x:v>0.6409090909090909</x:v>
      </x:c>
      <x:c r="Z2551" s="38" t="n">
        <x:v>0.7674803896685938</x:v>
      </x:c>
      <x:c r="AA2551"/>
    </x:row>
    <x:row r="2552">
      <x:c r="A2552" s="54" t="n">
        <x:v>45473</x:v>
      </x:c>
      <x:c r="B2552" t="n">
        <x:v>45473.624999988424</x:v>
      </x:c>
      <x:c r="C2552" t="str">
        <x:v>168330</x:v>
      </x:c>
      <x:c r="D2552" t="str">
        <x:v>내츄럴엔도텍</x:v>
      </x:c>
      <x:c r="E2552" t="str">
        <x:v>KOSDAQ</x:v>
      </x:c>
      <x:c r="F2552" t="str">
        <x:v>SMALL</x:v>
      </x:c>
      <x:c r="G2552" t="str">
        <x:v>DCF_SCREENING_EXCLUSION</x:v>
      </x:c>
      <x:c r="H2552" t="str">
        <x:v>NON_POSITIVE_ENTERPRISE_VALUE|NON_POSITIVE_EQUITY_VALUE|NON_POSITIVE_TERMINAL_FCF</x:v>
      </x:c>
      <x:c r="I2552" s="54" t="n">
        <x:v>45471</x:v>
      </x:c>
      <x:c r="J2552" s="55" t="n">
        <x:v>2060</x:v>
      </x:c>
      <x:c r="K2552" s="55" t="n">
        <x:v>65415094000</x:v>
      </x:c>
      <x:c r="L2552" s="55" t="n">
        <x:v>31754900</x:v>
      </x:c>
      <x:c r="M2552" t="str">
        <x:v>20240318000599</x:v>
      </x:c>
      <x:c r="N2552" t="n">
        <x:v>45369.624999988424</x:v>
      </x:c>
      <x:c r="O2552" s="54" t="n">
        <x:v>45291</x:v>
      </x:c>
      <x:c r="P2552" t="str">
        <x:v>False</x:v>
      </x:c>
      <x:c r="Q2552" t="str">
        <x:v>4fa251164b0aacb3fc138a27a33d305fc7a3e3df064752a5be6864a931f6f06a</x:v>
      </x:c>
      <x:c r="R2552" t="str">
        <x:v>3d056916cdae476728a9ccbad0ec65ac80571ddbe3975d4bfa67d228e765d90f</x:v>
      </x:c>
      <x:c r="S2552" t="n">
        <x:v>6</x:v>
      </x:c>
      <x:c r="T2552" t="str">
        <x:v>2018-12-31|2019-12-31|2020-12-31|2021-12-31|2022-12-31|2023-12-31</x:v>
      </x:c>
      <x:c r="U2552" s="57" t="n">
        <x:v>-1387.4112702245939</x:v>
      </x:c>
      <x:c r="V2552" s="57" t="n">
        <x:v>-1.6735006166138804</x:v>
      </x:c>
      <x:c r="W2552"/>
      <x:c r="X2552"/>
      <x:c r="Y2552" s="38" t="n">
        <x:v>0.6409090909090909</x:v>
      </x:c>
      <x:c r="Z2552" s="38" t="n">
        <x:v>0.6259064640355957</x:v>
      </x:c>
      <x:c r="AA2552" t="str">
        <x:v>NON_POSITIVE_ENTERPRISE_VALUE|NON_POSITIVE_EQUITY_VALUE|NON_POSITIVE_TERMINAL_FCF</x:v>
      </x:c>
    </x:row>
    <x:row r="2553">
      <x:c r="A2553" s="54" t="n">
        <x:v>45473</x:v>
      </x:c>
      <x:c r="B2553" t="n">
        <x:v>45473.624999988424</x:v>
      </x:c>
      <x:c r="C2553" t="str">
        <x:v>120240</x:v>
      </x:c>
      <x:c r="D2553" t="str">
        <x:v>대정화금</x:v>
      </x:c>
      <x:c r="E2553" t="str">
        <x:v>KOSDAQ</x:v>
      </x:c>
      <x:c r="F2553" t="str">
        <x:v>SMALL</x:v>
      </x:c>
      <x:c r="G2553" t="str">
        <x:v>ELIGIBLE</x:v>
      </x:c>
      <x:c r="H2553"/>
      <x:c r="I2553" s="54" t="n">
        <x:v>45471</x:v>
      </x:c>
      <x:c r="J2553" s="55" t="n">
        <x:v>16120</x:v>
      </x:c>
      <x:c r="K2553" s="55" t="n">
        <x:v>115909102920</x:v>
      </x:c>
      <x:c r="L2553" s="55" t="n">
        <x:v>7190391</x:v>
      </x:c>
      <x:c r="M2553" t="str">
        <x:v>20240318000183</x:v>
      </x:c>
      <x:c r="N2553" t="n">
        <x:v>45369.624999988424</x:v>
      </x:c>
      <x:c r="O2553" s="54" t="n">
        <x:v>45291</x:v>
      </x:c>
      <x:c r="P2553" t="str">
        <x:v>False</x:v>
      </x:c>
      <x:c r="Q2553" t="str">
        <x:v>ee9061ecc2184f5ffa9cafeb8d547bb939e07dc322d5305bb23d27935b0654ee</x:v>
      </x:c>
      <x:c r="R2553" t="str">
        <x:v>bdfaca464dabd525f3c40b0c3fb6656d68a1a62fc56ed1dffef99ad9bb103bd5</x:v>
      </x:c>
      <x:c r="S2553" t="n">
        <x:v>6</x:v>
      </x:c>
      <x:c r="T2553" t="str">
        <x:v>2018-12-31|2019-12-31|2020-12-31|2021-12-31|2022-12-31|2023-12-31</x:v>
      </x:c>
      <x:c r="U2553" s="57" t="n">
        <x:v>11081.692681164559</x:v>
      </x:c>
      <x:c r="V2553" s="57" t="n">
        <x:v>-0.312550081813613</x:v>
      </x:c>
      <x:c r="W2553" t="n">
        <x:v>37</x:v>
      </x:c>
      <x:c r="X2553" t="n">
        <x:v>3</x:v>
      </x:c>
      <x:c r="Y2553" s="38" t="n">
        <x:v>0.6409090909090909</x:v>
      </x:c>
      <x:c r="Z2553" s="38" t="n">
        <x:v>0.6416160125335774</x:v>
      </x:c>
      <x:c r="AA2553"/>
    </x:row>
    <x:row r="2554">
      <x:c r="A2554" s="54" t="n">
        <x:v>45473</x:v>
      </x:c>
      <x:c r="B2554" t="n">
        <x:v>45473.624999988424</x:v>
      </x:c>
      <x:c r="C2554" t="str">
        <x:v>348350</x:v>
      </x:c>
      <x:c r="D2554" t="str">
        <x:v>위드텍</x:v>
      </x:c>
      <x:c r="E2554" t="str">
        <x:v>KOSDAQ</x:v>
      </x:c>
      <x:c r="F2554" t="str">
        <x:v>SMALL</x:v>
      </x:c>
      <x:c r="G2554" t="str">
        <x:v>ELIGIBLE</x:v>
      </x:c>
      <x:c r="H2554"/>
      <x:c r="I2554" s="54" t="n">
        <x:v>45471</x:v>
      </x:c>
      <x:c r="J2554" s="55" t="n">
        <x:v>8300</x:v>
      </x:c>
      <x:c r="K2554" s="55" t="n">
        <x:v>84523880000</x:v>
      </x:c>
      <x:c r="L2554" s="55" t="n">
        <x:v>10183600</x:v>
      </x:c>
      <x:c r="M2554" t="str">
        <x:v>20240314001010</x:v>
      </x:c>
      <x:c r="N2554" t="n">
        <x:v>45365.624999988424</x:v>
      </x:c>
      <x:c r="O2554" s="54" t="n">
        <x:v>45291</x:v>
      </x:c>
      <x:c r="P2554" t="str">
        <x:v>False</x:v>
      </x:c>
      <x:c r="Q2554" t="str">
        <x:v>18669b64ffa0979069db23e52067c3a7cec7305f801c019c5022b42744ac1249</x:v>
      </x:c>
      <x:c r="R2554" t="str">
        <x:v>deb0d39bcc7fe95a30a375a9c85f7623be7001aed43e4375ed555448ec31f069</x:v>
      </x:c>
      <x:c r="S2554" t="n">
        <x:v>5</x:v>
      </x:c>
      <x:c r="T2554" t="str">
        <x:v>2020-12-31|2021-12-31|2022-12-31|2023-12-31</x:v>
      </x:c>
      <x:c r="U2554" s="57" t="n">
        <x:v>6954.599618410492</x:v>
      </x:c>
      <x:c r="V2554" s="57" t="n">
        <x:v>-0.1620964315168081</x:v>
      </x:c>
      <x:c r="W2554" t="n">
        <x:v>31</x:v>
      </x:c>
      <x:c r="X2554" t="n">
        <x:v>3</x:v>
      </x:c>
      <x:c r="Y2554" s="38" t="n">
        <x:v>0.6409090909090909</x:v>
      </x:c>
      <x:c r="Z2554" s="38" t="n">
        <x:v>0.7452893246512734</x:v>
      </x:c>
      <x:c r="AA2554"/>
    </x:row>
    <x:row r="2555">
      <x:c r="A2555" s="54" t="n">
        <x:v>45473</x:v>
      </x:c>
      <x:c r="B2555" t="n">
        <x:v>45473.624999988424</x:v>
      </x:c>
      <x:c r="C2555" t="str">
        <x:v>226330</x:v>
      </x:c>
      <x:c r="D2555" t="str">
        <x:v>신테카바이오</x:v>
      </x:c>
      <x:c r="E2555" t="str">
        <x:v>KOSDAQ</x:v>
      </x:c>
      <x:c r="F2555" t="str">
        <x:v>SMALL</x:v>
      </x:c>
      <x:c r="G2555" t="str">
        <x:v>DCF_SCREENING_EXCLUSION</x:v>
      </x:c>
      <x:c r="H2555" t="str">
        <x:v>NON_POSITIVE_ENTERPRISE_VALUE|NON_POSITIVE_TERMINAL_FCF</x:v>
      </x:c>
      <x:c r="I2555" s="54" t="n">
        <x:v>45471</x:v>
      </x:c>
      <x:c r="J2555" s="55" t="n">
        <x:v>6780</x:v>
      </x:c>
      <x:c r="K2555" s="55" t="n">
        <x:v>103452460500</x:v>
      </x:c>
      <x:c r="L2555" s="55" t="n">
        <x:v>15258475</x:v>
      </x:c>
      <x:c r="M2555" t="str">
        <x:v>20240321001041</x:v>
      </x:c>
      <x:c r="N2555" t="n">
        <x:v>45372.624999988424</x:v>
      </x:c>
      <x:c r="O2555" s="54" t="n">
        <x:v>45291</x:v>
      </x:c>
      <x:c r="P2555" t="str">
        <x:v>False</x:v>
      </x:c>
      <x:c r="Q2555" t="str">
        <x:v>bad5efd00c111df6ccebb801c0139cfe5244469ee254a76e5a773141efd9e1c4</x:v>
      </x:c>
      <x:c r="R2555" t="str">
        <x:v>5a79528793ce802284921caf55f02253c99bd70fb35ae04a2ffceeb9ac047c9b</x:v>
      </x:c>
      <x:c r="S2555" t="n">
        <x:v>5</x:v>
      </x:c>
      <x:c r="T2555" t="str">
        <x:v>2019-12-31|2020-12-31|2021-12-31|2022-12-31|2023-12-31</x:v>
      </x:c>
      <x:c r="U2555" s="57" t="n">
        <x:v>1158.4997809916385</x:v>
      </x:c>
      <x:c r="V2555" s="57" t="n">
        <x:v>-0.8291298258124427</x:v>
      </x:c>
      <x:c r="W2555"/>
      <x:c r="X2555"/>
      <x:c r="Y2555" s="38" t="n">
        <x:v>0.6409090909090909</x:v>
      </x:c>
      <x:c r="Z2555" s="38" t="n">
        <x:v>0.6095054406520231</x:v>
      </x:c>
      <x:c r="AA2555" t="str">
        <x:v>NON_POSITIVE_ENTERPRISE_VALUE|NON_POSITIVE_TERMINAL_FCF</x:v>
      </x:c>
    </x:row>
    <x:row r="2556">
      <x:c r="A2556" s="54" t="n">
        <x:v>45473</x:v>
      </x:c>
      <x:c r="B2556" t="n">
        <x:v>45473.624999988424</x:v>
      </x:c>
      <x:c r="C2556" t="str">
        <x:v>215090</x:v>
      </x:c>
      <x:c r="D2556" t="str">
        <x:v>솔디펜스</x:v>
      </x:c>
      <x:c r="E2556" t="str">
        <x:v>KOSDAQ</x:v>
      </x:c>
      <x:c r="F2556" t="str">
        <x:v>SMALL</x:v>
      </x:c>
      <x:c r="G2556" t="str">
        <x:v>DCF_SCREENING_EXCLUSION</x:v>
      </x:c>
      <x:c r="H2556" t="str">
        <x:v>NON_POSITIVE_ENTERPRISE_VALUE|NON_POSITIVE_EQUITY_VALUE|NON_POSITIVE_TERMINAL_FCF</x:v>
      </x:c>
      <x:c r="I2556" s="54" t="n">
        <x:v>45471</x:v>
      </x:c>
      <x:c r="J2556" s="55" t="n">
        <x:v>1505</x:v>
      </x:c>
      <x:c r="K2556" s="55" t="n">
        <x:v>132980225770</x:v>
      </x:c>
      <x:c r="L2556" s="55" t="n">
        <x:v>88358954</x:v>
      </x:c>
      <x:c r="M2556" t="str">
        <x:v>20240415000714</x:v>
      </x:c>
      <x:c r="N2556" t="n">
        <x:v>45397.624999988424</x:v>
      </x:c>
      <x:c r="O2556" s="54" t="n">
        <x:v>45291</x:v>
      </x:c>
      <x:c r="P2556" t="str">
        <x:v>True</x:v>
      </x:c>
      <x:c r="Q2556" t="str">
        <x:v>ed79e881fee897009f2ed9da23aa8dd0c2ea239877c01cbb78058f538dde6e9e</x:v>
      </x:c>
      <x:c r="R2556" t="str">
        <x:v>bcbdbd3f81006b3a8ecbf155a4ec7fef79f37f037c2bb6f28794749afef0f3de</x:v>
      </x:c>
      <x:c r="S2556" t="n">
        <x:v>5</x:v>
      </x:c>
      <x:c r="T2556" t="str">
        <x:v>2018-12-31|2019-12-31|2020-12-31|2021-12-31|2022-12-31|2023-12-31</x:v>
      </x:c>
      <x:c r="U2556" s="57" t="n">
        <x:v>-213.68012398875564</x:v>
      </x:c>
      <x:c r="V2556" s="57" t="n">
        <x:v>-1.1419801488297379</x:v>
      </x:c>
      <x:c r="W2556"/>
      <x:c r="X2556"/>
      <x:c r="Y2556" s="38" t="n">
        <x:v>0.6409090909090909</x:v>
      </x:c>
      <x:c r="Z2556" s="38" t="n">
        <x:v>0.6364349226079365</x:v>
      </x:c>
      <x:c r="AA2556" t="str">
        <x:v>NON_POSITIVE_ENTERPRISE_VALUE|NON_POSITIVE_EQUITY_VALUE|NON_POSITIVE_TERMINAL_FCF</x:v>
      </x:c>
    </x:row>
    <x:row r="2557">
      <x:c r="A2557" s="54" t="n">
        <x:v>45473</x:v>
      </x:c>
      <x:c r="B2557" t="n">
        <x:v>45473.624999988424</x:v>
      </x:c>
      <x:c r="C2557" t="str">
        <x:v>185490</x:v>
      </x:c>
      <x:c r="D2557" t="str">
        <x:v>아이진</x:v>
      </x:c>
      <x:c r="E2557" t="str">
        <x:v>KOSDAQ</x:v>
      </x:c>
      <x:c r="F2557" t="str">
        <x:v>SMALL</x:v>
      </x:c>
      <x:c r="G2557" t="str">
        <x:v>DCF_SCREENING_EXCLUSION</x:v>
      </x:c>
      <x:c r="H2557" t="str">
        <x:v>NON_POSITIVE_ENTERPRISE_VALUE|NON_POSITIVE_EQUITY_VALUE|NON_POSITIVE_TERMINAL_FCF</x:v>
      </x:c>
      <x:c r="I2557" s="54" t="n">
        <x:v>45471</x:v>
      </x:c>
      <x:c r="J2557" s="55" t="n">
        <x:v>2780</x:v>
      </x:c>
      <x:c r="K2557" s="55" t="n">
        <x:v>75142799520</x:v>
      </x:c>
      <x:c r="L2557" s="55" t="n">
        <x:v>27029784</x:v>
      </x:c>
      <x:c r="M2557" t="str">
        <x:v>20240318000944</x:v>
      </x:c>
      <x:c r="N2557" t="n">
        <x:v>45369.624999988424</x:v>
      </x:c>
      <x:c r="O2557" s="54" t="n">
        <x:v>45291</x:v>
      </x:c>
      <x:c r="P2557" t="str">
        <x:v>False</x:v>
      </x:c>
      <x:c r="Q2557" t="str">
        <x:v>5dca0e159137a1ac9a2f0a40e7309a2e20da80f93d5226b700daae33e4d494ea</x:v>
      </x:c>
      <x:c r="R2557" t="str">
        <x:v>6ce2626bb378618bfd19c458143e9c9b3b6c0fdd98e43c3f8dfe384a387d1d3b</x:v>
      </x:c>
      <x:c r="S2557" t="n">
        <x:v>6</x:v>
      </x:c>
      <x:c r="T2557" t="str">
        <x:v>2018-12-31|2019-12-31|2020-12-31|2021-12-31|2022-12-31|2023-12-31</x:v>
      </x:c>
      <x:c r="U2557" s="57" t="n">
        <x:v>-25.227797738886608</x:v>
      </x:c>
      <x:c r="V2557" s="57" t="n">
        <x:v>-1.0090747473880888</x:v>
      </x:c>
      <x:c r="W2557"/>
      <x:c r="X2557"/>
      <x:c r="Y2557" s="38" t="n">
        <x:v>0.6409090909090909</x:v>
      </x:c>
      <x:c r="Z2557" s="38" t="n">
        <x:v>0.6188730723228777</x:v>
      </x:c>
      <x:c r="AA2557" t="str">
        <x:v>NON_POSITIVE_ENTERPRISE_VALUE|NON_POSITIVE_EQUITY_VALUE|NON_POSITIVE_TERMINAL_FCF</x:v>
      </x:c>
    </x:row>
    <x:row r="2558">
      <x:c r="A2558" s="54" t="n">
        <x:v>45473</x:v>
      </x:c>
      <x:c r="B2558" t="n">
        <x:v>45473.624999988424</x:v>
      </x:c>
      <x:c r="C2558" t="str">
        <x:v>333620</x:v>
      </x:c>
      <x:c r="D2558" t="str">
        <x:v>엔시스</x:v>
      </x:c>
      <x:c r="E2558" t="str">
        <x:v>KOSDAQ</x:v>
      </x:c>
      <x:c r="F2558" t="str">
        <x:v>SMALL</x:v>
      </x:c>
      <x:c r="G2558" t="str">
        <x:v>DCF_SCREENING_EXCLUSION</x:v>
      </x:c>
      <x:c r="H2558" t="str">
        <x:v>UNRELIABLE_TERMINAL_VALUE_SHARE</x:v>
      </x:c>
      <x:c r="I2558" s="54" t="n">
        <x:v>45471</x:v>
      </x:c>
      <x:c r="J2558" s="55" t="n">
        <x:v>10430</x:v>
      </x:c>
      <x:c r="K2558" s="55" t="n">
        <x:v>110102667920</x:v>
      </x:c>
      <x:c r="L2558" s="55" t="n">
        <x:v>10556344</x:v>
      </x:c>
      <x:c r="M2558" t="str">
        <x:v>20240321000028</x:v>
      </x:c>
      <x:c r="N2558" t="n">
        <x:v>45372.624999988424</x:v>
      </x:c>
      <x:c r="O2558" s="54" t="n">
        <x:v>45291</x:v>
      </x:c>
      <x:c r="P2558" t="str">
        <x:v>False</x:v>
      </x:c>
      <x:c r="Q2558" t="str">
        <x:v>59d5b29754935c3efa537406fd81fc9a2ed98a0101392eff91ccbcf4ae3b0d31</x:v>
      </x:c>
      <x:c r="R2558" t="str">
        <x:v>f3a169c6ea830e9174ff2297360aaaac8653e943617c473506eba3f52cabd37a</x:v>
      </x:c>
      <x:c r="S2558" t="n">
        <x:v>6</x:v>
      </x:c>
      <x:c r="T2558" t="str">
        <x:v>2020-12-31|2021-12-31|2022-12-31|2023-12-31</x:v>
      </x:c>
      <x:c r="U2558" s="57" t="n">
        <x:v>3436.8721938846274</x:v>
      </x:c>
      <x:c r="V2558" s="57" t="n">
        <x:v>-0.6704820523600549</x:v>
      </x:c>
      <x:c r="W2558"/>
      <x:c r="X2558"/>
      <x:c r="Y2558" s="38" t="n">
        <x:v>0.6409090909090909</x:v>
      </x:c>
      <x:c r="Z2558" s="38" t="n">
        <x:v>0.8985172886190933</x:v>
      </x:c>
      <x:c r="AA2558" t="str">
        <x:v>UNRELIABLE_TERMINAL_VALUE_SHARE</x:v>
      </x:c>
    </x:row>
    <x:row r="2559">
      <x:c r="A2559" s="54" t="n">
        <x:v>45473</x:v>
      </x:c>
      <x:c r="B2559" t="n">
        <x:v>45473.624999988424</x:v>
      </x:c>
      <x:c r="C2559" t="str">
        <x:v>036710</x:v>
      </x:c>
      <x:c r="D2559" t="str">
        <x:v>심텍홀딩스</x:v>
      </x:c>
      <x:c r="E2559" t="str">
        <x:v>KOSDAQ</x:v>
      </x:c>
      <x:c r="F2559" t="str">
        <x:v>SMALL</x:v>
      </x:c>
      <x:c r="G2559" t="str">
        <x:v>EXCLUDED_ARCHETYPE</x:v>
      </x:c>
      <x:c r="H2559" t="str">
        <x:v>FCFF_NOT_COMPARABLE_FOR_FINANCE_OR_HOLDING_HINT</x:v>
      </x:c>
      <x:c r="I2559" s="54"/>
      <x:c r="J2559" s="55"/>
      <x:c r="K2559" s="55"/>
      <x:c r="L2559" s="55"/>
      <x:c r="M2559"/>
      <x:c r="N2559"/>
      <x:c r="O2559" s="54"/>
      <x:c r="P2559"/>
      <x:c r="Q2559"/>
      <x:c r="R2559"/>
      <x:c r="S2559"/>
      <x:c r="T2559"/>
      <x:c r="U2559" s="57"/>
      <x:c r="V2559" s="57"/>
      <x:c r="W2559"/>
      <x:c r="X2559"/>
      <x:c r="Y2559" s="38"/>
      <x:c r="Z2559" s="38"/>
      <x:c r="AA2559"/>
    </x:row>
    <x:row r="2560">
      <x:c r="A2560" s="54" t="n">
        <x:v>45473</x:v>
      </x:c>
      <x:c r="B2560" t="n">
        <x:v>45473.624999988424</x:v>
      </x:c>
      <x:c r="C2560" t="str">
        <x:v>049480</x:v>
      </x:c>
      <x:c r="D2560" t="str">
        <x:v>오픈베이스</x:v>
      </x:c>
      <x:c r="E2560" t="str">
        <x:v>KOSDAQ</x:v>
      </x:c>
      <x:c r="F2560" t="str">
        <x:v>SMALL</x:v>
      </x:c>
      <x:c r="G2560" t="str">
        <x:v>ELIGIBLE</x:v>
      </x:c>
      <x:c r="H2560"/>
      <x:c r="I2560" s="54" t="n">
        <x:v>45471</x:v>
      </x:c>
      <x:c r="J2560" s="55" t="n">
        <x:v>2390</x:v>
      </x:c>
      <x:c r="K2560" s="55" t="n">
        <x:v>75099495370</x:v>
      </x:c>
      <x:c r="L2560" s="55" t="n">
        <x:v>31422383</x:v>
      </x:c>
      <x:c r="M2560" t="str">
        <x:v>20240314001586</x:v>
      </x:c>
      <x:c r="N2560" t="n">
        <x:v>45365.624999988424</x:v>
      </x:c>
      <x:c r="O2560" s="54" t="n">
        <x:v>45291</x:v>
      </x:c>
      <x:c r="P2560" t="str">
        <x:v>False</x:v>
      </x:c>
      <x:c r="Q2560" t="str">
        <x:v>7c465215c77c780bcfac72de57b0d0786225878c1b042a05fa1731330cf39f32</x:v>
      </x:c>
      <x:c r="R2560" t="str">
        <x:v>88657441795cabc4b73e20f6f210f2d10fb456db0228c3846373e4e8abeaad42</x:v>
      </x:c>
      <x:c r="S2560" t="n">
        <x:v>6</x:v>
      </x:c>
      <x:c r="T2560" t="str">
        <x:v>2018-12-31|2019-12-31|2020-12-31|2021-12-31|2022-12-31|2023-12-31</x:v>
      </x:c>
      <x:c r="U2560" s="57" t="n">
        <x:v>1890.3967455429677</x:v>
      </x:c>
      <x:c r="V2560" s="57" t="n">
        <x:v>-0.20903901860126875</x:v>
      </x:c>
      <x:c r="W2560" t="n">
        <x:v>34</x:v>
      </x:c>
      <x:c r="X2560" t="n">
        <x:v>3</x:v>
      </x:c>
      <x:c r="Y2560" s="38" t="n">
        <x:v>0.6409090909090909</x:v>
      </x:c>
      <x:c r="Z2560" s="38" t="n">
        <x:v>0.6040784164110028</x:v>
      </x:c>
      <x:c r="AA2560"/>
    </x:row>
    <x:row r="2561">
      <x:c r="A2561" s="54" t="n">
        <x:v>45473</x:v>
      </x:c>
      <x:c r="B2561" t="n">
        <x:v>45473.624999988424</x:v>
      </x:c>
      <x:c r="C2561" t="str">
        <x:v>302430</x:v>
      </x:c>
      <x:c r="D2561" t="str">
        <x:v>이노메트리</x:v>
      </x:c>
      <x:c r="E2561" t="str">
        <x:v>KOSDAQ</x:v>
      </x:c>
      <x:c r="F2561" t="str">
        <x:v>SMALL</x:v>
      </x:c>
      <x:c r="G2561" t="str">
        <x:v>ELIGIBLE</x:v>
      </x:c>
      <x:c r="H2561"/>
      <x:c r="I2561" s="54" t="n">
        <x:v>45471</x:v>
      </x:c>
      <x:c r="J2561" s="55" t="n">
        <x:v>10570</x:v>
      </x:c>
      <x:c r="K2561" s="55" t="n">
        <x:v>103937008560</x:v>
      </x:c>
      <x:c r="L2561" s="55" t="n">
        <x:v>9833208</x:v>
      </x:c>
      <x:c r="M2561" t="str">
        <x:v>20240320000351</x:v>
      </x:c>
      <x:c r="N2561" t="n">
        <x:v>45371.624999988424</x:v>
      </x:c>
      <x:c r="O2561" s="54" t="n">
        <x:v>45291</x:v>
      </x:c>
      <x:c r="P2561" t="str">
        <x:v>False</x:v>
      </x:c>
      <x:c r="Q2561" t="str">
        <x:v>3d073284ffe5f19052504d111461eb4d55b92d01aba61975376c9ba020694952</x:v>
      </x:c>
      <x:c r="R2561" t="str">
        <x:v>23206e8ecaed341831a36804ce06dec70cfc5088ba25697fd87828cd889d48dc</x:v>
      </x:c>
      <x:c r="S2561" t="n">
        <x:v>6</x:v>
      </x:c>
      <x:c r="T2561" t="str">
        <x:v>2018-12-31|2019-12-31|2020-12-31|2021-12-31|2022-12-31|2023-12-31</x:v>
      </x:c>
      <x:c r="U2561" s="57" t="n">
        <x:v>5350.0573635192295</x:v>
      </x:c>
      <x:c r="V2561" s="57" t="n">
        <x:v>-0.4938450933283605</x:v>
      </x:c>
      <x:c r="W2561" t="n">
        <x:v>42</x:v>
      </x:c>
      <x:c r="X2561" t="n">
        <x:v>4</x:v>
      </x:c>
      <x:c r="Y2561" s="38" t="n">
        <x:v>0.6409090909090909</x:v>
      </x:c>
      <x:c r="Z2561" s="38" t="n">
        <x:v>0.5867649671582864</x:v>
      </x:c>
      <x:c r="AA2561"/>
    </x:row>
    <x:row r="2562">
      <x:c r="A2562" s="54" t="n">
        <x:v>45473</x:v>
      </x:c>
      <x:c r="B2562" t="n">
        <x:v>45473.624999988424</x:v>
      </x:c>
      <x:c r="C2562" t="str">
        <x:v>288620</x:v>
      </x:c>
      <x:c r="D2562" t="str">
        <x:v>에스퓨얼셀</x:v>
      </x:c>
      <x:c r="E2562" t="str">
        <x:v>KOSDAQ</x:v>
      </x:c>
      <x:c r="F2562" t="str">
        <x:v>SMALL</x:v>
      </x:c>
      <x:c r="G2562" t="str">
        <x:v>DCF_SCREENING_EXCLUSION</x:v>
      </x:c>
      <x:c r="H2562" t="str">
        <x:v>NON_POSITIVE_ENTERPRISE_VALUE|NON_POSITIVE_EQUITY_VALUE|UNRELIABLE_TERMINAL_VALUE_SHARE</x:v>
      </x:c>
      <x:c r="I2562" s="54" t="n">
        <x:v>45471</x:v>
      </x:c>
      <x:c r="J2562" s="55" t="n">
        <x:v>15460</x:v>
      </x:c>
      <x:c r="K2562" s="55" t="n">
        <x:v>107900225360</x:v>
      </x:c>
      <x:c r="L2562" s="55" t="n">
        <x:v>6979316</x:v>
      </x:c>
      <x:c r="M2562" t="str">
        <x:v>20240314001281</x:v>
      </x:c>
      <x:c r="N2562" t="n">
        <x:v>45365.624999988424</x:v>
      </x:c>
      <x:c r="O2562" s="54" t="n">
        <x:v>45291</x:v>
      </x:c>
      <x:c r="P2562" t="str">
        <x:v>False</x:v>
      </x:c>
      <x:c r="Q2562" t="str">
        <x:v>2d9469f5ad05e376cb8bd2ba443aa19537cb1c0730a9932abcfb316261474580</x:v>
      </x:c>
      <x:c r="R2562" t="str">
        <x:v>88ee9206ffacc6c5d4a5b7f7ce030562931dd8ec03073ee298f2c6ff7904c954</x:v>
      </x:c>
      <x:c r="S2562" t="n">
        <x:v>6</x:v>
      </x:c>
      <x:c r="T2562" t="str">
        <x:v>2018-12-31|2019-12-31|2020-12-31|2021-12-31|2022-12-31|2023-12-31</x:v>
      </x:c>
      <x:c r="U2562" s="57" t="n">
        <x:v>-4893.456812150588</x:v>
      </x:c>
      <x:c r="V2562" s="57" t="n">
        <x:v>-1.3165237265297922</x:v>
      </x:c>
      <x:c r="W2562"/>
      <x:c r="X2562"/>
      <x:c r="Y2562" s="38" t="n">
        <x:v>0.6409090909090909</x:v>
      </x:c>
      <x:c r="Z2562" s="38" t="n">
        <x:v>-10.353414340518622</x:v>
      </x:c>
      <x:c r="AA2562" t="str">
        <x:v>NON_POSITIVE_ENTERPRISE_VALUE|NON_POSITIVE_EQUITY_VALUE|UNRELIABLE_TERMINAL_VALUE_SHARE</x:v>
      </x:c>
    </x:row>
    <x:row r="2563">
      <x:c r="A2563" s="54" t="n">
        <x:v>45473</x:v>
      </x:c>
      <x:c r="B2563" t="n">
        <x:v>45473.624999988424</x:v>
      </x:c>
      <x:c r="C2563" t="str">
        <x:v>094840</x:v>
      </x:c>
      <x:c r="D2563" t="str">
        <x:v>슈프리마에이치큐</x:v>
      </x:c>
      <x:c r="E2563" t="str">
        <x:v>KOSDAQ</x:v>
      </x:c>
      <x:c r="F2563" t="str">
        <x:v>SMALL</x:v>
      </x:c>
      <x:c r="G2563" t="str">
        <x:v>DCF_SCREENING_EXCLUSION</x:v>
      </x:c>
      <x:c r="H2563" t="str">
        <x:v>UNRELIABLE_TERMINAL_VALUE_SHARE</x:v>
      </x:c>
      <x:c r="I2563" s="54" t="n">
        <x:v>45471</x:v>
      </x:c>
      <x:c r="J2563" s="55" t="n">
        <x:v>6830</x:v>
      </x:c>
      <x:c r="K2563" s="55" t="n">
        <x:v>71522667200</x:v>
      </x:c>
      <x:c r="L2563" s="55" t="n">
        <x:v>10471840</x:v>
      </x:c>
      <x:c r="M2563" t="str">
        <x:v>20240318000708</x:v>
      </x:c>
      <x:c r="N2563" t="n">
        <x:v>45369.624999988424</x:v>
      </x:c>
      <x:c r="O2563" s="54" t="n">
        <x:v>45291</x:v>
      </x:c>
      <x:c r="P2563" t="str">
        <x:v>False</x:v>
      </x:c>
      <x:c r="Q2563" t="str">
        <x:v>e5f523177c415af344f13546f5a1f5ffadf000a1059276f7fd11b0e755af39df</x:v>
      </x:c>
      <x:c r="R2563" t="str">
        <x:v>9c9f4500e74103a8961495af3e444ab49dc7d6f3990fabd6cff27fea7ce91ed1</x:v>
      </x:c>
      <x:c r="S2563" t="n">
        <x:v>6</x:v>
      </x:c>
      <x:c r="T2563" t="str">
        <x:v>2018-12-31|2019-12-31|2020-12-31|2021-12-31|2022-12-31|2023-12-31</x:v>
      </x:c>
      <x:c r="U2563" s="57" t="n">
        <x:v>3395.867702926231</x:v>
      </x:c>
      <x:c r="V2563" s="57" t="n">
        <x:v>-0.502801214798502</x:v>
      </x:c>
      <x:c r="W2563"/>
      <x:c r="X2563"/>
      <x:c r="Y2563" s="38" t="n">
        <x:v>0.6409090909090909</x:v>
      </x:c>
      <x:c r="Z2563" s="38" t="n">
        <x:v>1.0239514067639839</x:v>
      </x:c>
      <x:c r="AA2563" t="str">
        <x:v>UNRELIABLE_TERMINAL_VALUE_SHARE</x:v>
      </x:c>
    </x:row>
    <x:row r="2564">
      <x:c r="A2564" s="54" t="n">
        <x:v>45473</x:v>
      </x:c>
      <x:c r="B2564" t="n">
        <x:v>45473.624999988424</x:v>
      </x:c>
      <x:c r="C2564" t="str">
        <x:v>019990</x:v>
      </x:c>
      <x:c r="D2564" t="str">
        <x:v>에너토크</x:v>
      </x:c>
      <x:c r="E2564" t="str">
        <x:v>KOSDAQ</x:v>
      </x:c>
      <x:c r="F2564" t="str">
        <x:v>SMALL</x:v>
      </x:c>
      <x:c r="G2564" t="str">
        <x:v>DCF_SCREENING_EXCLUSION</x:v>
      </x:c>
      <x:c r="H2564" t="str">
        <x:v>NON_POSITIVE_ENTERPRISE_VALUE|NON_POSITIVE_TERMINAL_FCF</x:v>
      </x:c>
      <x:c r="I2564" s="54" t="n">
        <x:v>45471</x:v>
      </x:c>
      <x:c r="J2564" s="55" t="n">
        <x:v>7760</x:v>
      </x:c>
      <x:c r="K2564" s="55" t="n">
        <x:v>75707242880</x:v>
      </x:c>
      <x:c r="L2564" s="55" t="n">
        <x:v>9756088</x:v>
      </x:c>
      <x:c r="M2564" t="str">
        <x:v>20240321000627</x:v>
      </x:c>
      <x:c r="N2564" t="n">
        <x:v>45372.624999988424</x:v>
      </x:c>
      <x:c r="O2564" s="54" t="n">
        <x:v>45291</x:v>
      </x:c>
      <x:c r="P2564" t="str">
        <x:v>False</x:v>
      </x:c>
      <x:c r="Q2564" t="str">
        <x:v>5acac5a331b342db9901d2784b2bee6fd1c9f8c46b5d641c1d73d1e72c01d923</x:v>
      </x:c>
      <x:c r="R2564" t="str">
        <x:v>85eae463fc3f2386067cd4632f9fefbcf873ac3c43379cf42ad3558029c0ee0c</x:v>
      </x:c>
      <x:c r="S2564" t="n">
        <x:v>6</x:v>
      </x:c>
      <x:c r="T2564" t="str">
        <x:v>2018-12-31|2019-12-31|2020-12-31|2021-12-31|2022-12-31|2023-12-31</x:v>
      </x:c>
      <x:c r="U2564" s="57" t="n">
        <x:v>137.57773993768473</x:v>
      </x:c>
      <x:c r="V2564" s="57" t="n">
        <x:v>-0.9822709098018447</x:v>
      </x:c>
      <x:c r="W2564"/>
      <x:c r="X2564"/>
      <x:c r="Y2564" s="38" t="n">
        <x:v>0.6409090909090909</x:v>
      </x:c>
      <x:c r="Z2564" s="38" t="n">
        <x:v>0.176221162582711</x:v>
      </x:c>
      <x:c r="AA2564" t="str">
        <x:v>NON_POSITIVE_ENTERPRISE_VALUE|NON_POSITIVE_TERMINAL_FCF</x:v>
      </x:c>
    </x:row>
    <x:row r="2565">
      <x:c r="A2565" s="54" t="n">
        <x:v>45473</x:v>
      </x:c>
      <x:c r="B2565" t="n">
        <x:v>45473.624999988424</x:v>
      </x:c>
      <x:c r="C2565" t="str">
        <x:v>024740</x:v>
      </x:c>
      <x:c r="D2565" t="str">
        <x:v>한일단조</x:v>
      </x:c>
      <x:c r="E2565" t="str">
        <x:v>KOSDAQ</x:v>
      </x:c>
      <x:c r="F2565" t="str">
        <x:v>SMALL</x:v>
      </x:c>
      <x:c r="G2565" t="str">
        <x:v>DCF_SCREENING_EXCLUSION</x:v>
      </x:c>
      <x:c r="H2565" t="str">
        <x:v>NON_POSITIVE_EQUITY_VALUE</x:v>
      </x:c>
      <x:c r="I2565" s="54" t="n">
        <x:v>45471</x:v>
      </x:c>
      <x:c r="J2565" s="55" t="n">
        <x:v>2260</x:v>
      </x:c>
      <x:c r="K2565" s="55" t="n">
        <x:v>71263553960</x:v>
      </x:c>
      <x:c r="L2565" s="55" t="n">
        <x:v>31532546</x:v>
      </x:c>
      <x:c r="M2565" t="str">
        <x:v>20240320000786</x:v>
      </x:c>
      <x:c r="N2565" t="n">
        <x:v>45371.624999988424</x:v>
      </x:c>
      <x:c r="O2565" s="54" t="n">
        <x:v>45291</x:v>
      </x:c>
      <x:c r="P2565" t="str">
        <x:v>False</x:v>
      </x:c>
      <x:c r="Q2565" t="str">
        <x:v>abf92710b391b70a6847627e0266a7b119d3df48dde6e252b34a1123f881e9ff</x:v>
      </x:c>
      <x:c r="R2565" t="str">
        <x:v>43b0009358c6931fa9d33fd957a192eb10c4b18055d193c0d4ab367152e3ac27</x:v>
      </x:c>
      <x:c r="S2565" t="n">
        <x:v>7</x:v>
      </x:c>
      <x:c r="T2565" t="str">
        <x:v>2018-12-31|2019-12-31|2020-12-31|2021-12-31|2022-12-31|2023-12-31</x:v>
      </x:c>
      <x:c r="U2565" s="57" t="n">
        <x:v>-344.52523221887634</x:v>
      </x:c>
      <x:c r="V2565" s="57" t="n">
        <x:v>-1.152444793017202</x:v>
      </x:c>
      <x:c r="W2565"/>
      <x:c r="X2565"/>
      <x:c r="Y2565" s="38" t="n">
        <x:v>0.6409090909090909</x:v>
      </x:c>
      <x:c r="Z2565" s="38" t="n">
        <x:v>0.3525412604122592</x:v>
      </x:c>
      <x:c r="AA2565" t="str">
        <x:v>NON_POSITIVE_EQUITY_VALUE</x:v>
      </x:c>
    </x:row>
    <x:row r="2566">
      <x:c r="A2566" s="54" t="n">
        <x:v>45473</x:v>
      </x:c>
      <x:c r="B2566" t="n">
        <x:v>45473.624999988424</x:v>
      </x:c>
      <x:c r="C2566" t="str">
        <x:v>340930</x:v>
      </x:c>
      <x:c r="D2566" t="str">
        <x:v>유일에너테크</x:v>
      </x:c>
      <x:c r="E2566" t="str">
        <x:v>KOSDAQ</x:v>
      </x:c>
      <x:c r="F2566" t="str">
        <x:v>SMALL</x:v>
      </x:c>
      <x:c r="G2566" t="str">
        <x:v>DCF_SCREENING_EXCLUSION</x:v>
      </x:c>
      <x:c r="H2566" t="str">
        <x:v>NON_POSITIVE_ENTERPRISE_VALUE|NON_POSITIVE_EQUITY_VALUE|NON_POSITIVE_TERMINAL_FCF</x:v>
      </x:c>
      <x:c r="I2566" s="54" t="n">
        <x:v>45471</x:v>
      </x:c>
      <x:c r="J2566" s="55" t="n">
        <x:v>3225</x:v>
      </x:c>
      <x:c r="K2566" s="55" t="n">
        <x:v>110309351250</x:v>
      </x:c>
      <x:c r="L2566" s="55" t="n">
        <x:v>34204450</x:v>
      </x:c>
      <x:c r="M2566" t="str">
        <x:v>20240325000002</x:v>
      </x:c>
      <x:c r="N2566" t="n">
        <x:v>45376.624999988424</x:v>
      </x:c>
      <x:c r="O2566" s="54" t="n">
        <x:v>45291</x:v>
      </x:c>
      <x:c r="P2566" t="str">
        <x:v>False</x:v>
      </x:c>
      <x:c r="Q2566" t="str">
        <x:v>784624e7ef23def4f37e0b9e107251b7f2d3a5b3185236d2b503d1c847593ebc</x:v>
      </x:c>
      <x:c r="R2566" t="str">
        <x:v>ab6bfb609b4fb30f6172a0ccde23215fd17119f6568f6b2f2f9fa326f659a10d</x:v>
      </x:c>
      <x:c r="S2566" t="n">
        <x:v>7</x:v>
      </x:c>
      <x:c r="T2566" t="str">
        <x:v>2020-12-31|2021-12-31|2022-12-31|2023-12-31</x:v>
      </x:c>
      <x:c r="U2566" s="57" t="n">
        <x:v>-3054.871582697284</x:v>
      </x:c>
      <x:c r="V2566" s="57" t="n">
        <x:v>-1.9472470023867547</x:v>
      </x:c>
      <x:c r="W2566"/>
      <x:c r="X2566"/>
      <x:c r="Y2566" s="38" t="n">
        <x:v>0.6409090909090909</x:v>
      </x:c>
      <x:c r="Z2566" s="38" t="n">
        <x:v>0.6320982637210726</x:v>
      </x:c>
      <x:c r="AA2566" t="str">
        <x:v>NON_POSITIVE_ENTERPRISE_VALUE|NON_POSITIVE_EQUITY_VALUE|NON_POSITIVE_TERMINAL_FCF</x:v>
      </x:c>
    </x:row>
    <x:row r="2567">
      <x:c r="A2567" s="54" t="n">
        <x:v>45473</x:v>
      </x:c>
      <x:c r="B2567" t="n">
        <x:v>45473.624999988424</x:v>
      </x:c>
      <x:c r="C2567" t="str">
        <x:v>057030</x:v>
      </x:c>
      <x:c r="D2567" t="str">
        <x:v>YBM넷</x:v>
      </x:c>
      <x:c r="E2567" t="str">
        <x:v>KOSDAQ</x:v>
      </x:c>
      <x:c r="F2567" t="str">
        <x:v>SMALL</x:v>
      </x:c>
      <x:c r="G2567" t="str">
        <x:v>ELIGIBLE</x:v>
      </x:c>
      <x:c r="H2567"/>
      <x:c r="I2567" s="54" t="n">
        <x:v>45471</x:v>
      </x:c>
      <x:c r="J2567" s="55" t="n">
        <x:v>3665</x:v>
      </x:c>
      <x:c r="K2567" s="55" t="n">
        <x:v>59786034505</x:v>
      </x:c>
      <x:c r="L2567" s="55" t="n">
        <x:v>16312697</x:v>
      </x:c>
      <x:c r="M2567" t="str">
        <x:v>20240321001738</x:v>
      </x:c>
      <x:c r="N2567" t="n">
        <x:v>45372.624999988424</x:v>
      </x:c>
      <x:c r="O2567" s="54" t="n">
        <x:v>45291</x:v>
      </x:c>
      <x:c r="P2567" t="str">
        <x:v>False</x:v>
      </x:c>
      <x:c r="Q2567" t="str">
        <x:v>8147d8f24082e8860082882319e3c620bc56cbc015545fbdf694727bc4b16c0d</x:v>
      </x:c>
      <x:c r="R2567" t="str">
        <x:v>69e0556f12206fbecd7d25ad321a7ee918a3653aaab923ed13c8686e2704463f</x:v>
      </x:c>
      <x:c r="S2567" t="n">
        <x:v>6</x:v>
      </x:c>
      <x:c r="T2567" t="str">
        <x:v>2018-12-31|2019-12-31|2020-12-31|2021-12-31|2022-12-31|2023-12-31</x:v>
      </x:c>
      <x:c r="U2567" s="57" t="n">
        <x:v>1994.9348267885857</x:v>
      </x:c>
      <x:c r="V2567" s="57" t="n">
        <x:v>-0.4556794469881076</x:v>
      </x:c>
      <x:c r="W2567" t="n">
        <x:v>40</x:v>
      </x:c>
      <x:c r="X2567" t="n">
        <x:v>3</x:v>
      </x:c>
      <x:c r="Y2567" s="38" t="n">
        <x:v>0.6409090909090909</x:v>
      </x:c>
      <x:c r="Z2567" s="38" t="n">
        <x:v>0.5369789741982043</x:v>
      </x:c>
      <x:c r="AA2567"/>
    </x:row>
    <x:row r="2568">
      <x:c r="A2568" s="54" t="n">
        <x:v>45473</x:v>
      </x:c>
      <x:c r="B2568" t="n">
        <x:v>45473.624999988424</x:v>
      </x:c>
      <x:c r="C2568" t="str">
        <x:v>053160</x:v>
      </x:c>
      <x:c r="D2568" t="str">
        <x:v>프리엠스</x:v>
      </x:c>
      <x:c r="E2568" t="str">
        <x:v>KOSDAQ</x:v>
      </x:c>
      <x:c r="F2568" t="str">
        <x:v>SMALL</x:v>
      </x:c>
      <x:c r="G2568" t="str">
        <x:v>ELIGIBLE</x:v>
      </x:c>
      <x:c r="H2568"/>
      <x:c r="I2568" s="54" t="n">
        <x:v>45471</x:v>
      </x:c>
      <x:c r="J2568" s="55" t="n">
        <x:v>9530</x:v>
      </x:c>
      <x:c r="K2568" s="55" t="n">
        <x:v>57180000000</x:v>
      </x:c>
      <x:c r="L2568" s="55" t="n">
        <x:v>6000000</x:v>
      </x:c>
      <x:c r="M2568" t="str">
        <x:v>20240318000760</x:v>
      </x:c>
      <x:c r="N2568" t="n">
        <x:v>45369.624999988424</x:v>
      </x:c>
      <x:c r="O2568" s="54" t="n">
        <x:v>45291</x:v>
      </x:c>
      <x:c r="P2568" t="str">
        <x:v>False</x:v>
      </x:c>
      <x:c r="Q2568" t="str">
        <x:v>2857aa5920fe847db222f777826b59d57097213d3f796faa767f453fc53f1e57</x:v>
      </x:c>
      <x:c r="R2568" t="str">
        <x:v>1112bb16686f089f6e921fe155e2e6ac56290cfb085da3d42ea24c8347739b21</x:v>
      </x:c>
      <x:c r="S2568" t="n">
        <x:v>7</x:v>
      </x:c>
      <x:c r="T2568" t="str">
        <x:v>2018-12-31|2019-12-31|2020-12-31|2021-12-31|2022-12-31|2023-12-31</x:v>
      </x:c>
      <x:c r="U2568" s="57" t="n">
        <x:v>2643.8845167910263</x:v>
      </x:c>
      <x:c r="V2568" s="57" t="n">
        <x:v>-0.7225724536420749</x:v>
      </x:c>
      <x:c r="W2568" t="n">
        <x:v>53</x:v>
      </x:c>
      <x:c r="X2568" t="n">
        <x:v>4</x:v>
      </x:c>
      <x:c r="Y2568" s="38" t="n">
        <x:v>0.6409090909090909</x:v>
      </x:c>
      <x:c r="Z2568" s="38" t="n">
        <x:v>0.8102580611813543</x:v>
      </x:c>
      <x:c r="AA2568"/>
    </x:row>
    <x:row r="2569">
      <x:c r="A2569" s="54" t="n">
        <x:v>45473</x:v>
      </x:c>
      <x:c r="B2569" t="n">
        <x:v>45473.624999988424</x:v>
      </x:c>
      <x:c r="C2569" t="str">
        <x:v>038620</x:v>
      </x:c>
      <x:c r="D2569" t="str">
        <x:v>위즈코프</x:v>
      </x:c>
      <x:c r="E2569" t="str">
        <x:v>KOSDAQ</x:v>
      </x:c>
      <x:c r="F2569" t="str">
        <x:v>SMALL</x:v>
      </x:c>
      <x:c r="G2569" t="str">
        <x:v>ELIGIBLE</x:v>
      </x:c>
      <x:c r="H2569"/>
      <x:c r="I2569" s="54" t="n">
        <x:v>45471</x:v>
      </x:c>
      <x:c r="J2569" s="55" t="n">
        <x:v>767</x:v>
      </x:c>
      <x:c r="K2569" s="55" t="n">
        <x:v>51041138655</x:v>
      </x:c>
      <x:c r="L2569" s="55" t="n">
        <x:v>66546465</x:v>
      </x:c>
      <x:c r="M2569" t="str">
        <x:v>20240320001532</x:v>
      </x:c>
      <x:c r="N2569" t="n">
        <x:v>45371.624999988424</x:v>
      </x:c>
      <x:c r="O2569" s="54" t="n">
        <x:v>45291</x:v>
      </x:c>
      <x:c r="P2569" t="str">
        <x:v>False</x:v>
      </x:c>
      <x:c r="Q2569" t="str">
        <x:v>272208ce5ebb5ff32e6d296ee870a448df4644666eb5b0b296ba31699f25ae35</x:v>
      </x:c>
      <x:c r="R2569" t="str">
        <x:v>91bdf7c084de96b2ec1fa33532af52d7e3525dc0207004b14802c08b3171213a</x:v>
      </x:c>
      <x:c r="S2569" t="n">
        <x:v>6</x:v>
      </x:c>
      <x:c r="T2569" t="str">
        <x:v>2018-12-31|2019-12-31|2020-12-31|2021-12-31|2022-12-31|2023-12-31</x:v>
      </x:c>
      <x:c r="U2569" s="57" t="n">
        <x:v>310.4127673293446</x:v>
      </x:c>
      <x:c r="V2569" s="57" t="n">
        <x:v>-0.5952897427257567</x:v>
      </x:c>
      <x:c r="W2569" t="n">
        <x:v>48</x:v>
      </x:c>
      <x:c r="X2569" t="n">
        <x:v>4</x:v>
      </x:c>
      <x:c r="Y2569" s="38" t="n">
        <x:v>0.6409090909090909</x:v>
      </x:c>
      <x:c r="Z2569" s="38" t="n">
        <x:v>0.7544106526876061</x:v>
      </x:c>
      <x:c r="AA2569"/>
    </x:row>
    <x:row r="2570">
      <x:c r="A2570" s="54" t="n">
        <x:v>45473</x:v>
      </x:c>
      <x:c r="B2570" t="n">
        <x:v>45473.624999988424</x:v>
      </x:c>
      <x:c r="C2570" t="str">
        <x:v>313760</x:v>
      </x:c>
      <x:c r="D2570" t="str">
        <x:v>캐리</x:v>
      </x:c>
      <x:c r="E2570" t="str">
        <x:v>KOSDAQ</x:v>
      </x:c>
      <x:c r="F2570" t="str">
        <x:v>SMALL</x:v>
      </x:c>
      <x:c r="G2570" t="str">
        <x:v>DCF_SCREENING_EXCLUSION</x:v>
      </x:c>
      <x:c r="H2570" t="str">
        <x:v>NON_POSITIVE_ENTERPRISE_VALUE|NON_POSITIVE_EQUITY_VALUE|NON_POSITIVE_TERMINAL_FCF</x:v>
      </x:c>
      <x:c r="I2570" s="54" t="n">
        <x:v>45471</x:v>
      </x:c>
      <x:c r="J2570" s="55" t="n">
        <x:v>7750</x:v>
      </x:c>
      <x:c r="K2570" s="55" t="n">
        <x:v>56488827750</x:v>
      </x:c>
      <x:c r="L2570" s="55" t="n">
        <x:v>7288881</x:v>
      </x:c>
      <x:c r="M2570" t="str">
        <x:v>20240321001989</x:v>
      </x:c>
      <x:c r="N2570" t="n">
        <x:v>45372.624999988424</x:v>
      </x:c>
      <x:c r="O2570" s="54" t="n">
        <x:v>45291</x:v>
      </x:c>
      <x:c r="P2570" t="str">
        <x:v>False</x:v>
      </x:c>
      <x:c r="Q2570" t="str">
        <x:v>0bd7d04c0e0aefca490f9f7e586ebbb3a0eaaa331be2633cad42cc56ead868d7</x:v>
      </x:c>
      <x:c r="R2570" t="str">
        <x:v>a26b9199ee23d76d0c1c62eb187fc56048af16cace3c582c8dff5b6ebbb377eb</x:v>
      </x:c>
      <x:c r="S2570" t="n">
        <x:v>6</x:v>
      </x:c>
      <x:c r="T2570" t="str">
        <x:v>2019-12-31|2020-12-31|2021-12-31|2022-12-31|2023-12-31</x:v>
      </x:c>
      <x:c r="U2570" s="57" t="n">
        <x:v>-2480.60540618919</x:v>
      </x:c>
      <x:c r="V2570" s="57" t="n">
        <x:v>-1.3200781169276374</x:v>
      </x:c>
      <x:c r="W2570"/>
      <x:c r="X2570"/>
      <x:c r="Y2570" s="38" t="n">
        <x:v>0.6409090909090909</x:v>
      </x:c>
      <x:c r="Z2570" s="38" t="n">
        <x:v>0.37057902973359175</x:v>
      </x:c>
      <x:c r="AA2570" t="str">
        <x:v>NON_POSITIVE_ENTERPRISE_VALUE|NON_POSITIVE_EQUITY_VALUE|NON_POSITIVE_TERMINAL_FCF</x:v>
      </x:c>
    </x:row>
    <x:row r="2571">
      <x:c r="A2571" s="54" t="n">
        <x:v>45473</x:v>
      </x:c>
      <x:c r="B2571" t="n">
        <x:v>45473.624999988424</x:v>
      </x:c>
      <x:c r="C2571" t="str">
        <x:v>372800</x:v>
      </x:c>
      <x:c r="D2571" t="str">
        <x:v>아이티아이즈</x:v>
      </x:c>
      <x:c r="E2571" t="str">
        <x:v>KOSDAQ</x:v>
      </x:c>
      <x:c r="F2571" t="str">
        <x:v>SMALL</x:v>
      </x:c>
      <x:c r="G2571" t="str">
        <x:v>DCF_SCREENING_EXCLUSION</x:v>
      </x:c>
      <x:c r="H2571" t="str">
        <x:v>NON_POSITIVE_ENTERPRISE_VALUE|NON_POSITIVE_EQUITY_VALUE|NON_POSITIVE_TERMINAL_FCF</x:v>
      </x:c>
      <x:c r="I2571" s="54" t="n">
        <x:v>45471</x:v>
      </x:c>
      <x:c r="J2571" s="55" t="n">
        <x:v>5100</x:v>
      </x:c>
      <x:c r="K2571" s="55" t="n">
        <x:v>30737649000</x:v>
      </x:c>
      <x:c r="L2571" s="55" t="n">
        <x:v>6026990</x:v>
      </x:c>
      <x:c r="M2571" t="str">
        <x:v>20240320000934</x:v>
      </x:c>
      <x:c r="N2571" t="n">
        <x:v>45371.624999988424</x:v>
      </x:c>
      <x:c r="O2571" s="54" t="n">
        <x:v>45291</x:v>
      </x:c>
      <x:c r="P2571" t="str">
        <x:v>False</x:v>
      </x:c>
      <x:c r="Q2571" t="str">
        <x:v>914d149f88b12fc4a464092978e0ee083b9040a890a137adf5971d85f8f45f80</x:v>
      </x:c>
      <x:c r="R2571" t="str">
        <x:v>186741dd3cd6e9e0251882e11e7c262fa8ba822aaad5de6aab48bcd9ef45bfb4</x:v>
      </x:c>
      <x:c r="S2571" t="n">
        <x:v>7</x:v>
      </x:c>
      <x:c r="T2571" t="str">
        <x:v>2021-12-31|2022-12-31|2023-12-31</x:v>
      </x:c>
      <x:c r="U2571" s="57" t="n">
        <x:v>-11187.477178495124</x:v>
      </x:c>
      <x:c r="V2571" s="57" t="n">
        <x:v>-3.1936229761755146</x:v>
      </x:c>
      <x:c r="W2571"/>
      <x:c r="X2571"/>
      <x:c r="Y2571" s="38" t="n">
        <x:v>0.6409090909090909</x:v>
      </x:c>
      <x:c r="Z2571" s="38" t="n">
        <x:v>0.635813030340686</x:v>
      </x:c>
      <x:c r="AA2571" t="str">
        <x:v>NON_POSITIVE_ENTERPRISE_VALUE|NON_POSITIVE_EQUITY_VALUE|NON_POSITIVE_TERMINAL_FCF</x:v>
      </x:c>
    </x:row>
    <x:row r="2572">
      <x:c r="A2572" s="54" t="n">
        <x:v>45473</x:v>
      </x:c>
      <x:c r="B2572" t="n">
        <x:v>45473.624999988424</x:v>
      </x:c>
      <x:c r="C2572" t="str">
        <x:v>332290</x:v>
      </x:c>
      <x:c r="D2572" t="str">
        <x:v>누보</x:v>
      </x:c>
      <x:c r="E2572" t="str">
        <x:v>KOSDAQ</x:v>
      </x:c>
      <x:c r="F2572" t="str">
        <x:v>SMALL</x:v>
      </x:c>
      <x:c r="G2572" t="str">
        <x:v>DCF_SCREENING_EXCLUSION</x:v>
      </x:c>
      <x:c r="H2572" t="str">
        <x:v>NON_POSITIVE_ENTERPRISE_VALUE|NON_POSITIVE_EQUITY_VALUE|NON_POSITIVE_TERMINAL_FCF</x:v>
      </x:c>
      <x:c r="I2572" s="54" t="n">
        <x:v>45471</x:v>
      </x:c>
      <x:c r="J2572" s="55" t="n">
        <x:v>1456</x:v>
      </x:c>
      <x:c r="K2572" s="55" t="n">
        <x:v>48608273168</x:v>
      </x:c>
      <x:c r="L2572" s="55" t="n">
        <x:v>33384803</x:v>
      </x:c>
      <x:c r="M2572" t="str">
        <x:v>20240321001435</x:v>
      </x:c>
      <x:c r="N2572" t="n">
        <x:v>45372.624999988424</x:v>
      </x:c>
      <x:c r="O2572" s="54" t="n">
        <x:v>45291</x:v>
      </x:c>
      <x:c r="P2572" t="str">
        <x:v>False</x:v>
      </x:c>
      <x:c r="Q2572" t="str">
        <x:v>dc20de5e13288cb8f1f4cc4cb90edd3cdfdcd47054020425ace8241e22b4cbb1</x:v>
      </x:c>
      <x:c r="R2572" t="str">
        <x:v>992623ccf14a72026f02310e0de027405308a3b157e8c09aa903b601fd91883f</x:v>
      </x:c>
      <x:c r="S2572" t="n">
        <x:v>6</x:v>
      </x:c>
      <x:c r="T2572" t="str">
        <x:v>2022-12-31|2023-12-31</x:v>
      </x:c>
      <x:c r="U2572" s="57" t="n">
        <x:v>-2501.67071673091</x:v>
      </x:c>
      <x:c r="V2572" s="57" t="n">
        <x:v>-2.7181804373151857</x:v>
      </x:c>
      <x:c r="W2572"/>
      <x:c r="X2572"/>
      <x:c r="Y2572" s="38" t="n">
        <x:v>0.6409090909090909</x:v>
      </x:c>
      <x:c r="Z2572" s="38" t="n">
        <x:v>0.5782388693498399</x:v>
      </x:c>
      <x:c r="AA2572" t="str">
        <x:v>NON_POSITIVE_ENTERPRISE_VALUE|NON_POSITIVE_EQUITY_VALUE|NON_POSITIVE_TERMINAL_FCF</x:v>
      </x:c>
    </x:row>
    <x:row r="2573">
      <x:c r="A2573" s="54" t="n">
        <x:v>45473</x:v>
      </x:c>
      <x:c r="B2573" t="n">
        <x:v>45473.624999988424</x:v>
      </x:c>
      <x:c r="C2573" t="str">
        <x:v>059100</x:v>
      </x:c>
      <x:c r="D2573" t="str">
        <x:v>아이컴포넌트</x:v>
      </x:c>
      <x:c r="E2573" t="str">
        <x:v>KOSDAQ</x:v>
      </x:c>
      <x:c r="F2573" t="str">
        <x:v>SMALL</x:v>
      </x:c>
      <x:c r="G2573" t="str">
        <x:v>ELIGIBLE</x:v>
      </x:c>
      <x:c r="H2573"/>
      <x:c r="I2573" s="54" t="n">
        <x:v>45471</x:v>
      </x:c>
      <x:c r="J2573" s="55" t="n">
        <x:v>5000</x:v>
      </x:c>
      <x:c r="K2573" s="55" t="n">
        <x:v>35354300000</x:v>
      </x:c>
      <x:c r="L2573" s="55" t="n">
        <x:v>7070860</x:v>
      </x:c>
      <x:c r="M2573" t="str">
        <x:v>20240313000819</x:v>
      </x:c>
      <x:c r="N2573" t="n">
        <x:v>45364.624999988424</x:v>
      </x:c>
      <x:c r="O2573" s="54" t="n">
        <x:v>45291</x:v>
      </x:c>
      <x:c r="P2573" t="str">
        <x:v>False</x:v>
      </x:c>
      <x:c r="Q2573" t="str">
        <x:v>de44602b8531c88c57c436d45a3c15970778ae4a85492606d87188a14adbb222</x:v>
      </x:c>
      <x:c r="R2573" t="str">
        <x:v>8125346753fa442ed777a22a67b817367371619afdfc04cb77de1670c0ed2379</x:v>
      </x:c>
      <x:c r="S2573" t="n">
        <x:v>7</x:v>
      </x:c>
      <x:c r="T2573" t="str">
        <x:v>2018-12-31|2019-12-31|2020-12-31|2021-12-31|2022-12-31|2023-12-31</x:v>
      </x:c>
      <x:c r="U2573" s="57" t="n">
        <x:v>795.2291200624518</x:v>
      </x:c>
      <x:c r="V2573" s="57" t="n">
        <x:v>-0.8409541759875097</x:v>
      </x:c>
      <x:c r="W2573" t="n">
        <x:v>64</x:v>
      </x:c>
      <x:c r="X2573" t="n">
        <x:v>5</x:v>
      </x:c>
      <x:c r="Y2573" s="38" t="n">
        <x:v>0.6409090909090909</x:v>
      </x:c>
      <x:c r="Z2573" s="38" t="n">
        <x:v>0.7736031747531312</x:v>
      </x:c>
      <x:c r="AA2573"/>
    </x:row>
    <x:row r="2574">
      <x:c r="A2574" s="54" t="n">
        <x:v>45473</x:v>
      </x:c>
      <x:c r="B2574" t="n">
        <x:v>45473.624999988424</x:v>
      </x:c>
      <x:c r="C2574" t="str">
        <x:v>060900</x:v>
      </x:c>
      <x:c r="D2574" t="str">
        <x:v>DGP</x:v>
      </x:c>
      <x:c r="E2574" t="str">
        <x:v>KOSDAQ</x:v>
      </x:c>
      <x:c r="F2574" t="str">
        <x:v>SMALL</x:v>
      </x:c>
      <x:c r="G2574" t="str">
        <x:v>DCF_SCREENING_EXCLUSION</x:v>
      </x:c>
      <x:c r="H2574" t="str">
        <x:v>NON_POSITIVE_ENTERPRISE_VALUE|NON_POSITIVE_EQUITY_VALUE|NON_POSITIVE_TERMINAL_FCF</x:v>
      </x:c>
      <x:c r="I2574" s="54" t="n">
        <x:v>45471</x:v>
      </x:c>
      <x:c r="J2574" s="55" t="n">
        <x:v>1200</x:v>
      </x:c>
      <x:c r="K2574" s="55" t="n">
        <x:v>30309874800</x:v>
      </x:c>
      <x:c r="L2574" s="55" t="n">
        <x:v>25258229</x:v>
      </x:c>
      <x:c r="M2574" t="str">
        <x:v>20240321001894</x:v>
      </x:c>
      <x:c r="N2574" t="n">
        <x:v>45372.624999988424</x:v>
      </x:c>
      <x:c r="O2574" s="54" t="n">
        <x:v>45291</x:v>
      </x:c>
      <x:c r="P2574" t="str">
        <x:v>True</x:v>
      </x:c>
      <x:c r="Q2574" t="str">
        <x:v>1474ada931eb98b57e14ab7ff50c791dc82e5b1d395e17eaf8f3027f0dcc9574</x:v>
      </x:c>
      <x:c r="R2574" t="str">
        <x:v>af32aa183884862091064b823e70b298662bea83ef667da6652d0713a03d64d3</x:v>
      </x:c>
      <x:c r="S2574" t="n">
        <x:v>5</x:v>
      </x:c>
      <x:c r="T2574" t="str">
        <x:v>2018-12-31|2019-12-31|2021-12-31|2022-12-31|2023-12-31</x:v>
      </x:c>
      <x:c r="U2574" s="57" t="n">
        <x:v>-1283.8058073904676</x:v>
      </x:c>
      <x:c r="V2574" s="57" t="n">
        <x:v>-2.06983817282539</x:v>
      </x:c>
      <x:c r="W2574"/>
      <x:c r="X2574"/>
      <x:c r="Y2574" s="38" t="n">
        <x:v>0.6409090909090909</x:v>
      </x:c>
      <x:c r="Z2574" s="38" t="n">
        <x:v>0.621144036130219</x:v>
      </x:c>
      <x:c r="AA2574" t="str">
        <x:v>NON_POSITIVE_ENTERPRISE_VALUE|NON_POSITIVE_EQUITY_VALUE|NON_POSITIVE_TERMINAL_FCF</x:v>
      </x:c>
    </x:row>
    <x:row r="2575">
      <x:c r="A2575" s="54" t="n">
        <x:v>45473</x:v>
      </x:c>
      <x:c r="B2575" t="n">
        <x:v>45473.624999988424</x:v>
      </x:c>
      <x:c r="C2575" t="str">
        <x:v>232830</x:v>
      </x:c>
      <x:c r="D2575" t="str">
        <x:v>아이티센피엔에스</x:v>
      </x:c>
      <x:c r="E2575" t="str">
        <x:v>KOSDAQ</x:v>
      </x:c>
      <x:c r="F2575" t="str">
        <x:v>SMALL</x:v>
      </x:c>
      <x:c r="G2575" t="str">
        <x:v>DCF_SCREENING_EXCLUSION</x:v>
      </x:c>
      <x:c r="H2575" t="str">
        <x:v>NON_POSITIVE_ENTERPRISE_VALUE|NON_POSITIVE_EQUITY_VALUE|NON_POSITIVE_TERMINAL_FCF</x:v>
      </x:c>
      <x:c r="I2575" s="54" t="n">
        <x:v>45471</x:v>
      </x:c>
      <x:c r="J2575" s="55" t="n">
        <x:v>2145</x:v>
      </x:c>
      <x:c r="K2575" s="55" t="n">
        <x:v>25112527440</x:v>
      </x:c>
      <x:c r="L2575" s="55" t="n">
        <x:v>11707472</x:v>
      </x:c>
      <x:c r="M2575" t="str">
        <x:v>20240318000711</x:v>
      </x:c>
      <x:c r="N2575" t="n">
        <x:v>45369.624999988424</x:v>
      </x:c>
      <x:c r="O2575" s="54" t="n">
        <x:v>45291</x:v>
      </x:c>
      <x:c r="P2575" t="str">
        <x:v>False</x:v>
      </x:c>
      <x:c r="Q2575" t="str">
        <x:v>2ef9f4621e5d771c469b1b6c7fdc4cd88bef1e6298a76a757c5b3c158fc41901</x:v>
      </x:c>
      <x:c r="R2575" t="str">
        <x:v>676c3589c1b25fc921096fefbc5c14cae7e63b0412aea817f9e7fe7d395cd937</x:v>
      </x:c>
      <x:c r="S2575" t="n">
        <x:v>6</x:v>
      </x:c>
      <x:c r="T2575" t="str">
        <x:v>2023-12-31</x:v>
      </x:c>
      <x:c r="U2575" s="57" t="n">
        <x:v>-882.1328119703383</x:v>
      </x:c>
      <x:c r="V2575" s="57" t="n">
        <x:v>-1.4112507281912998</x:v>
      </x:c>
      <x:c r="W2575"/>
      <x:c r="X2575"/>
      <x:c r="Y2575" s="38" t="n">
        <x:v>0.6409090909090909</x:v>
      </x:c>
      <x:c r="Z2575" s="38" t="n">
        <x:v>0.6264850986190418</x:v>
      </x:c>
      <x:c r="AA2575" t="str">
        <x:v>NON_POSITIVE_ENTERPRISE_VALUE|NON_POSITIVE_EQUITY_VALUE|NON_POSITIVE_TERMINAL_FCF</x:v>
      </x:c>
    </x:row>
    <x:row r="2576">
      <x:c r="A2576" s="54" t="n">
        <x:v>45473</x:v>
      </x:c>
      <x:c r="B2576" t="n">
        <x:v>45473.624999988424</x:v>
      </x:c>
      <x:c r="C2576" t="str">
        <x:v>070590</x:v>
      </x:c>
      <x:c r="D2576" t="str">
        <x:v>한솔인티큐브</x:v>
      </x:c>
      <x:c r="E2576" t="str">
        <x:v>KOSDAQ</x:v>
      </x:c>
      <x:c r="F2576" t="str">
        <x:v>SMALL</x:v>
      </x:c>
      <x:c r="G2576" t="str">
        <x:v>DCF_SCREENING_EXCLUSION</x:v>
      </x:c>
      <x:c r="H2576" t="str">
        <x:v>NON_POSITIVE_ENTERPRISE_VALUE|NON_POSITIVE_EQUITY_VALUE|NON_POSITIVE_TERMINAL_FCF</x:v>
      </x:c>
      <x:c r="I2576" s="54" t="n">
        <x:v>45471</x:v>
      </x:c>
      <x:c r="J2576" s="55" t="n">
        <x:v>1330</x:v>
      </x:c>
      <x:c r="K2576" s="55" t="n">
        <x:v>18459762930</x:v>
      </x:c>
      <x:c r="L2576" s="55" t="n">
        <x:v>13879521</x:v>
      </x:c>
      <x:c r="M2576" t="str">
        <x:v>20240312000981</x:v>
      </x:c>
      <x:c r="N2576" t="n">
        <x:v>45363.624999988424</x:v>
      </x:c>
      <x:c r="O2576" s="54" t="n">
        <x:v>45291</x:v>
      </x:c>
      <x:c r="P2576" t="str">
        <x:v>False</x:v>
      </x:c>
      <x:c r="Q2576" t="str">
        <x:v>1dcf4f95e11520238d31fe55d66a361893d88863002eb93ccfa11d774ad77ecd</x:v>
      </x:c>
      <x:c r="R2576" t="str">
        <x:v>0a25ac283323a913ae282d5b4fa9d812e4daf6e8b8fde04a6d83b338fee07dc1</x:v>
      </x:c>
      <x:c r="S2576" t="n">
        <x:v>6</x:v>
      </x:c>
      <x:c r="T2576" t="str">
        <x:v>2018-12-31|2019-12-31|2020-12-31|2021-12-31|2022-12-31|2023-12-31</x:v>
      </x:c>
      <x:c r="U2576" s="57" t="n">
        <x:v>-727.1708574239069</x:v>
      </x:c>
      <x:c r="V2576" s="57" t="n">
        <x:v>-1.5467450055818848</x:v>
      </x:c>
      <x:c r="W2576"/>
      <x:c r="X2576"/>
      <x:c r="Y2576" s="38" t="n">
        <x:v>0.6409090909090909</x:v>
      </x:c>
      <x:c r="Z2576" s="38" t="n">
        <x:v>0.39168294997409436</x:v>
      </x:c>
      <x:c r="AA2576" t="str">
        <x:v>NON_POSITIVE_ENTERPRISE_VALUE|NON_POSITIVE_EQUITY_VALUE|NON_POSITIVE_TERMINAL_FCF</x:v>
      </x:c>
    </x:row>
    <x:row r="2577">
      <x:c r="A2577" s="54" t="n">
        <x:v>45473</x:v>
      </x:c>
      <x:c r="B2577" t="n">
        <x:v>45473.624999988424</x:v>
      </x:c>
      <x:c r="C2577" t="str">
        <x:v>163560</x:v>
      </x:c>
      <x:c r="D2577" t="str">
        <x:v>동일고무벨트</x:v>
      </x:c>
      <x:c r="E2577" t="str">
        <x:v>KOSPI</x:v>
      </x:c>
      <x:c r="F2577" t="str">
        <x:v>SMALL</x:v>
      </x:c>
      <x:c r="G2577" t="str">
        <x:v>ELIGIBLE</x:v>
      </x:c>
      <x:c r="H2577"/>
      <x:c r="I2577" s="54" t="n">
        <x:v>45471</x:v>
      </x:c>
      <x:c r="J2577" s="55" t="n">
        <x:v>7700</x:v>
      </x:c>
      <x:c r="K2577" s="55" t="n">
        <x:v>107030000000</x:v>
      </x:c>
      <x:c r="L2577" s="55" t="n">
        <x:v>13900000</x:v>
      </x:c>
      <x:c r="M2577" t="str">
        <x:v>20240312000727</x:v>
      </x:c>
      <x:c r="N2577" t="n">
        <x:v>45363.624999988424</x:v>
      </x:c>
      <x:c r="O2577" s="54" t="n">
        <x:v>45291</x:v>
      </x:c>
      <x:c r="P2577" t="str">
        <x:v>False</x:v>
      </x:c>
      <x:c r="Q2577" t="str">
        <x:v>8300d6b1875715c243030f671f2aaf02f96d54e1068e1a551b702430cd374885</x:v>
      </x:c>
      <x:c r="R2577" t="str">
        <x:v>219a543a521b843095fcaa2f4cf5a286d564452ada755581ce03daced7cab1f4</x:v>
      </x:c>
      <x:c r="S2577" t="n">
        <x:v>5</x:v>
      </x:c>
      <x:c r="T2577" t="str">
        <x:v>2018-12-31|2019-12-31|2020-12-31|2021-12-31|2022-12-31|2023-12-31</x:v>
      </x:c>
      <x:c r="U2577" s="57" t="n">
        <x:v>3794.8274011621584</x:v>
      </x:c>
      <x:c r="V2577" s="57" t="n">
        <x:v>-0.507165272576343</x:v>
      </x:c>
      <x:c r="W2577" t="n">
        <x:v>44</x:v>
      </x:c>
      <x:c r="X2577" t="n">
        <x:v>4</x:v>
      </x:c>
      <x:c r="Y2577" s="38" t="n">
        <x:v>0.6409090909090909</x:v>
      </x:c>
      <x:c r="Z2577" s="38" t="n">
        <x:v>0.63760841552032</x:v>
      </x:c>
      <x:c r="AA2577"/>
    </x:row>
    <x:row r="2578">
      <x:c r="A2578" s="54" t="n">
        <x:v>45473</x:v>
      </x:c>
      <x:c r="B2578" t="n">
        <x:v>45473.624999988424</x:v>
      </x:c>
      <x:c r="C2578" t="str">
        <x:v>004830</x:v>
      </x:c>
      <x:c r="D2578" t="str">
        <x:v>덕성</x:v>
      </x:c>
      <x:c r="E2578" t="str">
        <x:v>KOSPI</x:v>
      </x:c>
      <x:c r="F2578" t="str">
        <x:v>SMALL</x:v>
      </x:c>
      <x:c r="G2578" t="str">
        <x:v>ELIGIBLE</x:v>
      </x:c>
      <x:c r="H2578"/>
      <x:c r="I2578" s="54" t="n">
        <x:v>45471</x:v>
      </x:c>
      <x:c r="J2578" s="55" t="n">
        <x:v>8040</x:v>
      </x:c>
      <x:c r="K2578" s="55" t="n">
        <x:v>126067200000</x:v>
      </x:c>
      <x:c r="L2578" s="55" t="n">
        <x:v>15680000</x:v>
      </x:c>
      <x:c r="M2578" t="str">
        <x:v>20240318000444</x:v>
      </x:c>
      <x:c r="N2578" t="n">
        <x:v>45369.624999988424</x:v>
      </x:c>
      <x:c r="O2578" s="54" t="n">
        <x:v>45291</x:v>
      </x:c>
      <x:c r="P2578" t="str">
        <x:v>False</x:v>
      </x:c>
      <x:c r="Q2578" t="str">
        <x:v>5c791e9d7c4baa9765c24340c5b47bda11989d0310430c6cc33cf087e7d59d93</x:v>
      </x:c>
      <x:c r="R2578" t="str">
        <x:v>d7fd13e4080789861d787a14face42a4b7821446f86335eeac9fa652e97eec43</x:v>
      </x:c>
      <x:c r="S2578" t="n">
        <x:v>7</x:v>
      </x:c>
      <x:c r="T2578" t="str">
        <x:v>2018-12-31|2019-12-31|2020-12-31|2021-12-31|2022-12-31|2023-12-31</x:v>
      </x:c>
      <x:c r="U2578" s="57" t="n">
        <x:v>2363.208087404123</x:v>
      </x:c>
      <x:c r="V2578" s="57" t="n">
        <x:v>-0.7060686458452583</x:v>
      </x:c>
      <x:c r="W2578" t="n">
        <x:v>52</x:v>
      </x:c>
      <x:c r="X2578" t="n">
        <x:v>4</x:v>
      </x:c>
      <x:c r="Y2578" s="38" t="n">
        <x:v>0.6409090909090909</x:v>
      </x:c>
      <x:c r="Z2578" s="38" t="n">
        <x:v>0.6091383391219799</x:v>
      </x:c>
      <x:c r="AA2578"/>
    </x:row>
    <x:row r="2579">
      <x:c r="A2579" s="54" t="n">
        <x:v>45473</x:v>
      </x:c>
      <x:c r="B2579" t="n">
        <x:v>45473.624999988424</x:v>
      </x:c>
      <x:c r="C2579" t="str">
        <x:v>014440</x:v>
      </x:c>
      <x:c r="D2579" t="str">
        <x:v>영보화학</x:v>
      </x:c>
      <x:c r="E2579" t="str">
        <x:v>KOSPI</x:v>
      </x:c>
      <x:c r="F2579" t="str">
        <x:v>SMALL</x:v>
      </x:c>
      <x:c r="G2579" t="str">
        <x:v>ELIGIBLE</x:v>
      </x:c>
      <x:c r="H2579"/>
      <x:c r="I2579" s="54" t="n">
        <x:v>45471</x:v>
      </x:c>
      <x:c r="J2579" s="55" t="n">
        <x:v>3575</x:v>
      </x:c>
      <x:c r="K2579" s="55" t="n">
        <x:v>71500000000</x:v>
      </x:c>
      <x:c r="L2579" s="55" t="n">
        <x:v>20000000</x:v>
      </x:c>
      <x:c r="M2579" t="str">
        <x:v>20240313001248</x:v>
      </x:c>
      <x:c r="N2579" t="n">
        <x:v>45364.624999988424</x:v>
      </x:c>
      <x:c r="O2579" s="54" t="n">
        <x:v>45291</x:v>
      </x:c>
      <x:c r="P2579" t="str">
        <x:v>False</x:v>
      </x:c>
      <x:c r="Q2579" t="str">
        <x:v>906f6477c652f0506d6357d210e56a5f26efb08af099195d43ebe66ddb3a9a16</x:v>
      </x:c>
      <x:c r="R2579" t="str">
        <x:v>6cfa4e5d2a857dac7b466b3d3e6f158247567fd453702755355a023a17654a90</x:v>
      </x:c>
      <x:c r="S2579" t="n">
        <x:v>6</x:v>
      </x:c>
      <x:c r="T2579" t="str">
        <x:v>2018-12-31|2019-12-31|2020-12-31|2021-12-31|2022-12-31|2023-12-31</x:v>
      </x:c>
      <x:c r="U2579" s="57" t="n">
        <x:v>2627.709734330535</x:v>
      </x:c>
      <x:c r="V2579" s="57" t="n">
        <x:v>-0.2649762980893608</x:v>
      </x:c>
      <x:c r="W2579" t="n">
        <x:v>36</x:v>
      </x:c>
      <x:c r="X2579" t="n">
        <x:v>3</x:v>
      </x:c>
      <x:c r="Y2579" s="38" t="n">
        <x:v>0.6409090909090909</x:v>
      </x:c>
      <x:c r="Z2579" s="38" t="n">
        <x:v>0.3830129280904156</x:v>
      </x:c>
      <x:c r="AA2579"/>
    </x:row>
    <x:row r="2580">
      <x:c r="A2580" s="54" t="n">
        <x:v>45473</x:v>
      </x:c>
      <x:c r="B2580" t="n">
        <x:v>45473.624999988424</x:v>
      </x:c>
      <x:c r="C2580" t="str">
        <x:v>009180</x:v>
      </x:c>
      <x:c r="D2580" t="str">
        <x:v>한솔로지스틱스</x:v>
      </x:c>
      <x:c r="E2580" t="str">
        <x:v>KOSPI</x:v>
      </x:c>
      <x:c r="F2580" t="str">
        <x:v>SMALL</x:v>
      </x:c>
      <x:c r="G2580" t="str">
        <x:v>ELIGIBLE</x:v>
      </x:c>
      <x:c r="H2580"/>
      <x:c r="I2580" s="54" t="n">
        <x:v>45471</x:v>
      </x:c>
      <x:c r="J2580" s="55" t="n">
        <x:v>3135</x:v>
      </x:c>
      <x:c r="K2580" s="55" t="n">
        <x:v>87958773375</x:v>
      </x:c>
      <x:c r="L2580" s="55" t="n">
        <x:v>28057025</x:v>
      </x:c>
      <x:c r="M2580" t="str">
        <x:v>20240312000456</x:v>
      </x:c>
      <x:c r="N2580" t="n">
        <x:v>45363.624999988424</x:v>
      </x:c>
      <x:c r="O2580" s="54" t="n">
        <x:v>45291</x:v>
      </x:c>
      <x:c r="P2580" t="str">
        <x:v>False</x:v>
      </x:c>
      <x:c r="Q2580" t="str">
        <x:v>e3e86eda83e12a1cdfafba8607f3d06217ed3703a0d0654f09efaa4b44fe752a</x:v>
      </x:c>
      <x:c r="R2580" t="str">
        <x:v>bf9d76ef0c6161455304be5f656f5022db39256267de7ec786e18b5457e5cfd2</x:v>
      </x:c>
      <x:c r="S2580" t="n">
        <x:v>6</x:v>
      </x:c>
      <x:c r="T2580" t="str">
        <x:v>2018-12-31|2019-12-31|2020-12-31|2021-12-31|2022-12-31|2023-12-31</x:v>
      </x:c>
      <x:c r="U2580" s="57" t="n">
        <x:v>6464.2183829052</x:v>
      </x:c>
      <x:c r="V2580" s="57" t="n">
        <x:v>1.061951637290335</x:v>
      </x:c>
      <x:c r="W2580" t="n">
        <x:v>15</x:v>
      </x:c>
      <x:c r="X2580" t="n">
        <x:v>2</x:v>
      </x:c>
      <x:c r="Y2580" s="38" t="n">
        <x:v>0.6409090909090909</x:v>
      </x:c>
      <x:c r="Z2580" s="38" t="n">
        <x:v>0.6327524850142684</x:v>
      </x:c>
      <x:c r="AA2580"/>
    </x:row>
    <x:row r="2581">
      <x:c r="A2581" s="54" t="n">
        <x:v>45473</x:v>
      </x:c>
      <x:c r="B2581" t="n">
        <x:v>45473.624999988424</x:v>
      </x:c>
      <x:c r="C2581" t="str">
        <x:v>004910</x:v>
      </x:c>
      <x:c r="D2581" t="str">
        <x:v>조광페인트</x:v>
      </x:c>
      <x:c r="E2581" t="str">
        <x:v>KOSPI</x:v>
      </x:c>
      <x:c r="F2581" t="str">
        <x:v>SMALL</x:v>
      </x:c>
      <x:c r="G2581" t="str">
        <x:v>DCF_SCREENING_EXCLUSION</x:v>
      </x:c>
      <x:c r="H2581" t="str">
        <x:v>NON_POSITIVE_ENTERPRISE_VALUE|NON_POSITIVE_EQUITY_VALUE|NON_POSITIVE_TERMINAL_FCF</x:v>
      </x:c>
      <x:c r="I2581" s="54" t="n">
        <x:v>45471</x:v>
      </x:c>
      <x:c r="J2581" s="55" t="n">
        <x:v>7170</x:v>
      </x:c>
      <x:c r="K2581" s="55" t="n">
        <x:v>91776000000</x:v>
      </x:c>
      <x:c r="L2581" s="55" t="n">
        <x:v>12800000</x:v>
      </x:c>
      <x:c r="M2581" t="str">
        <x:v>20240320000988</x:v>
      </x:c>
      <x:c r="N2581" t="n">
        <x:v>45371.624999988424</x:v>
      </x:c>
      <x:c r="O2581" s="54" t="n">
        <x:v>45291</x:v>
      </x:c>
      <x:c r="P2581" t="str">
        <x:v>False</x:v>
      </x:c>
      <x:c r="Q2581" t="str">
        <x:v>011166dc06a77bd72caf4b4c520c6c3d496b4d62095b3f9f3304a8a9c15b76e8</x:v>
      </x:c>
      <x:c r="R2581" t="str">
        <x:v>38f0a80f49dd016085e3272f83dedfb09ff2e263674bbb598f8d3e74fda0d5a1</x:v>
      </x:c>
      <x:c r="S2581" t="n">
        <x:v>6</x:v>
      </x:c>
      <x:c r="T2581" t="str">
        <x:v>2018-12-31|2019-12-31|2020-12-31|2021-12-31|2022-12-31|2023-12-31</x:v>
      </x:c>
      <x:c r="U2581" s="57" t="n">
        <x:v>-7916.655886505957</x:v>
      </x:c>
      <x:c r="V2581" s="57" t="n">
        <x:v>-2.1041361069045963</x:v>
      </x:c>
      <x:c r="W2581"/>
      <x:c r="X2581"/>
      <x:c r="Y2581" s="38" t="n">
        <x:v>0.6409090909090909</x:v>
      </x:c>
      <x:c r="Z2581" s="38" t="n">
        <x:v>0.7035350926583852</x:v>
      </x:c>
      <x:c r="AA2581" t="str">
        <x:v>NON_POSITIVE_ENTERPRISE_VALUE|NON_POSITIVE_EQUITY_VALUE|NON_POSITIVE_TERMINAL_FCF</x:v>
      </x:c>
    </x:row>
    <x:row r="2582">
      <x:c r="A2582" s="54" t="n">
        <x:v>45473</x:v>
      </x:c>
      <x:c r="B2582" t="n">
        <x:v>45473.624999988424</x:v>
      </x:c>
      <x:c r="C2582" t="str">
        <x:v>004870</x:v>
      </x:c>
      <x:c r="D2582" t="str">
        <x:v>티웨이홀딩스</x:v>
      </x:c>
      <x:c r="E2582" t="str">
        <x:v>KOSPI</x:v>
      </x:c>
      <x:c r="F2582" t="str">
        <x:v>SMALL</x:v>
      </x:c>
      <x:c r="G2582" t="str">
        <x:v>EXCLUDED_ARCHETYPE</x:v>
      </x:c>
      <x:c r="H2582" t="str">
        <x:v>FCFF_NOT_COMPARABLE_FOR_FINANCE_OR_HOLDING_HINT</x:v>
      </x:c>
      <x:c r="I2582" s="54"/>
      <x:c r="J2582" s="55"/>
      <x:c r="K2582" s="55"/>
      <x:c r="L2582" s="55"/>
      <x:c r="M2582"/>
      <x:c r="N2582"/>
      <x:c r="O2582" s="54"/>
      <x:c r="P2582"/>
      <x:c r="Q2582"/>
      <x:c r="R2582"/>
      <x:c r="S2582"/>
      <x:c r="T2582"/>
      <x:c r="U2582" s="57"/>
      <x:c r="V2582" s="57"/>
      <x:c r="W2582"/>
      <x:c r="X2582"/>
      <x:c r="Y2582" s="38"/>
      <x:c r="Z2582" s="38"/>
      <x:c r="AA2582"/>
    </x:row>
    <x:row r="2583">
      <x:c r="A2583" s="54" t="n">
        <x:v>45473</x:v>
      </x:c>
      <x:c r="B2583" t="n">
        <x:v>45473.624999988424</x:v>
      </x:c>
      <x:c r="C2583" t="str">
        <x:v>010770</x:v>
      </x:c>
      <x:c r="D2583" t="str">
        <x:v>평화홀딩스</x:v>
      </x:c>
      <x:c r="E2583" t="str">
        <x:v>KOSPI</x:v>
      </x:c>
      <x:c r="F2583" t="str">
        <x:v>SMALL</x:v>
      </x:c>
      <x:c r="G2583" t="str">
        <x:v>EXCLUDED_ARCHETYPE</x:v>
      </x:c>
      <x:c r="H2583" t="str">
        <x:v>FCFF_NOT_COMPARABLE_FOR_FINANCE_OR_HOLDING_HINT</x:v>
      </x:c>
      <x:c r="I2583" s="54"/>
      <x:c r="J2583" s="55"/>
      <x:c r="K2583" s="55"/>
      <x:c r="L2583" s="55"/>
      <x:c r="M2583"/>
      <x:c r="N2583"/>
      <x:c r="O2583" s="54"/>
      <x:c r="P2583"/>
      <x:c r="Q2583"/>
      <x:c r="R2583"/>
      <x:c r="S2583"/>
      <x:c r="T2583"/>
      <x:c r="U2583" s="57"/>
      <x:c r="V2583" s="57"/>
      <x:c r="W2583"/>
      <x:c r="X2583"/>
      <x:c r="Y2583" s="38"/>
      <x:c r="Z2583" s="38"/>
      <x:c r="AA2583"/>
    </x:row>
    <x:row r="2584">
      <x:c r="A2584" s="54" t="n">
        <x:v>45473</x:v>
      </x:c>
      <x:c r="B2584" t="n">
        <x:v>45473.624999988424</x:v>
      </x:c>
      <x:c r="C2584" t="str">
        <x:v>001290</x:v>
      </x:c>
      <x:c r="D2584" t="str">
        <x:v>상상인증권</x:v>
      </x:c>
      <x:c r="E2584" t="str">
        <x:v>KOSPI</x:v>
      </x:c>
      <x:c r="F2584" t="str">
        <x:v>SMALL</x:v>
      </x:c>
      <x:c r="G2584" t="str">
        <x:v>EXCLUDED_ARCHETYPE</x:v>
      </x:c>
      <x:c r="H2584" t="str">
        <x:v>FCFF_NOT_COMPARABLE_FOR_FINANCE_OR_HOLDING_HINT</x:v>
      </x:c>
      <x:c r="I2584" s="54"/>
      <x:c r="J2584" s="55"/>
      <x:c r="K2584" s="55"/>
      <x:c r="L2584" s="55"/>
      <x:c r="M2584"/>
      <x:c r="N2584"/>
      <x:c r="O2584" s="54"/>
      <x:c r="P2584"/>
      <x:c r="Q2584"/>
      <x:c r="R2584"/>
      <x:c r="S2584"/>
      <x:c r="T2584"/>
      <x:c r="U2584" s="57"/>
      <x:c r="V2584" s="57"/>
      <x:c r="W2584"/>
      <x:c r="X2584"/>
      <x:c r="Y2584" s="38"/>
      <x:c r="Z2584" s="38"/>
      <x:c r="AA2584"/>
    </x:row>
    <x:row r="2585">
      <x:c r="A2585" s="54" t="n">
        <x:v>45473</x:v>
      </x:c>
      <x:c r="B2585" t="n">
        <x:v>45473.624999988424</x:v>
      </x:c>
      <x:c r="C2585" t="str">
        <x:v>047400</x:v>
      </x:c>
      <x:c r="D2585" t="str">
        <x:v>유니온머티리얼</x:v>
      </x:c>
      <x:c r="E2585" t="str">
        <x:v>KOSPI</x:v>
      </x:c>
      <x:c r="F2585" t="str">
        <x:v>SMALL</x:v>
      </x:c>
      <x:c r="G2585" t="str">
        <x:v>DCF_SCREENING_EXCLUSION</x:v>
      </x:c>
      <x:c r="H2585" t="str">
        <x:v>NON_POSITIVE_ENTERPRISE_VALUE|NON_POSITIVE_EQUITY_VALUE|NON_POSITIVE_TERMINAL_FCF</x:v>
      </x:c>
      <x:c r="I2585" s="54" t="n">
        <x:v>45471</x:v>
      </x:c>
      <x:c r="J2585" s="55" t="n">
        <x:v>2495</x:v>
      </x:c>
      <x:c r="K2585" s="55" t="n">
        <x:v>104790000000</x:v>
      </x:c>
      <x:c r="L2585" s="55" t="n">
        <x:v>42000000</x:v>
      </x:c>
      <x:c r="M2585" t="str">
        <x:v>20240320001765</x:v>
      </x:c>
      <x:c r="N2585" t="n">
        <x:v>45371.624999988424</x:v>
      </x:c>
      <x:c r="O2585" s="54" t="n">
        <x:v>45291</x:v>
      </x:c>
      <x:c r="P2585" t="str">
        <x:v>False</x:v>
      </x:c>
      <x:c r="Q2585" t="str">
        <x:v>5388f7e4d62e738917bcb25445a6393239daafedd04b6510c6b284bc33bd94b9</x:v>
      </x:c>
      <x:c r="R2585" t="str">
        <x:v>7e8bbc2b129cefc9496566cc6cc894fd4e78a2be493d05699d922af91a39b2b1</x:v>
      </x:c>
      <x:c r="S2585" t="n">
        <x:v>7</x:v>
      </x:c>
      <x:c r="T2585" t="str">
        <x:v>2018-12-31|2019-12-31|2020-12-31|2021-12-31|2022-12-31|2023-12-31</x:v>
      </x:c>
      <x:c r="U2585" s="57" t="n">
        <x:v>-2955.842766905707</x:v>
      </x:c>
      <x:c r="V2585" s="57" t="n">
        <x:v>-2.1847065198018867</x:v>
      </x:c>
      <x:c r="W2585"/>
      <x:c r="X2585"/>
      <x:c r="Y2585" s="38" t="n">
        <x:v>0.6409090909090909</x:v>
      </x:c>
      <x:c r="Z2585" s="38" t="n">
        <x:v>0.5638612783643214</x:v>
      </x:c>
      <x:c r="AA2585" t="str">
        <x:v>NON_POSITIVE_ENTERPRISE_VALUE|NON_POSITIVE_EQUITY_VALUE|NON_POSITIVE_TERMINAL_FCF</x:v>
      </x:c>
    </x:row>
    <x:row r="2586">
      <x:c r="A2586" s="54" t="n">
        <x:v>45473</x:v>
      </x:c>
      <x:c r="B2586" t="n">
        <x:v>45473.624999988424</x:v>
      </x:c>
      <x:c r="C2586" t="str">
        <x:v>011300</x:v>
      </x:c>
      <x:c r="D2586" t="str">
        <x:v>성안머티리얼스</x:v>
      </x:c>
      <x:c r="E2586" t="str">
        <x:v>KOSPI</x:v>
      </x:c>
      <x:c r="F2586" t="str">
        <x:v>SMALL</x:v>
      </x:c>
      <x:c r="G2586" t="str">
        <x:v>DCF_SCREENING_EXCLUSION</x:v>
      </x:c>
      <x:c r="H2586" t="str">
        <x:v>NON_POSITIVE_ENTERPRISE_VALUE|NON_POSITIVE_EQUITY_VALUE|NON_POSITIVE_TERMINAL_FCF</x:v>
      </x:c>
      <x:c r="I2586" s="54" t="n">
        <x:v>45471</x:v>
      </x:c>
      <x:c r="J2586" s="55" t="n">
        <x:v>1211</x:v>
      </x:c>
      <x:c r="K2586" s="55" t="n">
        <x:v>88537657145</x:v>
      </x:c>
      <x:c r="L2586" s="55" t="n">
        <x:v>73111195</x:v>
      </x:c>
      <x:c r="M2586" t="str">
        <x:v>20240321001113</x:v>
      </x:c>
      <x:c r="N2586" t="n">
        <x:v>45372.624999988424</x:v>
      </x:c>
      <x:c r="O2586" s="54" t="n">
        <x:v>45291</x:v>
      </x:c>
      <x:c r="P2586" t="str">
        <x:v>False</x:v>
      </x:c>
      <x:c r="Q2586" t="str">
        <x:v>e6e54bed3ead79b641dcaa9bf885e9e250dabc02777af1069689273f4df3cb72</x:v>
      </x:c>
      <x:c r="R2586" t="str">
        <x:v>79d7dbebfb369b6a4f104b9f12e2ef3dd5e57ae35ac5295fc565aca4497da4b0</x:v>
      </x:c>
      <x:c r="S2586" t="n">
        <x:v>7</x:v>
      </x:c>
      <x:c r="T2586" t="str">
        <x:v>2018-12-31|2019-12-31|2020-12-31|2021-12-31|2022-12-31|2023-12-31</x:v>
      </x:c>
      <x:c r="U2586" s="57" t="n">
        <x:v>-547.2185068261356</x:v>
      </x:c>
      <x:c r="V2586" s="57" t="n">
        <x:v>-1.4518732508886338</x:v>
      </x:c>
      <x:c r="W2586"/>
      <x:c r="X2586"/>
      <x:c r="Y2586" s="38" t="n">
        <x:v>0.6409090909090909</x:v>
      </x:c>
      <x:c r="Z2586" s="38" t="n">
        <x:v>0.35474198726081796</x:v>
      </x:c>
      <x:c r="AA2586" t="str">
        <x:v>NON_POSITIVE_ENTERPRISE_VALUE|NON_POSITIVE_EQUITY_VALUE|NON_POSITIVE_TERMINAL_FCF</x:v>
      </x:c>
    </x:row>
    <x:row r="2587">
      <x:c r="A2587" s="54" t="n">
        <x:v>45473</x:v>
      </x:c>
      <x:c r="B2587" t="n">
        <x:v>45473.624999988424</x:v>
      </x:c>
      <x:c r="C2587" t="str">
        <x:v>018500</x:v>
      </x:c>
      <x:c r="D2587" t="str">
        <x:v>동원금속</x:v>
      </x:c>
      <x:c r="E2587" t="str">
        <x:v>KOSPI</x:v>
      </x:c>
      <x:c r="F2587" t="str">
        <x:v>SMALL</x:v>
      </x:c>
      <x:c r="G2587" t="str">
        <x:v>DCF_SCREENING_EXCLUSION</x:v>
      </x:c>
      <x:c r="H2587" t="str">
        <x:v>NON_POSITIVE_EQUITY_VALUE|NON_POSITIVE_TERMINAL_FCF|UNRELIABLE_TERMINAL_VALUE_SHARE</x:v>
      </x:c>
      <x:c r="I2587" s="54" t="n">
        <x:v>45471</x:v>
      </x:c>
      <x:c r="J2587" s="55" t="n">
        <x:v>1767</x:v>
      </x:c>
      <x:c r="K2587" s="55" t="n">
        <x:v>82615966611</x:v>
      </x:c>
      <x:c r="L2587" s="55" t="n">
        <x:v>46754933</x:v>
      </x:c>
      <x:c r="M2587" t="str">
        <x:v>20240619000177</x:v>
      </x:c>
      <x:c r="N2587" t="n">
        <x:v>45462.624999988424</x:v>
      </x:c>
      <x:c r="O2587" s="54" t="n">
        <x:v>45382</x:v>
      </x:c>
      <x:c r="P2587" t="str">
        <x:v>False</x:v>
      </x:c>
      <x:c r="Q2587" t="str">
        <x:v>8a03c200412751313e60676f690eeaccfa94e6e2d3d5c91635efb46b2b4c556a</x:v>
      </x:c>
      <x:c r="R2587" t="str">
        <x:v>221c2a022065bc5e4b98f0ad26e589d1263a832088a1015b66150b62c26290ba</x:v>
      </x:c>
      <x:c r="S2587" t="n">
        <x:v>6</x:v>
      </x:c>
      <x:c r="T2587" t="str">
        <x:v>2019-03-31|2020-03-31|2021-03-31|2022-03-31|2023-03-31|2024-03-31</x:v>
      </x:c>
      <x:c r="U2587" s="57" t="n">
        <x:v>-2219.933760496447</x:v>
      </x:c>
      <x:c r="V2587" s="57" t="n">
        <x:v>-2.2563292362741634</x:v>
      </x:c>
      <x:c r="W2587"/>
      <x:c r="X2587"/>
      <x:c r="Y2587" s="38" t="n">
        <x:v>0.6409090909090909</x:v>
      </x:c>
      <x:c r="Z2587" s="38" t="n">
        <x:v>-3.12237275670015</x:v>
      </x:c>
      <x:c r="AA2587" t="str">
        <x:v>NON_POSITIVE_EQUITY_VALUE|NON_POSITIVE_TERMINAL_FCF|UNRELIABLE_TERMINAL_VALUE_SHARE</x:v>
      </x:c>
    </x:row>
    <x:row r="2588">
      <x:c r="A2588" s="54" t="n">
        <x:v>45473</x:v>
      </x:c>
      <x:c r="B2588" t="n">
        <x:v>45473.624999988424</x:v>
      </x:c>
      <x:c r="C2588" t="str">
        <x:v>004770</x:v>
      </x:c>
      <x:c r="D2588" t="str">
        <x:v>써니전자</x:v>
      </x:c>
      <x:c r="E2588" t="str">
        <x:v>KOSPI</x:v>
      </x:c>
      <x:c r="F2588" t="str">
        <x:v>SMALL</x:v>
      </x:c>
      <x:c r="G2588" t="str">
        <x:v>ELIGIBLE</x:v>
      </x:c>
      <x:c r="H2588"/>
      <x:c r="I2588" s="54" t="n">
        <x:v>45471</x:v>
      </x:c>
      <x:c r="J2588" s="55" t="n">
        <x:v>1688</x:v>
      </x:c>
      <x:c r="K2588" s="55" t="n">
        <x:v>61954468192</x:v>
      </x:c>
      <x:c r="L2588" s="55" t="n">
        <x:v>36702884</x:v>
      </x:c>
      <x:c r="M2588" t="str">
        <x:v>20240315000788</x:v>
      </x:c>
      <x:c r="N2588" t="n">
        <x:v>45366.624999988424</x:v>
      </x:c>
      <x:c r="O2588" s="54" t="n">
        <x:v>45291</x:v>
      </x:c>
      <x:c r="P2588" t="str">
        <x:v>False</x:v>
      </x:c>
      <x:c r="Q2588" t="str">
        <x:v>0544811db3a63a737bc4d70e35346fc713260dec75bbb31fcb5f31956b594c3b</x:v>
      </x:c>
      <x:c r="R2588" t="str">
        <x:v>a1c9a750bde13ec833ca5635cea9dbd013b7b5019f5834642dee0c44fba92da7</x:v>
      </x:c>
      <x:c r="S2588" t="n">
        <x:v>7</x:v>
      </x:c>
      <x:c r="T2588" t="str">
        <x:v>2018-12-31|2019-12-31|2020-12-31|2021-12-31|2022-12-31|2023-12-31</x:v>
      </x:c>
      <x:c r="U2588" s="57" t="n">
        <x:v>316.3274961914687</x:v>
      </x:c>
      <x:c r="V2588" s="57" t="n">
        <x:v>-0.8126021941993669</x:v>
      </x:c>
      <x:c r="W2588" t="n">
        <x:v>60</x:v>
      </x:c>
      <x:c r="X2588" t="n">
        <x:v>5</x:v>
      </x:c>
      <x:c r="Y2588" s="38" t="n">
        <x:v>0.6409090909090909</x:v>
      </x:c>
      <x:c r="Z2588" s="38" t="n">
        <x:v>0.6338544069218005</x:v>
      </x:c>
      <x:c r="AA2588"/>
    </x:row>
    <x:row r="2589">
      <x:c r="A2589" s="54" t="n">
        <x:v>45473</x:v>
      </x:c>
      <x:c r="B2589" t="n">
        <x:v>45473.624999988424</x:v>
      </x:c>
      <x:c r="C2589" t="str">
        <x:v>000890</x:v>
      </x:c>
      <x:c r="D2589" t="str">
        <x:v>보해양조</x:v>
      </x:c>
      <x:c r="E2589" t="str">
        <x:v>KOSPI</x:v>
      </x:c>
      <x:c r="F2589" t="str">
        <x:v>SMALL</x:v>
      </x:c>
      <x:c r="G2589" t="str">
        <x:v>DCF_SCREENING_EXCLUSION</x:v>
      </x:c>
      <x:c r="H2589" t="str">
        <x:v>NON_POSITIVE_ENTERPRISE_VALUE|NON_POSITIVE_EQUITY_VALUE|NON_POSITIVE_TERMINAL_FCF</x:v>
      </x:c>
      <x:c r="I2589" s="54" t="n">
        <x:v>45471</x:v>
      </x:c>
      <x:c r="J2589" s="55" t="n">
        <x:v>485</x:v>
      </x:c>
      <x:c r="K2589" s="55" t="n">
        <x:v>67473262565</x:v>
      </x:c>
      <x:c r="L2589" s="55" t="n">
        <x:v>139120129</x:v>
      </x:c>
      <x:c r="M2589" t="str">
        <x:v>20240318000717</x:v>
      </x:c>
      <x:c r="N2589" t="n">
        <x:v>45369.624999988424</x:v>
      </x:c>
      <x:c r="O2589" s="54" t="n">
        <x:v>45291</x:v>
      </x:c>
      <x:c r="P2589" t="str">
        <x:v>False</x:v>
      </x:c>
      <x:c r="Q2589" t="str">
        <x:v>b3c53e350bf9c01281e3b16751eaf662806bd4057ff6ed366c302b963d5d04e6</x:v>
      </x:c>
      <x:c r="R2589" t="str">
        <x:v>d0bad0e1706d964a5181b87f8d24979625906c140d943a25500018c037301fa0</x:v>
      </x:c>
      <x:c r="S2589" t="n">
        <x:v>6</x:v>
      </x:c>
      <x:c r="T2589" t="str">
        <x:v>2018-12-31|2019-12-31|2020-12-31|2021-12-31|2022-12-31|2023-12-31</x:v>
      </x:c>
      <x:c r="U2589" s="57" t="n">
        <x:v>-394.1806390797659</x:v>
      </x:c>
      <x:c r="V2589" s="57" t="n">
        <x:v>-1.812743585731476</x:v>
      </x:c>
      <x:c r="W2589"/>
      <x:c r="X2589"/>
      <x:c r="Y2589" s="38" t="n">
        <x:v>0.6409090909090909</x:v>
      </x:c>
      <x:c r="Z2589" s="38" t="n">
        <x:v>0.5713667037677271</x:v>
      </x:c>
      <x:c r="AA2589" t="str">
        <x:v>NON_POSITIVE_ENTERPRISE_VALUE|NON_POSITIVE_EQUITY_VALUE|NON_POSITIVE_TERMINAL_FCF</x:v>
      </x:c>
    </x:row>
    <x:row r="2590">
      <x:c r="A2590" s="54" t="n">
        <x:v>45473</x:v>
      </x:c>
      <x:c r="B2590" t="n">
        <x:v>45473.624999988424</x:v>
      </x:c>
      <x:c r="C2590" t="str">
        <x:v>021050</x:v>
      </x:c>
      <x:c r="D2590" t="str">
        <x:v>서원</x:v>
      </x:c>
      <x:c r="E2590" t="str">
        <x:v>KOSPI</x:v>
      </x:c>
      <x:c r="F2590" t="str">
        <x:v>SMALL</x:v>
      </x:c>
      <x:c r="G2590" t="str">
        <x:v>DCF_SCREENING_EXCLUSION</x:v>
      </x:c>
      <x:c r="H2590" t="str">
        <x:v>NON_POSITIVE_EQUITY_VALUE</x:v>
      </x:c>
      <x:c r="I2590" s="54" t="n">
        <x:v>45471</x:v>
      </x:c>
      <x:c r="J2590" s="55" t="n">
        <x:v>1354</x:v>
      </x:c>
      <x:c r="K2590" s="55" t="n">
        <x:v>64280594860</x:v>
      </x:c>
      <x:c r="L2590" s="55" t="n">
        <x:v>47474590</x:v>
      </x:c>
      <x:c r="M2590" t="str">
        <x:v>20240320000669</x:v>
      </x:c>
      <x:c r="N2590" t="n">
        <x:v>45371.624999988424</x:v>
      </x:c>
      <x:c r="O2590" s="54" t="n">
        <x:v>45291</x:v>
      </x:c>
      <x:c r="P2590" t="str">
        <x:v>False</x:v>
      </x:c>
      <x:c r="Q2590" t="str">
        <x:v>13707779d33111bbbaa4b1cda7b65a9d917cfde93d6321bdaf18f2aa8c3fbf7d</x:v>
      </x:c>
      <x:c r="R2590" t="str">
        <x:v>0d3dc2f27a1014934f6fa3b2a755f1a6003dcd24254b2aa3015fc492d5b2bc72</x:v>
      </x:c>
      <x:c r="S2590" t="n">
        <x:v>6</x:v>
      </x:c>
      <x:c r="T2590" t="str">
        <x:v>2018-12-31|2019-12-31|2020-12-31|2021-12-31|2022-12-31|2023-12-31</x:v>
      </x:c>
      <x:c r="U2590" s="57" t="n">
        <x:v>-1207.9812308175005</x:v>
      </x:c>
      <x:c r="V2590" s="57" t="n">
        <x:v>-1.892157482139956</x:v>
      </x:c>
      <x:c r="W2590"/>
      <x:c r="X2590"/>
      <x:c r="Y2590" s="38" t="n">
        <x:v>0.6409090909090909</x:v>
      </x:c>
      <x:c r="Z2590" s="38" t="n">
        <x:v>0.8019023146303658</x:v>
      </x:c>
      <x:c r="AA2590" t="str">
        <x:v>NON_POSITIVE_EQUITY_VALUE</x:v>
      </x:c>
    </x:row>
    <x:row r="2591">
      <x:c r="A2591" s="54" t="n">
        <x:v>45473</x:v>
      </x:c>
      <x:c r="B2591" t="n">
        <x:v>45473.624999988424</x:v>
      </x:c>
      <x:c r="C2591" t="str">
        <x:v>134790</x:v>
      </x:c>
      <x:c r="D2591" t="str">
        <x:v>시디즈</x:v>
      </x:c>
      <x:c r="E2591" t="str">
        <x:v>KOSPI</x:v>
      </x:c>
      <x:c r="F2591" t="str">
        <x:v>SMALL</x:v>
      </x:c>
      <x:c r="G2591" t="str">
        <x:v>DCF_SCREENING_EXCLUSION</x:v>
      </x:c>
      <x:c r="H2591" t="str">
        <x:v>UNRELIABLE_TERMINAL_VALUE_SHARE</x:v>
      </x:c>
      <x:c r="I2591" s="54" t="n">
        <x:v>45471</x:v>
      </x:c>
      <x:c r="J2591" s="55" t="n">
        <x:v>28500</x:v>
      </x:c>
      <x:c r="K2591" s="55" t="n">
        <x:v>57000000000</x:v>
      </x:c>
      <x:c r="L2591" s="55" t="n">
        <x:v>2000000</x:v>
      </x:c>
      <x:c r="M2591" t="str">
        <x:v>20240321001589</x:v>
      </x:c>
      <x:c r="N2591" t="n">
        <x:v>45372.624999988424</x:v>
      </x:c>
      <x:c r="O2591" s="54" t="n">
        <x:v>45291</x:v>
      </x:c>
      <x:c r="P2591" t="str">
        <x:v>False</x:v>
      </x:c>
      <x:c r="Q2591" t="str">
        <x:v>71fd6eaec2fa751df2f680d2a9892f3a2c6083cce0eda5a28afa1df0f798582f</x:v>
      </x:c>
      <x:c r="R2591" t="str">
        <x:v>c0df1fe29e63e10e52d6d574ce4d4a6fec7a8e932a7232f34910265e23beab7d</x:v>
      </x:c>
      <x:c r="S2591" t="n">
        <x:v>6</x:v>
      </x:c>
      <x:c r="T2591" t="str">
        <x:v>2018-12-31|2019-12-31|2020-12-31|2021-12-31|2022-12-31|2023-12-31</x:v>
      </x:c>
      <x:c r="U2591" s="57" t="n">
        <x:v>20770.659888979455</x:v>
      </x:c>
      <x:c r="V2591" s="57" t="n">
        <x:v>-0.2712049161761595</x:v>
      </x:c>
      <x:c r="W2591"/>
      <x:c r="X2591"/>
      <x:c r="Y2591" s="38" t="n">
        <x:v>0.6409090909090909</x:v>
      </x:c>
      <x:c r="Z2591" s="38" t="n">
        <x:v>0.982914719870955</x:v>
      </x:c>
      <x:c r="AA2591" t="str">
        <x:v>UNRELIABLE_TERMINAL_VALUE_SHARE</x:v>
      </x:c>
    </x:row>
    <x:row r="2592">
      <x:c r="A2592" s="54" t="n">
        <x:v>45473</x:v>
      </x:c>
      <x:c r="B2592" t="n">
        <x:v>45473.624999988424</x:v>
      </x:c>
      <x:c r="C2592" t="str">
        <x:v>004920</x:v>
      </x:c>
      <x:c r="D2592" t="str">
        <x:v>씨아이테크</x:v>
      </x:c>
      <x:c r="E2592" t="str">
        <x:v>KOSPI</x:v>
      </x:c>
      <x:c r="F2592" t="str">
        <x:v>SMALL</x:v>
      </x:c>
      <x:c r="G2592" t="str">
        <x:v>DCF_SCREENING_EXCLUSION</x:v>
      </x:c>
      <x:c r="H2592" t="str">
        <x:v>NON_POSITIVE_ENTERPRISE_VALUE|NON_POSITIVE_EQUITY_VALUE|NON_POSITIVE_TERMINAL_FCF</x:v>
      </x:c>
      <x:c r="I2592" s="54" t="n">
        <x:v>45471</x:v>
      </x:c>
      <x:c r="J2592" s="55" t="n">
        <x:v>1114</x:v>
      </x:c>
      <x:c r="K2592" s="55" t="n">
        <x:v>55773293402</x:v>
      </x:c>
      <x:c r="L2592" s="55" t="n">
        <x:v>50065793</x:v>
      </x:c>
      <x:c r="M2592" t="str">
        <x:v>20230320000388</x:v>
      </x:c>
      <x:c r="N2592" t="n">
        <x:v>45005.624999988424</x:v>
      </x:c>
      <x:c r="O2592" s="54" t="n">
        <x:v>44926</x:v>
      </x:c>
      <x:c r="P2592" t="str">
        <x:v>False</x:v>
      </x:c>
      <x:c r="Q2592" t="str">
        <x:v>9d171d492d7f298cc2edf609b66dec5acde94c9a7fd778fd9b9fdec668887cd8</x:v>
      </x:c>
      <x:c r="R2592" t="str">
        <x:v>9302036e2699fc3141df99cf16ef66f975b5f1d676b5bebd06e6278c021f59d3</x:v>
      </x:c>
      <x:c r="S2592" t="n">
        <x:v>6</x:v>
      </x:c>
      <x:c r="T2592" t="str">
        <x:v>2018-12-31|2019-12-31|2020-12-31|2021-12-31|2022-12-31</x:v>
      </x:c>
      <x:c r="U2592" s="57" t="n">
        <x:v>-1040.053216400551</x:v>
      </x:c>
      <x:c r="V2592" s="57" t="n">
        <x:v>-1.9336204815085738</x:v>
      </x:c>
      <x:c r="W2592"/>
      <x:c r="X2592"/>
      <x:c r="Y2592" s="38" t="n">
        <x:v>0.6409090909090909</x:v>
      </x:c>
      <x:c r="Z2592" s="38" t="n">
        <x:v>0.6703860416593708</x:v>
      </x:c>
      <x:c r="AA2592" t="str">
        <x:v>NON_POSITIVE_ENTERPRISE_VALUE|NON_POSITIVE_EQUITY_VALUE|NON_POSITIVE_TERMINAL_FCF</x:v>
      </x:c>
    </x:row>
    <x:row r="2593">
      <x:c r="A2593" s="54" t="n">
        <x:v>45473</x:v>
      </x:c>
      <x:c r="B2593" t="n">
        <x:v>45473.624999988424</x:v>
      </x:c>
      <x:c r="C2593" t="str">
        <x:v>058730</x:v>
      </x:c>
      <x:c r="D2593" t="str">
        <x:v>다스코</x:v>
      </x:c>
      <x:c r="E2593" t="str">
        <x:v>KOSPI</x:v>
      </x:c>
      <x:c r="F2593" t="str">
        <x:v>SMALL</x:v>
      </x:c>
      <x:c r="G2593" t="str">
        <x:v>ELIGIBLE</x:v>
      </x:c>
      <x:c r="H2593"/>
      <x:c r="I2593" s="54" t="n">
        <x:v>45471</x:v>
      </x:c>
      <x:c r="J2593" s="55" t="n">
        <x:v>3120</x:v>
      </x:c>
      <x:c r="K2593" s="55" t="n">
        <x:v>60518455920</x:v>
      </x:c>
      <x:c r="L2593" s="55" t="n">
        <x:v>19396941</x:v>
      </x:c>
      <x:c r="M2593" t="str">
        <x:v>20240318000513</x:v>
      </x:c>
      <x:c r="N2593" t="n">
        <x:v>45369.624999988424</x:v>
      </x:c>
      <x:c r="O2593" s="54" t="n">
        <x:v>45291</x:v>
      </x:c>
      <x:c r="P2593" t="str">
        <x:v>False</x:v>
      </x:c>
      <x:c r="Q2593" t="str">
        <x:v>b1799d56761d7ad862919dc211fd8cc6521f964950ecb3c50cc9a511ff9d9af9</x:v>
      </x:c>
      <x:c r="R2593" t="str">
        <x:v>87b0088345015d392662a0f86392f19a7771af40288322e29d996059398d1793</x:v>
      </x:c>
      <x:c r="S2593" t="n">
        <x:v>7</x:v>
      </x:c>
      <x:c r="T2593" t="str">
        <x:v>2019-12-31|2020-12-31|2021-12-31|2022-12-31|2023-12-31</x:v>
      </x:c>
      <x:c r="U2593" s="57" t="n">
        <x:v>553.2546543946439</x:v>
      </x:c>
      <x:c r="V2593" s="57" t="n">
        <x:v>-0.822674790258127</x:v>
      </x:c>
      <x:c r="W2593" t="n">
        <x:v>61</x:v>
      </x:c>
      <x:c r="X2593" t="n">
        <x:v>5</x:v>
      </x:c>
      <x:c r="Y2593" s="38" t="n">
        <x:v>0.6409090909090909</x:v>
      </x:c>
      <x:c r="Z2593" s="38" t="n">
        <x:v>0.144991969908655</x:v>
      </x:c>
      <x:c r="AA2593"/>
    </x:row>
    <x:row r="2594">
      <x:c r="A2594" s="54" t="n">
        <x:v>45473</x:v>
      </x:c>
      <x:c r="B2594" t="n">
        <x:v>45473.624999988424</x:v>
      </x:c>
      <x:c r="C2594" t="str">
        <x:v>465770</x:v>
      </x:c>
      <x:c r="D2594" t="str">
        <x:v>STX그린로지스</x:v>
      </x:c>
      <x:c r="E2594" t="str">
        <x:v>KOSPI</x:v>
      </x:c>
      <x:c r="F2594" t="str">
        <x:v>SMALL</x:v>
      </x:c>
      <x:c r="G2594" t="str">
        <x:v>NO_PIT_FINANCIALS</x:v>
      </x:c>
      <x:c r="H2594"/>
      <x:c r="I2594" s="54" t="n">
        <x:v>45471</x:v>
      </x:c>
      <x:c r="J2594" s="55" t="n">
        <x:v>14990</x:v>
      </x:c>
      <x:c r="K2594" s="55" t="n">
        <x:v>107493769680</x:v>
      </x:c>
      <x:c r="L2594" s="55" t="n">
        <x:v>7171032</x:v>
      </x:c>
      <x:c r="M2594"/>
      <x:c r="N2594"/>
      <x:c r="O2594" s="54"/>
      <x:c r="P2594"/>
      <x:c r="Q2594"/>
      <x:c r="R2594"/>
      <x:c r="S2594"/>
      <x:c r="T2594"/>
      <x:c r="U2594" s="57"/>
      <x:c r="V2594" s="57"/>
      <x:c r="W2594"/>
      <x:c r="X2594"/>
      <x:c r="Y2594" s="38"/>
      <x:c r="Z2594" s="38"/>
      <x:c r="AA2594"/>
    </x:row>
    <x:row r="2595">
      <x:c r="A2595" s="54" t="n">
        <x:v>45473</x:v>
      </x:c>
      <x:c r="B2595" t="n">
        <x:v>45473.624999988424</x:v>
      </x:c>
      <x:c r="C2595" t="str">
        <x:v>000950</x:v>
      </x:c>
      <x:c r="D2595" t="str">
        <x:v>전방</x:v>
      </x:c>
      <x:c r="E2595" t="str">
        <x:v>KOSPI</x:v>
      </x:c>
      <x:c r="F2595" t="str">
        <x:v>SMALL</x:v>
      </x:c>
      <x:c r="G2595" t="str">
        <x:v>DCF_SCREENING_EXCLUSION</x:v>
      </x:c>
      <x:c r="H2595" t="str">
        <x:v>NON_POSITIVE_ENTERPRISE_VALUE|NON_POSITIVE_EQUITY_VALUE|NON_POSITIVE_TERMINAL_FCF</x:v>
      </x:c>
      <x:c r="I2595" s="54" t="n">
        <x:v>45471</x:v>
      </x:c>
      <x:c r="J2595" s="55" t="n">
        <x:v>21150</x:v>
      </x:c>
      <x:c r="K2595" s="55" t="n">
        <x:v>35532000000</x:v>
      </x:c>
      <x:c r="L2595" s="55" t="n">
        <x:v>1680000</x:v>
      </x:c>
      <x:c r="M2595" t="str">
        <x:v>20240314001271</x:v>
      </x:c>
      <x:c r="N2595" t="n">
        <x:v>45365.624999988424</x:v>
      </x:c>
      <x:c r="O2595" s="54" t="n">
        <x:v>45291</x:v>
      </x:c>
      <x:c r="P2595" t="str">
        <x:v>False</x:v>
      </x:c>
      <x:c r="Q2595" t="str">
        <x:v>58dd3829eabf7b7557a79f6277780d6fea8d93e254fedd7f7680ba0df8f4675c</x:v>
      </x:c>
      <x:c r="R2595" t="str">
        <x:v>1b68ef9c2f30834bc0f16435717c9a7b7df2117d2d5a38b8e79c1ffa58a0745e</x:v>
      </x:c>
      <x:c r="S2595" t="n">
        <x:v>6</x:v>
      </x:c>
      <x:c r="T2595" t="str">
        <x:v>2018-12-31|2019-12-31|2020-12-31|2021-12-31|2022-12-31|2023-12-31</x:v>
      </x:c>
      <x:c r="U2595" s="57" t="n">
        <x:v>-85707.24367455572</x:v>
      </x:c>
      <x:c r="V2595" s="57" t="n">
        <x:v>-5.052351946787504</x:v>
      </x:c>
      <x:c r="W2595"/>
      <x:c r="X2595"/>
      <x:c r="Y2595" s="38" t="n">
        <x:v>0.6409090909090909</x:v>
      </x:c>
      <x:c r="Z2595" s="38" t="n">
        <x:v>0.6421691932697219</x:v>
      </x:c>
      <x:c r="AA2595" t="str">
        <x:v>NON_POSITIVE_ENTERPRISE_VALUE|NON_POSITIVE_EQUITY_VALUE|NON_POSITIVE_TERMINAL_FCF</x:v>
      </x:c>
    </x:row>
    <x:row r="2596">
      <x:c r="A2596" s="54" t="n">
        <x:v>45473</x:v>
      </x:c>
      <x:c r="B2596" t="n">
        <x:v>45473.624999988424</x:v>
      </x:c>
      <x:c r="C2596" t="str">
        <x:v>019180</x:v>
      </x:c>
      <x:c r="D2596" t="str">
        <x:v>티에이치엔</x:v>
      </x:c>
      <x:c r="E2596" t="str">
        <x:v>KOSPI</x:v>
      </x:c>
      <x:c r="F2596" t="str">
        <x:v>SMALL</x:v>
      </x:c>
      <x:c r="G2596" t="str">
        <x:v>ELIGIBLE</x:v>
      </x:c>
      <x:c r="H2596"/>
      <x:c r="I2596" s="54" t="n">
        <x:v>45471</x:v>
      </x:c>
      <x:c r="J2596" s="55" t="n">
        <x:v>3655</x:v>
      </x:c>
      <x:c r="K2596" s="55" t="n">
        <x:v>65790000000</x:v>
      </x:c>
      <x:c r="L2596" s="55" t="n">
        <x:v>18000000</x:v>
      </x:c>
      <x:c r="M2596" t="str">
        <x:v>20240320001057</x:v>
      </x:c>
      <x:c r="N2596" t="n">
        <x:v>45371.624999988424</x:v>
      </x:c>
      <x:c r="O2596" s="54" t="n">
        <x:v>45291</x:v>
      </x:c>
      <x:c r="P2596" t="str">
        <x:v>False</x:v>
      </x:c>
      <x:c r="Q2596" t="str">
        <x:v>94d5fe5e3b01bada9704628e28b7efc42c3ba8cc94dbf7d4b5665bbc34322aad</x:v>
      </x:c>
      <x:c r="R2596" t="str">
        <x:v>f17a34203fcc300e5e982172224dc617873eefc397c933b83156654f242224d3</x:v>
      </x:c>
      <x:c r="S2596" t="n">
        <x:v>6</x:v>
      </x:c>
      <x:c r="T2596" t="str">
        <x:v>2018-12-31|2019-12-31|2020-12-31|2021-12-31|2022-12-31|2023-12-31</x:v>
      </x:c>
      <x:c r="U2596" s="57" t="n">
        <x:v>6739.232065289754</x:v>
      </x:c>
      <x:c r="V2596" s="57" t="n">
        <x:v>0.843839142350138</x:v>
      </x:c>
      <x:c r="W2596" t="n">
        <x:v>16</x:v>
      </x:c>
      <x:c r="X2596" t="n">
        <x:v>2</x:v>
      </x:c>
      <x:c r="Y2596" s="38" t="n">
        <x:v>0.6409090909090909</x:v>
      </x:c>
      <x:c r="Z2596" s="38" t="n">
        <x:v>0.5164052084034038</x:v>
      </x:c>
      <x:c r="AA2596"/>
    </x:row>
    <x:row r="2597">
      <x:c r="A2597" s="54" t="n">
        <x:v>45473</x:v>
      </x:c>
      <x:c r="B2597" t="n">
        <x:v>45473.624999988424</x:v>
      </x:c>
      <x:c r="C2597" t="str">
        <x:v>020760</x:v>
      </x:c>
      <x:c r="D2597" t="str">
        <x:v>일진디스플</x:v>
      </x:c>
      <x:c r="E2597" t="str">
        <x:v>KOSPI</x:v>
      </x:c>
      <x:c r="F2597" t="str">
        <x:v>SMALL</x:v>
      </x:c>
      <x:c r="G2597" t="str">
        <x:v>DCF_SCREENING_EXCLUSION</x:v>
      </x:c>
      <x:c r="H2597" t="str">
        <x:v>NON_POSITIVE_ENTERPRISE_VALUE|NON_POSITIVE_EQUITY_VALUE|NON_POSITIVE_TERMINAL_FCF</x:v>
      </x:c>
      <x:c r="I2597" s="54" t="n">
        <x:v>45471</x:v>
      </x:c>
      <x:c r="J2597" s="55" t="n">
        <x:v>1155</x:v>
      </x:c>
      <x:c r="K2597" s="55" t="n">
        <x:v>59498370855</x:v>
      </x:c>
      <x:c r="L2597" s="55" t="n">
        <x:v>51513741</x:v>
      </x:c>
      <x:c r="M2597" t="str">
        <x:v>20240321001473</x:v>
      </x:c>
      <x:c r="N2597" t="n">
        <x:v>45372.624999988424</x:v>
      </x:c>
      <x:c r="O2597" s="54" t="n">
        <x:v>45291</x:v>
      </x:c>
      <x:c r="P2597" t="str">
        <x:v>False</x:v>
      </x:c>
      <x:c r="Q2597" t="str">
        <x:v>9c995e89352a2b5cdf57277db2a8c3ca65806474ba5d0affbd8494974407d338</x:v>
      </x:c>
      <x:c r="R2597" t="str">
        <x:v>879cec65b290be0c02ae6330fa19167fcbdbc44efbecfea1dfd7cc79f1597e76</x:v>
      </x:c>
      <x:c r="S2597" t="n">
        <x:v>6</x:v>
      </x:c>
      <x:c r="T2597" t="str">
        <x:v>2018-12-31|2019-12-31|2020-12-31|2021-12-31|2022-12-31|2023-12-31</x:v>
      </x:c>
      <x:c r="U2597" s="57" t="n">
        <x:v>-2349.731108985517</x:v>
      </x:c>
      <x:c r="V2597" s="57" t="n">
        <x:v>-3.034399228558889</x:v>
      </x:c>
      <x:c r="W2597"/>
      <x:c r="X2597"/>
      <x:c r="Y2597" s="38" t="n">
        <x:v>0.6409090909090909</x:v>
      </x:c>
      <x:c r="Z2597" s="38" t="n">
        <x:v>0.6581502733436171</x:v>
      </x:c>
      <x:c r="AA2597" t="str">
        <x:v>NON_POSITIVE_ENTERPRISE_VALUE|NON_POSITIVE_EQUITY_VALUE|NON_POSITIVE_TERMINAL_FCF</x:v>
      </x:c>
    </x:row>
    <x:row r="2598">
      <x:c r="A2598" s="54" t="n">
        <x:v>45473</x:v>
      </x:c>
      <x:c r="B2598" t="n">
        <x:v>45473.624999988424</x:v>
      </x:c>
      <x:c r="C2598" t="str">
        <x:v>069640</x:v>
      </x:c>
      <x:c r="D2598" t="str">
        <x:v>한세엠케이</x:v>
      </x:c>
      <x:c r="E2598" t="str">
        <x:v>KOSPI</x:v>
      </x:c>
      <x:c r="F2598" t="str">
        <x:v>SMALL</x:v>
      </x:c>
      <x:c r="G2598" t="str">
        <x:v>DCF_SCREENING_EXCLUSION</x:v>
      </x:c>
      <x:c r="H2598" t="str">
        <x:v>NON_POSITIVE_ENTERPRISE_VALUE|NON_POSITIVE_EQUITY_VALUE|NON_POSITIVE_TERMINAL_FCF</x:v>
      </x:c>
      <x:c r="I2598" s="54" t="n">
        <x:v>45471</x:v>
      </x:c>
      <x:c r="J2598" s="55" t="n">
        <x:v>2010</x:v>
      </x:c>
      <x:c r="K2598" s="55" t="n">
        <x:v>60514069020</x:v>
      </x:c>
      <x:c r="L2598" s="55" t="n">
        <x:v>30106502</x:v>
      </x:c>
      <x:c r="M2598" t="str">
        <x:v>20240321000107</x:v>
      </x:c>
      <x:c r="N2598" t="n">
        <x:v>45372.624999988424</x:v>
      </x:c>
      <x:c r="O2598" s="54" t="n">
        <x:v>45291</x:v>
      </x:c>
      <x:c r="P2598" t="str">
        <x:v>True</x:v>
      </x:c>
      <x:c r="Q2598" t="str">
        <x:v>c6c624ecad0caf29ef149a109a8c52a53ae799047eaff9c1c4473581418c8825</x:v>
      </x:c>
      <x:c r="R2598" t="str">
        <x:v>171f558e1151da07ffa10f911a581cd7b1da5c947fc9be89af3d7c8100a922cf</x:v>
      </x:c>
      <x:c r="S2598" t="n">
        <x:v>6</x:v>
      </x:c>
      <x:c r="T2598" t="str">
        <x:v>2018-12-31|2019-12-31|2020-12-31|2021-12-31|2022-12-31|2023-12-31</x:v>
      </x:c>
      <x:c r="U2598" s="57" t="n">
        <x:v>-8034.13585691119</x:v>
      </x:c>
      <x:c r="V2598" s="57" t="n">
        <x:v>-4.9970825158762135</x:v>
      </x:c>
      <x:c r="W2598"/>
      <x:c r="X2598"/>
      <x:c r="Y2598" s="38" t="n">
        <x:v>0.6409090909090909</x:v>
      </x:c>
      <x:c r="Z2598" s="38" t="n">
        <x:v>0.7685873680556787</x:v>
      </x:c>
      <x:c r="AA2598" t="str">
        <x:v>NON_POSITIVE_ENTERPRISE_VALUE|NON_POSITIVE_EQUITY_VALUE|NON_POSITIVE_TERMINAL_FCF</x:v>
      </x:c>
    </x:row>
    <x:row r="2599">
      <x:c r="A2599" s="54" t="n">
        <x:v>45473</x:v>
      </x:c>
      <x:c r="B2599" t="n">
        <x:v>45473.624999988424</x:v>
      </x:c>
      <x:c r="C2599" t="str">
        <x:v>000040</x:v>
      </x:c>
      <x:c r="D2599" t="str">
        <x:v>KR모터스</x:v>
      </x:c>
      <x:c r="E2599" t="str">
        <x:v>KOSPI</x:v>
      </x:c>
      <x:c r="F2599" t="str">
        <x:v>SMALL</x:v>
      </x:c>
      <x:c r="G2599" t="str">
        <x:v>DCF_SCREENING_EXCLUSION</x:v>
      </x:c>
      <x:c r="H2599" t="str">
        <x:v>NON_POSITIVE_ENTERPRISE_VALUE|NON_POSITIVE_EQUITY_VALUE|NON_POSITIVE_TERMINAL_FCF</x:v>
      </x:c>
      <x:c r="I2599" s="54" t="n">
        <x:v>45471</x:v>
      </x:c>
      <x:c r="J2599" s="55" t="n">
        <x:v>654</x:v>
      </x:c>
      <x:c r="K2599" s="55" t="n">
        <x:v>39326895672</x:v>
      </x:c>
      <x:c r="L2599" s="55" t="n">
        <x:v>60132868</x:v>
      </x:c>
      <x:c r="M2599" t="str">
        <x:v>20240321002062</x:v>
      </x:c>
      <x:c r="N2599" t="n">
        <x:v>45372.624999988424</x:v>
      </x:c>
      <x:c r="O2599" s="54" t="n">
        <x:v>45291</x:v>
      </x:c>
      <x:c r="P2599" t="str">
        <x:v>False</x:v>
      </x:c>
      <x:c r="Q2599" t="str">
        <x:v>2f9eded2ace2c621de3e5bda4d271b017b34b655a8cd7d03d373060803c53315</x:v>
      </x:c>
      <x:c r="R2599" t="str">
        <x:v>98f936772d8238d60c680cae69992200bef04cf3236dda197953f9312090cded</x:v>
      </x:c>
      <x:c r="S2599" t="n">
        <x:v>6</x:v>
      </x:c>
      <x:c r="T2599" t="str">
        <x:v>2018-12-31|2019-12-31|2020-12-31|2021-12-31|2022-12-31|2023-12-31</x:v>
      </x:c>
      <x:c r="U2599" s="57" t="n">
        <x:v>-1538.3670603283913</x:v>
      </x:c>
      <x:c r="V2599" s="57" t="n">
        <x:v>-3.352243211511302</x:v>
      </x:c>
      <x:c r="W2599"/>
      <x:c r="X2599"/>
      <x:c r="Y2599" s="38" t="n">
        <x:v>0.6409090909090909</x:v>
      </x:c>
      <x:c r="Z2599" s="38" t="n">
        <x:v>0.5333062008682303</x:v>
      </x:c>
      <x:c r="AA2599" t="str">
        <x:v>NON_POSITIVE_ENTERPRISE_VALUE|NON_POSITIVE_EQUITY_VALUE|NON_POSITIVE_TERMINAL_FCF</x:v>
      </x:c>
    </x:row>
    <x:row r="2600">
      <x:c r="A2600" s="54" t="n">
        <x:v>45473</x:v>
      </x:c>
      <x:c r="B2600" t="n">
        <x:v>45473.624999988424</x:v>
      </x:c>
      <x:c r="C2600" t="str">
        <x:v>003680</x:v>
      </x:c>
      <x:c r="D2600" t="str">
        <x:v>한성기업</x:v>
      </x:c>
      <x:c r="E2600" t="str">
        <x:v>KOSPI</x:v>
      </x:c>
      <x:c r="F2600" t="str">
        <x:v>SMALL</x:v>
      </x:c>
      <x:c r="G2600" t="str">
        <x:v>DCF_SCREENING_EXCLUSION</x:v>
      </x:c>
      <x:c r="H2600" t="str">
        <x:v>NON_POSITIVE_EQUITY_VALUE</x:v>
      </x:c>
      <x:c r="I2600" s="54" t="n">
        <x:v>45471</x:v>
      </x:c>
      <x:c r="J2600" s="55" t="n">
        <x:v>8980</x:v>
      </x:c>
      <x:c r="K2600" s="55" t="n">
        <x:v>55761444700</x:v>
      </x:c>
      <x:c r="L2600" s="55" t="n">
        <x:v>6209515</x:v>
      </x:c>
      <x:c r="M2600" t="str">
        <x:v>20240320000851</x:v>
      </x:c>
      <x:c r="N2600" t="n">
        <x:v>45371.624999988424</x:v>
      </x:c>
      <x:c r="O2600" s="54" t="n">
        <x:v>45291</x:v>
      </x:c>
      <x:c r="P2600" t="str">
        <x:v>False</x:v>
      </x:c>
      <x:c r="Q2600" t="str">
        <x:v>4d3b13cc19e66ba4c11683b19dd4a9fff06cc03287eb96eb808fa9bb53525127</x:v>
      </x:c>
      <x:c r="R2600" t="str">
        <x:v>aeaeb4eafcf7e2169330bef04f4ceffb70a69df8703cb76add8d5c06c50c55f2</x:v>
      </x:c>
      <x:c r="S2600" t="n">
        <x:v>7</x:v>
      </x:c>
      <x:c r="T2600" t="str">
        <x:v>2018-12-31|2019-12-31|2020-12-31|2021-12-31|2022-12-31|2023-12-31</x:v>
      </x:c>
      <x:c r="U2600" s="57" t="n">
        <x:v>-251.2292333481937</x:v>
      </x:c>
      <x:c r="V2600" s="57" t="n">
        <x:v>-1.0279765293260794</x:v>
      </x:c>
      <x:c r="W2600"/>
      <x:c r="X2600"/>
      <x:c r="Y2600" s="38" t="n">
        <x:v>0.6409090909090909</x:v>
      </x:c>
      <x:c r="Z2600" s="38" t="n">
        <x:v>0.41485910212059907</x:v>
      </x:c>
      <x:c r="AA2600" t="str">
        <x:v>NON_POSITIVE_EQUITY_VALUE</x:v>
      </x:c>
    </x:row>
    <x:row r="2601">
      <x:c r="A2601" s="54" t="n">
        <x:v>45473</x:v>
      </x:c>
      <x:c r="B2601" t="n">
        <x:v>45473.624999988424</x:v>
      </x:c>
      <x:c r="C2601" t="str">
        <x:v>008600</x:v>
      </x:c>
      <x:c r="D2601" t="str">
        <x:v>윌비스</x:v>
      </x:c>
      <x:c r="E2601" t="str">
        <x:v>KOSPI</x:v>
      </x:c>
      <x:c r="F2601" t="str">
        <x:v>SMALL</x:v>
      </x:c>
      <x:c r="G2601" t="str">
        <x:v>DCF_SCREENING_EXCLUSION</x:v>
      </x:c>
      <x:c r="H2601" t="str">
        <x:v>NON_POSITIVE_ENTERPRISE_VALUE|NON_POSITIVE_EQUITY_VALUE|NON_POSITIVE_TERMINAL_FCF|UNRELIABLE_TERMINAL_VALUE_SHARE</x:v>
      </x:c>
      <x:c r="I2601" s="54" t="n">
        <x:v>45471</x:v>
      </x:c>
      <x:c r="J2601" s="55" t="n">
        <x:v>416</x:v>
      </x:c>
      <x:c r="K2601" s="55" t="n">
        <x:v>27970192224</x:v>
      </x:c>
      <x:c r="L2601" s="55" t="n">
        <x:v>67236039</x:v>
      </x:c>
      <x:c r="M2601" t="str">
        <x:v>20240321001447</x:v>
      </x:c>
      <x:c r="N2601" t="n">
        <x:v>45372.624999988424</x:v>
      </x:c>
      <x:c r="O2601" s="54" t="n">
        <x:v>45291</x:v>
      </x:c>
      <x:c r="P2601" t="str">
        <x:v>False</x:v>
      </x:c>
      <x:c r="Q2601" t="str">
        <x:v>2b2bcbc75dccb36df46b9b9baf8736ac46a111885d7844e74bc39e18d97f56e8</x:v>
      </x:c>
      <x:c r="R2601" t="str">
        <x:v>3a1540abc77616d8d510e3e9d5cd1867bc6d8a51975437ce72c1ff35b4d019d2</x:v>
      </x:c>
      <x:c r="S2601" t="n">
        <x:v>6</x:v>
      </x:c>
      <x:c r="T2601" t="str">
        <x:v>2018-12-31|2019-12-31|2020-12-31|2021-12-31|2022-12-31|2023-12-31</x:v>
      </x:c>
      <x:c r="U2601" s="57" t="n">
        <x:v>-2244.048633515764</x:v>
      </x:c>
      <x:c r="V2601" s="57" t="n">
        <x:v>-6.394347676720586</x:v>
      </x:c>
      <x:c r="W2601"/>
      <x:c r="X2601"/>
      <x:c r="Y2601" s="38" t="n">
        <x:v>0.6409090909090909</x:v>
      </x:c>
      <x:c r="Z2601" s="38" t="n">
        <x:v>1.0651186144863742</x:v>
      </x:c>
      <x:c r="AA2601" t="str">
        <x:v>NON_POSITIVE_ENTERPRISE_VALUE|NON_POSITIVE_EQUITY_VALUE|NON_POSITIVE_TERMINAL_FCF|UNRELIABLE_TERMINAL_VALUE_SHARE</x:v>
      </x:c>
    </x:row>
    <x:row r="2602">
      <x:c r="A2602" s="54" t="n">
        <x:v>45473</x:v>
      </x:c>
      <x:c r="B2602" t="n">
        <x:v>45473.624999988424</x:v>
      </x:c>
      <x:c r="C2602" t="str">
        <x:v>018310</x:v>
      </x:c>
      <x:c r="D2602" t="str">
        <x:v>삼목에스폼</x:v>
      </x:c>
      <x:c r="E2602" t="str">
        <x:v>KOSDAQ</x:v>
      </x:c>
      <x:c r="F2602" t="str">
        <x:v>MID</x:v>
      </x:c>
      <x:c r="G2602" t="str">
        <x:v>ELIGIBLE</x:v>
      </x:c>
      <x:c r="H2602"/>
      <x:c r="I2602" s="54" t="n">
        <x:v>45471</x:v>
      </x:c>
      <x:c r="J2602" s="55" t="n">
        <x:v>18320</x:v>
      </x:c>
      <x:c r="K2602" s="55" t="n">
        <x:v>269304000000</x:v>
      </x:c>
      <x:c r="L2602" s="55" t="n">
        <x:v>14700000</x:v>
      </x:c>
      <x:c r="M2602" t="str">
        <x:v>20240321001591</x:v>
      </x:c>
      <x:c r="N2602" t="n">
        <x:v>45372.624999988424</x:v>
      </x:c>
      <x:c r="O2602" s="54" t="n">
        <x:v>45291</x:v>
      </x:c>
      <x:c r="P2602" t="str">
        <x:v>False</x:v>
      </x:c>
      <x:c r="Q2602" t="str">
        <x:v>b642c65f29eeb6af33c837fb4f87024ed3698ab7140eb33f5c98e1bf48137c08</x:v>
      </x:c>
      <x:c r="R2602" t="str">
        <x:v>274d7ac112ebedf4e991cbf1ea1b36c68be73c87a7c18528e3d2597bdb5a6953</x:v>
      </x:c>
      <x:c r="S2602" t="n">
        <x:v>6</x:v>
      </x:c>
      <x:c r="T2602" t="str">
        <x:v>2018-12-31|2019-12-31|2020-12-31|2021-12-31|2022-12-31|2023-12-31</x:v>
      </x:c>
      <x:c r="U2602" s="57" t="n">
        <x:v>47359.36110143023</x:v>
      </x:c>
      <x:c r="V2602" s="57" t="n">
        <x:v>1.5851179640518687</x:v>
      </x:c>
      <x:c r="W2602" t="n">
        <x:v>8</x:v>
      </x:c>
      <x:c r="X2602" t="n">
        <x:v>1</x:v>
      </x:c>
      <x:c r="Y2602" s="38" t="n">
        <x:v>0.6409090909090909</x:v>
      </x:c>
      <x:c r="Z2602" s="38" t="n">
        <x:v>0.5795746440054866</x:v>
      </x:c>
      <x:c r="AA2602"/>
    </x:row>
    <x:row r="2603">
      <x:c r="A2603" s="54" t="n">
        <x:v>45473</x:v>
      </x:c>
      <x:c r="B2603" t="n">
        <x:v>45473.624999988424</x:v>
      </x:c>
      <x:c r="C2603" t="str">
        <x:v>090360</x:v>
      </x:c>
      <x:c r="D2603" t="str">
        <x:v>로보스타</x:v>
      </x:c>
      <x:c r="E2603" t="str">
        <x:v>KOSDAQ</x:v>
      </x:c>
      <x:c r="F2603" t="str">
        <x:v>MID</x:v>
      </x:c>
      <x:c r="G2603" t="str">
        <x:v>DCF_SCREENING_EXCLUSION</x:v>
      </x:c>
      <x:c r="H2603" t="str">
        <x:v>NON_POSITIVE_ENTERPRISE_VALUE|NON_POSITIVE_TERMINAL_FCF|UNRELIABLE_TERMINAL_VALUE_SHARE</x:v>
      </x:c>
      <x:c r="I2603" s="54" t="n">
        <x:v>45471</x:v>
      </x:c>
      <x:c r="J2603" s="55" t="n">
        <x:v>28300</x:v>
      </x:c>
      <x:c r="K2603" s="55" t="n">
        <x:v>275925000000</x:v>
      </x:c>
      <x:c r="L2603" s="55" t="n">
        <x:v>9750000</x:v>
      </x:c>
      <x:c r="M2603" t="str">
        <x:v>20240314001416</x:v>
      </x:c>
      <x:c r="N2603" t="n">
        <x:v>45365.624999988424</x:v>
      </x:c>
      <x:c r="O2603" s="54" t="n">
        <x:v>45291</x:v>
      </x:c>
      <x:c r="P2603" t="str">
        <x:v>False</x:v>
      </x:c>
      <x:c r="Q2603" t="str">
        <x:v>37ee07bfb8d061c135df8bd2eb69253a734b8f52886d8cce2f024a20d1cc237e</x:v>
      </x:c>
      <x:c r="R2603" t="str">
        <x:v>aa3db28f0145e23dff5dbed4d487e72ea79203422a04851f738cb41708fc7da8</x:v>
      </x:c>
      <x:c r="S2603" t="n">
        <x:v>5</x:v>
      </x:c>
      <x:c r="T2603" t="str">
        <x:v>2018-12-31|2019-12-31|2020-12-31|2021-12-31|2022-12-31|2023-12-31</x:v>
      </x:c>
      <x:c r="U2603" s="57" t="n">
        <x:v>2043.0268994379805</x:v>
      </x:c>
      <x:c r="V2603" s="57" t="n">
        <x:v>-0.927808236768976</x:v>
      </x:c>
      <x:c r="W2603"/>
      <x:c r="X2603"/>
      <x:c r="Y2603" s="38" t="n">
        <x:v>0.6409090909090909</x:v>
      </x:c>
      <x:c r="Z2603" s="38" t="n">
        <x:v>1.1319150275221614</x:v>
      </x:c>
      <x:c r="AA2603" t="str">
        <x:v>NON_POSITIVE_ENTERPRISE_VALUE|NON_POSITIVE_TERMINAL_FCF|UNRELIABLE_TERMINAL_VALUE_SHARE</x:v>
      </x:c>
    </x:row>
    <x:row r="2604">
      <x:c r="A2604" s="54" t="n">
        <x:v>45473</x:v>
      </x:c>
      <x:c r="B2604" t="n">
        <x:v>45473.624999988424</x:v>
      </x:c>
      <x:c r="C2604" t="str">
        <x:v>144960</x:v>
      </x:c>
      <x:c r="D2604" t="str">
        <x:v>뉴파워프라즈마</x:v>
      </x:c>
      <x:c r="E2604" t="str">
        <x:v>KOSDAQ</x:v>
      </x:c>
      <x:c r="F2604" t="str">
        <x:v>MID</x:v>
      </x:c>
      <x:c r="G2604" t="str">
        <x:v>DCF_SCREENING_EXCLUSION</x:v>
      </x:c>
      <x:c r="H2604" t="str">
        <x:v>UNRELIABLE_TERMINAL_VALUE_SHARE</x:v>
      </x:c>
      <x:c r="I2604" s="54" t="n">
        <x:v>45471</x:v>
      </x:c>
      <x:c r="J2604" s="55" t="n">
        <x:v>6350</x:v>
      </x:c>
      <x:c r="K2604" s="55" t="n">
        <x:v>277448162400</x:v>
      </x:c>
      <x:c r="L2604" s="55" t="n">
        <x:v>43692624</x:v>
      </x:c>
      <x:c r="M2604" t="str">
        <x:v>20240321000704</x:v>
      </x:c>
      <x:c r="N2604" t="n">
        <x:v>45372.624999988424</x:v>
      </x:c>
      <x:c r="O2604" s="54" t="n">
        <x:v>45291</x:v>
      </x:c>
      <x:c r="P2604" t="str">
        <x:v>False</x:v>
      </x:c>
      <x:c r="Q2604" t="str">
        <x:v>b5e89db27ae39318ccb2673d5a114f48c2d3177720aeef0fb3ebdc01f3fcc69c</x:v>
      </x:c>
      <x:c r="R2604" t="str">
        <x:v>ff46cc8323fdf10cd2f64b2bb4c57f836a1a61d98b17a6bcd0bf337779d7591f</x:v>
      </x:c>
      <x:c r="S2604" t="n">
        <x:v>6</x:v>
      </x:c>
      <x:c r="T2604" t="str">
        <x:v>2018-12-31|2019-12-31|2020-12-31|2021-12-31|2022-12-31|2023-12-31</x:v>
      </x:c>
      <x:c r="U2604" s="57" t="n">
        <x:v>387.1672566268894</x:v>
      </x:c>
      <x:c r="V2604" s="57" t="n">
        <x:v>-0.9390287784839544</x:v>
      </x:c>
      <x:c r="W2604"/>
      <x:c r="X2604"/>
      <x:c r="Y2604" s="38" t="n">
        <x:v>0.6409090909090909</x:v>
      </x:c>
      <x:c r="Z2604" s="38" t="n">
        <x:v>1.0088078840844468</x:v>
      </x:c>
      <x:c r="AA2604" t="str">
        <x:v>UNRELIABLE_TERMINAL_VALUE_SHARE</x:v>
      </x:c>
    </x:row>
    <x:row r="2605">
      <x:c r="A2605" s="54" t="n">
        <x:v>45473</x:v>
      </x:c>
      <x:c r="B2605" t="n">
        <x:v>45473.624999988424</x:v>
      </x:c>
      <x:c r="C2605" t="str">
        <x:v>065660</x:v>
      </x:c>
      <x:c r="D2605" t="str">
        <x:v>안트로젠</x:v>
      </x:c>
      <x:c r="E2605" t="str">
        <x:v>KOSDAQ</x:v>
      </x:c>
      <x:c r="F2605" t="str">
        <x:v>MID</x:v>
      </x:c>
      <x:c r="G2605" t="str">
        <x:v>DCF_SCREENING_EXCLUSION</x:v>
      </x:c>
      <x:c r="H2605" t="str">
        <x:v>NON_POSITIVE_ENTERPRISE_VALUE|NON_POSITIVE_EQUITY_VALUE|NON_POSITIVE_TERMINAL_FCF</x:v>
      </x:c>
      <x:c r="I2605" s="54" t="n">
        <x:v>45471</x:v>
      </x:c>
      <x:c r="J2605" s="55" t="n">
        <x:v>14550</x:v>
      </x:c>
      <x:c r="K2605" s="55" t="n">
        <x:v>141591477150</x:v>
      </x:c>
      <x:c r="L2605" s="55" t="n">
        <x:v>9731373</x:v>
      </x:c>
      <x:c r="M2605" t="str">
        <x:v>20240318000493</x:v>
      </x:c>
      <x:c r="N2605" t="n">
        <x:v>45369.624999988424</x:v>
      </x:c>
      <x:c r="O2605" s="54" t="n">
        <x:v>45291</x:v>
      </x:c>
      <x:c r="P2605" t="str">
        <x:v>False</x:v>
      </x:c>
      <x:c r="Q2605" t="str">
        <x:v>ef60674049d682351099faa34e3eb62d977003f9a33daf57158b2ec3042418b6</x:v>
      </x:c>
      <x:c r="R2605" t="str">
        <x:v>355c77e90835ddf6571455999b69129084341fcdd9472c5729fb0d907b43ba6e</x:v>
      </x:c>
      <x:c r="S2605" t="n">
        <x:v>6</x:v>
      </x:c>
      <x:c r="T2605" t="str">
        <x:v>2018-12-31|2019-12-31|2020-12-31|2021-12-31|2023-12-31</x:v>
      </x:c>
      <x:c r="U2605" s="57" t="n">
        <x:v>-2734.5691435966323</x:v>
      </x:c>
      <x:c r="V2605" s="57" t="n">
        <x:v>-1.1879428964671226</x:v>
      </x:c>
      <x:c r="W2605"/>
      <x:c r="X2605"/>
      <x:c r="Y2605" s="38" t="n">
        <x:v>0.6409090909090909</x:v>
      </x:c>
      <x:c r="Z2605" s="38" t="n">
        <x:v>0.6666592455022953</x:v>
      </x:c>
      <x:c r="AA2605" t="str">
        <x:v>NON_POSITIVE_ENTERPRISE_VALUE|NON_POSITIVE_EQUITY_VALUE|NON_POSITIVE_TERMINAL_FCF</x:v>
      </x:c>
    </x:row>
    <x:row r="2606">
      <x:c r="A2606" s="54" t="n">
        <x:v>45473</x:v>
      </x:c>
      <x:c r="B2606" t="n">
        <x:v>45473.624999988424</x:v>
      </x:c>
      <x:c r="C2606" t="str">
        <x:v>255220</x:v>
      </x:c>
      <x:c r="D2606" t="str">
        <x:v>SG</x:v>
      </x:c>
      <x:c r="E2606" t="str">
        <x:v>KOSDAQ</x:v>
      </x:c>
      <x:c r="F2606" t="str">
        <x:v>MID</x:v>
      </x:c>
      <x:c r="G2606" t="str">
        <x:v>DCF_SCREENING_EXCLUSION</x:v>
      </x:c>
      <x:c r="H2606" t="str">
        <x:v>NON_POSITIVE_ENTERPRISE_VALUE|NON_POSITIVE_EQUITY_VALUE|NON_POSITIVE_TERMINAL_FCF</x:v>
      </x:c>
      <x:c r="I2606" s="54" t="n">
        <x:v>45471</x:v>
      </x:c>
      <x:c r="J2606" s="55" t="n">
        <x:v>1286</x:v>
      </x:c>
      <x:c r="K2606" s="55" t="n">
        <x:v>78672629208</x:v>
      </x:c>
      <x:c r="L2606" s="55" t="n">
        <x:v>61176228</x:v>
      </x:c>
      <x:c r="M2606" t="str">
        <x:v>20240320001577</x:v>
      </x:c>
      <x:c r="N2606" t="n">
        <x:v>45371.624999988424</x:v>
      </x:c>
      <x:c r="O2606" s="54" t="n">
        <x:v>45291</x:v>
      </x:c>
      <x:c r="P2606" t="str">
        <x:v>False</x:v>
      </x:c>
      <x:c r="Q2606" t="str">
        <x:v>802033ebe05b476b11a5cd33571e1b1340c0db3ce02c2d235192981aee1f89bd</x:v>
      </x:c>
      <x:c r="R2606" t="str">
        <x:v>8b0a222bea654a5f7372b265555038bdf285365448e48f99856645c6bb017357</x:v>
      </x:c>
      <x:c r="S2606" t="n">
        <x:v>6</x:v>
      </x:c>
      <x:c r="T2606" t="str">
        <x:v>2018-12-31|2019-12-31|2020-12-31|2021-12-31|2022-12-31|2023-12-31</x:v>
      </x:c>
      <x:c r="U2606" s="57" t="n">
        <x:v>-1218.3672321687197</x:v>
      </x:c>
      <x:c r="V2606" s="57" t="n">
        <x:v>-1.9474084231483046</x:v>
      </x:c>
      <x:c r="W2606"/>
      <x:c r="X2606"/>
      <x:c r="Y2606" s="38" t="n">
        <x:v>0.6409090909090909</x:v>
      </x:c>
      <x:c r="Z2606" s="38" t="n">
        <x:v>0.07725377279525597</x:v>
      </x:c>
      <x:c r="AA2606" t="str">
        <x:v>NON_POSITIVE_ENTERPRISE_VALUE|NON_POSITIVE_EQUITY_VALUE|NON_POSITIVE_TERMINAL_FCF</x:v>
      </x:c>
    </x:row>
    <x:row r="2607">
      <x:c r="A2607" s="54" t="n">
        <x:v>45473</x:v>
      </x:c>
      <x:c r="B2607" t="n">
        <x:v>45473.624999988424</x:v>
      </x:c>
      <x:c r="C2607" t="str">
        <x:v>356680</x:v>
      </x:c>
      <x:c r="D2607" t="str">
        <x:v>엑스게이트</x:v>
      </x:c>
      <x:c r="E2607" t="str">
        <x:v>KOSDAQ</x:v>
      </x:c>
      <x:c r="F2607" t="str">
        <x:v>MID</x:v>
      </x:c>
      <x:c r="G2607" t="str">
        <x:v>ELIGIBLE</x:v>
      </x:c>
      <x:c r="H2607"/>
      <x:c r="I2607" s="54" t="n">
        <x:v>45471</x:v>
      </x:c>
      <x:c r="J2607" s="55" t="n">
        <x:v>4795</x:v>
      </x:c>
      <x:c r="K2607" s="55" t="n">
        <x:v>136866044140</x:v>
      </x:c>
      <x:c r="L2607" s="55" t="n">
        <x:v>28543492</x:v>
      </x:c>
      <x:c r="M2607" t="str">
        <x:v>20240320000741</x:v>
      </x:c>
      <x:c r="N2607" t="n">
        <x:v>45371.624999988424</x:v>
      </x:c>
      <x:c r="O2607" s="54" t="n">
        <x:v>45291</x:v>
      </x:c>
      <x:c r="P2607" t="str">
        <x:v>False</x:v>
      </x:c>
      <x:c r="Q2607" t="str">
        <x:v>411dba391a5618a47e342cff6469dfec93ffa310f1426596899b9268827e4688</x:v>
      </x:c>
      <x:c r="R2607" t="str">
        <x:v>91c28fca4bd93ccfc833effbc7172fbbb98fdc8d3de43e888c92a2b75ddc7b35</x:v>
      </x:c>
      <x:c r="S2607" t="n">
        <x:v>7</x:v>
      </x:c>
      <x:c r="T2607" t="str">
        <x:v>2022-12-31|2023-12-31</x:v>
      </x:c>
      <x:c r="U2607" s="57" t="n">
        <x:v>1527.357058793884</x:v>
      </x:c>
      <x:c r="V2607" s="57" t="n">
        <x:v>-0.6814688094277613</x:v>
      </x:c>
      <x:c r="W2607" t="n">
        <x:v>51</x:v>
      </x:c>
      <x:c r="X2607" t="n">
        <x:v>4</x:v>
      </x:c>
      <x:c r="Y2607" s="38" t="n">
        <x:v>0.6409090909090909</x:v>
      </x:c>
      <x:c r="Z2607" s="38" t="n">
        <x:v>0.8118552005286007</x:v>
      </x:c>
      <x:c r="AA2607"/>
    </x:row>
    <x:row r="2608">
      <x:c r="A2608" s="54" t="n">
        <x:v>45473</x:v>
      </x:c>
      <x:c r="B2608" t="n">
        <x:v>45473.624999988424</x:v>
      </x:c>
      <x:c r="C2608" t="str">
        <x:v>038390</x:v>
      </x:c>
      <x:c r="D2608" t="str">
        <x:v>레드캡투어</x:v>
      </x:c>
      <x:c r="E2608" t="str">
        <x:v>KOSDAQ</x:v>
      </x:c>
      <x:c r="F2608" t="str">
        <x:v>MID</x:v>
      </x:c>
      <x:c r="G2608" t="str">
        <x:v>ELIGIBLE</x:v>
      </x:c>
      <x:c r="H2608"/>
      <x:c r="I2608" s="54" t="n">
        <x:v>45471</x:v>
      </x:c>
      <x:c r="J2608" s="55" t="n">
        <x:v>15820</x:v>
      </x:c>
      <x:c r="K2608" s="55" t="n">
        <x:v>135885573600</x:v>
      </x:c>
      <x:c r="L2608" s="55" t="n">
        <x:v>8589480</x:v>
      </x:c>
      <x:c r="M2608" t="str">
        <x:v>20240314001063</x:v>
      </x:c>
      <x:c r="N2608" t="n">
        <x:v>45365.624999988424</x:v>
      </x:c>
      <x:c r="O2608" s="54" t="n">
        <x:v>45291</x:v>
      </x:c>
      <x:c r="P2608" t="str">
        <x:v>False</x:v>
      </x:c>
      <x:c r="Q2608" t="str">
        <x:v>fd36d793118950285fee662f10fac7fcdc129f8f3143b98ce551f6ce54038473</x:v>
      </x:c>
      <x:c r="R2608" t="str">
        <x:v>568919094dea73f6d3a242c07a8b08042db0121da9db32409f91e94da6d96886</x:v>
      </x:c>
      <x:c r="S2608" t="n">
        <x:v>6</x:v>
      </x:c>
      <x:c r="T2608" t="str">
        <x:v>2018-12-31|2019-12-31|2020-12-31|2021-12-31|2022-12-31|2023-12-31</x:v>
      </x:c>
      <x:c r="U2608" s="57" t="n">
        <x:v>21649.652872592273</x:v>
      </x:c>
      <x:c r="V2608" s="57" t="n">
        <x:v>0.3684989173572865</x:v>
      </x:c>
      <x:c r="W2608" t="n">
        <x:v>20</x:v>
      </x:c>
      <x:c r="X2608" t="n">
        <x:v>2</x:v>
      </x:c>
      <x:c r="Y2608" s="38" t="n">
        <x:v>0.6409090909090909</x:v>
      </x:c>
      <x:c r="Z2608" s="38" t="n">
        <x:v>0.6611393478171571</x:v>
      </x:c>
      <x:c r="AA2608"/>
    </x:row>
    <x:row r="2609">
      <x:c r="A2609" s="54" t="n">
        <x:v>45473</x:v>
      </x:c>
      <x:c r="B2609" t="n">
        <x:v>45473.624999988424</x:v>
      </x:c>
      <x:c r="C2609" t="str">
        <x:v>083930</x:v>
      </x:c>
      <x:c r="D2609" t="str">
        <x:v>아바코</x:v>
      </x:c>
      <x:c r="E2609" t="str">
        <x:v>KOSDAQ</x:v>
      </x:c>
      <x:c r="F2609" t="str">
        <x:v>MID</x:v>
      </x:c>
      <x:c r="G2609" t="str">
        <x:v>ELIGIBLE</x:v>
      </x:c>
      <x:c r="H2609"/>
      <x:c r="I2609" s="54" t="n">
        <x:v>45471</x:v>
      </x:c>
      <x:c r="J2609" s="55" t="n">
        <x:v>18290</x:v>
      </x:c>
      <x:c r="K2609" s="55" t="n">
        <x:v>272755075420</x:v>
      </x:c>
      <x:c r="L2609" s="55" t="n">
        <x:v>14912798</x:v>
      </x:c>
      <x:c r="M2609" t="str">
        <x:v>20240318000914</x:v>
      </x:c>
      <x:c r="N2609" t="n">
        <x:v>45369.624999988424</x:v>
      </x:c>
      <x:c r="O2609" s="54" t="n">
        <x:v>45291</x:v>
      </x:c>
      <x:c r="P2609" t="str">
        <x:v>False</x:v>
      </x:c>
      <x:c r="Q2609" t="str">
        <x:v>eac8cc9607a0566e093b43e10cd0248e654a9f6f02ed08872c70bffceefc109e</x:v>
      </x:c>
      <x:c r="R2609" t="str">
        <x:v>b9cbe3e6660c5aa662f945e617e327022628d74035681c27e70835169136833f</x:v>
      </x:c>
      <x:c r="S2609" t="n">
        <x:v>7</x:v>
      </x:c>
      <x:c r="T2609" t="str">
        <x:v>2018-12-31|2019-12-31|2020-12-31|2021-12-31|2022-12-31|2023-12-31</x:v>
      </x:c>
      <x:c r="U2609" s="57" t="n">
        <x:v>8624.32589713317</x:v>
      </x:c>
      <x:c r="V2609" s="57" t="n">
        <x:v>-0.5284676928850098</x:v>
      </x:c>
      <x:c r="W2609" t="n">
        <x:v>45</x:v>
      </x:c>
      <x:c r="X2609" t="n">
        <x:v>4</x:v>
      </x:c>
      <x:c r="Y2609" s="38" t="n">
        <x:v>0.6409090909090909</x:v>
      </x:c>
      <x:c r="Z2609" s="38" t="n">
        <x:v>0.6466073177770937</x:v>
      </x:c>
      <x:c r="AA2609"/>
    </x:row>
    <x:row r="2610">
      <x:c r="A2610" s="54" t="n">
        <x:v>45473</x:v>
      </x:c>
      <x:c r="B2610" t="n">
        <x:v>45473.624999988424</x:v>
      </x:c>
      <x:c r="C2610" t="str">
        <x:v>089600</x:v>
      </x:c>
      <x:c r="D2610" t="str">
        <x:v>KT나스미디어</x:v>
      </x:c>
      <x:c r="E2610" t="str">
        <x:v>KOSDAQ</x:v>
      </x:c>
      <x:c r="F2610" t="str">
        <x:v>MID</x:v>
      </x:c>
      <x:c r="G2610" t="str">
        <x:v>ELIGIBLE</x:v>
      </x:c>
      <x:c r="H2610"/>
      <x:c r="I2610" s="54" t="n">
        <x:v>45471</x:v>
      </x:c>
      <x:c r="J2610" s="55" t="n">
        <x:v>16500</x:v>
      </x:c>
      <x:c r="K2610" s="55" t="n">
        <x:v>190874689500</x:v>
      </x:c>
      <x:c r="L2610" s="55" t="n">
        <x:v>11568163</x:v>
      </x:c>
      <x:c r="M2610" t="str">
        <x:v>20240321000363</x:v>
      </x:c>
      <x:c r="N2610" t="n">
        <x:v>45372.624999988424</x:v>
      </x:c>
      <x:c r="O2610" s="54" t="n">
        <x:v>45291</x:v>
      </x:c>
      <x:c r="P2610" t="str">
        <x:v>False</x:v>
      </x:c>
      <x:c r="Q2610" t="str">
        <x:v>b7f1a5437ad92e7e9513650155787e077663f0826124db50bc5289e11593d832</x:v>
      </x:c>
      <x:c r="R2610" t="str">
        <x:v>bfef28c66cd78518c4a6de78e6be33333001fa056bbf8f8aa7f33a26a359f112</x:v>
      </x:c>
      <x:c r="S2610" t="n">
        <x:v>6</x:v>
      </x:c>
      <x:c r="T2610" t="str">
        <x:v>2019-12-31|2020-12-31|2021-12-31|2022-12-31|2023-12-31</x:v>
      </x:c>
      <x:c r="U2610" s="57" t="n">
        <x:v>28670.885048986216</x:v>
      </x:c>
      <x:c r="V2610" s="57" t="n">
        <x:v>0.7376293969082555</x:v>
      </x:c>
      <x:c r="W2610" t="n">
        <x:v>18</x:v>
      </x:c>
      <x:c r="X2610" t="n">
        <x:v>2</x:v>
      </x:c>
      <x:c r="Y2610" s="38" t="n">
        <x:v>0.6409090909090909</x:v>
      </x:c>
      <x:c r="Z2610" s="38" t="n">
        <x:v>0.7341956370746694</x:v>
      </x:c>
      <x:c r="AA2610"/>
    </x:row>
    <x:row r="2611">
      <x:c r="A2611" s="54" t="n">
        <x:v>45473</x:v>
      </x:c>
      <x:c r="B2611" t="n">
        <x:v>45473.624999988424</x:v>
      </x:c>
      <x:c r="C2611" t="str">
        <x:v>091120</x:v>
      </x:c>
      <x:c r="D2611" t="str">
        <x:v>이엠텍</x:v>
      </x:c>
      <x:c r="E2611" t="str">
        <x:v>KOSDAQ</x:v>
      </x:c>
      <x:c r="F2611" t="str">
        <x:v>MID</x:v>
      </x:c>
      <x:c r="G2611" t="str">
        <x:v>DCF_SCREENING_EXCLUSION</x:v>
      </x:c>
      <x:c r="H2611" t="str">
        <x:v>NON_POSITIVE_ENTERPRISE_VALUE|UNRELIABLE_TERMINAL_VALUE_SHARE</x:v>
      </x:c>
      <x:c r="I2611" s="54" t="n">
        <x:v>45471</x:v>
      </x:c>
      <x:c r="J2611" s="55" t="n">
        <x:v>29650</x:v>
      </x:c>
      <x:c r="K2611" s="55" t="n">
        <x:v>507991552400</x:v>
      </x:c>
      <x:c r="L2611" s="55" t="n">
        <x:v>17132936</x:v>
      </x:c>
      <x:c r="M2611" t="str">
        <x:v>20240412003916</x:v>
      </x:c>
      <x:c r="N2611" t="n">
        <x:v>45394.624999988424</x:v>
      </x:c>
      <x:c r="O2611" s="54" t="n">
        <x:v>45291</x:v>
      </x:c>
      <x:c r="P2611" t="str">
        <x:v>True</x:v>
      </x:c>
      <x:c r="Q2611" t="str">
        <x:v>0d6eac9f85a900bbc1f1a30799c161ef96d83e8d4b8afd8acc742753be01c75e</x:v>
      </x:c>
      <x:c r="R2611" t="str">
        <x:v>7a19f5c1536360dbe0bd6246ea9ed04ec3ad10e2f9ebcba4775252cf1017c665</x:v>
      </x:c>
      <x:c r="S2611" t="n">
        <x:v>6</x:v>
      </x:c>
      <x:c r="T2611" t="str">
        <x:v>2018-12-31|2019-12-31|2020-12-31|2021-12-31|2022-12-31|2023-12-31</x:v>
      </x:c>
      <x:c r="U2611" s="57" t="n">
        <x:v>144.63258920150412</x:v>
      </x:c>
      <x:c r="V2611" s="57" t="n">
        <x:v>-0.9951220037368801</x:v>
      </x:c>
      <x:c r="W2611"/>
      <x:c r="X2611"/>
      <x:c r="Y2611" s="38" t="n">
        <x:v>0.6409090909090909</x:v>
      </x:c>
      <x:c r="Z2611" s="38" t="n">
        <x:v>-0.0027763268057279674</x:v>
      </x:c>
      <x:c r="AA2611" t="str">
        <x:v>NON_POSITIVE_ENTERPRISE_VALUE|UNRELIABLE_TERMINAL_VALUE_SHARE</x:v>
      </x:c>
    </x:row>
    <x:row r="2612">
      <x:c r="A2612" s="54" t="n">
        <x:v>45473</x:v>
      </x:c>
      <x:c r="B2612" t="n">
        <x:v>45473.624999988424</x:v>
      </x:c>
      <x:c r="C2612" t="str">
        <x:v>353810</x:v>
      </x:c>
      <x:c r="D2612" t="str">
        <x:v>이지바이오</x:v>
      </x:c>
      <x:c r="E2612" t="str">
        <x:v>KOSDAQ</x:v>
      </x:c>
      <x:c r="F2612" t="str">
        <x:v>MID</x:v>
      </x:c>
      <x:c r="G2612" t="str">
        <x:v>ELIGIBLE</x:v>
      </x:c>
      <x:c r="H2612"/>
      <x:c r="I2612" s="54" t="n">
        <x:v>45471</x:v>
      </x:c>
      <x:c r="J2612" s="55" t="n">
        <x:v>4455</x:v>
      </x:c>
      <x:c r="K2612" s="55" t="n">
        <x:v>152324112600</x:v>
      </x:c>
      <x:c r="L2612" s="55" t="n">
        <x:v>34191720</x:v>
      </x:c>
      <x:c r="M2612" t="str">
        <x:v>20240321001360</x:v>
      </x:c>
      <x:c r="N2612" t="n">
        <x:v>45372.624999988424</x:v>
      </x:c>
      <x:c r="O2612" s="54" t="n">
        <x:v>45291</x:v>
      </x:c>
      <x:c r="P2612" t="str">
        <x:v>False</x:v>
      </x:c>
      <x:c r="Q2612" t="str">
        <x:v>0c595a4289176d26f4bb211a8777e3552707069c69111b627265c5a9988199b2</x:v>
      </x:c>
      <x:c r="R2612" t="str">
        <x:v>abd6bec6d7dbfa84737cf0be785800c3f2ef5a1062ea4dac1b0cc07e2e0ea7fe</x:v>
      </x:c>
      <x:c r="S2612" t="n">
        <x:v>6</x:v>
      </x:c>
      <x:c r="T2612" t="str">
        <x:v>2021-12-31|2022-12-31|2023-12-31</x:v>
      </x:c>
      <x:c r="U2612" s="57" t="n">
        <x:v>5566.0717405511205</x:v>
      </x:c>
      <x:c r="V2612" s="57" t="n">
        <x:v>0.24939881942786093</x:v>
      </x:c>
      <x:c r="W2612" t="n">
        <x:v>21</x:v>
      </x:c>
      <x:c r="X2612" t="n">
        <x:v>2</x:v>
      </x:c>
      <x:c r="Y2612" s="38" t="n">
        <x:v>0.6409090909090909</x:v>
      </x:c>
      <x:c r="Z2612" s="38" t="n">
        <x:v>0.7093808942265634</x:v>
      </x:c>
      <x:c r="AA2612"/>
    </x:row>
    <x:row r="2613">
      <x:c r="A2613" s="54" t="n">
        <x:v>45473</x:v>
      </x:c>
      <x:c r="B2613" t="n">
        <x:v>45473.624999988424</x:v>
      </x:c>
      <x:c r="C2613" t="str">
        <x:v>203650</x:v>
      </x:c>
      <x:c r="D2613" t="str">
        <x:v>드림시큐리티</x:v>
      </x:c>
      <x:c r="E2613" t="str">
        <x:v>KOSDAQ</x:v>
      </x:c>
      <x:c r="F2613" t="str">
        <x:v>MID</x:v>
      </x:c>
      <x:c r="G2613" t="str">
        <x:v>ELIGIBLE</x:v>
      </x:c>
      <x:c r="H2613"/>
      <x:c r="I2613" s="54" t="n">
        <x:v>45471</x:v>
      </x:c>
      <x:c r="J2613" s="55" t="n">
        <x:v>3010</x:v>
      </x:c>
      <x:c r="K2613" s="55" t="n">
        <x:v>152323319540</x:v>
      </x:c>
      <x:c r="L2613" s="55" t="n">
        <x:v>50605754</x:v>
      </x:c>
      <x:c r="M2613" t="str">
        <x:v>20240320001616</x:v>
      </x:c>
      <x:c r="N2613" t="n">
        <x:v>45371.624999988424</x:v>
      </x:c>
      <x:c r="O2613" s="54" t="n">
        <x:v>45291</x:v>
      </x:c>
      <x:c r="P2613" t="str">
        <x:v>False</x:v>
      </x:c>
      <x:c r="Q2613" t="str">
        <x:v>59557a89bd1d47b720b80a53a15be6f50c0d82bf0b9f2520c87a5022cb4045a6</x:v>
      </x:c>
      <x:c r="R2613" t="str">
        <x:v>59a24d7af35dd416ea554fb005afe1310718f8bdadef140cad50d43e02d4f4ed</x:v>
      </x:c>
      <x:c r="S2613" t="n">
        <x:v>6</x:v>
      </x:c>
      <x:c r="T2613" t="str">
        <x:v>2018-12-31|2019-12-31|2020-12-31|2021-12-31|2022-12-31|2023-12-31</x:v>
      </x:c>
      <x:c r="U2613" s="57" t="n">
        <x:v>2552.939432679765</x:v>
      </x:c>
      <x:c r="V2613" s="57" t="n">
        <x:v>-0.15184736455821765</x:v>
      </x:c>
      <x:c r="W2613" t="n">
        <x:v>29</x:v>
      </x:c>
      <x:c r="X2613" t="n">
        <x:v>3</x:v>
      </x:c>
      <x:c r="Y2613" s="38" t="n">
        <x:v>0.6409090909090909</x:v>
      </x:c>
      <x:c r="Z2613" s="38" t="n">
        <x:v>0.6404933526297818</x:v>
      </x:c>
      <x:c r="AA2613"/>
    </x:row>
    <x:row r="2614">
      <x:c r="A2614" s="54" t="n">
        <x:v>45473</x:v>
      </x:c>
      <x:c r="B2614" t="n">
        <x:v>45473.624999988424</x:v>
      </x:c>
      <x:c r="C2614" t="str">
        <x:v>251120</x:v>
      </x:c>
      <x:c r="D2614" t="str">
        <x:v>바이오에프디엔씨</x:v>
      </x:c>
      <x:c r="E2614" t="str">
        <x:v>KOSDAQ</x:v>
      </x:c>
      <x:c r="F2614" t="str">
        <x:v>MID</x:v>
      </x:c>
      <x:c r="G2614" t="str">
        <x:v>ELIGIBLE</x:v>
      </x:c>
      <x:c r="H2614"/>
      <x:c r="I2614" s="54" t="n">
        <x:v>45471</x:v>
      </x:c>
      <x:c r="J2614" s="55" t="n">
        <x:v>15000</x:v>
      </x:c>
      <x:c r="K2614" s="55" t="n">
        <x:v>130435500000</x:v>
      </x:c>
      <x:c r="L2614" s="55" t="n">
        <x:v>8695700</x:v>
      </x:c>
      <x:c r="M2614" t="str">
        <x:v>20240321000249</x:v>
      </x:c>
      <x:c r="N2614" t="n">
        <x:v>45372.624999988424</x:v>
      </x:c>
      <x:c r="O2614" s="54" t="n">
        <x:v>45291</x:v>
      </x:c>
      <x:c r="P2614" t="str">
        <x:v>False</x:v>
      </x:c>
      <x:c r="Q2614" t="str">
        <x:v>c894555c5fdfdb9baf6bf268f5640c81148c59946a1eafa8da5b49d314396693</x:v>
      </x:c>
      <x:c r="R2614" t="str">
        <x:v>35019dcd4d45a807ec26f115e7a76ad156ed28697c042def8718bf6a0cc77e88</x:v>
      </x:c>
      <x:c r="S2614" t="n">
        <x:v>5</x:v>
      </x:c>
      <x:c r="T2614" t="str">
        <x:v>2021-12-31|2022-12-31|2023-12-31</x:v>
      </x:c>
      <x:c r="U2614" s="57" t="n">
        <x:v>7712.335656881882</x:v>
      </x:c>
      <x:c r="V2614" s="57" t="n">
        <x:v>-0.4858442895412079</x:v>
      </x:c>
      <x:c r="W2614" t="n">
        <x:v>41</x:v>
      </x:c>
      <x:c r="X2614" t="n">
        <x:v>3</x:v>
      </x:c>
      <x:c r="Y2614" s="38" t="n">
        <x:v>0.6409090909090909</x:v>
      </x:c>
      <x:c r="Z2614" s="38" t="n">
        <x:v>0.6857096411955244</x:v>
      </x:c>
      <x:c r="AA2614"/>
    </x:row>
    <x:row r="2615">
      <x:c r="A2615" s="54" t="n">
        <x:v>45473</x:v>
      </x:c>
      <x:c r="B2615" t="n">
        <x:v>45473.624999988424</x:v>
      </x:c>
      <x:c r="C2615" t="str">
        <x:v>094820</x:v>
      </x:c>
      <x:c r="D2615" t="str">
        <x:v>일진파워</x:v>
      </x:c>
      <x:c r="E2615" t="str">
        <x:v>KOSDAQ</x:v>
      </x:c>
      <x:c r="F2615" t="str">
        <x:v>MID</x:v>
      </x:c>
      <x:c r="G2615" t="str">
        <x:v>ELIGIBLE</x:v>
      </x:c>
      <x:c r="H2615"/>
      <x:c r="I2615" s="54" t="n">
        <x:v>45471</x:v>
      </x:c>
      <x:c r="J2615" s="55" t="n">
        <x:v>11930</x:v>
      </x:c>
      <x:c r="K2615" s="55" t="n">
        <x:v>179888998370</x:v>
      </x:c>
      <x:c r="L2615" s="55" t="n">
        <x:v>15078709</x:v>
      </x:c>
      <x:c r="M2615" t="str">
        <x:v>20240321001764</x:v>
      </x:c>
      <x:c r="N2615" t="n">
        <x:v>45372.624999988424</x:v>
      </x:c>
      <x:c r="O2615" s="54" t="n">
        <x:v>45291</x:v>
      </x:c>
      <x:c r="P2615" t="str">
        <x:v>False</x:v>
      </x:c>
      <x:c r="Q2615" t="str">
        <x:v>8c5fa5ba08df3c46a6c9cb3b32b03d2c7c85ac50aa13ff9446297e85309caec8</x:v>
      </x:c>
      <x:c r="R2615" t="str">
        <x:v>b2a2fceaaef99e188f7034d4081d0b975740594c9da3f86d04ce5e260695d90f</x:v>
      </x:c>
      <x:c r="S2615" t="n">
        <x:v>6</x:v>
      </x:c>
      <x:c r="T2615" t="str">
        <x:v>2018-12-31|2019-12-31|2020-12-31|2021-12-31|2022-12-31|2023-12-31</x:v>
      </x:c>
      <x:c r="U2615" s="57" t="n">
        <x:v>11601.18410293352</x:v>
      </x:c>
      <x:c r="V2615" s="57" t="n">
        <x:v>-0.027562103693753576</x:v>
      </x:c>
      <x:c r="W2615" t="n">
        <x:v>25</x:v>
      </x:c>
      <x:c r="X2615" t="n">
        <x:v>2</x:v>
      </x:c>
      <x:c r="Y2615" s="38" t="n">
        <x:v>0.6409090909090909</x:v>
      </x:c>
      <x:c r="Z2615" s="38" t="n">
        <x:v>0.7050890831920046</x:v>
      </x:c>
      <x:c r="AA2615"/>
    </x:row>
    <x:row r="2616">
      <x:c r="A2616" s="54" t="n">
        <x:v>45473</x:v>
      </x:c>
      <x:c r="B2616" t="n">
        <x:v>45473.624999988424</x:v>
      </x:c>
      <x:c r="C2616" t="str">
        <x:v>333430</x:v>
      </x:c>
      <x:c r="D2616" t="str">
        <x:v>일승</x:v>
      </x:c>
      <x:c r="E2616" t="str">
        <x:v>KOSDAQ</x:v>
      </x:c>
      <x:c r="F2616" t="str">
        <x:v>MID</x:v>
      </x:c>
      <x:c r="G2616" t="str">
        <x:v>ELIGIBLE</x:v>
      </x:c>
      <x:c r="H2616"/>
      <x:c r="I2616" s="54" t="n">
        <x:v>45471</x:v>
      </x:c>
      <x:c r="J2616" s="55" t="n">
        <x:v>3050</x:v>
      </x:c>
      <x:c r="K2616" s="55" t="n">
        <x:v>93716578350</x:v>
      </x:c>
      <x:c r="L2616" s="55" t="n">
        <x:v>30726747</x:v>
      </x:c>
      <x:c r="M2616" t="str">
        <x:v>20240320001390</x:v>
      </x:c>
      <x:c r="N2616" t="n">
        <x:v>45371.624999988424</x:v>
      </x:c>
      <x:c r="O2616" s="54" t="n">
        <x:v>45291</x:v>
      </x:c>
      <x:c r="P2616" t="str">
        <x:v>False</x:v>
      </x:c>
      <x:c r="Q2616" t="str">
        <x:v>05cf1e22aafc5d920c8c81b418025835d5932b5c50d9228145fa25d47cd4ef22</x:v>
      </x:c>
      <x:c r="R2616" t="str">
        <x:v>3369e7e64e23442f481936057f32ca618633ffe3c990fb52bad4734b6afb620f</x:v>
      </x:c>
      <x:c r="S2616" t="n">
        <x:v>6</x:v>
      </x:c>
      <x:c r="T2616" t="str">
        <x:v>2021-12-31|2022-12-31|2023-12-31</x:v>
      </x:c>
      <x:c r="U2616" s="57" t="n">
        <x:v>1044.0587971328735</x:v>
      </x:c>
      <x:c r="V2616" s="57" t="n">
        <x:v>-0.6576856402843038</x:v>
      </x:c>
      <x:c r="W2616" t="n">
        <x:v>50</x:v>
      </x:c>
      <x:c r="X2616" t="n">
        <x:v>4</x:v>
      </x:c>
      <x:c r="Y2616" s="38" t="n">
        <x:v>0.6409090909090909</x:v>
      </x:c>
      <x:c r="Z2616" s="38" t="n">
        <x:v>0.678303173070809</x:v>
      </x:c>
      <x:c r="AA2616"/>
    </x:row>
    <x:row r="2617">
      <x:c r="A2617" s="54" t="n">
        <x:v>45473</x:v>
      </x:c>
      <x:c r="B2617" t="n">
        <x:v>45473.624999988424</x:v>
      </x:c>
      <x:c r="C2617" t="str">
        <x:v>041440</x:v>
      </x:c>
      <x:c r="D2617" t="str">
        <x:v>현대에버다임</x:v>
      </x:c>
      <x:c r="E2617" t="str">
        <x:v>KOSDAQ</x:v>
      </x:c>
      <x:c r="F2617" t="str">
        <x:v>MID</x:v>
      </x:c>
      <x:c r="G2617" t="str">
        <x:v>DCF_SCREENING_EXCLUSION</x:v>
      </x:c>
      <x:c r="H2617" t="str">
        <x:v>NON_POSITIVE_ENTERPRISE_VALUE|NON_POSITIVE_EQUITY_VALUE|NON_POSITIVE_TERMINAL_FCF</x:v>
      </x:c>
      <x:c r="I2617" s="54" t="n">
        <x:v>45471</x:v>
      </x:c>
      <x:c r="J2617" s="55" t="n">
        <x:v>6680</x:v>
      </x:c>
      <x:c r="K2617" s="55" t="n">
        <x:v>119678505920</x:v>
      </x:c>
      <x:c r="L2617" s="55" t="n">
        <x:v>17915944</x:v>
      </x:c>
      <x:c r="M2617" t="str">
        <x:v>20240312001027</x:v>
      </x:c>
      <x:c r="N2617" t="n">
        <x:v>45363.624999988424</x:v>
      </x:c>
      <x:c r="O2617" s="54" t="n">
        <x:v>45291</x:v>
      </x:c>
      <x:c r="P2617" t="str">
        <x:v>False</x:v>
      </x:c>
      <x:c r="Q2617" t="str">
        <x:v>7e46271a69192a51a876226fc710db6e424a950de4b5ef8ae1bcf70976ae6352</x:v>
      </x:c>
      <x:c r="R2617" t="str">
        <x:v>c986d76643fde8ddb48387593a879a224b39986131f53a2e70a46324061690f4</x:v>
      </x:c>
      <x:c r="S2617" t="n">
        <x:v>7</x:v>
      </x:c>
      <x:c r="T2617" t="str">
        <x:v>2018-12-31|2019-12-31|2020-12-31|2021-12-31|2022-12-31|2023-12-31</x:v>
      </x:c>
      <x:c r="U2617" s="57" t="n">
        <x:v>-2012.5319738242547</x:v>
      </x:c>
      <x:c r="V2617" s="57" t="n">
        <x:v>-1.3012772415904572</x:v>
      </x:c>
      <x:c r="W2617"/>
      <x:c r="X2617"/>
      <x:c r="Y2617" s="38" t="n">
        <x:v>0.6409090909090909</x:v>
      </x:c>
      <x:c r="Z2617" s="38" t="n">
        <x:v>0.3466080451041223</x:v>
      </x:c>
      <x:c r="AA2617" t="str">
        <x:v>NON_POSITIVE_ENTERPRISE_VALUE|NON_POSITIVE_EQUITY_VALUE|NON_POSITIVE_TERMINAL_FCF</x:v>
      </x:c>
    </x:row>
    <x:row r="2618">
      <x:c r="A2618" s="54" t="n">
        <x:v>45473</x:v>
      </x:c>
      <x:c r="B2618" t="n">
        <x:v>45473.624999988424</x:v>
      </x:c>
      <x:c r="C2618" t="str">
        <x:v>067990</x:v>
      </x:c>
      <x:c r="D2618" t="str">
        <x:v>도이치모터스</x:v>
      </x:c>
      <x:c r="E2618" t="str">
        <x:v>KOSDAQ</x:v>
      </x:c>
      <x:c r="F2618" t="str">
        <x:v>MID</x:v>
      </x:c>
      <x:c r="G2618" t="str">
        <x:v>DCF_SCREENING_EXCLUSION</x:v>
      </x:c>
      <x:c r="H2618" t="str">
        <x:v>NON_POSITIVE_EQUITY_VALUE</x:v>
      </x:c>
      <x:c r="I2618" s="54" t="n">
        <x:v>45471</x:v>
      </x:c>
      <x:c r="J2618" s="55" t="n">
        <x:v>4870</x:v>
      </x:c>
      <x:c r="K2618" s="55" t="n">
        <x:v>146984148500</x:v>
      </x:c>
      <x:c r="L2618" s="55" t="n">
        <x:v>30181550</x:v>
      </x:c>
      <x:c r="M2618" t="str">
        <x:v>20240320001811</x:v>
      </x:c>
      <x:c r="N2618" t="n">
        <x:v>45371.624999988424</x:v>
      </x:c>
      <x:c r="O2618" s="54" t="n">
        <x:v>45291</x:v>
      </x:c>
      <x:c r="P2618" t="str">
        <x:v>False</x:v>
      </x:c>
      <x:c r="Q2618" t="str">
        <x:v>0bc7f3d8d46eeca98074f004bde11ebaceccb4d0727220416c04f6ece769a38b</x:v>
      </x:c>
      <x:c r="R2618" t="str">
        <x:v>2fe0dc46726ebab2714b5d5a488616fe5159fc6c4dd7b3039c7bcb1783cdbe0a</x:v>
      </x:c>
      <x:c r="S2618" t="n">
        <x:v>6</x:v>
      </x:c>
      <x:c r="T2618" t="str">
        <x:v>2016-12-31|2018-12-31|2019-12-31|2020-12-31|2021-12-31|2022-12-31|2023-12-31</x:v>
      </x:c>
      <x:c r="U2618" s="57" t="n">
        <x:v>-4177.27394893669</x:v>
      </x:c>
      <x:c r="V2618" s="57" t="n">
        <x:v>-1.8577564576872054</x:v>
      </x:c>
      <x:c r="W2618"/>
      <x:c r="X2618"/>
      <x:c r="Y2618" s="38" t="n">
        <x:v>0.6409090909090909</x:v>
      </x:c>
      <x:c r="Z2618" s="38" t="n">
        <x:v>0.8283303031315056</x:v>
      </x:c>
      <x:c r="AA2618" t="str">
        <x:v>NON_POSITIVE_EQUITY_VALUE</x:v>
      </x:c>
    </x:row>
    <x:row r="2619">
      <x:c r="A2619" s="54" t="n">
        <x:v>45473</x:v>
      </x:c>
      <x:c r="B2619" t="n">
        <x:v>45473.624999988424</x:v>
      </x:c>
      <x:c r="C2619" t="str">
        <x:v>037070</x:v>
      </x:c>
      <x:c r="D2619" t="str">
        <x:v>파세코</x:v>
      </x:c>
      <x:c r="E2619" t="str">
        <x:v>KOSDAQ</x:v>
      </x:c>
      <x:c r="F2619" t="str">
        <x:v>MID</x:v>
      </x:c>
      <x:c r="G2619" t="str">
        <x:v>DCF_SCREENING_EXCLUSION</x:v>
      </x:c>
      <x:c r="H2619" t="str">
        <x:v>UNRELIABLE_TERMINAL_VALUE_SHARE</x:v>
      </x:c>
      <x:c r="I2619" s="54" t="n">
        <x:v>45471</x:v>
      </x:c>
      <x:c r="J2619" s="55" t="n">
        <x:v>10560</x:v>
      </x:c>
      <x:c r="K2619" s="55" t="n">
        <x:v>211200000000</x:v>
      </x:c>
      <x:c r="L2619" s="55" t="n">
        <x:v>20000000</x:v>
      </x:c>
      <x:c r="M2619" t="str">
        <x:v>20240321000783</x:v>
      </x:c>
      <x:c r="N2619" t="n">
        <x:v>45372.624999988424</x:v>
      </x:c>
      <x:c r="O2619" s="54" t="n">
        <x:v>45291</x:v>
      </x:c>
      <x:c r="P2619" t="str">
        <x:v>False</x:v>
      </x:c>
      <x:c r="Q2619" t="str">
        <x:v>784393044605cd99f115f12712e4d213e1008d38343a2c7f9152ad39cdd13c7d</x:v>
      </x:c>
      <x:c r="R2619" t="str">
        <x:v>e993a3ec31febcb41e3bc61f6c681f23684150b0414f372f5f522aaf1908f978</x:v>
      </x:c>
      <x:c r="S2619" t="n">
        <x:v>7</x:v>
      </x:c>
      <x:c r="T2619" t="str">
        <x:v>2018-12-31|2019-12-31|2020-12-31|2021-12-31|2022-12-31|2023-12-31</x:v>
      </x:c>
      <x:c r="U2619" s="57" t="n">
        <x:v>4248.1881586291975</x:v>
      </x:c>
      <x:c r="V2619" s="57" t="n">
        <x:v>-0.5977094546752655</x:v>
      </x:c>
      <x:c r="W2619"/>
      <x:c r="X2619"/>
      <x:c r="Y2619" s="38" t="n">
        <x:v>0.6409090909090909</x:v>
      </x:c>
      <x:c r="Z2619" s="38" t="n">
        <x:v>0.9240520239327586</x:v>
      </x:c>
      <x:c r="AA2619" t="str">
        <x:v>UNRELIABLE_TERMINAL_VALUE_SHARE</x:v>
      </x:c>
    </x:row>
    <x:row r="2620">
      <x:c r="A2620" s="54" t="n">
        <x:v>45473</x:v>
      </x:c>
      <x:c r="B2620" t="n">
        <x:v>45473.624999988424</x:v>
      </x:c>
      <x:c r="C2620" t="str">
        <x:v>365330</x:v>
      </x:c>
      <x:c r="D2620" t="str">
        <x:v>에스와이스틸텍</x:v>
      </x:c>
      <x:c r="E2620" t="str">
        <x:v>KOSDAQ</x:v>
      </x:c>
      <x:c r="F2620" t="str">
        <x:v>MID</x:v>
      </x:c>
      <x:c r="G2620" t="str">
        <x:v>ELIGIBLE</x:v>
      </x:c>
      <x:c r="H2620"/>
      <x:c r="I2620" s="54" t="n">
        <x:v>45471</x:v>
      </x:c>
      <x:c r="J2620" s="55" t="n">
        <x:v>2185</x:v>
      </x:c>
      <x:c r="K2620" s="55" t="n">
        <x:v>66882850000</x:v>
      </x:c>
      <x:c r="L2620" s="55" t="n">
        <x:v>30610000</x:v>
      </x:c>
      <x:c r="M2620" t="str">
        <x:v>20240320000887</x:v>
      </x:c>
      <x:c r="N2620" t="n">
        <x:v>45371.624999988424</x:v>
      </x:c>
      <x:c r="O2620" s="54" t="n">
        <x:v>45291</x:v>
      </x:c>
      <x:c r="P2620" t="str">
        <x:v>False</x:v>
      </x:c>
      <x:c r="Q2620" t="str">
        <x:v>24573bfdcd10bad4ce40d7dee1546ba30c331c97bb0d8f9057b6fa4ab0f1cc87</x:v>
      </x:c>
      <x:c r="R2620" t="str">
        <x:v>0d3f2e5727184a349b90ab2537360e91a99b544acbb94997ce0b227032ecba06</x:v>
      </x:c>
      <x:c r="S2620" t="n">
        <x:v>4</x:v>
      </x:c>
      <x:c r="T2620" t="str">
        <x:v>2023-12-31</x:v>
      </x:c>
      <x:c r="U2620" s="57" t="n">
        <x:v>4523.773780380267</x:v>
      </x:c>
      <x:c r="V2620" s="57" t="n">
        <x:v>1.0703770161923423</x:v>
      </x:c>
      <x:c r="W2620" t="n">
        <x:v>14</x:v>
      </x:c>
      <x:c r="X2620" t="n">
        <x:v>1</x:v>
      </x:c>
      <x:c r="Y2620" s="38" t="n">
        <x:v>0.6409090909090909</x:v>
      </x:c>
      <x:c r="Z2620" s="38" t="n">
        <x:v>0.6701769222689359</x:v>
      </x:c>
      <x:c r="AA2620"/>
    </x:row>
    <x:row r="2621">
      <x:c r="A2621" s="54" t="n">
        <x:v>45473</x:v>
      </x:c>
      <x:c r="B2621" t="n">
        <x:v>45473.624999988424</x:v>
      </x:c>
      <x:c r="C2621" t="str">
        <x:v>086960</x:v>
      </x:c>
      <x:c r="D2621" t="str">
        <x:v>MDS테크</x:v>
      </x:c>
      <x:c r="E2621" t="str">
        <x:v>KOSDAQ</x:v>
      </x:c>
      <x:c r="F2621" t="str">
        <x:v>MID</x:v>
      </x:c>
      <x:c r="G2621" t="str">
        <x:v>ELIGIBLE</x:v>
      </x:c>
      <x:c r="H2621"/>
      <x:c r="I2621" s="54" t="n">
        <x:v>45471</x:v>
      </x:c>
      <x:c r="J2621" s="55" t="n">
        <x:v>1511</x:v>
      </x:c>
      <x:c r="K2621" s="55" t="n">
        <x:v>132472071668</x:v>
      </x:c>
      <x:c r="L2621" s="55" t="n">
        <x:v>87671788</x:v>
      </x:c>
      <x:c r="M2621" t="str">
        <x:v>20240320001272</x:v>
      </x:c>
      <x:c r="N2621" t="n">
        <x:v>45371.624999988424</x:v>
      </x:c>
      <x:c r="O2621" s="54" t="n">
        <x:v>45291</x:v>
      </x:c>
      <x:c r="P2621" t="str">
        <x:v>False</x:v>
      </x:c>
      <x:c r="Q2621" t="str">
        <x:v>84de4515ca1119a24d9147eddc788440aecaaee691f2865c90aa8ed59fc89a1d</x:v>
      </x:c>
      <x:c r="R2621" t="str">
        <x:v>3e08d93b2f163c2e15943a2607b75a5534844c24473dd034ace6e16e0edd5ab7</x:v>
      </x:c>
      <x:c r="S2621" t="n">
        <x:v>6</x:v>
      </x:c>
      <x:c r="T2621" t="str">
        <x:v>2018-12-31|2019-12-31|2020-12-31|2021-12-31|2022-12-31|2023-12-31</x:v>
      </x:c>
      <x:c r="U2621" s="57" t="n">
        <x:v>1261.597479190555</x:v>
      </x:c>
      <x:c r="V2621" s="57" t="n">
        <x:v>-0.16505792244172401</x:v>
      </x:c>
      <x:c r="W2621" t="n">
        <x:v>32</x:v>
      </x:c>
      <x:c r="X2621" t="n">
        <x:v>3</x:v>
      </x:c>
      <x:c r="Y2621" s="38" t="n">
        <x:v>0.6409090909090909</x:v>
      </x:c>
      <x:c r="Z2621" s="38" t="n">
        <x:v>0.6113041702507156</x:v>
      </x:c>
      <x:c r="AA2621"/>
    </x:row>
    <x:row r="2622">
      <x:c r="A2622" s="54" t="n">
        <x:v>45473</x:v>
      </x:c>
      <x:c r="B2622" t="n">
        <x:v>45473.624999988424</x:v>
      </x:c>
      <x:c r="C2622" t="str">
        <x:v>014970</x:v>
      </x:c>
      <x:c r="D2622" t="str">
        <x:v>삼륭물산</x:v>
      </x:c>
      <x:c r="E2622" t="str">
        <x:v>KOSDAQ</x:v>
      </x:c>
      <x:c r="F2622" t="str">
        <x:v>MID</x:v>
      </x:c>
      <x:c r="G2622" t="str">
        <x:v>DCF_SCREENING_EXCLUSION</x:v>
      </x:c>
      <x:c r="H2622" t="str">
        <x:v>NON_POSITIVE_ENTERPRISE_VALUE|NON_POSITIVE_EQUITY_VALUE|NON_POSITIVE_TERMINAL_FCF</x:v>
      </x:c>
      <x:c r="I2622" s="54" t="n">
        <x:v>45471</x:v>
      </x:c>
      <x:c r="J2622" s="55" t="n">
        <x:v>4120</x:v>
      </x:c>
      <x:c r="K2622" s="55" t="n">
        <x:v>62315000000</x:v>
      </x:c>
      <x:c r="L2622" s="55" t="n">
        <x:v>15125000</x:v>
      </x:c>
      <x:c r="M2622" t="str">
        <x:v>20240320000719</x:v>
      </x:c>
      <x:c r="N2622" t="n">
        <x:v>45371.624999988424</x:v>
      </x:c>
      <x:c r="O2622" s="54" t="n">
        <x:v>45291</x:v>
      </x:c>
      <x:c r="P2622" t="str">
        <x:v>False</x:v>
      </x:c>
      <x:c r="Q2622" t="str">
        <x:v>2cadfc6d7219ebba9d011695e07f4b6314ecd5df7ec1ae231e8cf6b97f5bef45</x:v>
      </x:c>
      <x:c r="R2622" t="str">
        <x:v>8e030fcab7ea2a0ed13b3f3fd4694f1f7256ca3970f5581f149752a285031d6d</x:v>
      </x:c>
      <x:c r="S2622" t="n">
        <x:v>6</x:v>
      </x:c>
      <x:c r="T2622" t="str">
        <x:v>2018-12-31|2019-12-31|2020-12-31|2021-12-31|2022-12-31|2023-12-31</x:v>
      </x:c>
      <x:c r="U2622" s="57" t="n">
        <x:v>-1515.1892678884392</x:v>
      </x:c>
      <x:c r="V2622" s="57" t="n">
        <x:v>-1.3677643854098154</x:v>
      </x:c>
      <x:c r="W2622"/>
      <x:c r="X2622"/>
      <x:c r="Y2622" s="38" t="n">
        <x:v>0.6409090909090909</x:v>
      </x:c>
      <x:c r="Z2622" s="38" t="n">
        <x:v>0.6814610306368521</x:v>
      </x:c>
      <x:c r="AA2622" t="str">
        <x:v>NON_POSITIVE_ENTERPRISE_VALUE|NON_POSITIVE_EQUITY_VALUE|NON_POSITIVE_TERMINAL_FCF</x:v>
      </x:c>
    </x:row>
    <x:row r="2623">
      <x:c r="A2623" s="54" t="n">
        <x:v>45473</x:v>
      </x:c>
      <x:c r="B2623" t="n">
        <x:v>45473.624999988424</x:v>
      </x:c>
      <x:c r="C2623" t="str">
        <x:v>088390</x:v>
      </x:c>
      <x:c r="D2623" t="str">
        <x:v>이녹스</x:v>
      </x:c>
      <x:c r="E2623" t="str">
        <x:v>KOSDAQ</x:v>
      </x:c>
      <x:c r="F2623" t="str">
        <x:v>MID</x:v>
      </x:c>
      <x:c r="G2623" t="str">
        <x:v>ELIGIBLE</x:v>
      </x:c>
      <x:c r="H2623"/>
      <x:c r="I2623" s="54" t="n">
        <x:v>45471</x:v>
      </x:c>
      <x:c r="J2623" s="55" t="n">
        <x:v>21400</x:v>
      </x:c>
      <x:c r="K2623" s="55" t="n">
        <x:v>200857061600</x:v>
      </x:c>
      <x:c r="L2623" s="55" t="n">
        <x:v>9385844</x:v>
      </x:c>
      <x:c r="M2623" t="str">
        <x:v>20240320001657</x:v>
      </x:c>
      <x:c r="N2623" t="n">
        <x:v>45371.624999988424</x:v>
      </x:c>
      <x:c r="O2623" s="54" t="n">
        <x:v>45291</x:v>
      </x:c>
      <x:c r="P2623" t="str">
        <x:v>False</x:v>
      </x:c>
      <x:c r="Q2623" t="str">
        <x:v>8dc6d17d648284619088b51a47683a39d7c9ed1736f616904b02e68189eceadb</x:v>
      </x:c>
      <x:c r="R2623" t="str">
        <x:v>f2b8c39a537bef7a34bd1d926810f6f2272c3e414fb936e3f96940d36f9a1331</x:v>
      </x:c>
      <x:c r="S2623" t="n">
        <x:v>6</x:v>
      </x:c>
      <x:c r="T2623" t="str">
        <x:v>2018-12-31|2019-12-31|2020-12-31|2021-12-31|2022-12-31|2023-12-31</x:v>
      </x:c>
      <x:c r="U2623" s="57" t="n">
        <x:v>8672.755239064714</x:v>
      </x:c>
      <x:c r="V2623" s="57" t="n">
        <x:v>-0.5947310635951067</x:v>
      </x:c>
      <x:c r="W2623" t="n">
        <x:v>47</x:v>
      </x:c>
      <x:c r="X2623" t="n">
        <x:v>4</x:v>
      </x:c>
      <x:c r="Y2623" s="38" t="n">
        <x:v>0.6409090909090909</x:v>
      </x:c>
      <x:c r="Z2623" s="38" t="n">
        <x:v>0.7494179855138948</x:v>
      </x:c>
      <x:c r="AA2623"/>
    </x:row>
    <x:row r="2624">
      <x:c r="A2624" s="54" t="n">
        <x:v>45473</x:v>
      </x:c>
      <x:c r="B2624" t="n">
        <x:v>45473.624999988424</x:v>
      </x:c>
      <x:c r="C2624" t="str">
        <x:v>170920</x:v>
      </x:c>
      <x:c r="D2624" t="str">
        <x:v>엘티씨</x:v>
      </x:c>
      <x:c r="E2624" t="str">
        <x:v>KOSDAQ</x:v>
      </x:c>
      <x:c r="F2624" t="str">
        <x:v>MID</x:v>
      </x:c>
      <x:c r="G2624" t="str">
        <x:v>DCF_SCREENING_EXCLUSION</x:v>
      </x:c>
      <x:c r="H2624" t="str">
        <x:v>NON_POSITIVE_ENTERPRISE_VALUE|NON_POSITIVE_EQUITY_VALUE|UNRELIABLE_TERMINAL_VALUE_SHARE</x:v>
      </x:c>
      <x:c r="I2624" s="54" t="n">
        <x:v>45471</x:v>
      </x:c>
      <x:c r="J2624" s="55" t="n">
        <x:v>14070</x:v>
      </x:c>
      <x:c r="K2624" s="55" t="n">
        <x:v>137965073400</x:v>
      </x:c>
      <x:c r="L2624" s="55" t="n">
        <x:v>9805620</x:v>
      </x:c>
      <x:c r="M2624" t="str">
        <x:v>20240321001742</x:v>
      </x:c>
      <x:c r="N2624" t="n">
        <x:v>45372.624999988424</x:v>
      </x:c>
      <x:c r="O2624" s="54" t="n">
        <x:v>45291</x:v>
      </x:c>
      <x:c r="P2624" t="str">
        <x:v>False</x:v>
      </x:c>
      <x:c r="Q2624" t="str">
        <x:v>e0fb18466957ab0f83d20a2f4e800266152f0cbe424990d422a2254e9053e290</x:v>
      </x:c>
      <x:c r="R2624" t="str">
        <x:v>c96edd30d1785443fbfc98210e3ff88ce203af94559a254a9db7253a722dc9b0</x:v>
      </x:c>
      <x:c r="S2624" t="n">
        <x:v>6</x:v>
      </x:c>
      <x:c r="T2624" t="str">
        <x:v>2018-12-31|2019-12-31|2020-12-31|2021-12-31|2022-12-31|2023-12-31</x:v>
      </x:c>
      <x:c r="U2624" s="57" t="n">
        <x:v>-7442.29652600761</x:v>
      </x:c>
      <x:c r="V2624" s="57" t="n">
        <x:v>-1.528947869652282</x:v>
      </x:c>
      <x:c r="W2624"/>
      <x:c r="X2624"/>
      <x:c r="Y2624" s="38" t="n">
        <x:v>0.6409090909090909</x:v>
      </x:c>
      <x:c r="Z2624" s="38" t="n">
        <x:v>-0.5601716319008023</x:v>
      </x:c>
      <x:c r="AA2624" t="str">
        <x:v>NON_POSITIVE_ENTERPRISE_VALUE|NON_POSITIVE_EQUITY_VALUE|UNRELIABLE_TERMINAL_VALUE_SHARE</x:v>
      </x:c>
    </x:row>
    <x:row r="2625">
      <x:c r="A2625" s="54" t="n">
        <x:v>45473</x:v>
      </x:c>
      <x:c r="B2625" t="n">
        <x:v>45473.624999988424</x:v>
      </x:c>
      <x:c r="C2625" t="str">
        <x:v>021080</x:v>
      </x:c>
      <x:c r="D2625" t="str">
        <x:v>에이티넘인베스트</x:v>
      </x:c>
      <x:c r="E2625" t="str">
        <x:v>KOSDAQ</x:v>
      </x:c>
      <x:c r="F2625" t="str">
        <x:v>MID</x:v>
      </x:c>
      <x:c r="G2625" t="str">
        <x:v>ELIGIBLE</x:v>
      </x:c>
      <x:c r="H2625"/>
      <x:c r="I2625" s="54" t="n">
        <x:v>45471</x:v>
      </x:c>
      <x:c r="J2625" s="55" t="n">
        <x:v>2690</x:v>
      </x:c>
      <x:c r="K2625" s="55" t="n">
        <x:v>129120000000</x:v>
      </x:c>
      <x:c r="L2625" s="55" t="n">
        <x:v>48000000</x:v>
      </x:c>
      <x:c r="M2625" t="str">
        <x:v>20240312000765</x:v>
      </x:c>
      <x:c r="N2625" t="n">
        <x:v>45363.624999988424</x:v>
      </x:c>
      <x:c r="O2625" s="54" t="n">
        <x:v>45291</x:v>
      </x:c>
      <x:c r="P2625" t="str">
        <x:v>False</x:v>
      </x:c>
      <x:c r="Q2625" t="str">
        <x:v>585e092b523d9f6610c602b3553f86e82bb9685ce00a429285a4a5e44a1b69ad</x:v>
      </x:c>
      <x:c r="R2625" t="str">
        <x:v>d63c9082395f6f464c3496fb0527874d7a68bea07199380a9ea6a3a2ff1a2912</x:v>
      </x:c>
      <x:c r="S2625" t="n">
        <x:v>4</x:v>
      </x:c>
      <x:c r="T2625" t="str">
        <x:v>2018-12-31|2019-12-31|2020-12-31|2021-12-31|2022-12-31|2023-12-31</x:v>
      </x:c>
      <x:c r="U2625" s="57" t="n">
        <x:v>11357.071815195002</x:v>
      </x:c>
      <x:c r="V2625" s="57" t="n">
        <x:v>3.221959782600373</x:v>
      </x:c>
      <x:c r="W2625" t="n">
        <x:v>4</x:v>
      </x:c>
      <x:c r="X2625" t="n">
        <x:v>1</x:v>
      </x:c>
      <x:c r="Y2625" s="38" t="n">
        <x:v>0.6409090909090909</x:v>
      </x:c>
      <x:c r="Z2625" s="38" t="n">
        <x:v>0.7437819354512628</x:v>
      </x:c>
      <x:c r="AA2625"/>
    </x:row>
    <x:row r="2626">
      <x:c r="A2626" s="54" t="n">
        <x:v>45473</x:v>
      </x:c>
      <x:c r="B2626" t="n">
        <x:v>45473.624999988424</x:v>
      </x:c>
      <x:c r="C2626" t="str">
        <x:v>302550</x:v>
      </x:c>
      <x:c r="D2626" t="str">
        <x:v>리메드</x:v>
      </x:c>
      <x:c r="E2626" t="str">
        <x:v>KOSDAQ</x:v>
      </x:c>
      <x:c r="F2626" t="str">
        <x:v>MID</x:v>
      </x:c>
      <x:c r="G2626" t="str">
        <x:v>ELIGIBLE</x:v>
      </x:c>
      <x:c r="H2626"/>
      <x:c r="I2626" s="54" t="n">
        <x:v>45471</x:v>
      </x:c>
      <x:c r="J2626" s="55" t="n">
        <x:v>2905</x:v>
      </x:c>
      <x:c r="K2626" s="55" t="n">
        <x:v>89003622400</x:v>
      </x:c>
      <x:c r="L2626" s="55" t="n">
        <x:v>30638080</x:v>
      </x:c>
      <x:c r="M2626" t="str">
        <x:v>20230712000076</x:v>
      </x:c>
      <x:c r="N2626" t="n">
        <x:v>45119.624999988424</x:v>
      </x:c>
      <x:c r="O2626" s="54" t="n">
        <x:v>44926</x:v>
      </x:c>
      <x:c r="P2626" t="str">
        <x:v>True</x:v>
      </x:c>
      <x:c r="Q2626" t="str">
        <x:v>2696cb4a23bf61a69eae1203094ad6ef054f124c385ab3ed7cb3badc732e56ea</x:v>
      </x:c>
      <x:c r="R2626" t="str">
        <x:v>e324af1e445581034711bdcbf297ec383f60b2407cd91b67ee5229b470556ea0</x:v>
      </x:c>
      <x:c r="S2626" t="n">
        <x:v>5</x:v>
      </x:c>
      <x:c r="T2626" t="str">
        <x:v>2019-12-31|2020-12-31|2021-12-31|2022-12-31</x:v>
      </x:c>
      <x:c r="U2626" s="57" t="n">
        <x:v>786.7567809151806</x:v>
      </x:c>
      <x:c r="V2626" s="57" t="n">
        <x:v>-0.7291715039878897</x:v>
      </x:c>
      <x:c r="W2626" t="n">
        <x:v>55</x:v>
      </x:c>
      <x:c r="X2626" t="n">
        <x:v>4</x:v>
      </x:c>
      <x:c r="Y2626" s="38" t="n">
        <x:v>0.6409090909090909</x:v>
      </x:c>
      <x:c r="Z2626" s="38" t="n">
        <x:v>0.6901126110971331</x:v>
      </x:c>
      <x:c r="AA2626"/>
    </x:row>
    <x:row r="2627">
      <x:c r="A2627" s="54" t="n">
        <x:v>45473</x:v>
      </x:c>
      <x:c r="B2627" t="n">
        <x:v>45473.624999988424</x:v>
      </x:c>
      <x:c r="C2627" t="str">
        <x:v>011760</x:v>
      </x:c>
      <x:c r="D2627" t="str">
        <x:v>현대코퍼레이션</x:v>
      </x:c>
      <x:c r="E2627" t="str">
        <x:v>KOSPI</x:v>
      </x:c>
      <x:c r="F2627" t="str">
        <x:v>MID</x:v>
      </x:c>
      <x:c r="G2627" t="str">
        <x:v>ELIGIBLE</x:v>
      </x:c>
      <x:c r="H2627"/>
      <x:c r="I2627" s="54" t="n">
        <x:v>45471</x:v>
      </x:c>
      <x:c r="J2627" s="55" t="n">
        <x:v>22600</x:v>
      </x:c>
      <x:c r="K2627" s="55" t="n">
        <x:v>298974631600</x:v>
      </x:c>
      <x:c r="L2627" s="55" t="n">
        <x:v>13228966</x:v>
      </x:c>
      <x:c r="M2627" t="str">
        <x:v>20240318000785</x:v>
      </x:c>
      <x:c r="N2627" t="n">
        <x:v>45369.624999988424</x:v>
      </x:c>
      <x:c r="O2627" s="54" t="n">
        <x:v>45291</x:v>
      </x:c>
      <x:c r="P2627" t="str">
        <x:v>False</x:v>
      </x:c>
      <x:c r="Q2627" t="str">
        <x:v>bd05e601957c225260fa17bce33245bbeb5087b300ec05c3078d2af44b23856f</x:v>
      </x:c>
      <x:c r="R2627" t="str">
        <x:v>1c4e9c8420b26b511d1e44e0285bfb973453d5b57b84484050f2da19059bf4b0</x:v>
      </x:c>
      <x:c r="S2627" t="n">
        <x:v>6</x:v>
      </x:c>
      <x:c r="T2627" t="str">
        <x:v>2018-12-31|2019-12-31|2020-12-31|2021-12-31|2022-12-31|2023-12-31</x:v>
      </x:c>
      <x:c r="U2627" s="57" t="n">
        <x:v>5583.9450786115685</x:v>
      </x:c>
      <x:c r="V2627" s="57" t="n">
        <x:v>-0.7529227841322315</x:v>
      </x:c>
      <x:c r="W2627" t="n">
        <x:v>58</x:v>
      </x:c>
      <x:c r="X2627" t="n">
        <x:v>5</x:v>
      </x:c>
      <x:c r="Y2627" s="38" t="n">
        <x:v>0.6409090909090909</x:v>
      </x:c>
      <x:c r="Z2627" s="38" t="n">
        <x:v>0.6111192753275378</x:v>
      </x:c>
      <x:c r="AA2627"/>
    </x:row>
    <x:row r="2628">
      <x:c r="A2628" s="54" t="n">
        <x:v>45473</x:v>
      </x:c>
      <x:c r="B2628" t="n">
        <x:v>45473.624999988424</x:v>
      </x:c>
      <x:c r="C2628" t="str">
        <x:v>010690</x:v>
      </x:c>
      <x:c r="D2628" t="str">
        <x:v>화신</x:v>
      </x:c>
      <x:c r="E2628" t="str">
        <x:v>KOSPI</x:v>
      </x:c>
      <x:c r="F2628" t="str">
        <x:v>MID</x:v>
      </x:c>
      <x:c r="G2628" t="str">
        <x:v>DCF_SCREENING_EXCLUSION</x:v>
      </x:c>
      <x:c r="H2628" t="str">
        <x:v>NON_POSITIVE_ENTERPRISE_VALUE|NON_POSITIVE_EQUITY_VALUE|NON_POSITIVE_TERMINAL_FCF|UNRELIABLE_TERMINAL_VALUE_SHARE</x:v>
      </x:c>
      <x:c r="I2628" s="54" t="n">
        <x:v>45471</x:v>
      </x:c>
      <x:c r="J2628" s="55" t="n">
        <x:v>14850</x:v>
      </x:c>
      <x:c r="K2628" s="55" t="n">
        <x:v>518568088500</x:v>
      </x:c>
      <x:c r="L2628" s="55" t="n">
        <x:v>34920410</x:v>
      </x:c>
      <x:c r="M2628" t="str">
        <x:v>20240320000628</x:v>
      </x:c>
      <x:c r="N2628" t="n">
        <x:v>45371.624999988424</x:v>
      </x:c>
      <x:c r="O2628" s="54" t="n">
        <x:v>45291</x:v>
      </x:c>
      <x:c r="P2628" t="str">
        <x:v>False</x:v>
      </x:c>
      <x:c r="Q2628" t="str">
        <x:v>e81705d8d6ba1afc0afef48e6b5e8812525711e6cd1c45d6819869d7b9b99be1</x:v>
      </x:c>
      <x:c r="R2628" t="str">
        <x:v>1cfc709ce29738cc466feeb517f518e423ab5954b30269b72d371bf06ee4533a</x:v>
      </x:c>
      <x:c r="S2628" t="n">
        <x:v>6</x:v>
      </x:c>
      <x:c r="T2628" t="str">
        <x:v>2018-12-31|2019-12-31|2020-12-31|2021-12-31|2022-12-31|2023-12-31</x:v>
      </x:c>
      <x:c r="U2628" s="57" t="n">
        <x:v>-10980.749844779888</x:v>
      </x:c>
      <x:c r="V2628" s="57" t="n">
        <x:v>-1.7394444339919117</x:v>
      </x:c>
      <x:c r="W2628"/>
      <x:c r="X2628"/>
      <x:c r="Y2628" s="38" t="n">
        <x:v>0.6409090909090909</x:v>
      </x:c>
      <x:c r="Z2628" s="38" t="n">
        <x:v>0.9229095949043173</x:v>
      </x:c>
      <x:c r="AA2628" t="str">
        <x:v>NON_POSITIVE_ENTERPRISE_VALUE|NON_POSITIVE_EQUITY_VALUE|NON_POSITIVE_TERMINAL_FCF|UNRELIABLE_TERMINAL_VALUE_SHARE</x:v>
      </x:c>
    </x:row>
    <x:row r="2629">
      <x:c r="A2629" s="54" t="n">
        <x:v>45473</x:v>
      </x:c>
      <x:c r="B2629" t="n">
        <x:v>45473.624999988424</x:v>
      </x:c>
      <x:c r="C2629" t="str">
        <x:v>029460</x:v>
      </x:c>
      <x:c r="D2629" t="str">
        <x:v>케이씨</x:v>
      </x:c>
      <x:c r="E2629" t="str">
        <x:v>KOSPI</x:v>
      </x:c>
      <x:c r="F2629" t="str">
        <x:v>MID</x:v>
      </x:c>
      <x:c r="G2629" t="str">
        <x:v>ELIGIBLE</x:v>
      </x:c>
      <x:c r="H2629"/>
      <x:c r="I2629" s="54" t="n">
        <x:v>45471</x:v>
      </x:c>
      <x:c r="J2629" s="55" t="n">
        <x:v>20600</x:v>
      </x:c>
      <x:c r="K2629" s="55" t="n">
        <x:v>279213306400</x:v>
      </x:c>
      <x:c r="L2629" s="55" t="n">
        <x:v>13554044</x:v>
      </x:c>
      <x:c r="M2629" t="str">
        <x:v>20240320001938</x:v>
      </x:c>
      <x:c r="N2629" t="n">
        <x:v>45371.624999988424</x:v>
      </x:c>
      <x:c r="O2629" s="54" t="n">
        <x:v>45291</x:v>
      </x:c>
      <x:c r="P2629" t="str">
        <x:v>False</x:v>
      </x:c>
      <x:c r="Q2629" t="str">
        <x:v>c14886d85c95ef98f0cb4a19df3b598ddb2981a5a15fc88ae7c3335125c0f27e</x:v>
      </x:c>
      <x:c r="R2629" t="str">
        <x:v>22a13afaea6021ee4bf693c4026f93fafaa7a8fba704d505a71c242704fcc3e8</x:v>
      </x:c>
      <x:c r="S2629" t="n">
        <x:v>7</x:v>
      </x:c>
      <x:c r="T2629" t="str">
        <x:v>2018-12-31|2019-12-31|2020-12-31|2021-12-31|2022-12-31|2023-12-31</x:v>
      </x:c>
      <x:c r="U2629" s="57" t="n">
        <x:v>45130.92374360341</x:v>
      </x:c>
      <x:c r="V2629" s="57" t="n">
        <x:v>1.1908215409516218</x:v>
      </x:c>
      <x:c r="W2629" t="n">
        <x:v>13</x:v>
      </x:c>
      <x:c r="X2629" t="n">
        <x:v>1</x:v>
      </x:c>
      <x:c r="Y2629" s="38" t="n">
        <x:v>0.6409090909090909</x:v>
      </x:c>
      <x:c r="Z2629" s="38" t="n">
        <x:v>0.7089059046499804</x:v>
      </x:c>
      <x:c r="AA2629"/>
    </x:row>
    <x:row r="2630">
      <x:c r="A2630" s="54" t="n">
        <x:v>45473</x:v>
      </x:c>
      <x:c r="B2630" t="n">
        <x:v>45473.624999988424</x:v>
      </x:c>
      <x:c r="C2630" t="str">
        <x:v>122900</x:v>
      </x:c>
      <x:c r="D2630" t="str">
        <x:v>아이마켓코리아</x:v>
      </x:c>
      <x:c r="E2630" t="str">
        <x:v>KOSPI</x:v>
      </x:c>
      <x:c r="F2630" t="str">
        <x:v>MID</x:v>
      </x:c>
      <x:c r="G2630" t="str">
        <x:v>ELIGIBLE</x:v>
      </x:c>
      <x:c r="H2630"/>
      <x:c r="I2630" s="54" t="n">
        <x:v>45471</x:v>
      </x:c>
      <x:c r="J2630" s="55" t="n">
        <x:v>8690</x:v>
      </x:c>
      <x:c r="K2630" s="55" t="n">
        <x:v>290496619600</x:v>
      </x:c>
      <x:c r="L2630" s="55" t="n">
        <x:v>33428840</x:v>
      </x:c>
      <x:c r="M2630" t="str">
        <x:v>20240320001539</x:v>
      </x:c>
      <x:c r="N2630" t="n">
        <x:v>45371.624999988424</x:v>
      </x:c>
      <x:c r="O2630" s="54" t="n">
        <x:v>45291</x:v>
      </x:c>
      <x:c r="P2630" t="str">
        <x:v>False</x:v>
      </x:c>
      <x:c r="Q2630" t="str">
        <x:v>d1503789c50ef811d0de22a09dbf8dc2d39a26a93f95f814ae38fa4dd228ed72</x:v>
      </x:c>
      <x:c r="R2630" t="str">
        <x:v>e28ed1210e03ccf7a9f73952a8150699e698367f047dd509b998036ce69b2f89</x:v>
      </x:c>
      <x:c r="S2630" t="n">
        <x:v>7</x:v>
      </x:c>
      <x:c r="T2630" t="str">
        <x:v>2018-12-31|2019-12-31|2020-12-31|2021-12-31|2022-12-31|2023-12-31</x:v>
      </x:c>
      <x:c r="U2630" s="57" t="n">
        <x:v>8276.257238095726</x:v>
      </x:c>
      <x:c r="V2630" s="57" t="n">
        <x:v>-0.04761136500624551</x:v>
      </x:c>
      <x:c r="W2630" t="n">
        <x:v>26</x:v>
      </x:c>
      <x:c r="X2630" t="n">
        <x:v>2</x:v>
      </x:c>
      <x:c r="Y2630" s="38" t="n">
        <x:v>0.6409090909090909</x:v>
      </x:c>
      <x:c r="Z2630" s="38" t="n">
        <x:v>0.6641229820729971</x:v>
      </x:c>
      <x:c r="AA2630"/>
    </x:row>
    <x:row r="2631">
      <x:c r="A2631" s="54" t="n">
        <x:v>45473</x:v>
      </x:c>
      <x:c r="B2631" t="n">
        <x:v>45473.624999988424</x:v>
      </x:c>
      <x:c r="C2631" t="str">
        <x:v>001820</x:v>
      </x:c>
      <x:c r="D2631" t="str">
        <x:v>삼화콘덴서</x:v>
      </x:c>
      <x:c r="E2631" t="str">
        <x:v>KOSPI</x:v>
      </x:c>
      <x:c r="F2631" t="str">
        <x:v>MID</x:v>
      </x:c>
      <x:c r="G2631" t="str">
        <x:v>ELIGIBLE</x:v>
      </x:c>
      <x:c r="H2631"/>
      <x:c r="I2631" s="54" t="n">
        <x:v>45471</x:v>
      </x:c>
      <x:c r="J2631" s="55" t="n">
        <x:v>41300</x:v>
      </x:c>
      <x:c r="K2631" s="55" t="n">
        <x:v>429313500000</x:v>
      </x:c>
      <x:c r="L2631" s="55" t="n">
        <x:v>10395000</x:v>
      </x:c>
      <x:c r="M2631" t="str">
        <x:v>20240314001464</x:v>
      </x:c>
      <x:c r="N2631" t="n">
        <x:v>45365.624999988424</x:v>
      </x:c>
      <x:c r="O2631" s="54" t="n">
        <x:v>45291</x:v>
      </x:c>
      <x:c r="P2631" t="str">
        <x:v>False</x:v>
      </x:c>
      <x:c r="Q2631" t="str">
        <x:v>274a5347b9dabbb2482dfee0910723d6566dfabab115cb38d8e94d1bd1edface</x:v>
      </x:c>
      <x:c r="R2631" t="str">
        <x:v>cf569ee3978138fde2695bac84c5bc8c63f354d09fc34a554225e8d2005758d2</x:v>
      </x:c>
      <x:c r="S2631" t="n">
        <x:v>6</x:v>
      </x:c>
      <x:c r="T2631" t="str">
        <x:v>2018-12-31|2019-12-31|2020-12-31|2021-12-31|2022-12-31|2023-12-31</x:v>
      </x:c>
      <x:c r="U2631" s="57" t="n">
        <x:v>20806.516685187282</x:v>
      </x:c>
      <x:c r="V2631" s="57" t="n">
        <x:v>-0.4962102497533346</x:v>
      </x:c>
      <x:c r="W2631" t="n">
        <x:v>43</x:v>
      </x:c>
      <x:c r="X2631" t="n">
        <x:v>4</x:v>
      </x:c>
      <x:c r="Y2631" s="38" t="n">
        <x:v>0.6409090909090909</x:v>
      </x:c>
      <x:c r="Z2631" s="38" t="n">
        <x:v>0.7219471498277276</x:v>
      </x:c>
      <x:c r="AA2631"/>
    </x:row>
    <x:row r="2632">
      <x:c r="A2632" s="54" t="n">
        <x:v>45473</x:v>
      </x:c>
      <x:c r="B2632" t="n">
        <x:v>45473.624999988424</x:v>
      </x:c>
      <x:c r="C2632" t="str">
        <x:v>001790</x:v>
      </x:c>
      <x:c r="D2632" t="str">
        <x:v>대한제당</x:v>
      </x:c>
      <x:c r="E2632" t="str">
        <x:v>KOSPI</x:v>
      </x:c>
      <x:c r="F2632" t="str">
        <x:v>MID</x:v>
      </x:c>
      <x:c r="G2632" t="str">
        <x:v>ELIGIBLE</x:v>
      </x:c>
      <x:c r="H2632"/>
      <x:c r="I2632" s="54" t="n">
        <x:v>45471</x:v>
      </x:c>
      <x:c r="J2632" s="55" t="n">
        <x:v>3135</x:v>
      </x:c>
      <x:c r="K2632" s="55" t="n">
        <x:v>281198778300</x:v>
      </x:c>
      <x:c r="L2632" s="55" t="n">
        <x:v>89696580</x:v>
      </x:c>
      <x:c r="M2632" t="str">
        <x:v>20240314001234</x:v>
      </x:c>
      <x:c r="N2632" t="n">
        <x:v>45365.624999988424</x:v>
      </x:c>
      <x:c r="O2632" s="54" t="n">
        <x:v>45291</x:v>
      </x:c>
      <x:c r="P2632" t="str">
        <x:v>False</x:v>
      </x:c>
      <x:c r="Q2632" t="str">
        <x:v>df56a246a05df0b3fabb54db375323623b0235bb5736b3320cf8ef71f3e0dca7</x:v>
      </x:c>
      <x:c r="R2632" t="str">
        <x:v>95750ec16fad2e2d24c3b44296bd94ca5da4245c47d0c3845aa3b1a4c61c7771</x:v>
      </x:c>
      <x:c r="S2632" t="n">
        <x:v>6</x:v>
      </x:c>
      <x:c r="T2632" t="str">
        <x:v>2018-12-31|2019-12-31|2020-12-31|2021-12-31|2022-12-31|2023-12-31</x:v>
      </x:c>
      <x:c r="U2632" s="57" t="n">
        <x:v>3415.658777254967</x:v>
      </x:c>
      <x:c r="V2632" s="57" t="n">
        <x:v>0.08952433086282831</x:v>
      </x:c>
      <x:c r="W2632" t="n">
        <x:v>24</x:v>
      </x:c>
      <x:c r="X2632" t="n">
        <x:v>2</x:v>
      </x:c>
      <x:c r="Y2632" s="38" t="n">
        <x:v>0.6409090909090909</x:v>
      </x:c>
      <x:c r="Z2632" s="38" t="n">
        <x:v>0.6282445060315464</x:v>
      </x:c>
      <x:c r="AA2632"/>
    </x:row>
    <x:row r="2633">
      <x:c r="A2633" s="54" t="n">
        <x:v>45473</x:v>
      </x:c>
      <x:c r="B2633" t="n">
        <x:v>45473.624999988424</x:v>
      </x:c>
      <x:c r="C2633" t="str">
        <x:v>001340</x:v>
      </x:c>
      <x:c r="D2633" t="str">
        <x:v>PKC</x:v>
      </x:c>
      <x:c r="E2633" t="str">
        <x:v>KOSPI</x:v>
      </x:c>
      <x:c r="F2633" t="str">
        <x:v>MID</x:v>
      </x:c>
      <x:c r="G2633" t="str">
        <x:v>DCF_SCREENING_EXCLUSION</x:v>
      </x:c>
      <x:c r="H2633" t="str">
        <x:v>NON_POSITIVE_EQUITY_VALUE</x:v>
      </x:c>
      <x:c r="I2633" s="54" t="n">
        <x:v>45471</x:v>
      </x:c>
      <x:c r="J2633" s="55" t="n">
        <x:v>13830</x:v>
      </x:c>
      <x:c r="K2633" s="55" t="n">
        <x:v>621221568810</x:v>
      </x:c>
      <x:c r="L2633" s="55" t="n">
        <x:v>44918407</x:v>
      </x:c>
      <x:c r="M2633" t="str">
        <x:v>20240320001979</x:v>
      </x:c>
      <x:c r="N2633" t="n">
        <x:v>45371.624999988424</x:v>
      </x:c>
      <x:c r="O2633" s="54" t="n">
        <x:v>45291</x:v>
      </x:c>
      <x:c r="P2633" t="str">
        <x:v>False</x:v>
      </x:c>
      <x:c r="Q2633" t="str">
        <x:v>3c6ac6dfee2c7c5af21ff44265a33e23602bb7d3184a696b2b272cd587a4e2f8</x:v>
      </x:c>
      <x:c r="R2633" t="str">
        <x:v>37c0fe6d2ee64845eaf70afcce40d9a39f2a58d7f9bf1537b18fbf2299467f70</x:v>
      </x:c>
      <x:c r="S2633" t="n">
        <x:v>6</x:v>
      </x:c>
      <x:c r="T2633" t="str">
        <x:v>2016-12-31|2017-12-31|2018-12-31|2019-12-31|2020-12-31|2021-12-31|2022-12-31|2023-12-31</x:v>
      </x:c>
      <x:c r="U2633" s="57" t="n">
        <x:v>-680.2452659586256</x:v>
      </x:c>
      <x:c r="V2633" s="57" t="n">
        <x:v>-1.049186208673798</x:v>
      </x:c>
      <x:c r="W2633"/>
      <x:c r="X2633"/>
      <x:c r="Y2633" s="38" t="n">
        <x:v>0.6409090909090909</x:v>
      </x:c>
      <x:c r="Z2633" s="38" t="n">
        <x:v>0.719630078039282</x:v>
      </x:c>
      <x:c r="AA2633" t="str">
        <x:v>NON_POSITIVE_EQUITY_VALUE</x:v>
      </x:c>
    </x:row>
    <x:row r="2634">
      <x:c r="A2634" s="54" t="n">
        <x:v>45473</x:v>
      </x:c>
      <x:c r="B2634" t="n">
        <x:v>45473.624999988424</x:v>
      </x:c>
      <x:c r="C2634" t="str">
        <x:v>096760</x:v>
      </x:c>
      <x:c r="D2634" t="str">
        <x:v>JW홀딩스</x:v>
      </x:c>
      <x:c r="E2634" t="str">
        <x:v>KOSPI</x:v>
      </x:c>
      <x:c r="F2634" t="str">
        <x:v>MID</x:v>
      </x:c>
      <x:c r="G2634" t="str">
        <x:v>EXCLUDED_ARCHETYPE</x:v>
      </x:c>
      <x:c r="H2634" t="str">
        <x:v>FCFF_NOT_COMPARABLE_FOR_FINANCE_OR_HOLDING_HINT</x:v>
      </x:c>
      <x:c r="I2634" s="54"/>
      <x:c r="J2634" s="55"/>
      <x:c r="K2634" s="55"/>
      <x:c r="L2634" s="55"/>
      <x:c r="M2634"/>
      <x:c r="N2634"/>
      <x:c r="O2634" s="54"/>
      <x:c r="P2634"/>
      <x:c r="Q2634"/>
      <x:c r="R2634"/>
      <x:c r="S2634"/>
      <x:c r="T2634"/>
      <x:c r="U2634" s="57"/>
      <x:c r="V2634" s="57"/>
      <x:c r="W2634"/>
      <x:c r="X2634"/>
      <x:c r="Y2634" s="38"/>
      <x:c r="Z2634" s="38"/>
      <x:c r="AA2634"/>
    </x:row>
    <x:row r="2635">
      <x:c r="A2635" s="54" t="n">
        <x:v>45473</x:v>
      </x:c>
      <x:c r="B2635" t="n">
        <x:v>45473.624999988424</x:v>
      </x:c>
      <x:c r="C2635" t="str">
        <x:v>005010</x:v>
      </x:c>
      <x:c r="D2635" t="str">
        <x:v>휴스틸</x:v>
      </x:c>
      <x:c r="E2635" t="str">
        <x:v>KOSPI</x:v>
      </x:c>
      <x:c r="F2635" t="str">
        <x:v>MID</x:v>
      </x:c>
      <x:c r="G2635" t="str">
        <x:v>ELIGIBLE</x:v>
      </x:c>
      <x:c r="H2635"/>
      <x:c r="I2635" s="54" t="n">
        <x:v>45471</x:v>
      </x:c>
      <x:c r="J2635" s="55" t="n">
        <x:v>4460</x:v>
      </x:c>
      <x:c r="K2635" s="55" t="n">
        <x:v>250598814500</x:v>
      </x:c>
      <x:c r="L2635" s="55" t="n">
        <x:v>56188075</x:v>
      </x:c>
      <x:c r="M2635" t="str">
        <x:v>20240320001603</x:v>
      </x:c>
      <x:c r="N2635" t="n">
        <x:v>45371.624999988424</x:v>
      </x:c>
      <x:c r="O2635" s="54" t="n">
        <x:v>45291</x:v>
      </x:c>
      <x:c r="P2635" t="str">
        <x:v>False</x:v>
      </x:c>
      <x:c r="Q2635" t="str">
        <x:v>35aae45fefebaf10aa2c86741eb7509a2cff890309dfeb292b0a34398125d0ed</x:v>
      </x:c>
      <x:c r="R2635" t="str">
        <x:v>55c6ff67c8f62cec78e5b4d1a25f40746047d70c48fcc8b9976e04ef6ee101d9</x:v>
      </x:c>
      <x:c r="S2635" t="n">
        <x:v>7</x:v>
      </x:c>
      <x:c r="T2635" t="str">
        <x:v>2018-12-31|2019-12-31|2020-12-31|2021-12-31|2022-12-31|2023-12-31</x:v>
      </x:c>
      <x:c r="U2635" s="57" t="n">
        <x:v>10468.317900691738</x:v>
      </x:c>
      <x:c r="V2635" s="57" t="n">
        <x:v>1.3471564799757263</x:v>
      </x:c>
      <x:c r="W2635" t="n">
        <x:v>9</x:v>
      </x:c>
      <x:c r="X2635" t="n">
        <x:v>1</x:v>
      </x:c>
      <x:c r="Y2635" s="38" t="n">
        <x:v>0.6409090909090909</x:v>
      </x:c>
      <x:c r="Z2635" s="38" t="n">
        <x:v>0.447207451895078</x:v>
      </x:c>
      <x:c r="AA2635"/>
    </x:row>
    <x:row r="2636">
      <x:c r="A2636" s="54" t="n">
        <x:v>45473</x:v>
      </x:c>
      <x:c r="B2636" t="n">
        <x:v>45473.624999988424</x:v>
      </x:c>
      <x:c r="C2636" t="str">
        <x:v>001630</x:v>
      </x:c>
      <x:c r="D2636" t="str">
        <x:v>종근당홀딩스</x:v>
      </x:c>
      <x:c r="E2636" t="str">
        <x:v>KOSPI</x:v>
      </x:c>
      <x:c r="F2636" t="str">
        <x:v>MID</x:v>
      </x:c>
      <x:c r="G2636" t="str">
        <x:v>EXCLUDED_ARCHETYPE</x:v>
      </x:c>
      <x:c r="H2636" t="str">
        <x:v>FCFF_NOT_COMPARABLE_FOR_FINANCE_OR_HOLDING_HINT</x:v>
      </x:c>
      <x:c r="I2636" s="54"/>
      <x:c r="J2636" s="55"/>
      <x:c r="K2636" s="55"/>
      <x:c r="L2636" s="55"/>
      <x:c r="M2636"/>
      <x:c r="N2636"/>
      <x:c r="O2636" s="54"/>
      <x:c r="P2636"/>
      <x:c r="Q2636"/>
      <x:c r="R2636"/>
      <x:c r="S2636"/>
      <x:c r="T2636"/>
      <x:c r="U2636" s="57"/>
      <x:c r="V2636" s="57"/>
      <x:c r="W2636"/>
      <x:c r="X2636"/>
      <x:c r="Y2636" s="38"/>
      <x:c r="Z2636" s="38"/>
      <x:c r="AA2636"/>
    </x:row>
    <x:row r="2637">
      <x:c r="A2637" s="54" t="n">
        <x:v>45473</x:v>
      </x:c>
      <x:c r="B2637" t="n">
        <x:v>45473.624999988424</x:v>
      </x:c>
      <x:c r="C2637" t="str">
        <x:v>005680</x:v>
      </x:c>
      <x:c r="D2637" t="str">
        <x:v>삼영전자</x:v>
      </x:c>
      <x:c r="E2637" t="str">
        <x:v>KOSPI</x:v>
      </x:c>
      <x:c r="F2637" t="str">
        <x:v>MID</x:v>
      </x:c>
      <x:c r="G2637" t="str">
        <x:v>ELIGIBLE</x:v>
      </x:c>
      <x:c r="H2637"/>
      <x:c r="I2637" s="54" t="n">
        <x:v>45471</x:v>
      </x:c>
      <x:c r="J2637" s="55" t="n">
        <x:v>9300</x:v>
      </x:c>
      <x:c r="K2637" s="55" t="n">
        <x:v>186000000000</x:v>
      </x:c>
      <x:c r="L2637" s="55" t="n">
        <x:v>20000000</x:v>
      </x:c>
      <x:c r="M2637" t="str">
        <x:v>20240326000917</x:v>
      </x:c>
      <x:c r="N2637" t="n">
        <x:v>45377.624999988424</x:v>
      </x:c>
      <x:c r="O2637" s="54" t="n">
        <x:v>45291</x:v>
      </x:c>
      <x:c r="P2637" t="str">
        <x:v>False</x:v>
      </x:c>
      <x:c r="Q2637" t="str">
        <x:v>c9489600e923660150670cea88e10103608288ea56fadc66095a9aeeb1947124</x:v>
      </x:c>
      <x:c r="R2637" t="str">
        <x:v>f302bc68e8759b0aa0925fdb1b06b3e93b20fe5c27a5437c64873a5ca5bd9f85</x:v>
      </x:c>
      <x:c r="S2637" t="n">
        <x:v>6</x:v>
      </x:c>
      <x:c r="T2637" t="str">
        <x:v>2018-12-31|2019-12-31|2020-12-31|2021-12-31|2022-12-31|2023-12-31</x:v>
      </x:c>
      <x:c r="U2637" s="57" t="n">
        <x:v>4030.562647874543</x:v>
      </x:c>
      <x:c r="V2637" s="57" t="n">
        <x:v>-0.5666061668952104</x:v>
      </x:c>
      <x:c r="W2637" t="n">
        <x:v>46</x:v>
      </x:c>
      <x:c r="X2637" t="n">
        <x:v>4</x:v>
      </x:c>
      <x:c r="Y2637" s="38" t="n">
        <x:v>0.6409090909090909</x:v>
      </x:c>
      <x:c r="Z2637" s="38" t="n">
        <x:v>0.5975463439034572</x:v>
      </x:c>
      <x:c r="AA2637"/>
    </x:row>
    <x:row r="2638">
      <x:c r="A2638" s="54" t="n">
        <x:v>45473</x:v>
      </x:c>
      <x:c r="B2638" t="n">
        <x:v>45473.624999988424</x:v>
      </x:c>
      <x:c r="C2638" t="str">
        <x:v>028100</x:v>
      </x:c>
      <x:c r="D2638" t="str">
        <x:v>동아지질</x:v>
      </x:c>
      <x:c r="E2638" t="str">
        <x:v>KOSPI</x:v>
      </x:c>
      <x:c r="F2638" t="str">
        <x:v>MID</x:v>
      </x:c>
      <x:c r="G2638" t="str">
        <x:v>ELIGIBLE</x:v>
      </x:c>
      <x:c r="H2638"/>
      <x:c r="I2638" s="54" t="n">
        <x:v>45471</x:v>
      </x:c>
      <x:c r="J2638" s="55" t="n">
        <x:v>13850</x:v>
      </x:c>
      <x:c r="K2638" s="55" t="n">
        <x:v>194629147100</x:v>
      </x:c>
      <x:c r="L2638" s="55" t="n">
        <x:v>14052646</x:v>
      </x:c>
      <x:c r="M2638" t="str">
        <x:v>20240320001574</x:v>
      </x:c>
      <x:c r="N2638" t="n">
        <x:v>45371.624999988424</x:v>
      </x:c>
      <x:c r="O2638" s="54" t="n">
        <x:v>45291</x:v>
      </x:c>
      <x:c r="P2638" t="str">
        <x:v>False</x:v>
      </x:c>
      <x:c r="Q2638" t="str">
        <x:v>ee52a2e3e477bd9e8cfb8f2ba62b81403571f1861c743963d4d6485d911c75be</x:v>
      </x:c>
      <x:c r="R2638" t="str">
        <x:v>4d06e68b268047c2158644a358ddec39196c4ce7f8c0bd01059dd2aaef3abcdd</x:v>
      </x:c>
      <x:c r="S2638" t="n">
        <x:v>7</x:v>
      </x:c>
      <x:c r="T2638" t="str">
        <x:v>2018-12-31|2019-12-31|2020-12-31|2021-12-31|2022-12-31|2023-12-31</x:v>
      </x:c>
      <x:c r="U2638" s="57" t="n">
        <x:v>8765.107670137253</x:v>
      </x:c>
      <x:c r="V2638" s="57" t="n">
        <x:v>-0.36714024042330307</x:v>
      </x:c>
      <x:c r="W2638" t="n">
        <x:v>39</x:v>
      </x:c>
      <x:c r="X2638" t="n">
        <x:v>3</x:v>
      </x:c>
      <x:c r="Y2638" s="38" t="n">
        <x:v>0.6409090909090909</x:v>
      </x:c>
      <x:c r="Z2638" s="38" t="n">
        <x:v>0.49011150122882485</x:v>
      </x:c>
      <x:c r="AA2638"/>
    </x:row>
    <x:row r="2639">
      <x:c r="A2639" s="54" t="n">
        <x:v>45473</x:v>
      </x:c>
      <x:c r="B2639" t="n">
        <x:v>45473.624999988424</x:v>
      </x:c>
      <x:c r="C2639" t="str">
        <x:v>001750</x:v>
      </x:c>
      <x:c r="D2639" t="str">
        <x:v>한양증권</x:v>
      </x:c>
      <x:c r="E2639" t="str">
        <x:v>KOSPI</x:v>
      </x:c>
      <x:c r="F2639" t="str">
        <x:v>MID</x:v>
      </x:c>
      <x:c r="G2639" t="str">
        <x:v>EXCLUDED_ARCHETYPE</x:v>
      </x:c>
      <x:c r="H2639" t="str">
        <x:v>FCFF_NOT_COMPARABLE_FOR_FINANCE_OR_HOLDING_HINT</x:v>
      </x:c>
      <x:c r="I2639" s="54"/>
      <x:c r="J2639" s="55"/>
      <x:c r="K2639" s="55"/>
      <x:c r="L2639" s="55"/>
      <x:c r="M2639"/>
      <x:c r="N2639"/>
      <x:c r="O2639" s="54"/>
      <x:c r="P2639"/>
      <x:c r="Q2639"/>
      <x:c r="R2639"/>
      <x:c r="S2639"/>
      <x:c r="T2639"/>
      <x:c r="U2639" s="57"/>
      <x:c r="V2639" s="57"/>
      <x:c r="W2639"/>
      <x:c r="X2639"/>
      <x:c r="Y2639" s="38"/>
      <x:c r="Z2639" s="38"/>
      <x:c r="AA2639"/>
    </x:row>
    <x:row r="2640">
      <x:c r="A2640" s="54" t="n">
        <x:v>45473</x:v>
      </x:c>
      <x:c r="B2640" t="n">
        <x:v>45473.624999988424</x:v>
      </x:c>
      <x:c r="C2640" t="str">
        <x:v>102460</x:v>
      </x:c>
      <x:c r="D2640" t="str">
        <x:v>이연제약</x:v>
      </x:c>
      <x:c r="E2640" t="str">
        <x:v>KOSPI</x:v>
      </x:c>
      <x:c r="F2640" t="str">
        <x:v>MID</x:v>
      </x:c>
      <x:c r="G2640" t="str">
        <x:v>ELIGIBLE</x:v>
      </x:c>
      <x:c r="H2640"/>
      <x:c r="I2640" s="54" t="n">
        <x:v>45471</x:v>
      </x:c>
      <x:c r="J2640" s="55" t="n">
        <x:v>13630</x:v>
      </x:c>
      <x:c r="K2640" s="55" t="n">
        <x:v>253338233930</x:v>
      </x:c>
      <x:c r="L2640" s="55" t="n">
        <x:v>18586811</x:v>
      </x:c>
      <x:c r="M2640" t="str">
        <x:v>20240321001807</x:v>
      </x:c>
      <x:c r="N2640" t="n">
        <x:v>45372.624999988424</x:v>
      </x:c>
      <x:c r="O2640" s="54" t="n">
        <x:v>45291</x:v>
      </x:c>
      <x:c r="P2640" t="str">
        <x:v>False</x:v>
      </x:c>
      <x:c r="Q2640" t="str">
        <x:v>80d21ff9a7e0cc91512ce41db0823ff69fde89fde7aa4df36154d1bf9cf32883</x:v>
      </x:c>
      <x:c r="R2640" t="str">
        <x:v>5abe4fd2790dc39b5a5e6080a797e3d1f134ad081f87807db896d3642047e82d</x:v>
      </x:c>
      <x:c r="S2640" t="n">
        <x:v>4</x:v>
      </x:c>
      <x:c r="T2640" t="str">
        <x:v>2018-12-31|2019-12-31|2020-12-31|2021-12-31|2022-12-31|2023-12-31</x:v>
      </x:c>
      <x:c r="U2640" s="57" t="n">
        <x:v>2170.4219230363597</x:v>
      </x:c>
      <x:c r="V2640" s="57" t="n">
        <x:v>-0.8407614143040089</x:v>
      </x:c>
      <x:c r="W2640" t="n">
        <x:v>63</x:v>
      </x:c>
      <x:c r="X2640" t="n">
        <x:v>5</x:v>
      </x:c>
      <x:c r="Y2640" s="38" t="n">
        <x:v>0.6409090909090909</x:v>
      </x:c>
      <x:c r="Z2640" s="38" t="n">
        <x:v>0.8239939514401352</x:v>
      </x:c>
      <x:c r="AA2640"/>
    </x:row>
    <x:row r="2641">
      <x:c r="A2641" s="54" t="n">
        <x:v>45473</x:v>
      </x:c>
      <x:c r="B2641" t="n">
        <x:v>45473.624999988424</x:v>
      </x:c>
      <x:c r="C2641" t="str">
        <x:v>053690</x:v>
      </x:c>
      <x:c r="D2641" t="str">
        <x:v>한미글로벌</x:v>
      </x:c>
      <x:c r="E2641" t="str">
        <x:v>KOSPI</x:v>
      </x:c>
      <x:c r="F2641" t="str">
        <x:v>MID</x:v>
      </x:c>
      <x:c r="G2641" t="str">
        <x:v>ELIGIBLE</x:v>
      </x:c>
      <x:c r="H2641"/>
      <x:c r="I2641" s="54" t="n">
        <x:v>45471</x:v>
      </x:c>
      <x:c r="J2641" s="55" t="n">
        <x:v>15280</x:v>
      </x:c>
      <x:c r="K2641" s="55" t="n">
        <x:v>167431364000</x:v>
      </x:c>
      <x:c r="L2641" s="55" t="n">
        <x:v>10957550</x:v>
      </x:c>
      <x:c r="M2641" t="str">
        <x:v>20240313000849</x:v>
      </x:c>
      <x:c r="N2641" t="n">
        <x:v>45364.624999988424</x:v>
      </x:c>
      <x:c r="O2641" s="54" t="n">
        <x:v>45291</x:v>
      </x:c>
      <x:c r="P2641" t="str">
        <x:v>False</x:v>
      </x:c>
      <x:c r="Q2641" t="str">
        <x:v>600ede85d8fc76ab530b9b07c7cb77f2a7e9a31bbf1c2792ce98764725fae529</x:v>
      </x:c>
      <x:c r="R2641" t="str">
        <x:v>b62dda95c5ba2018a83c44b538c7f4363dc397a14cafc5bec0d3704c830014df</x:v>
      </x:c>
      <x:c r="S2641" t="n">
        <x:v>6</x:v>
      </x:c>
      <x:c r="T2641" t="str">
        <x:v>2018-12-31|2019-12-31|2020-12-31|2021-12-31|2022-12-31|2023-12-31</x:v>
      </x:c>
      <x:c r="U2641" s="57" t="n">
        <x:v>28120.708258603623</x:v>
      </x:c>
      <x:c r="V2641" s="57" t="n">
        <x:v>0.8403604881285095</x:v>
      </x:c>
      <x:c r="W2641" t="n">
        <x:v>17</x:v>
      </x:c>
      <x:c r="X2641" t="n">
        <x:v>2</x:v>
      </x:c>
      <x:c r="Y2641" s="38" t="n">
        <x:v>0.6409090909090909</x:v>
      </x:c>
      <x:c r="Z2641" s="38" t="n">
        <x:v>0.7211920712773437</x:v>
      </x:c>
      <x:c r="AA2641"/>
    </x:row>
    <x:row r="2642">
      <x:c r="A2642" s="54" t="n">
        <x:v>45473</x:v>
      </x:c>
      <x:c r="B2642" t="n">
        <x:v>45473.624999988424</x:v>
      </x:c>
      <x:c r="C2642" t="str">
        <x:v>213500</x:v>
      </x:c>
      <x:c r="D2642" t="str">
        <x:v>한솔제지</x:v>
      </x:c>
      <x:c r="E2642" t="str">
        <x:v>KOSPI</x:v>
      </x:c>
      <x:c r="F2642" t="str">
        <x:v>MID</x:v>
      </x:c>
      <x:c r="G2642" t="str">
        <x:v>ELIGIBLE</x:v>
      </x:c>
      <x:c r="H2642"/>
      <x:c r="I2642" s="54" t="n">
        <x:v>45471</x:v>
      </x:c>
      <x:c r="J2642" s="55" t="n">
        <x:v>11240</x:v>
      </x:c>
      <x:c r="K2642" s="55" t="n">
        <x:v>267518474240</x:v>
      </x:c>
      <x:c r="L2642" s="55" t="n">
        <x:v>23800576</x:v>
      </x:c>
      <x:c r="M2642" t="str">
        <x:v>20240312000971</x:v>
      </x:c>
      <x:c r="N2642" t="n">
        <x:v>45363.624999988424</x:v>
      </x:c>
      <x:c r="O2642" s="54" t="n">
        <x:v>45291</x:v>
      </x:c>
      <x:c r="P2642" t="str">
        <x:v>False</x:v>
      </x:c>
      <x:c r="Q2642" t="str">
        <x:v>19dff331e8b1c6ee5277754cd0302ed39450af4fcdb182c178e95c0d536d86c3</x:v>
      </x:c>
      <x:c r="R2642" t="str">
        <x:v>ee2ea9fea7706535f462605c9bbd31b8c46a23812968bbcab329a050fc29d719</x:v>
      </x:c>
      <x:c r="S2642" t="n">
        <x:v>7</x:v>
      </x:c>
      <x:c r="T2642" t="str">
        <x:v>2018-12-31|2019-12-31|2020-12-31|2021-12-31|2022-12-31|2023-12-31</x:v>
      </x:c>
      <x:c r="U2642" s="57" t="n">
        <x:v>25881.732116932646</x:v>
      </x:c>
      <x:c r="V2642" s="57" t="n">
        <x:v>1.3026452061327978</x:v>
      </x:c>
      <x:c r="W2642" t="n">
        <x:v>10</x:v>
      </x:c>
      <x:c r="X2642" t="n">
        <x:v>1</x:v>
      </x:c>
      <x:c r="Y2642" s="38" t="n">
        <x:v>0.6409090909090909</x:v>
      </x:c>
      <x:c r="Z2642" s="38" t="n">
        <x:v>0.7969868076380493</x:v>
      </x:c>
      <x:c r="AA2642"/>
    </x:row>
    <x:row r="2643">
      <x:c r="A2643" s="54" t="n">
        <x:v>45473</x:v>
      </x:c>
      <x:c r="B2643" t="n">
        <x:v>45473.624999988424</x:v>
      </x:c>
      <x:c r="C2643" t="str">
        <x:v>005430</x:v>
      </x:c>
      <x:c r="D2643" t="str">
        <x:v>한국공항</x:v>
      </x:c>
      <x:c r="E2643" t="str">
        <x:v>KOSPI</x:v>
      </x:c>
      <x:c r="F2643" t="str">
        <x:v>MID</x:v>
      </x:c>
      <x:c r="G2643" t="str">
        <x:v>ELIGIBLE</x:v>
      </x:c>
      <x:c r="H2643"/>
      <x:c r="I2643" s="54" t="n">
        <x:v>45471</x:v>
      </x:c>
      <x:c r="J2643" s="55" t="n">
        <x:v>73200</x:v>
      </x:c>
      <x:c r="K2643" s="55" t="n">
        <x:v>231777186000</x:v>
      </x:c>
      <x:c r="L2643" s="55" t="n">
        <x:v>3166355</x:v>
      </x:c>
      <x:c r="M2643" t="str">
        <x:v>20240313001250</x:v>
      </x:c>
      <x:c r="N2643" t="n">
        <x:v>45364.624999988424</x:v>
      </x:c>
      <x:c r="O2643" s="54" t="n">
        <x:v>45291</x:v>
      </x:c>
      <x:c r="P2643" t="str">
        <x:v>False</x:v>
      </x:c>
      <x:c r="Q2643" t="str">
        <x:v>91288d905d329bc748c57e4da2087a6810ead9e2eb7289cf7df63e0f6be160d7</x:v>
      </x:c>
      <x:c r="R2643" t="str">
        <x:v>29f2c59495d30dcc25005b2cbc9d508ccbe1c6e25677cf3fa2fbbf9a8e4b05b1</x:v>
      </x:c>
      <x:c r="S2643" t="n">
        <x:v>7</x:v>
      </x:c>
      <x:c r="T2643" t="str">
        <x:v>2018-12-31|2019-12-31|2020-12-31|2021-12-31|2022-12-31|2023-12-31</x:v>
      </x:c>
      <x:c r="U2643" s="57" t="n">
        <x:v>61944.748552711986</x:v>
      </x:c>
      <x:c r="V2643" s="57" t="n">
        <x:v>-0.15376026567333356</x:v>
      </x:c>
      <x:c r="W2643" t="n">
        <x:v>30</x:v>
      </x:c>
      <x:c r="X2643" t="n">
        <x:v>3</x:v>
      </x:c>
      <x:c r="Y2643" s="38" t="n">
        <x:v>0.6409090909090909</x:v>
      </x:c>
      <x:c r="Z2643" s="38" t="n">
        <x:v>0.5315329476545686</x:v>
      </x:c>
      <x:c r="AA2643"/>
    </x:row>
    <x:row r="2644">
      <x:c r="A2644" s="54" t="n">
        <x:v>45473</x:v>
      </x:c>
      <x:c r="B2644" t="n">
        <x:v>45473.624999988424</x:v>
      </x:c>
      <x:c r="C2644" t="str">
        <x:v>003460</x:v>
      </x:c>
      <x:c r="D2644" t="str">
        <x:v>유화증권</x:v>
      </x:c>
      <x:c r="E2644" t="str">
        <x:v>KOSPI</x:v>
      </x:c>
      <x:c r="F2644" t="str">
        <x:v>MID</x:v>
      </x:c>
      <x:c r="G2644" t="str">
        <x:v>EXCLUDED_ARCHETYPE</x:v>
      </x:c>
      <x:c r="H2644" t="str">
        <x:v>FCFF_NOT_COMPARABLE_FOR_FINANCE_OR_HOLDING_HINT</x:v>
      </x:c>
      <x:c r="I2644" s="54"/>
      <x:c r="J2644" s="55"/>
      <x:c r="K2644" s="55"/>
      <x:c r="L2644" s="55"/>
      <x:c r="M2644"/>
      <x:c r="N2644"/>
      <x:c r="O2644" s="54"/>
      <x:c r="P2644"/>
      <x:c r="Q2644"/>
      <x:c r="R2644"/>
      <x:c r="S2644"/>
      <x:c r="T2644"/>
      <x:c r="U2644" s="57"/>
      <x:c r="V2644" s="57"/>
      <x:c r="W2644"/>
      <x:c r="X2644"/>
      <x:c r="Y2644" s="38"/>
      <x:c r="Z2644" s="38"/>
      <x:c r="AA2644"/>
    </x:row>
    <x:row r="2645">
      <x:c r="A2645" s="54" t="n">
        <x:v>45473</x:v>
      </x:c>
      <x:c r="B2645" t="n">
        <x:v>45473.624999988424</x:v>
      </x:c>
      <x:c r="C2645" t="str">
        <x:v>004140</x:v>
      </x:c>
      <x:c r="D2645" t="str">
        <x:v>동방</x:v>
      </x:c>
      <x:c r="E2645" t="str">
        <x:v>KOSPI</x:v>
      </x:c>
      <x:c r="F2645" t="str">
        <x:v>MID</x:v>
      </x:c>
      <x:c r="G2645" t="str">
        <x:v>ELIGIBLE</x:v>
      </x:c>
      <x:c r="H2645"/>
      <x:c r="I2645" s="54" t="n">
        <x:v>45471</x:v>
      </x:c>
      <x:c r="J2645" s="55" t="n">
        <x:v>3515</x:v>
      </x:c>
      <x:c r="K2645" s="55" t="n">
        <x:v>168620757490</x:v>
      </x:c>
      <x:c r="L2645" s="55" t="n">
        <x:v>47971766</x:v>
      </x:c>
      <x:c r="M2645" t="str">
        <x:v>20240321001580</x:v>
      </x:c>
      <x:c r="N2645" t="n">
        <x:v>45372.624999988424</x:v>
      </x:c>
      <x:c r="O2645" s="54" t="n">
        <x:v>45291</x:v>
      </x:c>
      <x:c r="P2645" t="str">
        <x:v>False</x:v>
      </x:c>
      <x:c r="Q2645" t="str">
        <x:v>cb972dcae33b5fe915c126c95898fd6f6f7e4564cf7e930abea935125474e09c</x:v>
      </x:c>
      <x:c r="R2645" t="str">
        <x:v>de1f0d0bfea597d8482dadfeb4006a8840d2b9e5f343aa9e189c4f1287213fec</x:v>
      </x:c>
      <x:c r="S2645" t="n">
        <x:v>6</x:v>
      </x:c>
      <x:c r="T2645" t="str">
        <x:v>2013-12-31|2014-12-31|2015-12-31|2016-12-31|2018-12-31|2019-12-31|2020-12-31|2021-12-31|2022-12-31|2023-12-31</x:v>
      </x:c>
      <x:c r="U2645" s="57" t="n">
        <x:v>247.8871572399862</x:v>
      </x:c>
      <x:c r="V2645" s="57" t="n">
        <x:v>-0.9294773379118104</x:v>
      </x:c>
      <x:c r="W2645" t="n">
        <x:v>67</x:v>
      </x:c>
      <x:c r="X2645" t="n">
        <x:v>5</x:v>
      </x:c>
      <x:c r="Y2645" s="38" t="n">
        <x:v>0.6409090909090909</x:v>
      </x:c>
      <x:c r="Z2645" s="38" t="n">
        <x:v>0.6002060477668534</x:v>
      </x:c>
      <x:c r="AA2645"/>
    </x:row>
    <x:row r="2646">
      <x:c r="A2646" s="54" t="n">
        <x:v>45473</x:v>
      </x:c>
      <x:c r="B2646" t="n">
        <x:v>45473.624999988424</x:v>
      </x:c>
      <x:c r="C2646" t="str">
        <x:v>317400</x:v>
      </x:c>
      <x:c r="D2646" t="str">
        <x:v>자이에스앤디</x:v>
      </x:c>
      <x:c r="E2646" t="str">
        <x:v>KOSPI</x:v>
      </x:c>
      <x:c r="F2646" t="str">
        <x:v>MID</x:v>
      </x:c>
      <x:c r="G2646" t="str">
        <x:v>ELIGIBLE</x:v>
      </x:c>
      <x:c r="H2646"/>
      <x:c r="I2646" s="54" t="n">
        <x:v>45471</x:v>
      </x:c>
      <x:c r="J2646" s="55" t="n">
        <x:v>4670</x:v>
      </x:c>
      <x:c r="K2646" s="55" t="n">
        <x:v>181114368400</x:v>
      </x:c>
      <x:c r="L2646" s="55" t="n">
        <x:v>38782520</x:v>
      </x:c>
      <x:c r="M2646" t="str">
        <x:v>20240326000881</x:v>
      </x:c>
      <x:c r="N2646" t="n">
        <x:v>45377.624999988424</x:v>
      </x:c>
      <x:c r="O2646" s="54" t="n">
        <x:v>45291</x:v>
      </x:c>
      <x:c r="P2646" t="str">
        <x:v>True</x:v>
      </x:c>
      <x:c r="Q2646" t="str">
        <x:v>62243e72979fac9eb9c35ba9a1755566586ed81ff5034a5c1fe8b1feb2ed6895</x:v>
      </x:c>
      <x:c r="R2646" t="str">
        <x:v>aee106395813db3ab5be1dd79dac8df2df94d014e69795e3423a55111987f7a4</x:v>
      </x:c>
      <x:c r="S2646" t="n">
        <x:v>5</x:v>
      </x:c>
      <x:c r="T2646" t="str">
        <x:v>2019-12-31|2020-12-31|2021-12-31|2022-12-31|2023-12-31</x:v>
      </x:c>
      <x:c r="U2646" s="57" t="n">
        <x:v>55408.75127847823</x:v>
      </x:c>
      <x:c r="V2646" s="57" t="n">
        <x:v>10.864828967554224</x:v>
      </x:c>
      <x:c r="W2646" t="n">
        <x:v>2</x:v>
      </x:c>
      <x:c r="X2646" t="n">
        <x:v>1</x:v>
      </x:c>
      <x:c r="Y2646" s="38" t="n">
        <x:v>0.6409090909090909</x:v>
      </x:c>
      <x:c r="Z2646" s="38" t="n">
        <x:v>0.7436843944694342</x:v>
      </x:c>
      <x:c r="AA2646"/>
    </x:row>
    <x:row r="2647">
      <x:c r="A2647" s="54" t="n">
        <x:v>45473</x:v>
      </x:c>
      <x:c r="B2647" t="n">
        <x:v>45473.624999988424</x:v>
      </x:c>
      <x:c r="C2647" t="str">
        <x:v>077500</x:v>
      </x:c>
      <x:c r="D2647" t="str">
        <x:v>유니퀘스트</x:v>
      </x:c>
      <x:c r="E2647" t="str">
        <x:v>KOSPI</x:v>
      </x:c>
      <x:c r="F2647" t="str">
        <x:v>MID</x:v>
      </x:c>
      <x:c r="G2647" t="str">
        <x:v>ELIGIBLE</x:v>
      </x:c>
      <x:c r="H2647"/>
      <x:c r="I2647" s="54" t="n">
        <x:v>45471</x:v>
      </x:c>
      <x:c r="J2647" s="55" t="n">
        <x:v>5880</x:v>
      </x:c>
      <x:c r="K2647" s="55" t="n">
        <x:v>128148808200</x:v>
      </x:c>
      <x:c r="L2647" s="55" t="n">
        <x:v>21794015</x:v>
      </x:c>
      <x:c r="M2647" t="str">
        <x:v>20240321001571</x:v>
      </x:c>
      <x:c r="N2647" t="n">
        <x:v>45372.624999988424</x:v>
      </x:c>
      <x:c r="O2647" s="54" t="n">
        <x:v>45291</x:v>
      </x:c>
      <x:c r="P2647" t="str">
        <x:v>False</x:v>
      </x:c>
      <x:c r="Q2647" t="str">
        <x:v>73ab5a56c9611f1aa2b93c841dfc282fc89e2067fad0a1fb87019519be18c160</x:v>
      </x:c>
      <x:c r="R2647" t="str">
        <x:v>3b17a27842d2359136a23ce256ea6bc6152f38e08d27763ca467c67c613b99f1</x:v>
      </x:c>
      <x:c r="S2647" t="n">
        <x:v>6</x:v>
      </x:c>
      <x:c r="T2647" t="str">
        <x:v>2011-12-31|2012-12-31|2013-12-31|2014-12-31|2015-12-31|2016-12-31|2017-12-31|2018-12-31|2019-12-31|2020-12-31|2021-12-31|2022-12-31|2023-12-31</x:v>
      </x:c>
      <x:c r="U2647" s="57" t="n">
        <x:v>5315.942478598926</x:v>
      </x:c>
      <x:c r="V2647" s="57" t="n">
        <x:v>-0.09592814989814191</x:v>
      </x:c>
      <x:c r="W2647" t="n">
        <x:v>28</x:v>
      </x:c>
      <x:c r="X2647" t="n">
        <x:v>2</x:v>
      </x:c>
      <x:c r="Y2647" s="38" t="n">
        <x:v>0.6409090909090909</x:v>
      </x:c>
      <x:c r="Z2647" s="38" t="n">
        <x:v>0.6307992148694126</x:v>
      </x:c>
      <x:c r="AA2647"/>
    </x:row>
    <x:row r="2648">
      <x:c r="A2648" s="54" t="n">
        <x:v>45473</x:v>
      </x:c>
      <x:c r="B2648" t="n">
        <x:v>45473.624999988424</x:v>
      </x:c>
      <x:c r="C2648" t="str">
        <x:v>012800</x:v>
      </x:c>
      <x:c r="D2648" t="str">
        <x:v>대창</x:v>
      </x:c>
      <x:c r="E2648" t="str">
        <x:v>KOSPI</x:v>
      </x:c>
      <x:c r="F2648" t="str">
        <x:v>MID</x:v>
      </x:c>
      <x:c r="G2648" t="str">
        <x:v>DCF_SCREENING_EXCLUSION</x:v>
      </x:c>
      <x:c r="H2648" t="str">
        <x:v>NON_POSITIVE_EQUITY_VALUE|UNRELIABLE_TERMINAL_VALUE_SHARE</x:v>
      </x:c>
      <x:c r="I2648" s="54" t="n">
        <x:v>45471</x:v>
      </x:c>
      <x:c r="J2648" s="55" t="n">
        <x:v>1484</x:v>
      </x:c>
      <x:c r="K2648" s="55" t="n">
        <x:v>135252500516</x:v>
      </x:c>
      <x:c r="L2648" s="55" t="n">
        <x:v>91140499</x:v>
      </x:c>
      <x:c r="M2648" t="str">
        <x:v>20240319000397</x:v>
      </x:c>
      <x:c r="N2648" t="n">
        <x:v>45370.624999988424</x:v>
      </x:c>
      <x:c r="O2648" s="54" t="n">
        <x:v>45291</x:v>
      </x:c>
      <x:c r="P2648" t="str">
        <x:v>False</x:v>
      </x:c>
      <x:c r="Q2648" t="str">
        <x:v>c884aaf8bda599a6589039d2af0b7536bf2d9b85b3f7408b94d7249667032480</x:v>
      </x:c>
      <x:c r="R2648" t="str">
        <x:v>12825b7a99ca3f11e6a1c01b450f304f4b2a6cd864f55f76ed52ee51ae206687</x:v>
      </x:c>
      <x:c r="S2648" t="n">
        <x:v>6</x:v>
      </x:c>
      <x:c r="T2648" t="str">
        <x:v>2018-12-31|2019-12-31|2020-12-31|2021-12-31|2022-12-31|2023-12-31</x:v>
      </x:c>
      <x:c r="U2648" s="57" t="n">
        <x:v>-2835.27425876338</x:v>
      </x:c>
      <x:c r="V2648" s="57" t="n">
        <x:v>-2.910562168978019</x:v>
      </x:c>
      <x:c r="W2648"/>
      <x:c r="X2648"/>
      <x:c r="Y2648" s="38" t="n">
        <x:v>0.6409090909090909</x:v>
      </x:c>
      <x:c r="Z2648" s="38" t="n">
        <x:v>1.2542393020244607</x:v>
      </x:c>
      <x:c r="AA2648" t="str">
        <x:v>NON_POSITIVE_EQUITY_VALUE|UNRELIABLE_TERMINAL_VALUE_SHARE</x:v>
      </x:c>
    </x:row>
    <x:row r="2649">
      <x:c r="A2649" s="54" t="n">
        <x:v>45473</x:v>
      </x:c>
      <x:c r="B2649" t="n">
        <x:v>45473.624999988424</x:v>
      </x:c>
      <x:c r="C2649" t="str">
        <x:v>063160</x:v>
      </x:c>
      <x:c r="D2649" t="str">
        <x:v>종근당바이오</x:v>
      </x:c>
      <x:c r="E2649" t="str">
        <x:v>KOSPI</x:v>
      </x:c>
      <x:c r="F2649" t="str">
        <x:v>MID</x:v>
      </x:c>
      <x:c r="G2649" t="str">
        <x:v>DCF_SCREENING_EXCLUSION</x:v>
      </x:c>
      <x:c r="H2649" t="str">
        <x:v>NON_POSITIVE_ENTERPRISE_VALUE|NON_POSITIVE_EQUITY_VALUE|NON_POSITIVE_TERMINAL_FCF</x:v>
      </x:c>
      <x:c r="I2649" s="54" t="n">
        <x:v>45471</x:v>
      </x:c>
      <x:c r="J2649" s="55" t="n">
        <x:v>21200</x:v>
      </x:c>
      <x:c r="K2649" s="55" t="n">
        <x:v>116302394400</x:v>
      </x:c>
      <x:c r="L2649" s="55" t="n">
        <x:v>5485962</x:v>
      </x:c>
      <x:c r="M2649" t="str">
        <x:v>20240320001689</x:v>
      </x:c>
      <x:c r="N2649" t="n">
        <x:v>45371.624999988424</x:v>
      </x:c>
      <x:c r="O2649" s="54" t="n">
        <x:v>45291</x:v>
      </x:c>
      <x:c r="P2649" t="str">
        <x:v>False</x:v>
      </x:c>
      <x:c r="Q2649" t="str">
        <x:v>93e252d7dcae6de697e231778352f4d313713c6c1fbe2146b14da4849e4fac5c</x:v>
      </x:c>
      <x:c r="R2649" t="str">
        <x:v>16da8cdf2ba55bf0d25ef8f0739d6b99254dd7661ecd7093de4281353ebda5e8</x:v>
      </x:c>
      <x:c r="S2649" t="n">
        <x:v>6</x:v>
      </x:c>
      <x:c r="T2649" t="str">
        <x:v>2018-12-31|2019-12-31|2020-12-31|2021-12-31|2022-12-31|2023-12-31</x:v>
      </x:c>
      <x:c r="U2649" s="57" t="n">
        <x:v>-45514.57621893075</x:v>
      </x:c>
      <x:c r="V2649" s="57" t="n">
        <x:v>-3.146913972591073</x:v>
      </x:c>
      <x:c r="W2649"/>
      <x:c r="X2649"/>
      <x:c r="Y2649" s="38" t="n">
        <x:v>0.6409090909090909</x:v>
      </x:c>
      <x:c r="Z2649" s="38" t="n">
        <x:v>0.5142144965024156</x:v>
      </x:c>
      <x:c r="AA2649" t="str">
        <x:v>NON_POSITIVE_ENTERPRISE_VALUE|NON_POSITIVE_EQUITY_VALUE|NON_POSITIVE_TERMINAL_FCF</x:v>
      </x:c>
    </x:row>
    <x:row r="2650">
      <x:c r="A2650" s="54" t="n">
        <x:v>45473</x:v>
      </x:c>
      <x:c r="B2650" t="n">
        <x:v>45473.624999988424</x:v>
      </x:c>
      <x:c r="C2650" t="str">
        <x:v>013570</x:v>
      </x:c>
      <x:c r="D2650" t="str">
        <x:v>디와이</x:v>
      </x:c>
      <x:c r="E2650" t="str">
        <x:v>KOSPI</x:v>
      </x:c>
      <x:c r="F2650" t="str">
        <x:v>MID</x:v>
      </x:c>
      <x:c r="G2650" t="str">
        <x:v>ELIGIBLE</x:v>
      </x:c>
      <x:c r="H2650"/>
      <x:c r="I2650" s="54" t="n">
        <x:v>45471</x:v>
      </x:c>
      <x:c r="J2650" s="55" t="n">
        <x:v>5230</x:v>
      </x:c>
      <x:c r="K2650" s="55" t="n">
        <x:v>137651680590</x:v>
      </x:c>
      <x:c r="L2650" s="55" t="n">
        <x:v>26319633</x:v>
      </x:c>
      <x:c r="M2650" t="str">
        <x:v>20240313001243</x:v>
      </x:c>
      <x:c r="N2650" t="n">
        <x:v>45364.624999988424</x:v>
      </x:c>
      <x:c r="O2650" s="54" t="n">
        <x:v>45291</x:v>
      </x:c>
      <x:c r="P2650" t="str">
        <x:v>False</x:v>
      </x:c>
      <x:c r="Q2650" t="str">
        <x:v>5b93197c4315775238e13da809d27c345451f041c63c57432f379f3055212c04</x:v>
      </x:c>
      <x:c r="R2650" t="str">
        <x:v>c05e3809b025eb9c415a01ff07fab054469996c80b404b67909179775d4ea5e8</x:v>
      </x:c>
      <x:c r="S2650" t="n">
        <x:v>6</x:v>
      </x:c>
      <x:c r="T2650" t="str">
        <x:v>2018-12-31|2019-12-31|2020-12-31|2021-12-31|2022-12-31|2023-12-31</x:v>
      </x:c>
      <x:c r="U2650" s="57" t="n">
        <x:v>11956.0318836646</x:v>
      </x:c>
      <x:c r="V2650" s="57" t="n">
        <x:v>1.2860481613125432</x:v>
      </x:c>
      <x:c r="W2650" t="n">
        <x:v>11</x:v>
      </x:c>
      <x:c r="X2650" t="n">
        <x:v>1</x:v>
      </x:c>
      <x:c r="Y2650" s="38" t="n">
        <x:v>0.6409090909090909</x:v>
      </x:c>
      <x:c r="Z2650" s="38" t="n">
        <x:v>0.8130986732652858</x:v>
      </x:c>
      <x:c r="AA2650"/>
    </x:row>
    <x:row r="2651">
      <x:c r="A2651" s="54" t="n">
        <x:v>45473</x:v>
      </x:c>
      <x:c r="B2651" t="n">
        <x:v>45473.624999988424</x:v>
      </x:c>
      <x:c r="C2651" t="str">
        <x:v>227840</x:v>
      </x:c>
      <x:c r="D2651" t="str">
        <x:v>현대코퍼레이션홀딩스</x:v>
      </x:c>
      <x:c r="E2651" t="str">
        <x:v>KOSPI</x:v>
      </x:c>
      <x:c r="F2651" t="str">
        <x:v>MID</x:v>
      </x:c>
      <x:c r="G2651" t="str">
        <x:v>EXCLUDED_ARCHETYPE</x:v>
      </x:c>
      <x:c r="H2651" t="str">
        <x:v>FCFF_NOT_COMPARABLE_FOR_FINANCE_OR_HOLDING_HINT</x:v>
      </x:c>
      <x:c r="I2651" s="54"/>
      <x:c r="J2651" s="55"/>
      <x:c r="K2651" s="55"/>
      <x:c r="L2651" s="55"/>
      <x:c r="M2651"/>
      <x:c r="N2651"/>
      <x:c r="O2651" s="54"/>
      <x:c r="P2651"/>
      <x:c r="Q2651"/>
      <x:c r="R2651"/>
      <x:c r="S2651"/>
      <x:c r="T2651"/>
      <x:c r="U2651" s="57"/>
      <x:c r="V2651" s="57"/>
      <x:c r="W2651"/>
      <x:c r="X2651"/>
      <x:c r="Y2651" s="38"/>
      <x:c r="Z2651" s="38"/>
      <x:c r="AA2651"/>
    </x:row>
    <x:row r="2652">
      <x:c r="A2652" s="54" t="n">
        <x:v>45473</x:v>
      </x:c>
      <x:c r="B2652" t="n">
        <x:v>45473.624999988424</x:v>
      </x:c>
      <x:c r="C2652" t="str">
        <x:v>247540</x:v>
      </x:c>
      <x:c r="D2652" t="str">
        <x:v>에코프로비엠</x:v>
      </x:c>
      <x:c r="E2652" t="str">
        <x:v>KOSDAQ</x:v>
      </x:c>
      <x:c r="F2652" t="str">
        <x:v>LARGE</x:v>
      </x:c>
      <x:c r="G2652" t="str">
        <x:v>DCF_SCREENING_EXCLUSION</x:v>
      </x:c>
      <x:c r="H2652" t="str">
        <x:v>NON_POSITIVE_ENTERPRISE_VALUE|NON_POSITIVE_EQUITY_VALUE|NON_POSITIVE_TERMINAL_FCF</x:v>
      </x:c>
      <x:c r="I2652" s="54" t="n">
        <x:v>45471</x:v>
      </x:c>
      <x:c r="J2652" s="55" t="n">
        <x:v>183000</x:v>
      </x:c>
      <x:c r="K2652" s="55" t="n">
        <x:v>17897645952000</x:v>
      </x:c>
      <x:c r="L2652" s="55" t="n">
        <x:v>97801344</x:v>
      </x:c>
      <x:c r="M2652" t="str">
        <x:v>20240417000540</x:v>
      </x:c>
      <x:c r="N2652" t="n">
        <x:v>45399.624999988424</x:v>
      </x:c>
      <x:c r="O2652" s="54" t="n">
        <x:v>45291</x:v>
      </x:c>
      <x:c r="P2652" t="str">
        <x:v>True</x:v>
      </x:c>
      <x:c r="Q2652" t="str">
        <x:v>0ddf8426cecdd8200af2dcd31ea963791bd56de3aa352493ef7d7c00b560bb17</x:v>
      </x:c>
      <x:c r="R2652" t="str">
        <x:v>ee4c7102cf3c459f29a9a97e98005bf737eba9fb990a03c7d9ba1901b6103a3c</x:v>
      </x:c>
      <x:c r="S2652" t="n">
        <x:v>7</x:v>
      </x:c>
      <x:c r="T2652" t="str">
        <x:v>2018-12-31|2019-12-31|2020-12-31|2021-12-31|2022-12-31|2023-12-31</x:v>
      </x:c>
      <x:c r="U2652" s="57" t="n">
        <x:v>-107538.59393692066</x:v>
      </x:c>
      <x:c r="V2652" s="57" t="n">
        <x:v>-1.5876425898192386</x:v>
      </x:c>
      <x:c r="W2652"/>
      <x:c r="X2652"/>
      <x:c r="Y2652" s="38" t="n">
        <x:v>0.6409090909090909</x:v>
      </x:c>
      <x:c r="Z2652" s="38" t="n">
        <x:v>0.6279002068373618</x:v>
      </x:c>
      <x:c r="AA2652" t="str">
        <x:v>NON_POSITIVE_ENTERPRISE_VALUE|NON_POSITIVE_EQUITY_VALUE|NON_POSITIVE_TERMINAL_FCF</x:v>
      </x:c>
    </x:row>
    <x:row r="2653">
      <x:c r="A2653" s="54" t="n">
        <x:v>45473</x:v>
      </x:c>
      <x:c r="B2653" t="n">
        <x:v>45473.624999988424</x:v>
      </x:c>
      <x:c r="C2653" t="str">
        <x:v>086520</x:v>
      </x:c>
      <x:c r="D2653" t="str">
        <x:v>에코프로</x:v>
      </x:c>
      <x:c r="E2653" t="str">
        <x:v>KOSDAQ</x:v>
      </x:c>
      <x:c r="F2653" t="str">
        <x:v>LARGE</x:v>
      </x:c>
      <x:c r="G2653" t="str">
        <x:v>DCF_SCREENING_EXCLUSION</x:v>
      </x:c>
      <x:c r="H2653" t="str">
        <x:v>NON_POSITIVE_EQUITY_VALUE|UNRELIABLE_TERMINAL_VALUE_SHARE</x:v>
      </x:c>
      <x:c r="I2653" s="54" t="n">
        <x:v>45471</x:v>
      </x:c>
      <x:c r="J2653" s="55" t="n">
        <x:v>90100</x:v>
      </x:c>
      <x:c r="K2653" s="55" t="n">
        <x:v>11995764434000</x:v>
      </x:c>
      <x:c r="L2653" s="55" t="n">
        <x:v>133138340</x:v>
      </x:c>
      <x:c r="M2653" t="str">
        <x:v>20240417000532</x:v>
      </x:c>
      <x:c r="N2653" t="n">
        <x:v>45399.624999988424</x:v>
      </x:c>
      <x:c r="O2653" s="54" t="n">
        <x:v>45291</x:v>
      </x:c>
      <x:c r="P2653" t="str">
        <x:v>True</x:v>
      </x:c>
      <x:c r="Q2653" t="str">
        <x:v>3845023c1030daabbda43f32b091ab008422bdaa538975661cce1cc85ccd3004</x:v>
      </x:c>
      <x:c r="R2653" t="str">
        <x:v>b46c72b6f96ba5092dee2d116bcc3587fd26e9283e9e2b35e4655ee6068ea9d3</x:v>
      </x:c>
      <x:c r="S2653" t="n">
        <x:v>6</x:v>
      </x:c>
      <x:c r="T2653" t="str">
        <x:v>2018-12-31|2019-12-31|2020-12-31|2021-12-31|2022-12-31|2023-12-31</x:v>
      </x:c>
      <x:c r="U2653" s="57" t="n">
        <x:v>-4014.195185505057</x:v>
      </x:c>
      <x:c r="V2653" s="57" t="n">
        <x:v>-1.044552665765872</x:v>
      </x:c>
      <x:c r="W2653"/>
      <x:c r="X2653"/>
      <x:c r="Y2653" s="38" t="n">
        <x:v>0.6409090909090909</x:v>
      </x:c>
      <x:c r="Z2653" s="38" t="n">
        <x:v>5.583488695579711</x:v>
      </x:c>
      <x:c r="AA2653" t="str">
        <x:v>NON_POSITIVE_EQUITY_VALUE|UNRELIABLE_TERMINAL_VALUE_SHARE</x:v>
      </x:c>
    </x:row>
    <x:row r="2654">
      <x:c r="A2654" s="54" t="n">
        <x:v>45473</x:v>
      </x:c>
      <x:c r="B2654" t="n">
        <x:v>45473.624999988424</x:v>
      </x:c>
      <x:c r="C2654" t="str">
        <x:v>214450</x:v>
      </x:c>
      <x:c r="D2654" t="str">
        <x:v>파마리서치</x:v>
      </x:c>
      <x:c r="E2654" t="str">
        <x:v>KOSDAQ</x:v>
      </x:c>
      <x:c r="F2654" t="str">
        <x:v>LARGE</x:v>
      </x:c>
      <x:c r="G2654" t="str">
        <x:v>ELIGIBLE</x:v>
      </x:c>
      <x:c r="H2654"/>
      <x:c r="I2654" s="54" t="n">
        <x:v>45471</x:v>
      </x:c>
      <x:c r="J2654" s="55" t="n">
        <x:v>148800</x:v>
      </x:c>
      <x:c r="K2654" s="55" t="n">
        <x:v>1549457822400</x:v>
      </x:c>
      <x:c r="L2654" s="55" t="n">
        <x:v>10413023</x:v>
      </x:c>
      <x:c r="M2654" t="str">
        <x:v>20240315000795</x:v>
      </x:c>
      <x:c r="N2654" t="n">
        <x:v>45366.624999988424</x:v>
      </x:c>
      <x:c r="O2654" s="54" t="n">
        <x:v>45291</x:v>
      </x:c>
      <x:c r="P2654" t="str">
        <x:v>False</x:v>
      </x:c>
      <x:c r="Q2654" t="str">
        <x:v>1ca6653e737ac1ab4647915c3685d32c933a6338658bbc237f5442a5b8bd304c</x:v>
      </x:c>
      <x:c r="R2654" t="str">
        <x:v>586578e116185a501e396a08e037a1519b9bbd009d43388e5023f6b18bb210cb</x:v>
      </x:c>
      <x:c r="S2654" t="n">
        <x:v>6</x:v>
      </x:c>
      <x:c r="T2654" t="str">
        <x:v>2018-12-31|2019-12-31|2020-12-31|2021-12-31|2022-12-31|2023-12-31</x:v>
      </x:c>
      <x:c r="U2654" s="57" t="n">
        <x:v>98062.43891169046</x:v>
      </x:c>
      <x:c r="V2654" s="57" t="n">
        <x:v>-0.34097823312035974</x:v>
      </x:c>
      <x:c r="W2654" t="n">
        <x:v>38</x:v>
      </x:c>
      <x:c r="X2654" t="n">
        <x:v>3</x:v>
      </x:c>
      <x:c r="Y2654" s="38" t="n">
        <x:v>0.6409090909090909</x:v>
      </x:c>
      <x:c r="Z2654" s="38" t="n">
        <x:v>0.7131539854290058</x:v>
      </x:c>
      <x:c r="AA2654"/>
    </x:row>
    <x:row r="2655">
      <x:c r="A2655" s="54" t="n">
        <x:v>45473</x:v>
      </x:c>
      <x:c r="B2655" t="n">
        <x:v>45473.624999988424</x:v>
      </x:c>
      <x:c r="C2655" t="str">
        <x:v>277810</x:v>
      </x:c>
      <x:c r="D2655" t="str">
        <x:v>레인보우로보틱스</x:v>
      </x:c>
      <x:c r="E2655" t="str">
        <x:v>KOSDAQ</x:v>
      </x:c>
      <x:c r="F2655" t="str">
        <x:v>LARGE</x:v>
      </x:c>
      <x:c r="G2655" t="str">
        <x:v>DCF_SCREENING_EXCLUSION</x:v>
      </x:c>
      <x:c r="H2655" t="str">
        <x:v>NON_POSITIVE_ENTERPRISE_VALUE|NON_POSITIVE_TERMINAL_FCF</x:v>
      </x:c>
      <x:c r="I2655" s="54" t="n">
        <x:v>45471</x:v>
      </x:c>
      <x:c r="J2655" s="55" t="n">
        <x:v>159500</x:v>
      </x:c>
      <x:c r="K2655" s="55" t="n">
        <x:v>3094277351000</x:v>
      </x:c>
      <x:c r="L2655" s="55" t="n">
        <x:v>19399858</x:v>
      </x:c>
      <x:c r="M2655" t="str">
        <x:v>20240321001029</x:v>
      </x:c>
      <x:c r="N2655" t="n">
        <x:v>45372.624999988424</x:v>
      </x:c>
      <x:c r="O2655" s="54" t="n">
        <x:v>45291</x:v>
      </x:c>
      <x:c r="P2655" t="str">
        <x:v>False</x:v>
      </x:c>
      <x:c r="Q2655" t="str">
        <x:v>6faf0823956f1a0a084e90db4ad447ebe74845120ffac4a66fa07667e2bf8af4</x:v>
      </x:c>
      <x:c r="R2655" t="str">
        <x:v>31210a3857756860f0f1911cc01a9700fe3f215b91245e6200fa14ccb0b5ab40</x:v>
      </x:c>
      <x:c r="S2655" t="n">
        <x:v>6</x:v>
      </x:c>
      <x:c r="T2655" t="str">
        <x:v>2020-12-31|2021-12-31|2022-12-31|2023-12-31</x:v>
      </x:c>
      <x:c r="U2655" s="57" t="n">
        <x:v>2129.059522379487</x:v>
      </x:c>
      <x:c r="V2655" s="57" t="n">
        <x:v>-0.9866516644364922</x:v>
      </x:c>
      <x:c r="W2655"/>
      <x:c r="X2655"/>
      <x:c r="Y2655" s="38" t="n">
        <x:v>0.6409090909090909</x:v>
      </x:c>
      <x:c r="Z2655" s="38" t="n">
        <x:v>0.6832451360716333</x:v>
      </x:c>
      <x:c r="AA2655" t="str">
        <x:v>NON_POSITIVE_ENTERPRISE_VALUE|NON_POSITIVE_TERMINAL_FCF</x:v>
      </x:c>
    </x:row>
    <x:row r="2656">
      <x:c r="A2656" s="54" t="n">
        <x:v>45473</x:v>
      </x:c>
      <x:c r="B2656" t="n">
        <x:v>45473.624999988424</x:v>
      </x:c>
      <x:c r="C2656" t="str">
        <x:v>310210</x:v>
      </x:c>
      <x:c r="D2656" t="str">
        <x:v>보로노이</x:v>
      </x:c>
      <x:c r="E2656" t="str">
        <x:v>KOSDAQ</x:v>
      </x:c>
      <x:c r="F2656" t="str">
        <x:v>LARGE</x:v>
      </x:c>
      <x:c r="G2656" t="str">
        <x:v>DCF_SCREENING_EXCLUSION</x:v>
      </x:c>
      <x:c r="H2656" t="str">
        <x:v>NON_POSITIVE_ENTERPRISE_VALUE|NON_POSITIVE_EQUITY_VALUE|NON_POSITIVE_TERMINAL_FCF</x:v>
      </x:c>
      <x:c r="I2656" s="54" t="n">
        <x:v>45471</x:v>
      </x:c>
      <x:c r="J2656" s="55" t="n">
        <x:v>48850</x:v>
      </x:c>
      <x:c r="K2656" s="55" t="n">
        <x:v>868563991250</x:v>
      </x:c>
      <x:c r="L2656" s="55" t="n">
        <x:v>17780225</x:v>
      </x:c>
      <x:c r="M2656" t="str">
        <x:v>20230323001447</x:v>
      </x:c>
      <x:c r="N2656" t="n">
        <x:v>45008.624999988424</x:v>
      </x:c>
      <x:c r="O2656" s="54" t="n">
        <x:v>44926</x:v>
      </x:c>
      <x:c r="P2656" t="str">
        <x:v>False</x:v>
      </x:c>
      <x:c r="Q2656" t="str">
        <x:v>38d2b1f5e9c968f4f6fa965d42cb2f1a325c069332624c3eed7a50315d302dcc</x:v>
      </x:c>
      <x:c r="R2656" t="str">
        <x:v>576c97c4daed21efafcbd8890e5b797da413a5a092541c93f1595fcf7c74e341</x:v>
      </x:c>
      <x:c r="S2656" t="n">
        <x:v>5</x:v>
      </x:c>
      <x:c r="T2656" t="str">
        <x:v>2022-12-31</x:v>
      </x:c>
      <x:c r="U2656" s="57" t="n">
        <x:v>-2089.1676128665413</x:v>
      </x:c>
      <x:c r="V2656" s="57" t="n">
        <x:v>-1.0427669930985985</x:v>
      </x:c>
      <x:c r="W2656"/>
      <x:c r="X2656"/>
      <x:c r="Y2656" s="38" t="n">
        <x:v>0.6409090909090909</x:v>
      </x:c>
      <x:c r="Z2656" s="38" t="n">
        <x:v>0.7013426708992583</x:v>
      </x:c>
      <x:c r="AA2656" t="str">
        <x:v>NON_POSITIVE_ENTERPRISE_VALUE|NON_POSITIVE_EQUITY_VALUE|NON_POSITIVE_TERMINAL_FCF</x:v>
      </x:c>
    </x:row>
    <x:row r="2657">
      <x:c r="A2657" s="54" t="n">
        <x:v>45473</x:v>
      </x:c>
      <x:c r="B2657" t="n">
        <x:v>45473.624999988424</x:v>
      </x:c>
      <x:c r="C2657" t="str">
        <x:v>195940</x:v>
      </x:c>
      <x:c r="D2657" t="str">
        <x:v>HK이노엔</x:v>
      </x:c>
      <x:c r="E2657" t="str">
        <x:v>KOSDAQ</x:v>
      </x:c>
      <x:c r="F2657" t="str">
        <x:v>LARGE</x:v>
      </x:c>
      <x:c r="G2657" t="str">
        <x:v>ELIGIBLE</x:v>
      </x:c>
      <x:c r="H2657"/>
      <x:c r="I2657" s="54" t="n">
        <x:v>45471</x:v>
      </x:c>
      <x:c r="J2657" s="55" t="n">
        <x:v>37500</x:v>
      </x:c>
      <x:c r="K2657" s="55" t="n">
        <x:v>1062370912500</x:v>
      </x:c>
      <x:c r="L2657" s="55" t="n">
        <x:v>28329891</x:v>
      </x:c>
      <x:c r="M2657" t="str">
        <x:v>20240320001555</x:v>
      </x:c>
      <x:c r="N2657" t="n">
        <x:v>45371.624999988424</x:v>
      </x:c>
      <x:c r="O2657" s="54" t="n">
        <x:v>45291</x:v>
      </x:c>
      <x:c r="P2657" t="str">
        <x:v>False</x:v>
      </x:c>
      <x:c r="Q2657" t="str">
        <x:v>bc835d0dc49a60e43618a45db225222ed10219260b1196a3404c984acf25a164</x:v>
      </x:c>
      <x:c r="R2657" t="str">
        <x:v>fe877cecd8b4c6f1f2ecfa519ee2c0dab312cbd9aff04d6aadad7f148db87b46</x:v>
      </x:c>
      <x:c r="S2657" t="n">
        <x:v>6</x:v>
      </x:c>
      <x:c r="T2657" t="str">
        <x:v>2021-12-31|2022-12-31|2023-12-31</x:v>
      </x:c>
      <x:c r="U2657" s="57" t="n">
        <x:v>4019.7724806511023</x:v>
      </x:c>
      <x:c r="V2657" s="57" t="n">
        <x:v>-0.8928060671826373</x:v>
      </x:c>
      <x:c r="W2657" t="n">
        <x:v>66</x:v>
      </x:c>
      <x:c r="X2657" t="n">
        <x:v>5</x:v>
      </x:c>
      <x:c r="Y2657" s="38" t="n">
        <x:v>0.6409090909090909</x:v>
      </x:c>
      <x:c r="Z2657" s="38" t="n">
        <x:v>0.6762156517019531</x:v>
      </x:c>
      <x:c r="AA2657"/>
    </x:row>
    <x:row r="2658">
      <x:c r="A2658" s="54" t="n">
        <x:v>45473</x:v>
      </x:c>
      <x:c r="B2658" t="n">
        <x:v>45473.624999988424</x:v>
      </x:c>
      <x:c r="C2658" t="str">
        <x:v>039200</x:v>
      </x:c>
      <x:c r="D2658" t="str">
        <x:v>오스코텍</x:v>
      </x:c>
      <x:c r="E2658" t="str">
        <x:v>KOSDAQ</x:v>
      </x:c>
      <x:c r="F2658" t="str">
        <x:v>LARGE</x:v>
      </x:c>
      <x:c r="G2658" t="str">
        <x:v>DCF_SCREENING_EXCLUSION</x:v>
      </x:c>
      <x:c r="H2658" t="str">
        <x:v>NON_POSITIVE_ENTERPRISE_VALUE|NON_POSITIVE_EQUITY_VALUE|NON_POSITIVE_TERMINAL_FCF</x:v>
      </x:c>
      <x:c r="I2658" s="54" t="n">
        <x:v>45471</x:v>
      </x:c>
      <x:c r="J2658" s="55" t="n">
        <x:v>37550</x:v>
      </x:c>
      <x:c r="K2658" s="55" t="n">
        <x:v>1426673385750</x:v>
      </x:c>
      <x:c r="L2658" s="55" t="n">
        <x:v>37993965</x:v>
      </x:c>
      <x:c r="M2658" t="str">
        <x:v>20240318000560</x:v>
      </x:c>
      <x:c r="N2658" t="n">
        <x:v>45369.624999988424</x:v>
      </x:c>
      <x:c r="O2658" s="54" t="n">
        <x:v>45291</x:v>
      </x:c>
      <x:c r="P2658" t="str">
        <x:v>False</x:v>
      </x:c>
      <x:c r="Q2658" t="str">
        <x:v>fa78055b80d7f3cc41c605aa4835ac75b86d483e7455456b98769cca3d71a27e</x:v>
      </x:c>
      <x:c r="R2658" t="str">
        <x:v>77fbbdbf0aed21c0debf106a088ad9da9f83f8b18d6bf28b8e4a2df0137cf6f5</x:v>
      </x:c>
      <x:c r="S2658" t="n">
        <x:v>6</x:v>
      </x:c>
      <x:c r="T2658" t="str">
        <x:v>2018-12-31|2019-12-31|2020-12-31|2021-12-31|2022-12-31|2023-12-31</x:v>
      </x:c>
      <x:c r="U2658" s="57" t="n">
        <x:v>-55.19003386457931</x:v>
      </x:c>
      <x:c r="V2658" s="57" t="n">
        <x:v>-1.001469774537006</x:v>
      </x:c>
      <x:c r="W2658"/>
      <x:c r="X2658"/>
      <x:c r="Y2658" s="38" t="n">
        <x:v>0.6409090909090909</x:v>
      </x:c>
      <x:c r="Z2658" s="38" t="n">
        <x:v>0.7058896170186482</x:v>
      </x:c>
      <x:c r="AA2658" t="str">
        <x:v>NON_POSITIVE_ENTERPRISE_VALUE|NON_POSITIVE_EQUITY_VALUE|NON_POSITIVE_TERMINAL_FCF</x:v>
      </x:c>
    </x:row>
    <x:row r="2659">
      <x:c r="A2659" s="54" t="n">
        <x:v>45473</x:v>
      </x:c>
      <x:c r="B2659" t="n">
        <x:v>45473.624999988424</x:v>
      </x:c>
      <x:c r="C2659" t="str">
        <x:v>084370</x:v>
      </x:c>
      <x:c r="D2659" t="str">
        <x:v>유진테크</x:v>
      </x:c>
      <x:c r="E2659" t="str">
        <x:v>KOSDAQ</x:v>
      </x:c>
      <x:c r="F2659" t="str">
        <x:v>LARGE</x:v>
      </x:c>
      <x:c r="G2659" t="str">
        <x:v>ELIGIBLE</x:v>
      </x:c>
      <x:c r="H2659"/>
      <x:c r="I2659" s="54" t="n">
        <x:v>45471</x:v>
      </x:c>
      <x:c r="J2659" s="55" t="n">
        <x:v>49650</x:v>
      </x:c>
      <x:c r="K2659" s="55" t="n">
        <x:v>1137781485300</x:v>
      </x:c>
      <x:c r="L2659" s="55" t="n">
        <x:v>22916042</x:v>
      </x:c>
      <x:c r="M2659" t="str">
        <x:v>20240321001566</x:v>
      </x:c>
      <x:c r="N2659" t="n">
        <x:v>45372.624999988424</x:v>
      </x:c>
      <x:c r="O2659" s="54" t="n">
        <x:v>45291</x:v>
      </x:c>
      <x:c r="P2659" t="str">
        <x:v>False</x:v>
      </x:c>
      <x:c r="Q2659" t="str">
        <x:v>5231344ec0918c3914c3b36ef88b559c2ae8a4ee043536c010b4450f86fdd1a0</x:v>
      </x:c>
      <x:c r="R2659" t="str">
        <x:v>c2b7a3f2f581f0b2e2849c5115cb6f1cb06355e9fa6f7646697709eef5a1ba49</x:v>
      </x:c>
      <x:c r="S2659" t="n">
        <x:v>6</x:v>
      </x:c>
      <x:c r="T2659" t="str">
        <x:v>2018-12-31|2019-12-31|2020-12-31|2021-12-31|2022-12-31|2023-12-31</x:v>
      </x:c>
      <x:c r="U2659" s="57" t="n">
        <x:v>12476.303701351173</x:v>
      </x:c>
      <x:c r="V2659" s="57" t="n">
        <x:v>-0.7487149304863813</x:v>
      </x:c>
      <x:c r="W2659" t="n">
        <x:v>57</x:v>
      </x:c>
      <x:c r="X2659" t="n">
        <x:v>5</x:v>
      </x:c>
      <x:c r="Y2659" s="38" t="n">
        <x:v>0.6409090909090909</x:v>
      </x:c>
      <x:c r="Z2659" s="38" t="n">
        <x:v>0.7279301673798181</x:v>
      </x:c>
      <x:c r="AA2659"/>
    </x:row>
    <x:row r="2660">
      <x:c r="A2660" s="54" t="n">
        <x:v>45473</x:v>
      </x:c>
      <x:c r="B2660" t="n">
        <x:v>45473.624999988424</x:v>
      </x:c>
      <x:c r="C2660" t="str">
        <x:v>160190</x:v>
      </x:c>
      <x:c r="D2660" t="str">
        <x:v>하이젠알앤엠</x:v>
      </x:c>
      <x:c r="E2660" t="str">
        <x:v>KOSDAQ</x:v>
      </x:c>
      <x:c r="F2660" t="str">
        <x:v>LARGE</x:v>
      </x:c>
      <x:c r="G2660" t="str">
        <x:v>NO_PIT_FINANCIALS</x:v>
      </x:c>
      <x:c r="H2660"/>
      <x:c r="I2660" s="54" t="n">
        <x:v>45471</x:v>
      </x:c>
      <x:c r="J2660" s="55" t="n">
        <x:v>15850</x:v>
      </x:c>
      <x:c r="K2660" s="55" t="n">
        <x:v>489574800000</x:v>
      </x:c>
      <x:c r="L2660" s="55" t="n">
        <x:v>30888000</x:v>
      </x:c>
      <x:c r="M2660"/>
      <x:c r="N2660"/>
      <x:c r="O2660" s="54"/>
      <x:c r="P2660"/>
      <x:c r="Q2660"/>
      <x:c r="R2660"/>
      <x:c r="S2660"/>
      <x:c r="T2660"/>
      <x:c r="U2660" s="57"/>
      <x:c r="V2660" s="57"/>
      <x:c r="W2660"/>
      <x:c r="X2660"/>
      <x:c r="Y2660" s="38"/>
      <x:c r="Z2660" s="38"/>
      <x:c r="AA2660"/>
    </x:row>
    <x:row r="2661">
      <x:c r="A2661" s="54" t="n">
        <x:v>45473</x:v>
      </x:c>
      <x:c r="B2661" t="n">
        <x:v>45473.624999988424</x:v>
      </x:c>
      <x:c r="C2661" t="str">
        <x:v>281740</x:v>
      </x:c>
      <x:c r="D2661" t="str">
        <x:v>레이크머티리얼즈</x:v>
      </x:c>
      <x:c r="E2661" t="str">
        <x:v>KOSDAQ</x:v>
      </x:c>
      <x:c r="F2661" t="str">
        <x:v>LARGE</x:v>
      </x:c>
      <x:c r="G2661" t="str">
        <x:v>ELIGIBLE</x:v>
      </x:c>
      <x:c r="H2661"/>
      <x:c r="I2661" s="54" t="n">
        <x:v>45471</x:v>
      </x:c>
      <x:c r="J2661" s="55" t="n">
        <x:v>20050</x:v>
      </x:c>
      <x:c r="K2661" s="55" t="n">
        <x:v>1317897487400</x:v>
      </x:c>
      <x:c r="L2661" s="55" t="n">
        <x:v>65730548</x:v>
      </x:c>
      <x:c r="M2661" t="str">
        <x:v>20240320000555</x:v>
      </x:c>
      <x:c r="N2661" t="n">
        <x:v>45371.624999988424</x:v>
      </x:c>
      <x:c r="O2661" s="54" t="n">
        <x:v>45291</x:v>
      </x:c>
      <x:c r="P2661" t="str">
        <x:v>False</x:v>
      </x:c>
      <x:c r="Q2661" t="str">
        <x:v>e48009a48bdc7d2f8f2c00276113fc227cdd6b48e967a314a504818c28300ca4</x:v>
      </x:c>
      <x:c r="R2661" t="str">
        <x:v>6f503c29bd608940742624a61507c77234fbfb7d232eab6267770926c04728de</x:v>
      </x:c>
      <x:c r="S2661" t="n">
        <x:v>6</x:v>
      </x:c>
      <x:c r="T2661" t="str">
        <x:v>2020-12-31|2021-12-31|2022-12-31|2023-12-31</x:v>
      </x:c>
      <x:c r="U2661" s="57" t="n">
        <x:v>3478.766264193427</x:v>
      </x:c>
      <x:c r="V2661" s="57" t="n">
        <x:v>-0.8264954481699038</x:v>
      </x:c>
      <x:c r="W2661" t="n">
        <x:v>62</x:v>
      </x:c>
      <x:c r="X2661" t="n">
        <x:v>5</x:v>
      </x:c>
      <x:c r="Y2661" s="38" t="n">
        <x:v>0.6409090909090909</x:v>
      </x:c>
      <x:c r="Z2661" s="38" t="n">
        <x:v>0.7468053248574974</x:v>
      </x:c>
      <x:c r="AA2661"/>
    </x:row>
    <x:row r="2662">
      <x:c r="A2662" s="54" t="n">
        <x:v>45473</x:v>
      </x:c>
      <x:c r="B2662" t="n">
        <x:v>45473.624999988424</x:v>
      </x:c>
      <x:c r="C2662" t="str">
        <x:v>078130</x:v>
      </x:c>
      <x:c r="D2662" t="str">
        <x:v>국일제지</x:v>
      </x:c>
      <x:c r="E2662" t="str">
        <x:v>KOSDAQ</x:v>
      </x:c>
      <x:c r="F2662" t="str">
        <x:v>LARGE</x:v>
      </x:c>
      <x:c r="G2662" t="str">
        <x:v>DCF_SCREENING_EXCLUSION</x:v>
      </x:c>
      <x:c r="H2662" t="str">
        <x:v>NON_POSITIVE_ENTERPRISE_VALUE|NON_POSITIVE_TERMINAL_FCF</x:v>
      </x:c>
      <x:c r="I2662" s="54" t="n">
        <x:v>45471</x:v>
      </x:c>
      <x:c r="J2662" s="55" t="n">
        <x:v>800</x:v>
      </x:c>
      <x:c r="K2662" s="55" t="n">
        <x:v>901924696800</x:v>
      </x:c>
      <x:c r="L2662" s="55" t="n">
        <x:v>1127405871</x:v>
      </x:c>
      <x:c r="M2662" t="str">
        <x:v>20240321001819</x:v>
      </x:c>
      <x:c r="N2662" t="n">
        <x:v>45372.624999988424</x:v>
      </x:c>
      <x:c r="O2662" s="54" t="n">
        <x:v>45291</x:v>
      </x:c>
      <x:c r="P2662" t="str">
        <x:v>False</x:v>
      </x:c>
      <x:c r="Q2662" t="str">
        <x:v>cac5fc1c6ff1a14dcf38476dd7409e9e086b5713e50cbb58359adb9134109ba9</x:v>
      </x:c>
      <x:c r="R2662" t="str">
        <x:v>a596ab6b40c4a26381c37c1e9d462e963486ede8040fbe78068010beed4d32ab</x:v>
      </x:c>
      <x:c r="S2662" t="n">
        <x:v>5</x:v>
      </x:c>
      <x:c r="T2662" t="str">
        <x:v>2018-12-31|2019-12-31|2020-12-31|2021-12-31|2022-12-31|2023-12-31</x:v>
      </x:c>
      <x:c r="U2662" s="57" t="n">
        <x:v>5.016268408445829</x:v>
      </x:c>
      <x:c r="V2662" s="57" t="n">
        <x:v>-0.9937296644894427</x:v>
      </x:c>
      <x:c r="W2662"/>
      <x:c r="X2662"/>
      <x:c r="Y2662" s="38" t="n">
        <x:v>0.6409090909090909</x:v>
      </x:c>
      <x:c r="Z2662" s="38" t="n">
        <x:v>0.5262628967257946</x:v>
      </x:c>
      <x:c r="AA2662" t="str">
        <x:v>NON_POSITIVE_ENTERPRISE_VALUE|NON_POSITIVE_TERMINAL_FCF</x:v>
      </x:c>
    </x:row>
    <x:row r="2663">
      <x:c r="A2663" s="54" t="n">
        <x:v>45473</x:v>
      </x:c>
      <x:c r="B2663" t="n">
        <x:v>45473.624999988424</x:v>
      </x:c>
      <x:c r="C2663" t="str">
        <x:v>131970</x:v>
      </x:c>
      <x:c r="D2663" t="str">
        <x:v>두산테스나</x:v>
      </x:c>
      <x:c r="E2663" t="str">
        <x:v>KOSDAQ</x:v>
      </x:c>
      <x:c r="F2663" t="str">
        <x:v>LARGE</x:v>
      </x:c>
      <x:c r="G2663" t="str">
        <x:v>ELIGIBLE</x:v>
      </x:c>
      <x:c r="H2663"/>
      <x:c r="I2663" s="54" t="n">
        <x:v>45471</x:v>
      </x:c>
      <x:c r="J2663" s="55" t="n">
        <x:v>37450</x:v>
      </x:c>
      <x:c r="K2663" s="55" t="n">
        <x:v>636895896700</x:v>
      </x:c>
      <x:c r="L2663" s="55" t="n">
        <x:v>17006566</x:v>
      </x:c>
      <x:c r="M2663" t="str">
        <x:v>20240320000768</x:v>
      </x:c>
      <x:c r="N2663" t="n">
        <x:v>45371.624999988424</x:v>
      </x:c>
      <x:c r="O2663" s="54" t="n">
        <x:v>45291</x:v>
      </x:c>
      <x:c r="P2663" t="str">
        <x:v>False</x:v>
      </x:c>
      <x:c r="Q2663" t="str">
        <x:v>40bad6e60031b403936d643f32613a1e9e21b7f03fd3114ef7c95a70bf1006f6</x:v>
      </x:c>
      <x:c r="R2663" t="str">
        <x:v>3d0ca6829b423ddba5543185c23cc15f13ce87ffbbdb4b6626a4ec7f73137ff1</x:v>
      </x:c>
      <x:c r="S2663" t="n">
        <x:v>6</x:v>
      </x:c>
      <x:c r="T2663" t="str">
        <x:v>2018-12-31|2019-12-31|2020-12-31|2021-12-31|2022-12-31|2023-12-31</x:v>
      </x:c>
      <x:c r="U2663" s="57" t="n">
        <x:v>44223.64769136174</x:v>
      </x:c>
      <x:c r="V2663" s="57" t="n">
        <x:v>0.18087176745959252</x:v>
      </x:c>
      <x:c r="W2663" t="n">
        <x:v>22</x:v>
      </x:c>
      <x:c r="X2663" t="n">
        <x:v>2</x:v>
      </x:c>
      <x:c r="Y2663" s="38" t="n">
        <x:v>0.6409090909090909</x:v>
      </x:c>
      <x:c r="Z2663" s="38" t="n">
        <x:v>0.7653441082853836</x:v>
      </x:c>
      <x:c r="AA2663"/>
    </x:row>
    <x:row r="2664">
      <x:c r="A2664" s="54" t="n">
        <x:v>45473</x:v>
      </x:c>
      <x:c r="B2664" t="n">
        <x:v>45473.624999988424</x:v>
      </x:c>
      <x:c r="C2664" t="str">
        <x:v>025320</x:v>
      </x:c>
      <x:c r="D2664" t="str">
        <x:v>시노펙스</x:v>
      </x:c>
      <x:c r="E2664" t="str">
        <x:v>KOSDAQ</x:v>
      </x:c>
      <x:c r="F2664" t="str">
        <x:v>LARGE</x:v>
      </x:c>
      <x:c r="G2664" t="str">
        <x:v>DCF_SCREENING_EXCLUSION</x:v>
      </x:c>
      <x:c r="H2664" t="str">
        <x:v>NON_POSITIVE_TERMINAL_FCF|UNRELIABLE_TERMINAL_VALUE_SHARE</x:v>
      </x:c>
      <x:c r="I2664" s="54" t="n">
        <x:v>45471</x:v>
      </x:c>
      <x:c r="J2664" s="55" t="n">
        <x:v>12250</x:v>
      </x:c>
      <x:c r="K2664" s="55" t="n">
        <x:v>1026769716000</x:v>
      </x:c>
      <x:c r="L2664" s="55" t="n">
        <x:v>83817936</x:v>
      </x:c>
      <x:c r="M2664" t="str">
        <x:v>20240319000824</x:v>
      </x:c>
      <x:c r="N2664" t="n">
        <x:v>45370.624999988424</x:v>
      </x:c>
      <x:c r="O2664" s="54" t="n">
        <x:v>45291</x:v>
      </x:c>
      <x:c r="P2664" t="str">
        <x:v>False</x:v>
      </x:c>
      <x:c r="Q2664" t="str">
        <x:v>fc07d195fe498e8e68aedbf4db8f4f882567dd521ff667e04ba608362a05750b</x:v>
      </x:c>
      <x:c r="R2664" t="str">
        <x:v>2dd4c6603e35a0156e9a0cea29fb980ee3e8ed9d0390d27d2c878a187461202a</x:v>
      </x:c>
      <x:c r="S2664" t="n">
        <x:v>6</x:v>
      </x:c>
      <x:c r="T2664" t="str">
        <x:v>2018-12-31|2019-12-31|2020-12-31|2021-12-31|2022-12-31|2023-12-31</x:v>
      </x:c>
      <x:c r="U2664" s="57" t="n">
        <x:v>311.18425799108013</x:v>
      </x:c>
      <x:c r="V2664" s="57" t="n">
        <x:v>-0.9745972034292996</x:v>
      </x:c>
      <x:c r="W2664"/>
      <x:c r="X2664"/>
      <x:c r="Y2664" s="38" t="n">
        <x:v>0.6409090909090909</x:v>
      </x:c>
      <x:c r="Z2664" s="38" t="n">
        <x:v>-0.005765002764426046</x:v>
      </x:c>
      <x:c r="AA2664" t="str">
        <x:v>NON_POSITIVE_TERMINAL_FCF|UNRELIABLE_TERMINAL_VALUE_SHARE</x:v>
      </x:c>
    </x:row>
    <x:row r="2665">
      <x:c r="A2665" s="54" t="n">
        <x:v>45473</x:v>
      </x:c>
      <x:c r="B2665" t="n">
        <x:v>45473.624999988424</x:v>
      </x:c>
      <x:c r="C2665" t="str">
        <x:v>347700</x:v>
      </x:c>
      <x:c r="D2665" t="str">
        <x:v>스피어</x:v>
      </x:c>
      <x:c r="E2665" t="str">
        <x:v>KOSDAQ</x:v>
      </x:c>
      <x:c r="F2665" t="str">
        <x:v>LARGE</x:v>
      </x:c>
      <x:c r="G2665" t="str">
        <x:v>DCF_SCREENING_EXCLUSION</x:v>
      </x:c>
      <x:c r="H2665" t="str">
        <x:v>NON_POSITIVE_ENTERPRISE_VALUE|NON_POSITIVE_EQUITY_VALUE|NON_POSITIVE_TERMINAL_FCF</x:v>
      </x:c>
      <x:c r="I2665" s="54" t="n">
        <x:v>45471</x:v>
      </x:c>
      <x:c r="J2665" s="55" t="n">
        <x:v>1850</x:v>
      </x:c>
      <x:c r="K2665" s="55" t="n">
        <x:v>30824731450</x:v>
      </x:c>
      <x:c r="L2665" s="55" t="n">
        <x:v>16662017</x:v>
      </x:c>
      <x:c r="M2665" t="str">
        <x:v>20240321001584</x:v>
      </x:c>
      <x:c r="N2665" t="n">
        <x:v>45372.624999988424</x:v>
      </x:c>
      <x:c r="O2665" s="54" t="n">
        <x:v>45291</x:v>
      </x:c>
      <x:c r="P2665" t="str">
        <x:v>False</x:v>
      </x:c>
      <x:c r="Q2665" t="str">
        <x:v>c8db85bb879b3aca01865650c951a23a693799760087fa6122ff9d96f3ba2ca1</x:v>
      </x:c>
      <x:c r="R2665" t="str">
        <x:v>f18dddc557142c1619a97ea54e9197a2221e951ed4b86ff85e4b22d09f4bfa19</x:v>
      </x:c>
      <x:c r="S2665" t="n">
        <x:v>6</x:v>
      </x:c>
      <x:c r="T2665" t="str">
        <x:v>2020-12-31|2021-12-31|2022-12-31|2023-12-31</x:v>
      </x:c>
      <x:c r="U2665" s="57" t="n">
        <x:v>-417.807621529097</x:v>
      </x:c>
      <x:c r="V2665" s="57" t="n">
        <x:v>-1.2258419575832957</x:v>
      </x:c>
      <x:c r="W2665"/>
      <x:c r="X2665"/>
      <x:c r="Y2665" s="38" t="n">
        <x:v>0.6409090909090909</x:v>
      </x:c>
      <x:c r="Z2665" s="38" t="n">
        <x:v>0.708015697222301</x:v>
      </x:c>
      <x:c r="AA2665" t="str">
        <x:v>NON_POSITIVE_ENTERPRISE_VALUE|NON_POSITIVE_EQUITY_VALUE|NON_POSITIVE_TERMINAL_FCF</x:v>
      </x:c>
    </x:row>
    <x:row r="2666">
      <x:c r="A2666" s="54" t="n">
        <x:v>45473</x:v>
      </x:c>
      <x:c r="B2666" t="n">
        <x:v>45473.624999988424</x:v>
      </x:c>
      <x:c r="C2666" t="str">
        <x:v>119850</x:v>
      </x:c>
      <x:c r="D2666" t="str">
        <x:v>지엔씨에너지</x:v>
      </x:c>
      <x:c r="E2666" t="str">
        <x:v>KOSDAQ</x:v>
      </x:c>
      <x:c r="F2666" t="str">
        <x:v>LARGE</x:v>
      </x:c>
      <x:c r="G2666" t="str">
        <x:v>ELIGIBLE</x:v>
      </x:c>
      <x:c r="H2666"/>
      <x:c r="I2666" s="54" t="n">
        <x:v>45471</x:v>
      </x:c>
      <x:c r="J2666" s="55" t="n">
        <x:v>7750</x:v>
      </x:c>
      <x:c r="K2666" s="55" t="n">
        <x:v>127479044750</x:v>
      </x:c>
      <x:c r="L2666" s="55" t="n">
        <x:v>16448909</x:v>
      </x:c>
      <x:c r="M2666" t="str">
        <x:v>20240319000205</x:v>
      </x:c>
      <x:c r="N2666" t="n">
        <x:v>45370.624999988424</x:v>
      </x:c>
      <x:c r="O2666" s="54" t="n">
        <x:v>45291</x:v>
      </x:c>
      <x:c r="P2666" t="str">
        <x:v>False</x:v>
      </x:c>
      <x:c r="Q2666" t="str">
        <x:v>3380204f5fcae5364c06e29c73eecafe1e6911e92f8f3b124ed75664c9267a06</x:v>
      </x:c>
      <x:c r="R2666" t="str">
        <x:v>3656c24a643e9a337a23adc52722d05405bb9505046c54d499dc35844579874a</x:v>
      </x:c>
      <x:c r="S2666" t="n">
        <x:v>6</x:v>
      </x:c>
      <x:c r="T2666" t="str">
        <x:v>2018-12-31|2019-12-31|2020-12-31|2021-12-31|2022-12-31|2023-12-31</x:v>
      </x:c>
      <x:c r="U2666" s="57" t="n">
        <x:v>5889.2035628156855</x:v>
      </x:c>
      <x:c r="V2666" s="57" t="n">
        <x:v>-0.24010276608829864</x:v>
      </x:c>
      <x:c r="W2666" t="n">
        <x:v>35</x:v>
      </x:c>
      <x:c r="X2666" t="n">
        <x:v>3</x:v>
      </x:c>
      <x:c r="Y2666" s="38" t="n">
        <x:v>0.6409090909090909</x:v>
      </x:c>
      <x:c r="Z2666" s="38" t="n">
        <x:v>0.6498777413726008</x:v>
      </x:c>
      <x:c r="AA2666"/>
    </x:row>
    <x:row r="2667">
      <x:c r="A2667" s="54" t="n">
        <x:v>45473</x:v>
      </x:c>
      <x:c r="B2667" t="n">
        <x:v>45473.624999988424</x:v>
      </x:c>
      <x:c r="C2667" t="str">
        <x:v>084110</x:v>
      </x:c>
      <x:c r="D2667" t="str">
        <x:v>휴온스글로벌</x:v>
      </x:c>
      <x:c r="E2667" t="str">
        <x:v>KOSDAQ</x:v>
      </x:c>
      <x:c r="F2667" t="str">
        <x:v>LARGE</x:v>
      </x:c>
      <x:c r="G2667" t="str">
        <x:v>ELIGIBLE</x:v>
      </x:c>
      <x:c r="H2667"/>
      <x:c r="I2667" s="54" t="n">
        <x:v>45471</x:v>
      </x:c>
      <x:c r="J2667" s="55" t="n">
        <x:v>23250</x:v>
      </x:c>
      <x:c r="K2667" s="55" t="n">
        <x:v>293449689000</x:v>
      </x:c>
      <x:c r="L2667" s="55" t="n">
        <x:v>12621492</x:v>
      </x:c>
      <x:c r="M2667" t="str">
        <x:v>20240321001484</x:v>
      </x:c>
      <x:c r="N2667" t="n">
        <x:v>45372.624999988424</x:v>
      </x:c>
      <x:c r="O2667" s="54" t="n">
        <x:v>45291</x:v>
      </x:c>
      <x:c r="P2667" t="str">
        <x:v>True</x:v>
      </x:c>
      <x:c r="Q2667" t="str">
        <x:v>68bda756301fe1b6a3ebf0355b558ed15edc835d74a3ebca20911d8b2dd4eb5c</x:v>
      </x:c>
      <x:c r="R2667" t="str">
        <x:v>c0abd5c9731931252a7557433816c5757272af750c6e9199150f71e6ca6ff48a</x:v>
      </x:c>
      <x:c r="S2667" t="n">
        <x:v>6</x:v>
      </x:c>
      <x:c r="T2667" t="str">
        <x:v>2018-12-31|2019-12-31|2020-12-31|2021-12-31|2022-12-31|2023-12-31</x:v>
      </x:c>
      <x:c r="U2667" s="57" t="n">
        <x:v>88399.3096107096</x:v>
      </x:c>
      <x:c r="V2667" s="57" t="n">
        <x:v>2.8021208434713807</x:v>
      </x:c>
      <x:c r="W2667" t="n">
        <x:v>6</x:v>
      </x:c>
      <x:c r="X2667" t="n">
        <x:v>1</x:v>
      </x:c>
      <x:c r="Y2667" s="38" t="n">
        <x:v>0.6409090909090909</x:v>
      </x:c>
      <x:c r="Z2667" s="38" t="n">
        <x:v>0.7414426298123072</x:v>
      </x:c>
      <x:c r="AA2667"/>
    </x:row>
    <x:row r="2668">
      <x:c r="A2668" s="54" t="n">
        <x:v>45473</x:v>
      </x:c>
      <x:c r="B2668" t="n">
        <x:v>45473.624999988424</x:v>
      </x:c>
      <x:c r="C2668" t="str">
        <x:v>206650</x:v>
      </x:c>
      <x:c r="D2668" t="str">
        <x:v>유바이오로직스</x:v>
      </x:c>
      <x:c r="E2668" t="str">
        <x:v>KOSDAQ</x:v>
      </x:c>
      <x:c r="F2668" t="str">
        <x:v>LARGE</x:v>
      </x:c>
      <x:c r="G2668" t="str">
        <x:v>ELIGIBLE</x:v>
      </x:c>
      <x:c r="H2668"/>
      <x:c r="I2668" s="54" t="n">
        <x:v>45471</x:v>
      </x:c>
      <x:c r="J2668" s="55" t="n">
        <x:v>12000</x:v>
      </x:c>
      <x:c r="K2668" s="55" t="n">
        <x:v>437811684000</x:v>
      </x:c>
      <x:c r="L2668" s="55" t="n">
        <x:v>36484307</x:v>
      </x:c>
      <x:c r="M2668" t="str">
        <x:v>20240319000532</x:v>
      </x:c>
      <x:c r="N2668" t="n">
        <x:v>45370.624999988424</x:v>
      </x:c>
      <x:c r="O2668" s="54" t="n">
        <x:v>45291</x:v>
      </x:c>
      <x:c r="P2668" t="str">
        <x:v>False</x:v>
      </x:c>
      <x:c r="Q2668" t="str">
        <x:v>c275c7dd12ee24ebe6fa42287990ee8e0fdfae41775f20a1e1fcb29570f277c9</x:v>
      </x:c>
      <x:c r="R2668" t="str">
        <x:v>7fc033611224efb7c803bf597ac87dfc5f9e64e7e31588f8eba7e4e94a0c831b</x:v>
      </x:c>
      <x:c r="S2668" t="n">
        <x:v>5</x:v>
      </x:c>
      <x:c r="T2668" t="str">
        <x:v>2018-12-31|2019-12-31|2020-12-31|2021-12-31|2022-12-31|2023-12-31</x:v>
      </x:c>
      <x:c r="U2668" s="57" t="n">
        <x:v>378.0187549725155</x:v>
      </x:c>
      <x:c r="V2668" s="57" t="n">
        <x:v>-0.9684984370856237</x:v>
      </x:c>
      <x:c r="W2668" t="n">
        <x:v>68</x:v>
      </x:c>
      <x:c r="X2668" t="n">
        <x:v>5</x:v>
      </x:c>
      <x:c r="Y2668" s="38" t="n">
        <x:v>0.6409090909090909</x:v>
      </x:c>
      <x:c r="Z2668" s="38" t="n">
        <x:v>0.2531187603046695</x:v>
      </x:c>
      <x:c r="AA2668"/>
    </x:row>
    <x:row r="2669">
      <x:c r="A2669" s="54" t="n">
        <x:v>45473</x:v>
      </x:c>
      <x:c r="B2669" t="n">
        <x:v>45473.624999988424</x:v>
      </x:c>
      <x:c r="C2669" t="str">
        <x:v>365340</x:v>
      </x:c>
      <x:c r="D2669" t="str">
        <x:v>성일하이텍</x:v>
      </x:c>
      <x:c r="E2669" t="str">
        <x:v>KOSDAQ</x:v>
      </x:c>
      <x:c r="F2669" t="str">
        <x:v>LARGE</x:v>
      </x:c>
      <x:c r="G2669" t="str">
        <x:v>DCF_SCREENING_EXCLUSION</x:v>
      </x:c>
      <x:c r="H2669" t="str">
        <x:v>NON_POSITIVE_ENTERPRISE_VALUE|NON_POSITIVE_EQUITY_VALUE|UNRELIABLE_TERMINAL_VALUE_SHARE</x:v>
      </x:c>
      <x:c r="I2669" s="54" t="n">
        <x:v>45471</x:v>
      </x:c>
      <x:c r="J2669" s="55" t="n">
        <x:v>76100</x:v>
      </x:c>
      <x:c r="K2669" s="55" t="n">
        <x:v>923480881700</x:v>
      </x:c>
      <x:c r="L2669" s="55" t="n">
        <x:v>12135097</x:v>
      </x:c>
      <x:c r="M2669" t="str">
        <x:v>20240320001734</x:v>
      </x:c>
      <x:c r="N2669" t="n">
        <x:v>45371.624999988424</x:v>
      </x:c>
      <x:c r="O2669" s="54" t="n">
        <x:v>45291</x:v>
      </x:c>
      <x:c r="P2669" t="str">
        <x:v>True</x:v>
      </x:c>
      <x:c r="Q2669" t="str">
        <x:v>d4ee4e9dd90905cf92f0a6849477c640efd013410a1ffdf823037d2d677a4793</x:v>
      </x:c>
      <x:c r="R2669" t="str">
        <x:v>c85952a24e7024b94d58b72ef170b9c9907751801bf9597f2d6450bd0a9f7cd1</x:v>
      </x:c>
      <x:c r="S2669" t="n">
        <x:v>6</x:v>
      </x:c>
      <x:c r="T2669" t="str">
        <x:v>2022-12-31|2023-12-31</x:v>
      </x:c>
      <x:c r="U2669" s="57" t="n">
        <x:v>-5559.082461304912</x:v>
      </x:c>
      <x:c r="V2669" s="57" t="n">
        <x:v>-1.0730497038279225</x:v>
      </x:c>
      <x:c r="W2669"/>
      <x:c r="X2669"/>
      <x:c r="Y2669" s="38" t="n">
        <x:v>0.6409090909090909</x:v>
      </x:c>
      <x:c r="Z2669" s="38" t="n">
        <x:v>-0.9336002145733966</x:v>
      </x:c>
      <x:c r="AA2669" t="str">
        <x:v>NON_POSITIVE_ENTERPRISE_VALUE|NON_POSITIVE_EQUITY_VALUE|UNRELIABLE_TERMINAL_VALUE_SHARE</x:v>
      </x:c>
    </x:row>
    <x:row r="2670">
      <x:c r="A2670" s="54" t="n">
        <x:v>45473</x:v>
      </x:c>
      <x:c r="B2670" t="n">
        <x:v>45473.624999988424</x:v>
      </x:c>
      <x:c r="C2670" t="str">
        <x:v>030530</x:v>
      </x:c>
      <x:c r="D2670" t="str">
        <x:v>원익홀딩스</x:v>
      </x:c>
      <x:c r="E2670" t="str">
        <x:v>KOSDAQ</x:v>
      </x:c>
      <x:c r="F2670" t="str">
        <x:v>LARGE</x:v>
      </x:c>
      <x:c r="G2670" t="str">
        <x:v>EXCLUDED_ARCHETYPE</x:v>
      </x:c>
      <x:c r="H2670" t="str">
        <x:v>FCFF_NOT_COMPARABLE_FOR_FINANCE_OR_HOLDING_HINT</x:v>
      </x:c>
      <x:c r="I2670" s="54"/>
      <x:c r="J2670" s="55"/>
      <x:c r="K2670" s="55"/>
      <x:c r="L2670" s="55"/>
      <x:c r="M2670"/>
      <x:c r="N2670"/>
      <x:c r="O2670" s="54"/>
      <x:c r="P2670"/>
      <x:c r="Q2670"/>
      <x:c r="R2670"/>
      <x:c r="S2670"/>
      <x:c r="T2670"/>
      <x:c r="U2670" s="57"/>
      <x:c r="V2670" s="57"/>
      <x:c r="W2670"/>
      <x:c r="X2670"/>
      <x:c r="Y2670" s="38"/>
      <x:c r="Z2670" s="38"/>
      <x:c r="AA2670"/>
    </x:row>
    <x:row r="2671">
      <x:c r="A2671" s="54" t="n">
        <x:v>45473</x:v>
      </x:c>
      <x:c r="B2671" t="n">
        <x:v>45473.624999988424</x:v>
      </x:c>
      <x:c r="C2671" t="str">
        <x:v>220100</x:v>
      </x:c>
      <x:c r="D2671" t="str">
        <x:v>퓨쳐켐</x:v>
      </x:c>
      <x:c r="E2671" t="str">
        <x:v>KOSDAQ</x:v>
      </x:c>
      <x:c r="F2671" t="str">
        <x:v>LARGE</x:v>
      </x:c>
      <x:c r="G2671" t="str">
        <x:v>DCF_SCREENING_EXCLUSION</x:v>
      </x:c>
      <x:c r="H2671" t="str">
        <x:v>NON_POSITIVE_ENTERPRISE_VALUE|NON_POSITIVE_EQUITY_VALUE|NON_POSITIVE_TERMINAL_FCF</x:v>
      </x:c>
      <x:c r="I2671" s="54" t="n">
        <x:v>45471</x:v>
      </x:c>
      <x:c r="J2671" s="55" t="n">
        <x:v>15330</x:v>
      </x:c>
      <x:c r="K2671" s="55" t="n">
        <x:v>338826036150</x:v>
      </x:c>
      <x:c r="L2671" s="55" t="n">
        <x:v>22102155</x:v>
      </x:c>
      <x:c r="M2671" t="str">
        <x:v>20240320000866</x:v>
      </x:c>
      <x:c r="N2671" t="n">
        <x:v>45371.624999988424</x:v>
      </x:c>
      <x:c r="O2671" s="54" t="n">
        <x:v>45291</x:v>
      </x:c>
      <x:c r="P2671" t="str">
        <x:v>False</x:v>
      </x:c>
      <x:c r="Q2671" t="str">
        <x:v>19aeda2f917d3d8c136224e5b636dd6047fcb3bad57309a3fded43faa8e6afc3</x:v>
      </x:c>
      <x:c r="R2671" t="str">
        <x:v>d24985bf25ba105e1014c7557b1691373f5aac20e2cb8486e5a58ba2b62bdac0</x:v>
      </x:c>
      <x:c r="S2671" t="n">
        <x:v>5</x:v>
      </x:c>
      <x:c r="T2671" t="str">
        <x:v>2018-12-31|2019-12-31|2020-12-31|2021-12-31|2022-12-31|2023-12-31</x:v>
      </x:c>
      <x:c r="U2671" s="57" t="n">
        <x:v>-1744.6815438320666</x:v>
      </x:c>
      <x:c r="V2671" s="57" t="n">
        <x:v>-1.1138083198846749</x:v>
      </x:c>
      <x:c r="W2671"/>
      <x:c r="X2671"/>
      <x:c r="Y2671" s="38" t="n">
        <x:v>0.6409090909090909</x:v>
      </x:c>
      <x:c r="Z2671" s="38" t="n">
        <x:v>0.7030899933568922</x:v>
      </x:c>
      <x:c r="AA2671" t="str">
        <x:v>NON_POSITIVE_ENTERPRISE_VALUE|NON_POSITIVE_EQUITY_VALUE|NON_POSITIVE_TERMINAL_FCF</x:v>
      </x:c>
    </x:row>
    <x:row r="2672">
      <x:c r="A2672" s="54" t="n">
        <x:v>45473</x:v>
      </x:c>
      <x:c r="B2672" t="n">
        <x:v>45473.624999988424</x:v>
      </x:c>
      <x:c r="C2672" t="str">
        <x:v>416180</x:v>
      </x:c>
      <x:c r="D2672" t="str">
        <x:v>신성에스티</x:v>
      </x:c>
      <x:c r="E2672" t="str">
        <x:v>KOSDAQ</x:v>
      </x:c>
      <x:c r="F2672" t="str">
        <x:v>LARGE</x:v>
      </x:c>
      <x:c r="G2672" t="str">
        <x:v>ELIGIBLE</x:v>
      </x:c>
      <x:c r="H2672"/>
      <x:c r="I2672" s="54" t="n">
        <x:v>45471</x:v>
      </x:c>
      <x:c r="J2672" s="55" t="n">
        <x:v>34700</x:v>
      </x:c>
      <x:c r="K2672" s="55" t="n">
        <x:v>313680296600</x:v>
      </x:c>
      <x:c r="L2672" s="55" t="n">
        <x:v>9039778</x:v>
      </x:c>
      <x:c r="M2672" t="str">
        <x:v>20240318000868</x:v>
      </x:c>
      <x:c r="N2672" t="n">
        <x:v>45369.624999988424</x:v>
      </x:c>
      <x:c r="O2672" s="54" t="n">
        <x:v>45291</x:v>
      </x:c>
      <x:c r="P2672" t="str">
        <x:v>True</x:v>
      </x:c>
      <x:c r="Q2672" t="str">
        <x:v>83365fda00f2859a3b0ddff8c98389930a65a5f3d9df38e420f7d88759a900f9</x:v>
      </x:c>
      <x:c r="R2672" t="str">
        <x:v>62eb0976f911e83b581cf67eda351f7a58d22f66167afead8dd2901cc6c187eb</x:v>
      </x:c>
      <x:c r="S2672" t="n">
        <x:v>6</x:v>
      </x:c>
      <x:c r="T2672" t="str">
        <x:v>2023-12-31</x:v>
      </x:c>
      <x:c r="U2672" s="57" t="n">
        <x:v>5107.11562013138</x:v>
      </x:c>
      <x:c r="V2672" s="57" t="n">
        <x:v>-0.8528208755005366</x:v>
      </x:c>
      <x:c r="W2672" t="n">
        <x:v>65</x:v>
      </x:c>
      <x:c r="X2672" t="n">
        <x:v>5</x:v>
      </x:c>
      <x:c r="Y2672" s="38" t="n">
        <x:v>0.6409090909090909</x:v>
      </x:c>
      <x:c r="Z2672" s="38" t="n">
        <x:v>0.7013426708992583</x:v>
      </x:c>
      <x:c r="AA2672"/>
    </x:row>
    <x:row r="2673">
      <x:c r="A2673" s="54" t="n">
        <x:v>45473</x:v>
      </x:c>
      <x:c r="B2673" t="n">
        <x:v>45473.624999988424</x:v>
      </x:c>
      <x:c r="C2673" t="str">
        <x:v>082800</x:v>
      </x:c>
      <x:c r="D2673" t="str">
        <x:v>비보존제약</x:v>
      </x:c>
      <x:c r="E2673" t="str">
        <x:v>KOSDAQ</x:v>
      </x:c>
      <x:c r="F2673" t="str">
        <x:v>LARGE</x:v>
      </x:c>
      <x:c r="G2673" t="str">
        <x:v>DCF_SCREENING_EXCLUSION</x:v>
      </x:c>
      <x:c r="H2673" t="str">
        <x:v>NON_POSITIVE_ENTERPRISE_VALUE|NON_POSITIVE_EQUITY_VALUE|NON_POSITIVE_TERMINAL_FCF</x:v>
      </x:c>
      <x:c r="I2673" s="54" t="n">
        <x:v>45471</x:v>
      </x:c>
      <x:c r="J2673" s="55" t="n">
        <x:v>3080</x:v>
      </x:c>
      <x:c r="K2673" s="55" t="n">
        <x:v>148492082200</x:v>
      </x:c>
      <x:c r="L2673" s="55" t="n">
        <x:v>48211715</x:v>
      </x:c>
      <x:c r="M2673" t="str">
        <x:v>20240321002013</x:v>
      </x:c>
      <x:c r="N2673" t="n">
        <x:v>45372.624999988424</x:v>
      </x:c>
      <x:c r="O2673" s="54" t="n">
        <x:v>45291</x:v>
      </x:c>
      <x:c r="P2673" t="str">
        <x:v>False</x:v>
      </x:c>
      <x:c r="Q2673" t="str">
        <x:v>1200d231ac66b364cd6dd71a9544ba9e11e21657093a252947ece200f617a847</x:v>
      </x:c>
      <x:c r="R2673" t="str">
        <x:v>e7d3c35d2a64f21d3d18e7af4df5f0b8ddb379d53162010627b5b42a5d50b5c8</x:v>
      </x:c>
      <x:c r="S2673" t="n">
        <x:v>7</x:v>
      </x:c>
      <x:c r="T2673" t="str">
        <x:v>2018-12-31|2019-12-31|2020-12-31|2021-12-31|2022-12-31|2023-12-31</x:v>
      </x:c>
      <x:c r="U2673" s="57" t="n">
        <x:v>-5542.3737318582125</x:v>
      </x:c>
      <x:c r="V2673" s="57" t="n">
        <x:v>-2.799471990863056</x:v>
      </x:c>
      <x:c r="W2673"/>
      <x:c r="X2673"/>
      <x:c r="Y2673" s="38" t="n">
        <x:v>0.6409090909090909</x:v>
      </x:c>
      <x:c r="Z2673" s="38" t="n">
        <x:v>0.7855842606227819</x:v>
      </x:c>
      <x:c r="AA2673" t="str">
        <x:v>NON_POSITIVE_ENTERPRISE_VALUE|NON_POSITIVE_EQUITY_VALUE|NON_POSITIVE_TERMINAL_FCF</x:v>
      </x:c>
    </x:row>
    <x:row r="2674">
      <x:c r="A2674" s="54" t="n">
        <x:v>45473</x:v>
      </x:c>
      <x:c r="B2674" t="n">
        <x:v>45473.624999988424</x:v>
      </x:c>
      <x:c r="C2674" t="str">
        <x:v>204620</x:v>
      </x:c>
      <x:c r="D2674" t="str">
        <x:v>글로벌텍스프리</x:v>
      </x:c>
      <x:c r="E2674" t="str">
        <x:v>KOSDAQ</x:v>
      </x:c>
      <x:c r="F2674" t="str">
        <x:v>LARGE</x:v>
      </x:c>
      <x:c r="G2674" t="str">
        <x:v>DCF_SCREENING_EXCLUSION</x:v>
      </x:c>
      <x:c r="H2674" t="str">
        <x:v>NON_POSITIVE_ENTERPRISE_VALUE|NON_POSITIVE_TERMINAL_FCF|UNRELIABLE_TERMINAL_VALUE_SHARE</x:v>
      </x:c>
      <x:c r="I2674" s="54" t="n">
        <x:v>45471</x:v>
      </x:c>
      <x:c r="J2674" s="55" t="n">
        <x:v>3650</x:v>
      </x:c>
      <x:c r="K2674" s="55" t="n">
        <x:v>207275645200</x:v>
      </x:c>
      <x:c r="L2674" s="55" t="n">
        <x:v>56787848</x:v>
      </x:c>
      <x:c r="M2674" t="str">
        <x:v>20240321001393</x:v>
      </x:c>
      <x:c r="N2674" t="n">
        <x:v>45372.624999988424</x:v>
      </x:c>
      <x:c r="O2674" s="54" t="n">
        <x:v>45291</x:v>
      </x:c>
      <x:c r="P2674" t="str">
        <x:v>False</x:v>
      </x:c>
      <x:c r="Q2674" t="str">
        <x:v>e0b1e3ddb687ee203f0d57ff8debef6acfd63433052d16645e27c5766207b915</x:v>
      </x:c>
      <x:c r="R2674" t="str">
        <x:v>dcce45606b137b650c55576cddd69363c5753775be21a64637c0d8c6b4be2bd1</x:v>
      </x:c>
      <x:c r="S2674" t="n">
        <x:v>7</x:v>
      </x:c>
      <x:c r="T2674" t="str">
        <x:v>2018-12-31|2019-12-31|2020-12-31|2021-12-31|2022-12-31|2023-12-31</x:v>
      </x:c>
      <x:c r="U2674" s="57" t="n">
        <x:v>500.93871703014366</x:v>
      </x:c>
      <x:c r="V2674" s="57" t="n">
        <x:v>-0.8627565158821524</x:v>
      </x:c>
      <x:c r="W2674"/>
      <x:c r="X2674"/>
      <x:c r="Y2674" s="38" t="n">
        <x:v>0.6409090909090909</x:v>
      </x:c>
      <x:c r="Z2674" s="38" t="n">
        <x:v>2.277431839577951</x:v>
      </x:c>
      <x:c r="AA2674" t="str">
        <x:v>NON_POSITIVE_ENTERPRISE_VALUE|NON_POSITIVE_TERMINAL_FCF|UNRELIABLE_TERMINAL_VALUE_SHARE</x:v>
      </x:c>
    </x:row>
    <x:row r="2675">
      <x:c r="A2675" s="54" t="n">
        <x:v>45473</x:v>
      </x:c>
      <x:c r="B2675" t="n">
        <x:v>45473.624999988424</x:v>
      </x:c>
      <x:c r="C2675" t="str">
        <x:v>445090</x:v>
      </x:c>
      <x:c r="D2675" t="str">
        <x:v>에이직랜드</x:v>
      </x:c>
      <x:c r="E2675" t="str">
        <x:v>KOSDAQ</x:v>
      </x:c>
      <x:c r="F2675" t="str">
        <x:v>LARGE</x:v>
      </x:c>
      <x:c r="G2675" t="str">
        <x:v>DCF_SCREENING_EXCLUSION</x:v>
      </x:c>
      <x:c r="H2675" t="str">
        <x:v>NON_POSITIVE_ENTERPRISE_VALUE|NON_POSITIVE_TERMINAL_FCF</x:v>
      </x:c>
      <x:c r="I2675" s="54" t="n">
        <x:v>45471</x:v>
      </x:c>
      <x:c r="J2675" s="55" t="n">
        <x:v>44800</x:v>
      </x:c>
      <x:c r="K2675" s="55" t="n">
        <x:v>478392499200</x:v>
      </x:c>
      <x:c r="L2675" s="55" t="n">
        <x:v>10678404</x:v>
      </x:c>
      <x:c r="M2675" t="str">
        <x:v>20240321001771</x:v>
      </x:c>
      <x:c r="N2675" t="n">
        <x:v>45372.624999988424</x:v>
      </x:c>
      <x:c r="O2675" s="54" t="n">
        <x:v>45291</x:v>
      </x:c>
      <x:c r="P2675" t="str">
        <x:v>False</x:v>
      </x:c>
      <x:c r="Q2675" t="str">
        <x:v>3d21d9a3bcf8fe2c32b7f6dc6c7e026a5a5ae3046838b7fffa2eaa84e779cd56</x:v>
      </x:c>
      <x:c r="R2675" t="str">
        <x:v>784df8526e318aaddcf117b9d3686ba8818f97378f177aea4967c3f10bc5b0da</x:v>
      </x:c>
      <x:c r="S2675" t="n">
        <x:v>6</x:v>
      </x:c>
      <x:c r="T2675" t="str">
        <x:v>2023-12-31</x:v>
      </x:c>
      <x:c r="U2675" s="57" t="n">
        <x:v>2006.9272086944827</x:v>
      </x:c>
      <x:c r="V2675" s="57" t="n">
        <x:v>-0.9552025176630696</x:v>
      </x:c>
      <x:c r="W2675"/>
      <x:c r="X2675"/>
      <x:c r="Y2675" s="38" t="n">
        <x:v>0.6409090909090909</x:v>
      </x:c>
      <x:c r="Z2675" s="38" t="n">
        <x:v>0.7013426708992583</x:v>
      </x:c>
      <x:c r="AA2675" t="str">
        <x:v>NON_POSITIVE_ENTERPRISE_VALUE|NON_POSITIVE_TERMINAL_FCF</x:v>
      </x:c>
    </x:row>
    <x:row r="2676">
      <x:c r="A2676" s="54" t="n">
        <x:v>45473</x:v>
      </x:c>
      <x:c r="B2676" t="n">
        <x:v>45473.624999988424</x:v>
      </x:c>
      <x:c r="C2676" t="str">
        <x:v>115450</x:v>
      </x:c>
      <x:c r="D2676" t="str">
        <x:v>HLB테라퓨틱스</x:v>
      </x:c>
      <x:c r="E2676" t="str">
        <x:v>KOSDAQ</x:v>
      </x:c>
      <x:c r="F2676" t="str">
        <x:v>LARGE</x:v>
      </x:c>
      <x:c r="G2676" t="str">
        <x:v>DCF_SCREENING_EXCLUSION</x:v>
      </x:c>
      <x:c r="H2676" t="str">
        <x:v>NON_POSITIVE_ENTERPRISE_VALUE|NON_POSITIVE_EQUITY_VALUE|NON_POSITIVE_TERMINAL_FCF</x:v>
      </x:c>
      <x:c r="I2676" s="54" t="n">
        <x:v>45471</x:v>
      </x:c>
      <x:c r="J2676" s="55" t="n">
        <x:v>7020</x:v>
      </x:c>
      <x:c r="K2676" s="55" t="n">
        <x:v>556328948760</x:v>
      </x:c>
      <x:c r="L2676" s="55" t="n">
        <x:v>79249138</x:v>
      </x:c>
      <x:c r="M2676" t="str">
        <x:v>20240318000872</x:v>
      </x:c>
      <x:c r="N2676" t="n">
        <x:v>45369.624999988424</x:v>
      </x:c>
      <x:c r="O2676" s="54" t="n">
        <x:v>45291</x:v>
      </x:c>
      <x:c r="P2676" t="str">
        <x:v>False</x:v>
      </x:c>
      <x:c r="Q2676" t="str">
        <x:v>3b6234af336dabd6e48013d36719da3fe04641f207116acbfd61cf15ca526468</x:v>
      </x:c>
      <x:c r="R2676" t="str">
        <x:v>14ce768734819761b4fea6078d67aa7b456271a4c41dd8f377614d02e84bcf15</x:v>
      </x:c>
      <x:c r="S2676" t="n">
        <x:v>6</x:v>
      </x:c>
      <x:c r="T2676" t="str">
        <x:v>2018-12-31|2019-12-31|2020-12-31|2021-12-31|2022-12-31|2023-12-31</x:v>
      </x:c>
      <x:c r="U2676" s="57" t="n">
        <x:v>-1565.8085807279301</x:v>
      </x:c>
      <x:c r="V2676" s="57" t="n">
        <x:v>-1.223049655374349</x:v>
      </x:c>
      <x:c r="W2676"/>
      <x:c r="X2676"/>
      <x:c r="Y2676" s="38" t="n">
        <x:v>0.6409090909090909</x:v>
      </x:c>
      <x:c r="Z2676" s="38" t="n">
        <x:v>0.710888543448263</x:v>
      </x:c>
      <x:c r="AA2676" t="str">
        <x:v>NON_POSITIVE_ENTERPRISE_VALUE|NON_POSITIVE_EQUITY_VALUE|NON_POSITIVE_TERMINAL_FCF</x:v>
      </x:c>
    </x:row>
    <x:row r="2677">
      <x:c r="A2677" s="54" t="n">
        <x:v>45473</x:v>
      </x:c>
      <x:c r="B2677" t="n">
        <x:v>45473.624999988424</x:v>
      </x:c>
      <x:c r="C2677" t="str">
        <x:v>035420</x:v>
      </x:c>
      <x:c r="D2677" t="str">
        <x:v>NAVER</x:v>
      </x:c>
      <x:c r="E2677" t="str">
        <x:v>KOSPI</x:v>
      </x:c>
      <x:c r="F2677" t="str">
        <x:v>LARGE</x:v>
      </x:c>
      <x:c r="G2677" t="str">
        <x:v>ELIGIBLE</x:v>
      </x:c>
      <x:c r="H2677"/>
      <x:c r="I2677" s="54" t="n">
        <x:v>45471</x:v>
      </x:c>
      <x:c r="J2677" s="55" t="n">
        <x:v>166900</x:v>
      </x:c>
      <x:c r="K2677" s="55" t="n">
        <x:v>27105994338600</x:v>
      </x:c>
      <x:c r="L2677" s="55" t="n">
        <x:v>162408594</x:v>
      </x:c>
      <x:c r="M2677" t="str">
        <x:v>20240318000844</x:v>
      </x:c>
      <x:c r="N2677" t="n">
        <x:v>45369.624999988424</x:v>
      </x:c>
      <x:c r="O2677" s="54" t="n">
        <x:v>45291</x:v>
      </x:c>
      <x:c r="P2677" t="str">
        <x:v>False</x:v>
      </x:c>
      <x:c r="Q2677" t="str">
        <x:v>54a4f93f439c775756a90e1084778b46efe9cf0b2eb153fd52376c1005518a32</x:v>
      </x:c>
      <x:c r="R2677" t="str">
        <x:v>4aef43ac8569b66133cd1ad7d79e9087c487c40f813fb2d86ba2c4cda0ae7475</x:v>
      </x:c>
      <x:c r="S2677" t="n">
        <x:v>7</x:v>
      </x:c>
      <x:c r="T2677" t="str">
        <x:v>2018-12-31|2019-12-31|2020-12-31|2021-12-31|2022-12-31|2023-12-31</x:v>
      </x:c>
      <x:c r="U2677" s="57" t="n">
        <x:v>63694.281539004354</x:v>
      </x:c>
      <x:c r="V2677" s="57" t="n">
        <x:v>-0.6183685947333472</x:v>
      </x:c>
      <x:c r="W2677" t="n">
        <x:v>49</x:v>
      </x:c>
      <x:c r="X2677" t="n">
        <x:v>4</x:v>
      </x:c>
      <x:c r="Y2677" s="38" t="n">
        <x:v>0.6409090909090909</x:v>
      </x:c>
      <x:c r="Z2677" s="38" t="n">
        <x:v>0.7282407134116271</x:v>
      </x:c>
      <x:c r="AA2677"/>
    </x:row>
    <x:row r="2678">
      <x:c r="A2678" s="54" t="n">
        <x:v>45473</x:v>
      </x:c>
      <x:c r="B2678" t="n">
        <x:v>45473.624999988424</x:v>
      </x:c>
      <x:c r="C2678" t="str">
        <x:v>030200</x:v>
      </x:c>
      <x:c r="D2678" t="str">
        <x:v>KT</x:v>
      </x:c>
      <x:c r="E2678" t="str">
        <x:v>KOSPI</x:v>
      </x:c>
      <x:c r="F2678" t="str">
        <x:v>LARGE</x:v>
      </x:c>
      <x:c r="G2678" t="str">
        <x:v>ELIGIBLE</x:v>
      </x:c>
      <x:c r="H2678"/>
      <x:c r="I2678" s="54" t="n">
        <x:v>45471</x:v>
      </x:c>
      <x:c r="J2678" s="55" t="n">
        <x:v>37400</x:v>
      </x:c>
      <x:c r="K2678" s="55" t="n">
        <x:v>9425611019000</x:v>
      </x:c>
      <x:c r="L2678" s="55" t="n">
        <x:v>252021685</x:v>
      </x:c>
      <x:c r="M2678" t="str">
        <x:v>20240320002050</x:v>
      </x:c>
      <x:c r="N2678" t="n">
        <x:v>45371.624999988424</x:v>
      </x:c>
      <x:c r="O2678" s="54" t="n">
        <x:v>45291</x:v>
      </x:c>
      <x:c r="P2678" t="str">
        <x:v>True</x:v>
      </x:c>
      <x:c r="Q2678" t="str">
        <x:v>2143c9277fcc2280c3e9087bb1f7a6d900c560447e104f2fb74a2f19629cb33d</x:v>
      </x:c>
      <x:c r="R2678" t="str">
        <x:v>ce62a2e350a2e18746a25525a6040070e636efbf5510fc922d5568edfb628d68</x:v>
      </x:c>
      <x:c r="S2678" t="n">
        <x:v>7</x:v>
      </x:c>
      <x:c r="T2678" t="str">
        <x:v>2018-12-31|2019-12-31|2020-12-31|2021-12-31|2022-12-31|2023-12-31</x:v>
      </x:c>
      <x:c r="U2678" s="57" t="n">
        <x:v>212864.75671025182</x:v>
      </x:c>
      <x:c r="V2678" s="57" t="n">
        <x:v>4.691571035033471</x:v>
      </x:c>
      <x:c r="W2678" t="n">
        <x:v>3</x:v>
      </x:c>
      <x:c r="X2678" t="n">
        <x:v>1</x:v>
      </x:c>
      <x:c r="Y2678" s="38" t="n">
        <x:v>0.6409090909090909</x:v>
      </x:c>
      <x:c r="Z2678" s="38" t="n">
        <x:v>0.6999060533575371</x:v>
      </x:c>
      <x:c r="AA2678"/>
    </x:row>
    <x:row r="2679">
      <x:c r="A2679" s="54" t="n">
        <x:v>45473</x:v>
      </x:c>
      <x:c r="B2679" t="n">
        <x:v>45473.624999988424</x:v>
      </x:c>
      <x:c r="C2679" t="str">
        <x:v>018260</x:v>
      </x:c>
      <x:c r="D2679" t="str">
        <x:v>삼성에스디에스</x:v>
      </x:c>
      <x:c r="E2679" t="str">
        <x:v>KOSPI</x:v>
      </x:c>
      <x:c r="F2679" t="str">
        <x:v>LARGE</x:v>
      </x:c>
      <x:c r="G2679" t="str">
        <x:v>ELIGIBLE</x:v>
      </x:c>
      <x:c r="H2679"/>
      <x:c r="I2679" s="54" t="n">
        <x:v>45471</x:v>
      </x:c>
      <x:c r="J2679" s="55" t="n">
        <x:v>148500</x:v>
      </x:c>
      <x:c r="K2679" s="55" t="n">
        <x:v>11490603300000</x:v>
      </x:c>
      <x:c r="L2679" s="55" t="n">
        <x:v>77377800</x:v>
      </x:c>
      <x:c r="M2679" t="str">
        <x:v>20240329003204</x:v>
      </x:c>
      <x:c r="N2679" t="n">
        <x:v>45380.624999988424</x:v>
      </x:c>
      <x:c r="O2679" s="54" t="n">
        <x:v>45291</x:v>
      </x:c>
      <x:c r="P2679" t="str">
        <x:v>True</x:v>
      </x:c>
      <x:c r="Q2679" t="str">
        <x:v>18cebc8465d97b583091200410d012c12877fbf1b506f8f03e42d9acfaec4cb1</x:v>
      </x:c>
      <x:c r="R2679" t="str">
        <x:v>884bd679c7548d9c28c708b054cf4bec75102ff25dbeea45d78762e80128f816</x:v>
      </x:c>
      <x:c r="S2679" t="n">
        <x:v>7</x:v>
      </x:c>
      <x:c r="T2679" t="str">
        <x:v>2018-12-31|2019-12-31|2020-12-31|2021-12-31|2022-12-31|2023-12-31</x:v>
      </x:c>
      <x:c r="U2679" s="57" t="n">
        <x:v>122288.21245529415</x:v>
      </x:c>
      <x:c r="V2679" s="57" t="n">
        <x:v>-0.176510353836403</x:v>
      </x:c>
      <x:c r="W2679" t="n">
        <x:v>33</x:v>
      </x:c>
      <x:c r="X2679" t="n">
        <x:v>3</x:v>
      </x:c>
      <x:c r="Y2679" s="38" t="n">
        <x:v>0.6409090909090909</x:v>
      </x:c>
      <x:c r="Z2679" s="38" t="n">
        <x:v>0.7228476007504209</x:v>
      </x:c>
      <x:c r="AA2679"/>
    </x:row>
    <x:row r="2680">
      <x:c r="A2680" s="54" t="n">
        <x:v>45473</x:v>
      </x:c>
      <x:c r="B2680" t="n">
        <x:v>45473.624999988424</x:v>
      </x:c>
      <x:c r="C2680" t="str">
        <x:v>090430</x:v>
      </x:c>
      <x:c r="D2680" t="str">
        <x:v>아모레퍼시픽</x:v>
      </x:c>
      <x:c r="E2680" t="str">
        <x:v>KOSPI</x:v>
      </x:c>
      <x:c r="F2680" t="str">
        <x:v>LARGE</x:v>
      </x:c>
      <x:c r="G2680" t="str">
        <x:v>ELIGIBLE</x:v>
      </x:c>
      <x:c r="H2680"/>
      <x:c r="I2680" s="54" t="n">
        <x:v>45471</x:v>
      </x:c>
      <x:c r="J2680" s="55" t="n">
        <x:v>167300</x:v>
      </x:c>
      <x:c r="K2680" s="55" t="n">
        <x:v>9785838580700</x:v>
      </x:c>
      <x:c r="L2680" s="55" t="n">
        <x:v>58492759</x:v>
      </x:c>
      <x:c r="M2680" t="str">
        <x:v>20240307000545</x:v>
      </x:c>
      <x:c r="N2680" t="n">
        <x:v>45358.624999988424</x:v>
      </x:c>
      <x:c r="O2680" s="54" t="n">
        <x:v>45291</x:v>
      </x:c>
      <x:c r="P2680" t="str">
        <x:v>False</x:v>
      </x:c>
      <x:c r="Q2680" t="str">
        <x:v>983705de0a1f45b92e9108d2cb5f8067751611ea62c2277984777ce1708ab8e8</x:v>
      </x:c>
      <x:c r="R2680" t="str">
        <x:v>e29e63aa8ddfd106584ad95dd808ba765e379e85945cd4910e62fca85bcf965d</x:v>
      </x:c>
      <x:c r="S2680" t="n">
        <x:v>7</x:v>
      </x:c>
      <x:c r="T2680" t="str">
        <x:v>2018-12-31|2019-12-31|2020-12-31|2021-12-31|2022-12-31|2023-12-31</x:v>
      </x:c>
      <x:c r="U2680" s="57" t="n">
        <x:v>45185.40296952942</x:v>
      </x:c>
      <x:c r="V2680" s="57" t="n">
        <x:v>-0.7299139093273794</x:v>
      </x:c>
      <x:c r="W2680" t="n">
        <x:v>56</x:v>
      </x:c>
      <x:c r="X2680" t="n">
        <x:v>5</x:v>
      </x:c>
      <x:c r="Y2680" s="38" t="n">
        <x:v>0.6409090909090909</x:v>
      </x:c>
      <x:c r="Z2680" s="38" t="n">
        <x:v>0.6871955991456108</x:v>
      </x:c>
      <x:c r="AA2680"/>
    </x:row>
    <x:row r="2681">
      <x:c r="A2681" s="54" t="n">
        <x:v>45473</x:v>
      </x:c>
      <x:c r="B2681" t="n">
        <x:v>45473.624999988424</x:v>
      </x:c>
      <x:c r="C2681" t="str">
        <x:v>278470</x:v>
      </x:c>
      <x:c r="D2681" t="str">
        <x:v>에이피알</x:v>
      </x:c>
      <x:c r="E2681" t="str">
        <x:v>KOSPI</x:v>
      </x:c>
      <x:c r="F2681" t="str">
        <x:v>LARGE</x:v>
      </x:c>
      <x:c r="G2681" t="str">
        <x:v>ELIGIBLE</x:v>
      </x:c>
      <x:c r="H2681"/>
      <x:c r="I2681" s="54" t="n">
        <x:v>45471</x:v>
      </x:c>
      <x:c r="J2681" s="55" t="n">
        <x:v>393000</x:v>
      </x:c>
      <x:c r="K2681" s="55" t="n">
        <x:v>2994729954000</x:v>
      </x:c>
      <x:c r="L2681" s="55" t="n">
        <x:v>7620178</x:v>
      </x:c>
      <x:c r="M2681" t="str">
        <x:v>20240321000964</x:v>
      </x:c>
      <x:c r="N2681" t="n">
        <x:v>45372.624999988424</x:v>
      </x:c>
      <x:c r="O2681" s="54" t="n">
        <x:v>45291</x:v>
      </x:c>
      <x:c r="P2681" t="str">
        <x:v>False</x:v>
      </x:c>
      <x:c r="Q2681" t="str">
        <x:v>04ca5e6c1f6cf209dc5de4b17e6b617de4ae883decea2ff2eb03b79a7a17d4a8</x:v>
      </x:c>
      <x:c r="R2681" t="str">
        <x:v>7e6dc7df6c5293196d2366117fc3ec877656460492a4b7bdbe26034dd5231cb2</x:v>
      </x:c>
      <x:c r="S2681" t="n">
        <x:v>7</x:v>
      </x:c>
      <x:c r="T2681" t="str">
        <x:v>2019-12-31|2020-12-31|2021-12-31|2022-12-31|2023-12-31</x:v>
      </x:c>
      <x:c r="U2681" s="57" t="n">
        <x:v>78317.16398497451</x:v>
      </x:c>
      <x:c r="V2681" s="57" t="n">
        <x:v>-0.8007196845166044</x:v>
      </x:c>
      <x:c r="W2681" t="n">
        <x:v>59</x:v>
      </x:c>
      <x:c r="X2681" t="n">
        <x:v>5</x:v>
      </x:c>
      <x:c r="Y2681" s="38" t="n">
        <x:v>0.6409090909090909</x:v>
      </x:c>
      <x:c r="Z2681" s="38" t="n">
        <x:v>0.5293064792577115</x:v>
      </x:c>
      <x:c r="AA2681"/>
    </x:row>
    <x:row r="2682">
      <x:c r="A2682" s="54" t="n">
        <x:v>45473</x:v>
      </x:c>
      <x:c r="B2682" t="n">
        <x:v>45473.624999988424</x:v>
      </x:c>
      <x:c r="C2682" t="str">
        <x:v>006260</x:v>
      </x:c>
      <x:c r="D2682" t="str">
        <x:v>LS</x:v>
      </x:c>
      <x:c r="E2682" t="str">
        <x:v>KOSPI</x:v>
      </x:c>
      <x:c r="F2682" t="str">
        <x:v>LARGE</x:v>
      </x:c>
      <x:c r="G2682" t="str">
        <x:v>DCF_SCREENING_EXCLUSION</x:v>
      </x:c>
      <x:c r="H2682" t="str">
        <x:v>NON_POSITIVE_EQUITY_VALUE|UNRELIABLE_TERMINAL_VALUE_SHARE</x:v>
      </x:c>
      <x:c r="I2682" s="54" t="n">
        <x:v>45471</x:v>
      </x:c>
      <x:c r="J2682" s="55" t="n">
        <x:v>143900</x:v>
      </x:c>
      <x:c r="K2682" s="55" t="n">
        <x:v>4633580000000</x:v>
      </x:c>
      <x:c r="L2682" s="55" t="n">
        <x:v>32200000</x:v>
      </x:c>
      <x:c r="M2682" t="str">
        <x:v>20240328001620</x:v>
      </x:c>
      <x:c r="N2682" t="n">
        <x:v>45379.624999988424</x:v>
      </x:c>
      <x:c r="O2682" s="54" t="n">
        <x:v>45291</x:v>
      </x:c>
      <x:c r="P2682" t="str">
        <x:v>True</x:v>
      </x:c>
      <x:c r="Q2682" t="str">
        <x:v>9fe30320efdcad1c5340f294e9f56b892e6082fae219d016336f02b346091952</x:v>
      </x:c>
      <x:c r="R2682" t="str">
        <x:v>d082c090d3a116ec85d400af7eee463106482a7d7859353ff448782f574e64db</x:v>
      </x:c>
      <x:c r="S2682" t="n">
        <x:v>7</x:v>
      </x:c>
      <x:c r="T2682" t="str">
        <x:v>2017-12-31|2018-12-31|2019-12-31|2020-12-31|2021-12-31|2022-12-31|2023-12-31</x:v>
      </x:c>
      <x:c r="U2682" s="57" t="n">
        <x:v>-105361.65513133879</x:v>
      </x:c>
      <x:c r="V2682" s="57" t="n">
        <x:v>-1.73218662356733</x:v>
      </x:c>
      <x:c r="W2682"/>
      <x:c r="X2682"/>
      <x:c r="Y2682" s="38" t="n">
        <x:v>0.6409090909090909</x:v>
      </x:c>
      <x:c r="Z2682" s="38" t="n">
        <x:v>1.5056673965553193</x:v>
      </x:c>
      <x:c r="AA2682" t="str">
        <x:v>NON_POSITIVE_EQUITY_VALUE|UNRELIABLE_TERMINAL_VALUE_SHARE</x:v>
      </x:c>
    </x:row>
    <x:row r="2683">
      <x:c r="A2683" s="54" t="n">
        <x:v>45473</x:v>
      </x:c>
      <x:c r="B2683" t="n">
        <x:v>45473.624999988424</x:v>
      </x:c>
      <x:c r="C2683" t="str">
        <x:v>454910</x:v>
      </x:c>
      <x:c r="D2683" t="str">
        <x:v>두산로보틱스</x:v>
      </x:c>
      <x:c r="E2683" t="str">
        <x:v>KOSPI</x:v>
      </x:c>
      <x:c r="F2683" t="str">
        <x:v>LARGE</x:v>
      </x:c>
      <x:c r="G2683" t="str">
        <x:v>DCF_SCREENING_EXCLUSION</x:v>
      </x:c>
      <x:c r="H2683" t="str">
        <x:v>NON_POSITIVE_ENTERPRISE_VALUE|NON_POSITIVE_TERMINAL_FCF</x:v>
      </x:c>
      <x:c r="I2683" s="54" t="n">
        <x:v>45471</x:v>
      </x:c>
      <x:c r="J2683" s="55" t="n">
        <x:v>79900</x:v>
      </x:c>
      <x:c r="K2683" s="55" t="n">
        <x:v>5179116402000</x:v>
      </x:c>
      <x:c r="L2683" s="55" t="n">
        <x:v>64819980</x:v>
      </x:c>
      <x:c r="M2683" t="str">
        <x:v>20240320001860</x:v>
      </x:c>
      <x:c r="N2683" t="n">
        <x:v>45371.624999988424</x:v>
      </x:c>
      <x:c r="O2683" s="54" t="n">
        <x:v>45291</x:v>
      </x:c>
      <x:c r="P2683" t="str">
        <x:v>False</x:v>
      </x:c>
      <x:c r="Q2683" t="str">
        <x:v>5d0c8526a769dfb699e3a5a8d541b959348fa56a7fb0e13db871219f978613e8</x:v>
      </x:c>
      <x:c r="R2683" t="str">
        <x:v>9e2915c65080adc971a419f9d19db45fca450e2aaa5867ba5968fdfdcd809cda</x:v>
      </x:c>
      <x:c r="S2683" t="n">
        <x:v>6</x:v>
      </x:c>
      <x:c r="T2683" t="str">
        <x:v>2023-12-31</x:v>
      </x:c>
      <x:c r="U2683" s="57" t="n">
        <x:v>2405.426797352491</x:v>
      </x:c>
      <x:c r="V2683" s="57" t="n">
        <x:v>-0.9698945331995934</x:v>
      </x:c>
      <x:c r="W2683"/>
      <x:c r="X2683"/>
      <x:c r="Y2683" s="38" t="n">
        <x:v>0.6409090909090909</x:v>
      </x:c>
      <x:c r="Z2683" s="38" t="n">
        <x:v>0.7013426708992583</x:v>
      </x:c>
      <x:c r="AA2683" t="str">
        <x:v>NON_POSITIVE_ENTERPRISE_VALUE|NON_POSITIVE_TERMINAL_FCF</x:v>
      </x:c>
    </x:row>
    <x:row r="2684">
      <x:c r="A2684" s="54" t="n">
        <x:v>45473</x:v>
      </x:c>
      <x:c r="B2684" t="n">
        <x:v>45473.624999988424</x:v>
      </x:c>
      <x:c r="C2684" t="str">
        <x:v>012750</x:v>
      </x:c>
      <x:c r="D2684" t="str">
        <x:v>에스원</x:v>
      </x:c>
      <x:c r="E2684" t="str">
        <x:v>KOSPI</x:v>
      </x:c>
      <x:c r="F2684" t="str">
        <x:v>LARGE</x:v>
      </x:c>
      <x:c r="G2684" t="str">
        <x:v>ELIGIBLE</x:v>
      </x:c>
      <x:c r="H2684"/>
      <x:c r="I2684" s="54" t="n">
        <x:v>45471</x:v>
      </x:c>
      <x:c r="J2684" s="55" t="n">
        <x:v>58000</x:v>
      </x:c>
      <x:c r="K2684" s="55" t="n">
        <x:v>2203952324000</x:v>
      </x:c>
      <x:c r="L2684" s="55" t="n">
        <x:v>37999178</x:v>
      </x:c>
      <x:c r="M2684" t="str">
        <x:v>20240313001360</x:v>
      </x:c>
      <x:c r="N2684" t="n">
        <x:v>45364.624999988424</x:v>
      </x:c>
      <x:c r="O2684" s="54" t="n">
        <x:v>45291</x:v>
      </x:c>
      <x:c r="P2684" t="str">
        <x:v>False</x:v>
      </x:c>
      <x:c r="Q2684" t="str">
        <x:v>983905c80557b47aaa55369ad23ffd7c797eb22f2d713724cdbe16330a9bee29</x:v>
      </x:c>
      <x:c r="R2684" t="str">
        <x:v>418b9c21ccc966183bf35367fadeaa591f28b941468ebf25e7ce65b3896bab07</x:v>
      </x:c>
      <x:c r="S2684" t="n">
        <x:v>6</x:v>
      </x:c>
      <x:c r="T2684" t="str">
        <x:v>2018-12-31|2019-12-31|2020-12-31|2021-12-31|2022-12-31|2023-12-31</x:v>
      </x:c>
      <x:c r="U2684" s="57" t="n">
        <x:v>53073.583077988624</x:v>
      </x:c>
      <x:c r="V2684" s="57" t="n">
        <x:v>-0.08493822279329964</x:v>
      </x:c>
      <x:c r="W2684" t="n">
        <x:v>27</x:v>
      </x:c>
      <x:c r="X2684" t="n">
        <x:v>2</x:v>
      </x:c>
      <x:c r="Y2684" s="38" t="n">
        <x:v>0.6409090909090909</x:v>
      </x:c>
      <x:c r="Z2684" s="38" t="n">
        <x:v>0.7167269513942994</x:v>
      </x:c>
      <x:c r="AA2684"/>
    </x:row>
    <x:row r="2685">
      <x:c r="A2685" s="54" t="n">
        <x:v>45473</x:v>
      </x:c>
      <x:c r="B2685" t="n">
        <x:v>45473.624999988424</x:v>
      </x:c>
      <x:c r="C2685" t="str">
        <x:v>081660</x:v>
      </x:c>
      <x:c r="D2685" t="str">
        <x:v>미스토홀딩스</x:v>
      </x:c>
      <x:c r="E2685" t="str">
        <x:v>KOSPI</x:v>
      </x:c>
      <x:c r="F2685" t="str">
        <x:v>LARGE</x:v>
      </x:c>
      <x:c r="G2685" t="str">
        <x:v>EXCLUDED_ARCHETYPE</x:v>
      </x:c>
      <x:c r="H2685" t="str">
        <x:v>FCFF_NOT_COMPARABLE_FOR_FINANCE_OR_HOLDING_HINT</x:v>
      </x:c>
      <x:c r="I2685" s="54"/>
      <x:c r="J2685" s="55"/>
      <x:c r="K2685" s="55"/>
      <x:c r="L2685" s="55"/>
      <x:c r="M2685"/>
      <x:c r="N2685"/>
      <x:c r="O2685" s="54"/>
      <x:c r="P2685"/>
      <x:c r="Q2685"/>
      <x:c r="R2685"/>
      <x:c r="S2685"/>
      <x:c r="T2685"/>
      <x:c r="U2685" s="57"/>
      <x:c r="V2685" s="57"/>
      <x:c r="W2685"/>
      <x:c r="X2685"/>
      <x:c r="Y2685" s="38"/>
      <x:c r="Z2685" s="38"/>
      <x:c r="AA2685"/>
    </x:row>
    <x:row r="2686">
      <x:c r="A2686" s="54" t="n">
        <x:v>45473</x:v>
      </x:c>
      <x:c r="B2686" t="n">
        <x:v>45473.624999988424</x:v>
      </x:c>
      <x:c r="C2686" t="str">
        <x:v>282330</x:v>
      </x:c>
      <x:c r="D2686" t="str">
        <x:v>BGF리테일</x:v>
      </x:c>
      <x:c r="E2686" t="str">
        <x:v>KOSPI</x:v>
      </x:c>
      <x:c r="F2686" t="str">
        <x:v>LARGE</x:v>
      </x:c>
      <x:c r="G2686" t="str">
        <x:v>ELIGIBLE</x:v>
      </x:c>
      <x:c r="H2686"/>
      <x:c r="I2686" s="54" t="n">
        <x:v>45471</x:v>
      </x:c>
      <x:c r="J2686" s="55" t="n">
        <x:v>103300</x:v>
      </x:c>
      <x:c r="K2686" s="55" t="n">
        <x:v>1785427489800</x:v>
      </x:c>
      <x:c r="L2686" s="55" t="n">
        <x:v>17283906</x:v>
      </x:c>
      <x:c r="M2686" t="str">
        <x:v>20240412003349</x:v>
      </x:c>
      <x:c r="N2686" t="n">
        <x:v>45394.624999988424</x:v>
      </x:c>
      <x:c r="O2686" s="54" t="n">
        <x:v>45291</x:v>
      </x:c>
      <x:c r="P2686" t="str">
        <x:v>True</x:v>
      </x:c>
      <x:c r="Q2686" t="str">
        <x:v>80452f5864f11413d1e18a343363f011c0e853e8f7a5e545f85575c87fe04167</x:v>
      </x:c>
      <x:c r="R2686" t="str">
        <x:v>0a7c904451d48d17e0a5cbbb1432a48af38d871660239ebffaf162b51598bb4a</x:v>
      </x:c>
      <x:c r="S2686" t="n">
        <x:v>7</x:v>
      </x:c>
      <x:c r="T2686" t="str">
        <x:v>2018-12-31|2019-12-31|2020-12-31|2021-12-31|2022-12-31|2023-12-31</x:v>
      </x:c>
      <x:c r="U2686" s="57" t="n">
        <x:v>148920.85850352462</x:v>
      </x:c>
      <x:c r="V2686" s="57" t="n">
        <x:v>0.44163464185406215</x:v>
      </x:c>
      <x:c r="W2686" t="n">
        <x:v>19</x:v>
      </x:c>
      <x:c r="X2686" t="n">
        <x:v>2</x:v>
      </x:c>
      <x:c r="Y2686" s="38" t="n">
        <x:v>0.6409090909090909</x:v>
      </x:c>
      <x:c r="Z2686" s="38" t="n">
        <x:v>0.7118873154840263</x:v>
      </x:c>
      <x:c r="AA2686"/>
    </x:row>
    <x:row r="2687">
      <x:c r="A2687" s="54" t="n">
        <x:v>45473</x:v>
      </x:c>
      <x:c r="B2687" t="n">
        <x:v>45473.624999988424</x:v>
      </x:c>
      <x:c r="C2687" t="str">
        <x:v>023590</x:v>
      </x:c>
      <x:c r="D2687" t="str">
        <x:v>다우기술</x:v>
      </x:c>
      <x:c r="E2687" t="str">
        <x:v>KOSPI</x:v>
      </x:c>
      <x:c r="F2687" t="str">
        <x:v>LARGE</x:v>
      </x:c>
      <x:c r="G2687" t="str">
        <x:v>ELIGIBLE</x:v>
      </x:c>
      <x:c r="H2687"/>
      <x:c r="I2687" s="54" t="n">
        <x:v>45471</x:v>
      </x:c>
      <x:c r="J2687" s="55" t="n">
        <x:v>18900</x:v>
      </x:c>
      <x:c r="K2687" s="55" t="n">
        <x:v>847979061300</x:v>
      </x:c>
      <x:c r="L2687" s="55" t="n">
        <x:v>44866617</x:v>
      </x:c>
      <x:c r="M2687" t="str">
        <x:v>20240320001719</x:v>
      </x:c>
      <x:c r="N2687" t="n">
        <x:v>45371.624999988424</x:v>
      </x:c>
      <x:c r="O2687" s="54" t="n">
        <x:v>45291</x:v>
      </x:c>
      <x:c r="P2687" t="str">
        <x:v>False</x:v>
      </x:c>
      <x:c r="Q2687" t="str">
        <x:v>7794020640f841938df6de0ab2cc083ffa7af19e3b8e73ccb0b21ec4189c4cdc</x:v>
      </x:c>
      <x:c r="R2687" t="str">
        <x:v>8d8def05dbb4edc06fae723db1c51a21604287b327a228b7d5b89af822e337b7</x:v>
      </x:c>
      <x:c r="S2687" t="n">
        <x:v>7</x:v>
      </x:c>
      <x:c r="T2687" t="str">
        <x:v>2015-12-31|2016-12-31|2017-12-31|2018-12-31|2019-12-31|2020-12-31|2021-12-31|2022-12-31|2023-12-31</x:v>
      </x:c>
      <x:c r="U2687" s="57" t="n">
        <x:v>499115.9136980873</x:v>
      </x:c>
      <x:c r="V2687" s="57" t="n">
        <x:v>25.4082494020152</x:v>
      </x:c>
      <x:c r="W2687" t="n">
        <x:v>1</x:v>
      </x:c>
      <x:c r="X2687" t="n">
        <x:v>1</x:v>
      </x:c>
      <x:c r="Y2687" s="38" t="n">
        <x:v>0.6409090909090909</x:v>
      </x:c>
      <x:c r="Z2687" s="38" t="n">
        <x:v>0.797836132376199</x:v>
      </x:c>
      <x:c r="AA2687"/>
    </x:row>
    <x:row r="2688">
      <x:c r="A2688" s="54" t="n">
        <x:v>45473</x:v>
      </x:c>
      <x:c r="B2688" t="n">
        <x:v>45473.624999988424</x:v>
      </x:c>
      <x:c r="C2688" t="str">
        <x:v>300720</x:v>
      </x:c>
      <x:c r="D2688" t="str">
        <x:v>한일시멘트</x:v>
      </x:c>
      <x:c r="E2688" t="str">
        <x:v>KOSPI</x:v>
      </x:c>
      <x:c r="F2688" t="str">
        <x:v>LARGE</x:v>
      </x:c>
      <x:c r="G2688" t="str">
        <x:v>ELIGIBLE</x:v>
      </x:c>
      <x:c r="H2688"/>
      <x:c r="I2688" s="54" t="n">
        <x:v>45471</x:v>
      </x:c>
      <x:c r="J2688" s="55" t="n">
        <x:v>13400</x:v>
      </x:c>
      <x:c r="K2688" s="55" t="n">
        <x:v>928104636000</x:v>
      </x:c>
      <x:c r="L2688" s="55" t="n">
        <x:v>69261540</x:v>
      </x:c>
      <x:c r="M2688" t="str">
        <x:v>20240320001711</x:v>
      </x:c>
      <x:c r="N2688" t="n">
        <x:v>45371.624999988424</x:v>
      </x:c>
      <x:c r="O2688" s="54" t="n">
        <x:v>45291</x:v>
      </x:c>
      <x:c r="P2688" t="str">
        <x:v>False</x:v>
      </x:c>
      <x:c r="Q2688" t="str">
        <x:v>efeb156f499068f934e7f6adc03553c51257bed2c8134fb026ce3ee629479a7f</x:v>
      </x:c>
      <x:c r="R2688" t="str">
        <x:v>069d8b2ae8d57e8a16050e57f9e1d4a09dfea2f176312162cf3af0431f66ce8e</x:v>
      </x:c>
      <x:c r="S2688" t="n">
        <x:v>6</x:v>
      </x:c>
      <x:c r="T2688" t="str">
        <x:v>2019-12-31|2020-12-31|2021-12-31|2022-12-31|2023-12-31</x:v>
      </x:c>
      <x:c r="U2688" s="57" t="n">
        <x:v>29988.40651458377</x:v>
      </x:c>
      <x:c r="V2688" s="57" t="n">
        <x:v>1.2379407846704304</x:v>
      </x:c>
      <x:c r="W2688" t="n">
        <x:v>12</x:v>
      </x:c>
      <x:c r="X2688" t="n">
        <x:v>1</x:v>
      </x:c>
      <x:c r="Y2688" s="38" t="n">
        <x:v>0.6409090909090909</x:v>
      </x:c>
      <x:c r="Z2688" s="38" t="n">
        <x:v>0.6613647926762065</x:v>
      </x:c>
      <x:c r="AA2688"/>
    </x:row>
    <x:row r="2689">
      <x:c r="A2689" s="54" t="n">
        <x:v>45473</x:v>
      </x:c>
      <x:c r="B2689" t="n">
        <x:v>45473.624999988424</x:v>
      </x:c>
      <x:c r="C2689" t="str">
        <x:v>007070</x:v>
      </x:c>
      <x:c r="D2689" t="str">
        <x:v>GS리테일</x:v>
      </x:c>
      <x:c r="E2689" t="str">
        <x:v>KOSPI</x:v>
      </x:c>
      <x:c r="F2689" t="str">
        <x:v>LARGE</x:v>
      </x:c>
      <x:c r="G2689" t="str">
        <x:v>ELIGIBLE</x:v>
      </x:c>
      <x:c r="H2689"/>
      <x:c r="I2689" s="54" t="n">
        <x:v>45471</x:v>
      </x:c>
      <x:c r="J2689" s="55" t="n">
        <x:v>20850</x:v>
      </x:c>
      <x:c r="K2689" s="55" t="n">
        <x:v>2183368673700</x:v>
      </x:c>
      <x:c r="L2689" s="55" t="n">
        <x:v>104717922</x:v>
      </x:c>
      <x:c r="M2689" t="str">
        <x:v>20240401004251</x:v>
      </x:c>
      <x:c r="N2689" t="n">
        <x:v>45383.624999988424</x:v>
      </x:c>
      <x:c r="O2689" s="54" t="n">
        <x:v>45291</x:v>
      </x:c>
      <x:c r="P2689" t="str">
        <x:v>True</x:v>
      </x:c>
      <x:c r="Q2689" t="str">
        <x:v>fea5f6d0ab27d8e52c122295c154205a5466e77cb66aeba6d640890b4d11c68e</x:v>
      </x:c>
      <x:c r="R2689" t="str">
        <x:v>c60512e504f5a67f685973e3003206aef9fd7ed8c15445f0aefa6202f70936bf</x:v>
      </x:c>
      <x:c r="S2689" t="n">
        <x:v>7</x:v>
      </x:c>
      <x:c r="T2689" t="str">
        <x:v>2018-12-31|2019-12-31|2020-12-31|2021-12-31|2022-12-31|2023-12-31</x:v>
      </x:c>
      <x:c r="U2689" s="57" t="n">
        <x:v>5672.259130661726</x:v>
      </x:c>
      <x:c r="V2689" s="57" t="n">
        <x:v>-0.7279492023663441</x:v>
      </x:c>
      <x:c r="W2689" t="n">
        <x:v>54</x:v>
      </x:c>
      <x:c r="X2689" t="n">
        <x:v>4</x:v>
      </x:c>
      <x:c r="Y2689" s="38" t="n">
        <x:v>0.6409090909090909</x:v>
      </x:c>
      <x:c r="Z2689" s="38" t="n">
        <x:v>0.6853688907017809</x:v>
      </x:c>
      <x:c r="AA2689"/>
    </x:row>
    <x:row r="2690">
      <x:c r="A2690" s="54" t="n">
        <x:v>45473</x:v>
      </x:c>
      <x:c r="B2690" t="n">
        <x:v>45473.624999988424</x:v>
      </x:c>
      <x:c r="C2690" t="str">
        <x:v>280360</x:v>
      </x:c>
      <x:c r="D2690" t="str">
        <x:v>롯데웰푸드</x:v>
      </x:c>
      <x:c r="E2690" t="str">
        <x:v>KOSPI</x:v>
      </x:c>
      <x:c r="F2690" t="str">
        <x:v>LARGE</x:v>
      </x:c>
      <x:c r="G2690" t="str">
        <x:v>DCF_SCREENING_EXCLUSION</x:v>
      </x:c>
      <x:c r="H2690" t="str">
        <x:v>NON_POSITIVE_ENTERPRISE_VALUE|NON_POSITIVE_EQUITY_VALUE|NON_POSITIVE_TERMINAL_FCF</x:v>
      </x:c>
      <x:c r="I2690" s="54" t="n">
        <x:v>45471</x:v>
      </x:c>
      <x:c r="J2690" s="55" t="n">
        <x:v>183400</x:v>
      </x:c>
      <x:c r="K2690" s="55" t="n">
        <x:v>1730300871600</x:v>
      </x:c>
      <x:c r="L2690" s="55" t="n">
        <x:v>9434574</x:v>
      </x:c>
      <x:c r="M2690" t="str">
        <x:v>20240322000503</x:v>
      </x:c>
      <x:c r="N2690" t="n">
        <x:v>45373.624999988424</x:v>
      </x:c>
      <x:c r="O2690" s="54" t="n">
        <x:v>45291</x:v>
      </x:c>
      <x:c r="P2690" t="str">
        <x:v>True</x:v>
      </x:c>
      <x:c r="Q2690" t="str">
        <x:v>d5e8d1b97bc8df8fa4512c5438099b631380c1de7f7030abf5754dd3643e0535</x:v>
      </x:c>
      <x:c r="R2690" t="str">
        <x:v>e56de214d4b32594cdefd0605ff9fdca6712d818b7d17816429b21ba27086a3b</x:v>
      </x:c>
      <x:c r="S2690" t="n">
        <x:v>7</x:v>
      </x:c>
      <x:c r="T2690" t="str">
        <x:v>2018-12-31|2019-12-31|2020-12-31|2021-12-31|2022-12-31|2023-12-31</x:v>
      </x:c>
      <x:c r="U2690" s="57" t="n">
        <x:v>-13896.654975482745</x:v>
      </x:c>
      <x:c r="V2690" s="57" t="n">
        <x:v>-1.07577238263622</x:v>
      </x:c>
      <x:c r="W2690"/>
      <x:c r="X2690"/>
      <x:c r="Y2690" s="38" t="n">
        <x:v>0.6409090909090909</x:v>
      </x:c>
      <x:c r="Z2690" s="38" t="n">
        <x:v>0.3321805813890434</x:v>
      </x:c>
      <x:c r="AA2690" t="str">
        <x:v>NON_POSITIVE_ENTERPRISE_VALUE|NON_POSITIVE_EQUITY_VALUE|NON_POSITIVE_TERMINAL_FCF</x:v>
      </x:c>
    </x:row>
    <x:row r="2691">
      <x:c r="A2691" s="54" t="n">
        <x:v>45473</x:v>
      </x:c>
      <x:c r="B2691" t="n">
        <x:v>45473.624999988424</x:v>
      </x:c>
      <x:c r="C2691" t="str">
        <x:v>039130</x:v>
      </x:c>
      <x:c r="D2691" t="str">
        <x:v>하나투어</x:v>
      </x:c>
      <x:c r="E2691" t="str">
        <x:v>KOSPI</x:v>
      </x:c>
      <x:c r="F2691" t="str">
        <x:v>LARGE</x:v>
      </x:c>
      <x:c r="G2691" t="str">
        <x:v>DCF_SCREENING_EXCLUSION</x:v>
      </x:c>
      <x:c r="H2691" t="str">
        <x:v>NON_POSITIVE_ENTERPRISE_VALUE|NON_POSITIVE_EQUITY_VALUE|NON_POSITIVE_TERMINAL_FCF|UNRELIABLE_TERMINAL_VALUE_SHARE</x:v>
      </x:c>
      <x:c r="I2691" s="54" t="n">
        <x:v>45471</x:v>
      </x:c>
      <x:c r="J2691" s="55" t="n">
        <x:v>58500</x:v>
      </x:c>
      <x:c r="K2691" s="55" t="n">
        <x:v>938292322500</x:v>
      </x:c>
      <x:c r="L2691" s="55" t="n">
        <x:v>16039185</x:v>
      </x:c>
      <x:c r="M2691" t="str">
        <x:v>20240321001614</x:v>
      </x:c>
      <x:c r="N2691" t="n">
        <x:v>45372.624999988424</x:v>
      </x:c>
      <x:c r="O2691" s="54" t="n">
        <x:v>45291</x:v>
      </x:c>
      <x:c r="P2691" t="str">
        <x:v>False</x:v>
      </x:c>
      <x:c r="Q2691" t="str">
        <x:v>f0c2c55a272091d14bd377d8caf7fb527cb7c384fef945523a89c7b0d0b39f64</x:v>
      </x:c>
      <x:c r="R2691" t="str">
        <x:v>c62286508cd3dc77d0382b786563efc5ed20454c4cf4d924c6dd2df19e1e055a</x:v>
      </x:c>
      <x:c r="S2691" t="n">
        <x:v>5</x:v>
      </x:c>
      <x:c r="T2691" t="str">
        <x:v>2018-12-31|2019-12-31|2020-12-31|2021-12-31|2022-12-31|2023-12-31</x:v>
      </x:c>
      <x:c r="U2691" s="57" t="n">
        <x:v>-33024.08135487313</x:v>
      </x:c>
      <x:c r="V2691" s="57" t="n">
        <x:v>-1.5645142111944126</x:v>
      </x:c>
      <x:c r="W2691"/>
      <x:c r="X2691"/>
      <x:c r="Y2691" s="38" t="n">
        <x:v>0.6409090909090909</x:v>
      </x:c>
      <x:c r="Z2691" s="38" t="n">
        <x:v>0.8961738839877824</x:v>
      </x:c>
      <x:c r="AA2691" t="str">
        <x:v>NON_POSITIVE_ENTERPRISE_VALUE|NON_POSITIVE_EQUITY_VALUE|NON_POSITIVE_TERMINAL_FCF|UNRELIABLE_TERMINAL_VALUE_SHARE</x:v>
      </x:c>
    </x:row>
    <x:row r="2692">
      <x:c r="A2692" s="54" t="n">
        <x:v>45473</x:v>
      </x:c>
      <x:c r="B2692" t="n">
        <x:v>45473.624999988424</x:v>
      </x:c>
      <x:c r="C2692" t="str">
        <x:v>005690</x:v>
      </x:c>
      <x:c r="D2692" t="str">
        <x:v>파미셀</x:v>
      </x:c>
      <x:c r="E2692" t="str">
        <x:v>KOSPI</x:v>
      </x:c>
      <x:c r="F2692" t="str">
        <x:v>LARGE</x:v>
      </x:c>
      <x:c r="G2692" t="str">
        <x:v>DCF_SCREENING_EXCLUSION</x:v>
      </x:c>
      <x:c r="H2692" t="str">
        <x:v>UNRELIABLE_TERMINAL_VALUE_SHARE</x:v>
      </x:c>
      <x:c r="I2692" s="54" t="n">
        <x:v>45471</x:v>
      </x:c>
      <x:c r="J2692" s="55" t="n">
        <x:v>5600</x:v>
      </x:c>
      <x:c r="K2692" s="55" t="n">
        <x:v>336094998400</x:v>
      </x:c>
      <x:c r="L2692" s="55" t="n">
        <x:v>60016964</x:v>
      </x:c>
      <x:c r="M2692" t="str">
        <x:v>20240320001254</x:v>
      </x:c>
      <x:c r="N2692" t="n">
        <x:v>45371.624999988424</x:v>
      </x:c>
      <x:c r="O2692" s="54" t="n">
        <x:v>45291</x:v>
      </x:c>
      <x:c r="P2692" t="str">
        <x:v>False</x:v>
      </x:c>
      <x:c r="Q2692" t="str">
        <x:v>f0839badcfbb3da29d835ed372fece953eb7f29e42063d7caa50114dfb7f481f</x:v>
      </x:c>
      <x:c r="R2692" t="str">
        <x:v>0c4e3b410f04a539b8a2129aa4e552281a487dda7d3fc9ef8b21a508f86db6f8</x:v>
      </x:c>
      <x:c r="S2692" t="n">
        <x:v>6</x:v>
      </x:c>
      <x:c r="T2692" t="str">
        <x:v>2018-12-31|2019-12-31|2020-12-31|2021-12-31|2022-12-31|2023-12-31</x:v>
      </x:c>
      <x:c r="U2692" s="57" t="n">
        <x:v>640.0509380092717</x:v>
      </x:c>
      <x:c r="V2692" s="57" t="n">
        <x:v>-0.8857051896412015</x:v>
      </x:c>
      <x:c r="W2692"/>
      <x:c r="X2692"/>
      <x:c r="Y2692" s="38" t="n">
        <x:v>0.6409090909090909</x:v>
      </x:c>
      <x:c r="Z2692" s="38" t="n">
        <x:v>1.1033716279088626</x:v>
      </x:c>
      <x:c r="AA2692" t="str">
        <x:v>UNRELIABLE_TERMINAL_VALUE_SHARE</x:v>
      </x:c>
    </x:row>
    <x:row r="2693">
      <x:c r="A2693" s="54" t="n">
        <x:v>45473</x:v>
      </x:c>
      <x:c r="B2693" t="n">
        <x:v>45473.624999988424</x:v>
      </x:c>
      <x:c r="C2693" t="str">
        <x:v>002030</x:v>
      </x:c>
      <x:c r="D2693" t="str">
        <x:v>아세아</x:v>
      </x:c>
      <x:c r="E2693" t="str">
        <x:v>KOSPI</x:v>
      </x:c>
      <x:c r="F2693" t="str">
        <x:v>LARGE</x:v>
      </x:c>
      <x:c r="G2693" t="str">
        <x:v>ELIGIBLE</x:v>
      </x:c>
      <x:c r="H2693"/>
      <x:c r="I2693" s="54" t="n">
        <x:v>45471</x:v>
      </x:c>
      <x:c r="J2693" s="55" t="n">
        <x:v>257500</x:v>
      </x:c>
      <x:c r="K2693" s="55" t="n">
        <x:v>544779360000</x:v>
      </x:c>
      <x:c r="L2693" s="55" t="n">
        <x:v>2115648</x:v>
      </x:c>
      <x:c r="M2693" t="str">
        <x:v>20240313001757</x:v>
      </x:c>
      <x:c r="N2693" t="n">
        <x:v>45364.624999988424</x:v>
      </x:c>
      <x:c r="O2693" s="54" t="n">
        <x:v>45291</x:v>
      </x:c>
      <x:c r="P2693" t="str">
        <x:v>False</x:v>
      </x:c>
      <x:c r="Q2693" t="str">
        <x:v>a680d904a9b9d506cad43e9759b24df2b4b20291b41c26df7759b19bcbce1fef</x:v>
      </x:c>
      <x:c r="R2693" t="str">
        <x:v>4f17ce090378c0538c7d299dc843941d9d3a128bc9867e044058fa92c4eadcd4</x:v>
      </x:c>
      <x:c r="S2693" t="n">
        <x:v>6</x:v>
      </x:c>
      <x:c r="T2693" t="str">
        <x:v>2018-12-31|2019-12-31|2020-12-31|2021-12-31|2022-12-31|2023-12-31</x:v>
      </x:c>
      <x:c r="U2693" s="57" t="n">
        <x:v>842347.758469561</x:v>
      </x:c>
      <x:c r="V2693" s="57" t="n">
        <x:v>2.2712534309497516</x:v>
      </x:c>
      <x:c r="W2693" t="n">
        <x:v>7</x:v>
      </x:c>
      <x:c r="X2693" t="n">
        <x:v>1</x:v>
      </x:c>
      <x:c r="Y2693" s="38" t="n">
        <x:v>0.6409090909090909</x:v>
      </x:c>
      <x:c r="Z2693" s="38" t="n">
        <x:v>0.7000897107068127</x:v>
      </x:c>
      <x:c r="AA2693"/>
    </x:row>
    <x:row r="2694">
      <x:c r="A2694" s="54" t="n">
        <x:v>45473</x:v>
      </x:c>
      <x:c r="B2694" t="n">
        <x:v>45473.624999988424</x:v>
      </x:c>
      <x:c r="C2694" t="str">
        <x:v>009410</x:v>
      </x:c>
      <x:c r="D2694" t="str">
        <x:v>태영건설</x:v>
      </x:c>
      <x:c r="E2694" t="str">
        <x:v>KOSPI</x:v>
      </x:c>
      <x:c r="F2694" t="str">
        <x:v>LARGE</x:v>
      </x:c>
      <x:c r="G2694" t="str">
        <x:v>DCF_SCREENING_EXCLUSION</x:v>
      </x:c>
      <x:c r="H2694" t="str">
        <x:v>NON_POSITIVE_EQUITY_VALUE|UNRELIABLE_TERMINAL_VALUE_SHARE</x:v>
      </x:c>
      <x:c r="I2694" s="54" t="n">
        <x:v>45471</x:v>
      </x:c>
      <x:c r="J2694" s="55" t="n">
        <x:v>2310</x:v>
      </x:c>
      <x:c r="K2694" s="55" t="n">
        <x:v>89856916380</x:v>
      </x:c>
      <x:c r="L2694" s="55" t="n">
        <x:v>38899098</x:v>
      </x:c>
      <x:c r="M2694" t="str">
        <x:v>20240320001781</x:v>
      </x:c>
      <x:c r="N2694" t="n">
        <x:v>45371.624999988424</x:v>
      </x:c>
      <x:c r="O2694" s="54" t="n">
        <x:v>45291</x:v>
      </x:c>
      <x:c r="P2694" t="str">
        <x:v>False</x:v>
      </x:c>
      <x:c r="Q2694" t="str">
        <x:v>e3acec91cecb30a182d6df8b31c1746ffac398a513f7484fa6dcf20a62d4df60</x:v>
      </x:c>
      <x:c r="R2694" t="str">
        <x:v>276a116a2623d4add156721ad5f802d3c379756420f128282eca0ff898dae053</x:v>
      </x:c>
      <x:c r="S2694" t="n">
        <x:v>7</x:v>
      </x:c>
      <x:c r="T2694" t="str">
        <x:v>2018-12-31|2019-12-31|2020-12-31|2021-12-31|2022-12-31|2023-12-31</x:v>
      </x:c>
      <x:c r="U2694" s="57" t="n">
        <x:v>-28104.399790154337</x:v>
      </x:c>
      <x:c r="V2694" s="57" t="n">
        <x:v>-13.166406835564649</x:v>
      </x:c>
      <x:c r="W2694"/>
      <x:c r="X2694"/>
      <x:c r="Y2694" s="38" t="n">
        <x:v>0.6409090909090909</x:v>
      </x:c>
      <x:c r="Z2694" s="38" t="n">
        <x:v>0.9430332039167455</x:v>
      </x:c>
      <x:c r="AA2694" t="str">
        <x:v>NON_POSITIVE_EQUITY_VALUE|UNRELIABLE_TERMINAL_VALUE_SHARE</x:v>
      </x:c>
    </x:row>
    <x:row r="2695">
      <x:c r="A2695" s="54" t="n">
        <x:v>45473</x:v>
      </x:c>
      <x:c r="B2695" t="n">
        <x:v>45473.624999988424</x:v>
      </x:c>
      <x:c r="C2695" t="str">
        <x:v>010780</x:v>
      </x:c>
      <x:c r="D2695" t="str">
        <x:v>아이에스동서</x:v>
      </x:c>
      <x:c r="E2695" t="str">
        <x:v>KOSPI</x:v>
      </x:c>
      <x:c r="F2695" t="str">
        <x:v>LARGE</x:v>
      </x:c>
      <x:c r="G2695" t="str">
        <x:v>ELIGIBLE</x:v>
      </x:c>
      <x:c r="H2695"/>
      <x:c r="I2695" s="54" t="n">
        <x:v>45471</x:v>
      </x:c>
      <x:c r="J2695" s="55" t="n">
        <x:v>24950</x:v>
      </x:c>
      <x:c r="K2695" s="55" t="n">
        <x:v>753165051200</x:v>
      </x:c>
      <x:c r="L2695" s="55" t="n">
        <x:v>30186976</x:v>
      </x:c>
      <x:c r="M2695" t="str">
        <x:v>20240321001950</x:v>
      </x:c>
      <x:c r="N2695" t="n">
        <x:v>45372.624999988424</x:v>
      </x:c>
      <x:c r="O2695" s="54" t="n">
        <x:v>45291</x:v>
      </x:c>
      <x:c r="P2695" t="str">
        <x:v>False</x:v>
      </x:c>
      <x:c r="Q2695" t="str">
        <x:v>fbea4927e5b6cb734c186be848c447c8eefa8c7f06ba5c3cebd66f496b1378b9</x:v>
      </x:c>
      <x:c r="R2695" t="str">
        <x:v>8b112f82f6db1542c1f3c393bdc93a6a8f0d0c88670321d84b28ced0f894d285</x:v>
      </x:c>
      <x:c r="S2695" t="n">
        <x:v>7</x:v>
      </x:c>
      <x:c r="T2695" t="str">
        <x:v>2018-12-31|2019-12-31|2020-12-31|2021-12-31|2022-12-31|2023-12-31</x:v>
      </x:c>
      <x:c r="U2695" s="57" t="n">
        <x:v>100474.68258026625</x:v>
      </x:c>
      <x:c r="V2695" s="57" t="n">
        <x:v>3.0270413859826153</x:v>
      </x:c>
      <x:c r="W2695" t="n">
        <x:v>5</x:v>
      </x:c>
      <x:c r="X2695" t="n">
        <x:v>1</x:v>
      </x:c>
      <x:c r="Y2695" s="38" t="n">
        <x:v>0.6409090909090909</x:v>
      </x:c>
      <x:c r="Z2695" s="38" t="n">
        <x:v>0.7562607547073226</x:v>
      </x:c>
      <x:c r="AA2695"/>
    </x:row>
    <x:row r="2696">
      <x:c r="A2696" s="54" t="n">
        <x:v>45473</x:v>
      </x:c>
      <x:c r="B2696" t="n">
        <x:v>45473.624999988424</x:v>
      </x:c>
      <x:c r="C2696" t="str">
        <x:v>453340</x:v>
      </x:c>
      <x:c r="D2696" t="str">
        <x:v>현대그린푸드</x:v>
      </x:c>
      <x:c r="E2696" t="str">
        <x:v>KOSPI</x:v>
      </x:c>
      <x:c r="F2696" t="str">
        <x:v>LARGE</x:v>
      </x:c>
      <x:c r="G2696" t="str">
        <x:v>NO_PIT_FINANCIALS</x:v>
      </x:c>
      <x:c r="H2696"/>
      <x:c r="I2696" s="54" t="n">
        <x:v>45471</x:v>
      </x:c>
      <x:c r="J2696" s="55" t="n">
        <x:v>12340</x:v>
      </x:c>
      <x:c r="K2696" s="55" t="n">
        <x:v>418090478760</x:v>
      </x:c>
      <x:c r="L2696" s="55" t="n">
        <x:v>33880914</x:v>
      </x:c>
      <x:c r="M2696"/>
      <x:c r="N2696"/>
      <x:c r="O2696" s="54"/>
      <x:c r="P2696"/>
      <x:c r="Q2696"/>
      <x:c r="R2696"/>
      <x:c r="S2696"/>
      <x:c r="T2696"/>
      <x:c r="U2696" s="57"/>
      <x:c r="V2696" s="57"/>
      <x:c r="W2696"/>
      <x:c r="X2696"/>
      <x:c r="Y2696" s="38"/>
      <x:c r="Z2696" s="38"/>
      <x:c r="AA2696"/>
    </x:row>
    <x:row r="2697">
      <x:c r="A2697" s="54" t="n">
        <x:v>45473</x:v>
      </x:c>
      <x:c r="B2697" t="n">
        <x:v>45473.624999988424</x:v>
      </x:c>
      <x:c r="C2697" t="str">
        <x:v>006220</x:v>
      </x:c>
      <x:c r="D2697" t="str">
        <x:v>제주은행</x:v>
      </x:c>
      <x:c r="E2697" t="str">
        <x:v>KOSPI</x:v>
      </x:c>
      <x:c r="F2697" t="str">
        <x:v>LARGE</x:v>
      </x:c>
      <x:c r="G2697" t="str">
        <x:v>EXCLUDED_ARCHETYPE</x:v>
      </x:c>
      <x:c r="H2697" t="str">
        <x:v>FCFF_NOT_COMPARABLE_FOR_FINANCE_OR_HOLDING_HINT</x:v>
      </x:c>
      <x:c r="I2697" s="54"/>
      <x:c r="J2697" s="55"/>
      <x:c r="K2697" s="55"/>
      <x:c r="L2697" s="55"/>
      <x:c r="M2697"/>
      <x:c r="N2697"/>
      <x:c r="O2697" s="54"/>
      <x:c r="P2697"/>
      <x:c r="Q2697"/>
      <x:c r="R2697"/>
      <x:c r="S2697"/>
      <x:c r="T2697"/>
      <x:c r="U2697" s="57"/>
      <x:c r="V2697" s="57"/>
      <x:c r="W2697"/>
      <x:c r="X2697"/>
      <x:c r="Y2697" s="38"/>
      <x:c r="Z2697" s="38"/>
      <x:c r="AA2697"/>
    </x:row>
    <x:row r="2698">
      <x:c r="A2698" s="54" t="n">
        <x:v>45473</x:v>
      </x:c>
      <x:c r="B2698" t="n">
        <x:v>45473.624999988424</x:v>
      </x:c>
      <x:c r="C2698" t="str">
        <x:v>094800</x:v>
      </x:c>
      <x:c r="D2698" t="str">
        <x:v>맵스리얼티1</x:v>
      </x:c>
      <x:c r="E2698" t="str">
        <x:v>KOSPI</x:v>
      </x:c>
      <x:c r="F2698" t="str">
        <x:v>LARGE</x:v>
      </x:c>
      <x:c r="G2698" t="str">
        <x:v>NO_PIT_FINANCIALS</x:v>
      </x:c>
      <x:c r="H2698"/>
      <x:c r="I2698" s="54" t="n">
        <x:v>45471</x:v>
      </x:c>
      <x:c r="J2698" s="55" t="n">
        <x:v>4185</x:v>
      </x:c>
      <x:c r="K2698" s="55" t="n">
        <x:v>388511675235</x:v>
      </x:c>
      <x:c r="L2698" s="55" t="n">
        <x:v>92834331</x:v>
      </x:c>
      <x:c r="M2698"/>
      <x:c r="N2698"/>
      <x:c r="O2698" s="54"/>
      <x:c r="P2698"/>
      <x:c r="Q2698"/>
      <x:c r="R2698"/>
      <x:c r="S2698"/>
      <x:c r="T2698"/>
      <x:c r="U2698" s="57"/>
      <x:c r="V2698" s="57"/>
      <x:c r="W2698"/>
      <x:c r="X2698"/>
      <x:c r="Y2698" s="38"/>
      <x:c r="Z2698" s="38"/>
      <x:c r="AA2698"/>
    </x:row>
    <x:row r="2699">
      <x:c r="A2699" s="54" t="n">
        <x:v>45473</x:v>
      </x:c>
      <x:c r="B2699" t="n">
        <x:v>45473.624999988424</x:v>
      </x:c>
      <x:c r="C2699" t="str">
        <x:v>003160</x:v>
      </x:c>
      <x:c r="D2699" t="str">
        <x:v>디아이</x:v>
      </x:c>
      <x:c r="E2699" t="str">
        <x:v>KOSPI</x:v>
      </x:c>
      <x:c r="F2699" t="str">
        <x:v>LARGE</x:v>
      </x:c>
      <x:c r="G2699" t="str">
        <x:v>DCF_SCREENING_EXCLUSION</x:v>
      </x:c>
      <x:c r="H2699" t="str">
        <x:v>UNRELIABLE_TERMINAL_VALUE_SHARE</x:v>
      </x:c>
      <x:c r="I2699" s="54" t="n">
        <x:v>45471</x:v>
      </x:c>
      <x:c r="J2699" s="55" t="n">
        <x:v>26600</x:v>
      </x:c>
      <x:c r="K2699" s="55" t="n">
        <x:v>752780000000</x:v>
      </x:c>
      <x:c r="L2699" s="55" t="n">
        <x:v>28300000</x:v>
      </x:c>
      <x:c r="M2699" t="str">
        <x:v>20240314001500</x:v>
      </x:c>
      <x:c r="N2699" t="n">
        <x:v>45365.624999988424</x:v>
      </x:c>
      <x:c r="O2699" s="54" t="n">
        <x:v>45291</x:v>
      </x:c>
      <x:c r="P2699" t="str">
        <x:v>False</x:v>
      </x:c>
      <x:c r="Q2699" t="str">
        <x:v>dac2e3ac15f544bbda785aa8eb802639cd592ddc9e7a28cdec0dd3b4739c8a6b</x:v>
      </x:c>
      <x:c r="R2699" t="str">
        <x:v>db36b92c2651e031285906040eb2a80ad276d6f76bc0778f25411e230780a42c</x:v>
      </x:c>
      <x:c r="S2699" t="n">
        <x:v>6</x:v>
      </x:c>
      <x:c r="T2699" t="str">
        <x:v>2013-12-31|2014-12-31|2015-12-31|2016-12-31|2017-12-31|2018-12-31|2019-12-31|2020-12-31|2021-12-31|2022-12-31|2023-12-31</x:v>
      </x:c>
      <x:c r="U2699" s="57" t="n">
        <x:v>1722.8460865310212</x:v>
      </x:c>
      <x:c r="V2699" s="57" t="n">
        <x:v>-0.9352313501304127</x:v>
      </x:c>
      <x:c r="W2699"/>
      <x:c r="X2699"/>
      <x:c r="Y2699" s="38" t="n">
        <x:v>0.6409090909090909</x:v>
      </x:c>
      <x:c r="Z2699" s="38" t="n">
        <x:v>1.0528919898805427</x:v>
      </x:c>
      <x:c r="AA2699" t="str">
        <x:v>UNRELIABLE_TERMINAL_VALUE_SHARE</x:v>
      </x:c>
    </x:row>
    <x:row r="2700">
      <x:c r="A2700" s="54" t="n">
        <x:v>45473</x:v>
      </x:c>
      <x:c r="B2700" t="n">
        <x:v>45473.624999988424</x:v>
      </x:c>
      <x:c r="C2700" t="str">
        <x:v>001940</x:v>
      </x:c>
      <x:c r="D2700" t="str">
        <x:v>KISCO홀딩스</x:v>
      </x:c>
      <x:c r="E2700" t="str">
        <x:v>KOSPI</x:v>
      </x:c>
      <x:c r="F2700" t="str">
        <x:v>LARGE</x:v>
      </x:c>
      <x:c r="G2700" t="str">
        <x:v>EXCLUDED_ARCHETYPE</x:v>
      </x:c>
      <x:c r="H2700" t="str">
        <x:v>FCFF_NOT_COMPARABLE_FOR_FINANCE_OR_HOLDING_HINT</x:v>
      </x:c>
      <x:c r="I2700" s="54"/>
      <x:c r="J2700" s="55"/>
      <x:c r="K2700" s="55"/>
      <x:c r="L2700" s="55"/>
      <x:c r="M2700"/>
      <x:c r="N2700"/>
      <x:c r="O2700" s="54"/>
      <x:c r="P2700"/>
      <x:c r="Q2700"/>
      <x:c r="R2700"/>
      <x:c r="S2700"/>
      <x:c r="T2700"/>
      <x:c r="U2700" s="57"/>
      <x:c r="V2700" s="57"/>
      <x:c r="W2700"/>
      <x:c r="X2700"/>
      <x:c r="Y2700" s="38"/>
      <x:c r="Z2700" s="38"/>
      <x:c r="AA2700"/>
    </x:row>
    <x:row r="2701">
      <x:c r="A2701" s="54" t="n">
        <x:v>45473</x:v>
      </x:c>
      <x:c r="B2701" t="n">
        <x:v>45473.624999988424</x:v>
      </x:c>
      <x:c r="C2701" t="str">
        <x:v>009290</x:v>
      </x:c>
      <x:c r="D2701" t="str">
        <x:v>광동제약</x:v>
      </x:c>
      <x:c r="E2701" t="str">
        <x:v>KOSPI</x:v>
      </x:c>
      <x:c r="F2701" t="str">
        <x:v>LARGE</x:v>
      </x:c>
      <x:c r="G2701" t="str">
        <x:v>ELIGIBLE</x:v>
      </x:c>
      <x:c r="H2701"/>
      <x:c r="I2701" s="54" t="n">
        <x:v>45471</x:v>
      </x:c>
      <x:c r="J2701" s="55" t="n">
        <x:v>6440</x:v>
      </x:c>
      <x:c r="K2701" s="55" t="n">
        <x:v>337590280440</x:v>
      </x:c>
      <x:c r="L2701" s="55" t="n">
        <x:v>52420851</x:v>
      </x:c>
      <x:c r="M2701" t="str">
        <x:v>20240322001015</x:v>
      </x:c>
      <x:c r="N2701" t="n">
        <x:v>45373.624999988424</x:v>
      </x:c>
      <x:c r="O2701" s="54" t="n">
        <x:v>45291</x:v>
      </x:c>
      <x:c r="P2701" t="str">
        <x:v>True</x:v>
      </x:c>
      <x:c r="Q2701" t="str">
        <x:v>87b75add28c49abcf3770810120379fb304a6fd40cb56b9b7895bce718024b62</x:v>
      </x:c>
      <x:c r="R2701" t="str">
        <x:v>37698f7b518c5d2f77a2dc63dda3f15fbe7f6a11f5b09e52f0501e56895fcc80</x:v>
      </x:c>
      <x:c r="S2701" t="n">
        <x:v>5</x:v>
      </x:c>
      <x:c r="T2701" t="str">
        <x:v>2018-12-31|2019-12-31|2020-12-31|2021-12-31|2022-12-31|2023-12-31</x:v>
      </x:c>
      <x:c r="U2701" s="57" t="n">
        <x:v>7580.073710058031</x:v>
      </x:c>
      <x:c r="V2701" s="57" t="n">
        <x:v>0.17703007920155753</x:v>
      </x:c>
      <x:c r="W2701" t="n">
        <x:v>23</x:v>
      </x:c>
      <x:c r="X2701" t="n">
        <x:v>2</x:v>
      </x:c>
      <x:c r="Y2701" s="38" t="n">
        <x:v>0.6409090909090909</x:v>
      </x:c>
      <x:c r="Z2701" s="38" t="n">
        <x:v>0.7674803896685938</x:v>
      </x:c>
      <x:c r="AA2701"/>
    </x:row>
    <x:row r="2702">
      <x:c r="A2702" s="54" t="n">
        <x:v>45565</x:v>
      </x:c>
      <x:c r="B2702" t="n">
        <x:v>45565.624999988424</x:v>
      </x:c>
      <x:c r="C2702" t="str">
        <x:v>168330</x:v>
      </x:c>
      <x:c r="D2702" t="str">
        <x:v>내츄럴엔도텍</x:v>
      </x:c>
      <x:c r="E2702" t="str">
        <x:v>KOSDAQ</x:v>
      </x:c>
      <x:c r="F2702" t="str">
        <x:v>SMALL</x:v>
      </x:c>
      <x:c r="G2702" t="str">
        <x:v>DCF_SCREENING_EXCLUSION</x:v>
      </x:c>
      <x:c r="H2702" t="str">
        <x:v>NON_POSITIVE_ENTERPRISE_VALUE|NON_POSITIVE_EQUITY_VALUE|NON_POSITIVE_TERMINAL_FCF</x:v>
      </x:c>
      <x:c r="I2702" s="54" t="n">
        <x:v>45565</x:v>
      </x:c>
      <x:c r="J2702" s="55" t="n">
        <x:v>1681</x:v>
      </x:c>
      <x:c r="K2702" s="55" t="n">
        <x:v>53379986900</x:v>
      </x:c>
      <x:c r="L2702" s="55" t="n">
        <x:v>31754900</x:v>
      </x:c>
      <x:c r="M2702" t="str">
        <x:v>20240318000599</x:v>
      </x:c>
      <x:c r="N2702" t="n">
        <x:v>45369.624999988424</x:v>
      </x:c>
      <x:c r="O2702" s="54" t="n">
        <x:v>45291</x:v>
      </x:c>
      <x:c r="P2702" t="str">
        <x:v>False</x:v>
      </x:c>
      <x:c r="Q2702" t="str">
        <x:v>4fa251164b0aacb3fc138a27a33d305fc7a3e3df064752a5be6864a931f6f06a</x:v>
      </x:c>
      <x:c r="R2702" t="str">
        <x:v>3d056916cdae476728a9ccbad0ec65ac80571ddbe3975d4bfa67d228e765d90f</x:v>
      </x:c>
      <x:c r="S2702" t="n">
        <x:v>6</x:v>
      </x:c>
      <x:c r="T2702" t="str">
        <x:v>2018-12-31|2019-12-31|2020-12-31|2021-12-31|2022-12-31|2023-12-31</x:v>
      </x:c>
      <x:c r="U2702" s="57" t="n">
        <x:v>-1387.4112702245939</x:v>
      </x:c>
      <x:c r="V2702" s="57" t="n">
        <x:v>-1.825348762774892</x:v>
      </x:c>
      <x:c r="W2702"/>
      <x:c r="X2702"/>
      <x:c r="Y2702" s="38" t="n">
        <x:v>0.6409090909090909</x:v>
      </x:c>
      <x:c r="Z2702" s="38" t="n">
        <x:v>0.6259064640355957</x:v>
      </x:c>
      <x:c r="AA2702" t="str">
        <x:v>NON_POSITIVE_ENTERPRISE_VALUE|NON_POSITIVE_EQUITY_VALUE|NON_POSITIVE_TERMINAL_FCF</x:v>
      </x:c>
    </x:row>
    <x:row r="2703">
      <x:c r="A2703" s="54" t="n">
        <x:v>45565</x:v>
      </x:c>
      <x:c r="B2703" t="n">
        <x:v>45565.624999988424</x:v>
      </x:c>
      <x:c r="C2703" t="str">
        <x:v>120240</x:v>
      </x:c>
      <x:c r="D2703" t="str">
        <x:v>대정화금</x:v>
      </x:c>
      <x:c r="E2703" t="str">
        <x:v>KOSDAQ</x:v>
      </x:c>
      <x:c r="F2703" t="str">
        <x:v>SMALL</x:v>
      </x:c>
      <x:c r="G2703" t="str">
        <x:v>ELIGIBLE</x:v>
      </x:c>
      <x:c r="H2703"/>
      <x:c r="I2703" s="54" t="n">
        <x:v>45565</x:v>
      </x:c>
      <x:c r="J2703" s="55" t="n">
        <x:v>14680</x:v>
      </x:c>
      <x:c r="K2703" s="55" t="n">
        <x:v>105554939880</x:v>
      </x:c>
      <x:c r="L2703" s="55" t="n">
        <x:v>7190391</x:v>
      </x:c>
      <x:c r="M2703" t="str">
        <x:v>20240318000183</x:v>
      </x:c>
      <x:c r="N2703" t="n">
        <x:v>45369.624999988424</x:v>
      </x:c>
      <x:c r="O2703" s="54" t="n">
        <x:v>45291</x:v>
      </x:c>
      <x:c r="P2703" t="str">
        <x:v>False</x:v>
      </x:c>
      <x:c r="Q2703" t="str">
        <x:v>ee9061ecc2184f5ffa9cafeb8d547bb939e07dc322d5305bb23d27935b0654ee</x:v>
      </x:c>
      <x:c r="R2703" t="str">
        <x:v>bdfaca464dabd525f3c40b0c3fb6656d68a1a62fc56ed1dffef99ad9bb103bd5</x:v>
      </x:c>
      <x:c r="S2703" t="n">
        <x:v>6</x:v>
      </x:c>
      <x:c r="T2703" t="str">
        <x:v>2018-12-31|2019-12-31|2020-12-31|2021-12-31|2022-12-31|2023-12-31</x:v>
      </x:c>
      <x:c r="U2703" s="57" t="n">
        <x:v>11081.692681164559</x:v>
      </x:c>
      <x:c r="V2703" s="57" t="n">
        <x:v>-0.24511630237298648</x:v>
      </x:c>
      <x:c r="W2703" t="n">
        <x:v>37</x:v>
      </x:c>
      <x:c r="X2703" t="n">
        <x:v>3</x:v>
      </x:c>
      <x:c r="Y2703" s="38" t="n">
        <x:v>0.6409090909090909</x:v>
      </x:c>
      <x:c r="Z2703" s="38" t="n">
        <x:v>0.6416160125335774</x:v>
      </x:c>
      <x:c r="AA2703"/>
    </x:row>
    <x:row r="2704">
      <x:c r="A2704" s="54" t="n">
        <x:v>45565</x:v>
      </x:c>
      <x:c r="B2704" t="n">
        <x:v>45565.624999988424</x:v>
      </x:c>
      <x:c r="C2704" t="str">
        <x:v>348350</x:v>
      </x:c>
      <x:c r="D2704" t="str">
        <x:v>위드텍</x:v>
      </x:c>
      <x:c r="E2704" t="str">
        <x:v>KOSDAQ</x:v>
      </x:c>
      <x:c r="F2704" t="str">
        <x:v>SMALL</x:v>
      </x:c>
      <x:c r="G2704" t="str">
        <x:v>ELIGIBLE</x:v>
      </x:c>
      <x:c r="H2704"/>
      <x:c r="I2704" s="54" t="n">
        <x:v>45565</x:v>
      </x:c>
      <x:c r="J2704" s="55" t="n">
        <x:v>9190</x:v>
      </x:c>
      <x:c r="K2704" s="55" t="n">
        <x:v>93587284000</x:v>
      </x:c>
      <x:c r="L2704" s="55" t="n">
        <x:v>10183600</x:v>
      </x:c>
      <x:c r="M2704" t="str">
        <x:v>20240314001010</x:v>
      </x:c>
      <x:c r="N2704" t="n">
        <x:v>45365.624999988424</x:v>
      </x:c>
      <x:c r="O2704" s="54" t="n">
        <x:v>45291</x:v>
      </x:c>
      <x:c r="P2704" t="str">
        <x:v>False</x:v>
      </x:c>
      <x:c r="Q2704" t="str">
        <x:v>18669b64ffa0979069db23e52067c3a7cec7305f801c019c5022b42744ac1249</x:v>
      </x:c>
      <x:c r="R2704" t="str">
        <x:v>deb0d39bcc7fe95a30a375a9c85f7623be7001aed43e4375ed555448ec31f069</x:v>
      </x:c>
      <x:c r="S2704" t="n">
        <x:v>5</x:v>
      </x:c>
      <x:c r="T2704" t="str">
        <x:v>2020-12-31|2021-12-31|2022-12-31|2023-12-31</x:v>
      </x:c>
      <x:c r="U2704" s="57" t="n">
        <x:v>6954.599618410492</x:v>
      </x:c>
      <x:c r="V2704" s="57" t="n">
        <x:v>-0.2432426965821009</x:v>
      </x:c>
      <x:c r="W2704" t="n">
        <x:v>36</x:v>
      </x:c>
      <x:c r="X2704" t="n">
        <x:v>3</x:v>
      </x:c>
      <x:c r="Y2704" s="38" t="n">
        <x:v>0.6409090909090909</x:v>
      </x:c>
      <x:c r="Z2704" s="38" t="n">
        <x:v>0.7452893246512734</x:v>
      </x:c>
      <x:c r="AA2704"/>
    </x:row>
    <x:row r="2705">
      <x:c r="A2705" s="54" t="n">
        <x:v>45565</x:v>
      </x:c>
      <x:c r="B2705" t="n">
        <x:v>45565.624999988424</x:v>
      </x:c>
      <x:c r="C2705" t="str">
        <x:v>226330</x:v>
      </x:c>
      <x:c r="D2705" t="str">
        <x:v>신테카바이오</x:v>
      </x:c>
      <x:c r="E2705" t="str">
        <x:v>KOSDAQ</x:v>
      </x:c>
      <x:c r="F2705" t="str">
        <x:v>SMALL</x:v>
      </x:c>
      <x:c r="G2705" t="str">
        <x:v>DCF_SCREENING_EXCLUSION</x:v>
      </x:c>
      <x:c r="H2705" t="str">
        <x:v>NON_POSITIVE_ENTERPRISE_VALUE|NON_POSITIVE_TERMINAL_FCF</x:v>
      </x:c>
      <x:c r="I2705" s="54" t="n">
        <x:v>45565</x:v>
      </x:c>
      <x:c r="J2705" s="55" t="n">
        <x:v>5740</x:v>
      </x:c>
      <x:c r="K2705" s="55" t="n">
        <x:v>87583646500</x:v>
      </x:c>
      <x:c r="L2705" s="55" t="n">
        <x:v>15258475</x:v>
      </x:c>
      <x:c r="M2705" t="str">
        <x:v>20240321001041</x:v>
      </x:c>
      <x:c r="N2705" t="n">
        <x:v>45372.624999988424</x:v>
      </x:c>
      <x:c r="O2705" s="54" t="n">
        <x:v>45291</x:v>
      </x:c>
      <x:c r="P2705" t="str">
        <x:v>False</x:v>
      </x:c>
      <x:c r="Q2705" t="str">
        <x:v>bad5efd00c111df6ccebb801c0139cfe5244469ee254a76e5a773141efd9e1c4</x:v>
      </x:c>
      <x:c r="R2705" t="str">
        <x:v>5a79528793ce802284921caf55f02253c99bd70fb35ae04a2ffceeb9ac047c9b</x:v>
      </x:c>
      <x:c r="S2705" t="n">
        <x:v>5</x:v>
      </x:c>
      <x:c r="T2705" t="str">
        <x:v>2019-12-31|2020-12-31|2021-12-31|2022-12-31|2023-12-31</x:v>
      </x:c>
      <x:c r="U2705" s="57" t="n">
        <x:v>1158.4997809916385</x:v>
      </x:c>
      <x:c r="V2705" s="57" t="n">
        <x:v>-0.7981707698620839</x:v>
      </x:c>
      <x:c r="W2705"/>
      <x:c r="X2705"/>
      <x:c r="Y2705" s="38" t="n">
        <x:v>0.6409090909090909</x:v>
      </x:c>
      <x:c r="Z2705" s="38" t="n">
        <x:v>0.6095054406520231</x:v>
      </x:c>
      <x:c r="AA2705" t="str">
        <x:v>NON_POSITIVE_ENTERPRISE_VALUE|NON_POSITIVE_TERMINAL_FCF</x:v>
      </x:c>
    </x:row>
    <x:row r="2706">
      <x:c r="A2706" s="54" t="n">
        <x:v>45565</x:v>
      </x:c>
      <x:c r="B2706" t="n">
        <x:v>45565.624999988424</x:v>
      </x:c>
      <x:c r="C2706" t="str">
        <x:v>215090</x:v>
      </x:c>
      <x:c r="D2706" t="str">
        <x:v>솔디펜스</x:v>
      </x:c>
      <x:c r="E2706" t="str">
        <x:v>KOSDAQ</x:v>
      </x:c>
      <x:c r="F2706" t="str">
        <x:v>SMALL</x:v>
      </x:c>
      <x:c r="G2706" t="str">
        <x:v>DCF_SCREENING_EXCLUSION</x:v>
      </x:c>
      <x:c r="H2706" t="str">
        <x:v>NON_POSITIVE_ENTERPRISE_VALUE|NON_POSITIVE_EQUITY_VALUE|NON_POSITIVE_TERMINAL_FCF</x:v>
      </x:c>
      <x:c r="I2706" s="54" t="n">
        <x:v>45565</x:v>
      </x:c>
      <x:c r="J2706" s="55" t="n">
        <x:v>1505</x:v>
      </x:c>
      <x:c r="K2706" s="55" t="n">
        <x:v>149972154360</x:v>
      </x:c>
      <x:c r="L2706" s="55" t="n">
        <x:v>99649272</x:v>
      </x:c>
      <x:c r="M2706" t="str">
        <x:v>20240415000714</x:v>
      </x:c>
      <x:c r="N2706" t="n">
        <x:v>45397.624999988424</x:v>
      </x:c>
      <x:c r="O2706" s="54" t="n">
        <x:v>45291</x:v>
      </x:c>
      <x:c r="P2706" t="str">
        <x:v>True</x:v>
      </x:c>
      <x:c r="Q2706" t="str">
        <x:v>ed79e881fee897009f2ed9da23aa8dd0c2ea239877c01cbb78058f538dde6e9e</x:v>
      </x:c>
      <x:c r="R2706" t="str">
        <x:v>bcbdbd3f81006b3a8ecbf155a4ec7fef79f37f037c2bb6f28794749afef0f3de</x:v>
      </x:c>
      <x:c r="S2706" t="n">
        <x:v>5</x:v>
      </x:c>
      <x:c r="T2706" t="str">
        <x:v>2018-12-31|2019-12-31|2020-12-31|2021-12-31|2022-12-31|2023-12-31</x:v>
      </x:c>
      <x:c r="U2706" s="57" t="n">
        <x:v>-189.47004696869993</x:v>
      </x:c>
      <x:c r="V2706" s="57" t="n">
        <x:v>-1.1258937189160796</x:v>
      </x:c>
      <x:c r="W2706"/>
      <x:c r="X2706"/>
      <x:c r="Y2706" s="38" t="n">
        <x:v>0.6409090909090909</x:v>
      </x:c>
      <x:c r="Z2706" s="38" t="n">
        <x:v>0.6364349226079365</x:v>
      </x:c>
      <x:c r="AA2706" t="str">
        <x:v>NON_POSITIVE_ENTERPRISE_VALUE|NON_POSITIVE_EQUITY_VALUE|NON_POSITIVE_TERMINAL_FCF</x:v>
      </x:c>
    </x:row>
    <x:row r="2707">
      <x:c r="A2707" s="54" t="n">
        <x:v>45565</x:v>
      </x:c>
      <x:c r="B2707" t="n">
        <x:v>45565.624999988424</x:v>
      </x:c>
      <x:c r="C2707" t="str">
        <x:v>185490</x:v>
      </x:c>
      <x:c r="D2707" t="str">
        <x:v>아이진</x:v>
      </x:c>
      <x:c r="E2707" t="str">
        <x:v>KOSDAQ</x:v>
      </x:c>
      <x:c r="F2707" t="str">
        <x:v>SMALL</x:v>
      </x:c>
      <x:c r="G2707" t="str">
        <x:v>DCF_SCREENING_EXCLUSION</x:v>
      </x:c>
      <x:c r="H2707" t="str">
        <x:v>NON_POSITIVE_ENTERPRISE_VALUE|NON_POSITIVE_EQUITY_VALUE|NON_POSITIVE_TERMINAL_FCF</x:v>
      </x:c>
      <x:c r="I2707" s="54" t="n">
        <x:v>45565</x:v>
      </x:c>
      <x:c r="J2707" s="55" t="n">
        <x:v>3045</x:v>
      </x:c>
      <x:c r="K2707" s="55" t="n">
        <x:v>82305692280</x:v>
      </x:c>
      <x:c r="L2707" s="55" t="n">
        <x:v>27029784</x:v>
      </x:c>
      <x:c r="M2707" t="str">
        <x:v>20240318000944</x:v>
      </x:c>
      <x:c r="N2707" t="n">
        <x:v>45369.624999988424</x:v>
      </x:c>
      <x:c r="O2707" s="54" t="n">
        <x:v>45291</x:v>
      </x:c>
      <x:c r="P2707" t="str">
        <x:v>False</x:v>
      </x:c>
      <x:c r="Q2707" t="str">
        <x:v>5dca0e159137a1ac9a2f0a40e7309a2e20da80f93d5226b700daae33e4d494ea</x:v>
      </x:c>
      <x:c r="R2707" t="str">
        <x:v>6ce2626bb378618bfd19c458143e9c9b3b6c0fdd98e43c3f8dfe384a387d1d3b</x:v>
      </x:c>
      <x:c r="S2707" t="n">
        <x:v>6</x:v>
      </x:c>
      <x:c r="T2707" t="str">
        <x:v>2018-12-31|2019-12-31|2020-12-31|2021-12-31|2022-12-31|2023-12-31</x:v>
      </x:c>
      <x:c r="U2707" s="57" t="n">
        <x:v>-25.227797738886608</x:v>
      </x:c>
      <x:c r="V2707" s="57" t="n">
        <x:v>-1.0082849910472533</x:v>
      </x:c>
      <x:c r="W2707"/>
      <x:c r="X2707"/>
      <x:c r="Y2707" s="38" t="n">
        <x:v>0.6409090909090909</x:v>
      </x:c>
      <x:c r="Z2707" s="38" t="n">
        <x:v>0.6188730723228777</x:v>
      </x:c>
      <x:c r="AA2707" t="str">
        <x:v>NON_POSITIVE_ENTERPRISE_VALUE|NON_POSITIVE_EQUITY_VALUE|NON_POSITIVE_TERMINAL_FCF</x:v>
      </x:c>
    </x:row>
    <x:row r="2708">
      <x:c r="A2708" s="54" t="n">
        <x:v>45565</x:v>
      </x:c>
      <x:c r="B2708" t="n">
        <x:v>45565.624999988424</x:v>
      </x:c>
      <x:c r="C2708" t="str">
        <x:v>333620</x:v>
      </x:c>
      <x:c r="D2708" t="str">
        <x:v>엔시스</x:v>
      </x:c>
      <x:c r="E2708" t="str">
        <x:v>KOSDAQ</x:v>
      </x:c>
      <x:c r="F2708" t="str">
        <x:v>SMALL</x:v>
      </x:c>
      <x:c r="G2708" t="str">
        <x:v>DCF_SCREENING_EXCLUSION</x:v>
      </x:c>
      <x:c r="H2708" t="str">
        <x:v>UNRELIABLE_TERMINAL_VALUE_SHARE</x:v>
      </x:c>
      <x:c r="I2708" s="54" t="n">
        <x:v>45565</x:v>
      </x:c>
      <x:c r="J2708" s="55" t="n">
        <x:v>11220</x:v>
      </x:c>
      <x:c r="K2708" s="55" t="n">
        <x:v>118442179680</x:v>
      </x:c>
      <x:c r="L2708" s="55" t="n">
        <x:v>10556344</x:v>
      </x:c>
      <x:c r="M2708" t="str">
        <x:v>20240321000028</x:v>
      </x:c>
      <x:c r="N2708" t="n">
        <x:v>45372.624999988424</x:v>
      </x:c>
      <x:c r="O2708" s="54" t="n">
        <x:v>45291</x:v>
      </x:c>
      <x:c r="P2708" t="str">
        <x:v>False</x:v>
      </x:c>
      <x:c r="Q2708" t="str">
        <x:v>59d5b29754935c3efa537406fd81fc9a2ed98a0101392eff91ccbcf4ae3b0d31</x:v>
      </x:c>
      <x:c r="R2708" t="str">
        <x:v>f3a169c6ea830e9174ff2297360aaaac8653e943617c473506eba3f52cabd37a</x:v>
      </x:c>
      <x:c r="S2708" t="n">
        <x:v>6</x:v>
      </x:c>
      <x:c r="T2708" t="str">
        <x:v>2020-12-31|2021-12-31|2022-12-31|2023-12-31</x:v>
      </x:c>
      <x:c r="U2708" s="57" t="n">
        <x:v>3436.8721938846274</x:v>
      </x:c>
      <x:c r="V2708" s="57" t="n">
        <x:v>-0.6936834051796232</x:v>
      </x:c>
      <x:c r="W2708"/>
      <x:c r="X2708"/>
      <x:c r="Y2708" s="38" t="n">
        <x:v>0.6409090909090909</x:v>
      </x:c>
      <x:c r="Z2708" s="38" t="n">
        <x:v>0.8985172886190933</x:v>
      </x:c>
      <x:c r="AA2708" t="str">
        <x:v>UNRELIABLE_TERMINAL_VALUE_SHARE</x:v>
      </x:c>
    </x:row>
    <x:row r="2709">
      <x:c r="A2709" s="54" t="n">
        <x:v>45565</x:v>
      </x:c>
      <x:c r="B2709" t="n">
        <x:v>45565.624999988424</x:v>
      </x:c>
      <x:c r="C2709" t="str">
        <x:v>036710</x:v>
      </x:c>
      <x:c r="D2709" t="str">
        <x:v>심텍홀딩스</x:v>
      </x:c>
      <x:c r="E2709" t="str">
        <x:v>KOSDAQ</x:v>
      </x:c>
      <x:c r="F2709" t="str">
        <x:v>SMALL</x:v>
      </x:c>
      <x:c r="G2709" t="str">
        <x:v>EXCLUDED_ARCHETYPE</x:v>
      </x:c>
      <x:c r="H2709" t="str">
        <x:v>FCFF_NOT_COMPARABLE_FOR_FINANCE_OR_HOLDING_HINT</x:v>
      </x:c>
      <x:c r="I2709" s="54"/>
      <x:c r="J2709" s="55"/>
      <x:c r="K2709" s="55"/>
      <x:c r="L2709" s="55"/>
      <x:c r="M2709"/>
      <x:c r="N2709"/>
      <x:c r="O2709" s="54"/>
      <x:c r="P2709"/>
      <x:c r="Q2709"/>
      <x:c r="R2709"/>
      <x:c r="S2709"/>
      <x:c r="T2709"/>
      <x:c r="U2709" s="57"/>
      <x:c r="V2709" s="57"/>
      <x:c r="W2709"/>
      <x:c r="X2709"/>
      <x:c r="Y2709" s="38"/>
      <x:c r="Z2709" s="38"/>
      <x:c r="AA2709"/>
    </x:row>
    <x:row r="2710">
      <x:c r="A2710" s="54" t="n">
        <x:v>45565</x:v>
      </x:c>
      <x:c r="B2710" t="n">
        <x:v>45565.624999988424</x:v>
      </x:c>
      <x:c r="C2710" t="str">
        <x:v>049480</x:v>
      </x:c>
      <x:c r="D2710" t="str">
        <x:v>오픈베이스</x:v>
      </x:c>
      <x:c r="E2710" t="str">
        <x:v>KOSDAQ</x:v>
      </x:c>
      <x:c r="F2710" t="str">
        <x:v>SMALL</x:v>
      </x:c>
      <x:c r="G2710" t="str">
        <x:v>ELIGIBLE</x:v>
      </x:c>
      <x:c r="H2710"/>
      <x:c r="I2710" s="54" t="n">
        <x:v>45565</x:v>
      </x:c>
      <x:c r="J2710" s="55" t="n">
        <x:v>2295</x:v>
      </x:c>
      <x:c r="K2710" s="55" t="n">
        <x:v>72114368985</x:v>
      </x:c>
      <x:c r="L2710" s="55" t="n">
        <x:v>31422383</x:v>
      </x:c>
      <x:c r="M2710" t="str">
        <x:v>20240314001586</x:v>
      </x:c>
      <x:c r="N2710" t="n">
        <x:v>45365.624999988424</x:v>
      </x:c>
      <x:c r="O2710" s="54" t="n">
        <x:v>45291</x:v>
      </x:c>
      <x:c r="P2710" t="str">
        <x:v>False</x:v>
      </x:c>
      <x:c r="Q2710" t="str">
        <x:v>7c465215c77c780bcfac72de57b0d0786225878c1b042a05fa1731330cf39f32</x:v>
      </x:c>
      <x:c r="R2710" t="str">
        <x:v>88657441795cabc4b73e20f6f210f2d10fb456db0228c3846373e4e8abeaad42</x:v>
      </x:c>
      <x:c r="S2710" t="n">
        <x:v>6</x:v>
      </x:c>
      <x:c r="T2710" t="str">
        <x:v>2018-12-31|2019-12-31|2020-12-31|2021-12-31|2022-12-31|2023-12-31</x:v>
      </x:c>
      <x:c r="U2710" s="57" t="n">
        <x:v>1890.3967455429677</x:v>
      </x:c>
      <x:c r="V2710" s="57" t="n">
        <x:v>-0.17629771436036268</x:v>
      </x:c>
      <x:c r="W2710" t="n">
        <x:v>32</x:v>
      </x:c>
      <x:c r="X2710" t="n">
        <x:v>3</x:v>
      </x:c>
      <x:c r="Y2710" s="38" t="n">
        <x:v>0.6409090909090909</x:v>
      </x:c>
      <x:c r="Z2710" s="38" t="n">
        <x:v>0.6040784164110028</x:v>
      </x:c>
      <x:c r="AA2710"/>
    </x:row>
    <x:row r="2711">
      <x:c r="A2711" s="54" t="n">
        <x:v>45565</x:v>
      </x:c>
      <x:c r="B2711" t="n">
        <x:v>45565.624999988424</x:v>
      </x:c>
      <x:c r="C2711" t="str">
        <x:v>302430</x:v>
      </x:c>
      <x:c r="D2711" t="str">
        <x:v>이노메트리</x:v>
      </x:c>
      <x:c r="E2711" t="str">
        <x:v>KOSDAQ</x:v>
      </x:c>
      <x:c r="F2711" t="str">
        <x:v>SMALL</x:v>
      </x:c>
      <x:c r="G2711" t="str">
        <x:v>ELIGIBLE</x:v>
      </x:c>
      <x:c r="H2711"/>
      <x:c r="I2711" s="54" t="n">
        <x:v>45565</x:v>
      </x:c>
      <x:c r="J2711" s="55" t="n">
        <x:v>10160</x:v>
      </x:c>
      <x:c r="K2711" s="55" t="n">
        <x:v>99905393280</x:v>
      </x:c>
      <x:c r="L2711" s="55" t="n">
        <x:v>9833208</x:v>
      </x:c>
      <x:c r="M2711" t="str">
        <x:v>20240320000351</x:v>
      </x:c>
      <x:c r="N2711" t="n">
        <x:v>45371.624999988424</x:v>
      </x:c>
      <x:c r="O2711" s="54" t="n">
        <x:v>45291</x:v>
      </x:c>
      <x:c r="P2711" t="str">
        <x:v>False</x:v>
      </x:c>
      <x:c r="Q2711" t="str">
        <x:v>3d073284ffe5f19052504d111461eb4d55b92d01aba61975376c9ba020694952</x:v>
      </x:c>
      <x:c r="R2711" t="str">
        <x:v>23206e8ecaed341831a36804ce06dec70cfc5088ba25697fd87828cd889d48dc</x:v>
      </x:c>
      <x:c r="S2711" t="n">
        <x:v>6</x:v>
      </x:c>
      <x:c r="T2711" t="str">
        <x:v>2018-12-31|2019-12-31|2020-12-31|2021-12-31|2022-12-31|2023-12-31</x:v>
      </x:c>
      <x:c r="U2711" s="57" t="n">
        <x:v>5350.0573635192295</x:v>
      </x:c>
      <x:c r="V2711" s="57" t="n">
        <x:v>-0.47341955083472154</x:v>
      </x:c>
      <x:c r="W2711" t="n">
        <x:v>43</x:v>
      </x:c>
      <x:c r="X2711" t="n">
        <x:v>4</x:v>
      </x:c>
      <x:c r="Y2711" s="38" t="n">
        <x:v>0.6409090909090909</x:v>
      </x:c>
      <x:c r="Z2711" s="38" t="n">
        <x:v>0.5867649671582864</x:v>
      </x:c>
      <x:c r="AA2711"/>
    </x:row>
    <x:row r="2712">
      <x:c r="A2712" s="54" t="n">
        <x:v>45565</x:v>
      </x:c>
      <x:c r="B2712" t="n">
        <x:v>45565.624999988424</x:v>
      </x:c>
      <x:c r="C2712" t="str">
        <x:v>288620</x:v>
      </x:c>
      <x:c r="D2712" t="str">
        <x:v>에스퓨얼셀</x:v>
      </x:c>
      <x:c r="E2712" t="str">
        <x:v>KOSDAQ</x:v>
      </x:c>
      <x:c r="F2712" t="str">
        <x:v>SMALL</x:v>
      </x:c>
      <x:c r="G2712" t="str">
        <x:v>DCF_SCREENING_EXCLUSION</x:v>
      </x:c>
      <x:c r="H2712" t="str">
        <x:v>NON_POSITIVE_ENTERPRISE_VALUE|NON_POSITIVE_EQUITY_VALUE|UNRELIABLE_TERMINAL_VALUE_SHARE</x:v>
      </x:c>
      <x:c r="I2712" s="54" t="n">
        <x:v>45565</x:v>
      </x:c>
      <x:c r="J2712" s="55" t="n">
        <x:v>11730</x:v>
      </x:c>
      <x:c r="K2712" s="55" t="n">
        <x:v>81867376680</x:v>
      </x:c>
      <x:c r="L2712" s="55" t="n">
        <x:v>6979316</x:v>
      </x:c>
      <x:c r="M2712" t="str">
        <x:v>20240314001281</x:v>
      </x:c>
      <x:c r="N2712" t="n">
        <x:v>45365.624999988424</x:v>
      </x:c>
      <x:c r="O2712" s="54" t="n">
        <x:v>45291</x:v>
      </x:c>
      <x:c r="P2712" t="str">
        <x:v>False</x:v>
      </x:c>
      <x:c r="Q2712" t="str">
        <x:v>2d9469f5ad05e376cb8bd2ba443aa19537cb1c0730a9932abcfb316261474580</x:v>
      </x:c>
      <x:c r="R2712" t="str">
        <x:v>88ee9206ffacc6c5d4a5b7f7ce030562931dd8ec03073ee298f2c6ff7904c954</x:v>
      </x:c>
      <x:c r="S2712" t="n">
        <x:v>6</x:v>
      </x:c>
      <x:c r="T2712" t="str">
        <x:v>2018-12-31|2019-12-31|2020-12-31|2021-12-31|2022-12-31|2023-12-31</x:v>
      </x:c>
      <x:c r="U2712" s="57" t="n">
        <x:v>-4893.456812150588</x:v>
      </x:c>
      <x:c r="V2712" s="57" t="n">
        <x:v>-1.417174493789479</x:v>
      </x:c>
      <x:c r="W2712"/>
      <x:c r="X2712"/>
      <x:c r="Y2712" s="38" t="n">
        <x:v>0.6409090909090909</x:v>
      </x:c>
      <x:c r="Z2712" s="38" t="n">
        <x:v>-10.353414340518622</x:v>
      </x:c>
      <x:c r="AA2712" t="str">
        <x:v>NON_POSITIVE_ENTERPRISE_VALUE|NON_POSITIVE_EQUITY_VALUE|UNRELIABLE_TERMINAL_VALUE_SHARE</x:v>
      </x:c>
    </x:row>
    <x:row r="2713">
      <x:c r="A2713" s="54" t="n">
        <x:v>45565</x:v>
      </x:c>
      <x:c r="B2713" t="n">
        <x:v>45565.624999988424</x:v>
      </x:c>
      <x:c r="C2713" t="str">
        <x:v>094840</x:v>
      </x:c>
      <x:c r="D2713" t="str">
        <x:v>슈프리마에이치큐</x:v>
      </x:c>
      <x:c r="E2713" t="str">
        <x:v>KOSDAQ</x:v>
      </x:c>
      <x:c r="F2713" t="str">
        <x:v>SMALL</x:v>
      </x:c>
      <x:c r="G2713" t="str">
        <x:v>DCF_SCREENING_EXCLUSION</x:v>
      </x:c>
      <x:c r="H2713" t="str">
        <x:v>UNRELIABLE_TERMINAL_VALUE_SHARE</x:v>
      </x:c>
      <x:c r="I2713" s="54" t="n">
        <x:v>45565</x:v>
      </x:c>
      <x:c r="J2713" s="55" t="n">
        <x:v>6050</x:v>
      </x:c>
      <x:c r="K2713" s="55" t="n">
        <x:v>63354632000</x:v>
      </x:c>
      <x:c r="L2713" s="55" t="n">
        <x:v>10471840</x:v>
      </x:c>
      <x:c r="M2713" t="str">
        <x:v>20240318000708</x:v>
      </x:c>
      <x:c r="N2713" t="n">
        <x:v>45369.624999988424</x:v>
      </x:c>
      <x:c r="O2713" s="54" t="n">
        <x:v>45291</x:v>
      </x:c>
      <x:c r="P2713" t="str">
        <x:v>False</x:v>
      </x:c>
      <x:c r="Q2713" t="str">
        <x:v>e5f523177c415af344f13546f5a1f5ffadf000a1059276f7fd11b0e755af39df</x:v>
      </x:c>
      <x:c r="R2713" t="str">
        <x:v>9c9f4500e74103a8961495af3e444ab49dc7d6f3990fabd6cff27fea7ce91ed1</x:v>
      </x:c>
      <x:c r="S2713" t="n">
        <x:v>6</x:v>
      </x:c>
      <x:c r="T2713" t="str">
        <x:v>2018-12-31|2019-12-31|2020-12-31|2021-12-31|2022-12-31|2023-12-31</x:v>
      </x:c>
      <x:c r="U2713" s="57" t="n">
        <x:v>3395.867702926231</x:v>
      </x:c>
      <x:c r="V2713" s="57" t="n">
        <x:v>-0.4386995532353337</x:v>
      </x:c>
      <x:c r="W2713"/>
      <x:c r="X2713"/>
      <x:c r="Y2713" s="38" t="n">
        <x:v>0.6409090909090909</x:v>
      </x:c>
      <x:c r="Z2713" s="38" t="n">
        <x:v>1.0239514067639839</x:v>
      </x:c>
      <x:c r="AA2713" t="str">
        <x:v>UNRELIABLE_TERMINAL_VALUE_SHARE</x:v>
      </x:c>
    </x:row>
    <x:row r="2714">
      <x:c r="A2714" s="54" t="n">
        <x:v>45565</x:v>
      </x:c>
      <x:c r="B2714" t="n">
        <x:v>45565.624999988424</x:v>
      </x:c>
      <x:c r="C2714" t="str">
        <x:v>019990</x:v>
      </x:c>
      <x:c r="D2714" t="str">
        <x:v>에너토크</x:v>
      </x:c>
      <x:c r="E2714" t="str">
        <x:v>KOSDAQ</x:v>
      </x:c>
      <x:c r="F2714" t="str">
        <x:v>SMALL</x:v>
      </x:c>
      <x:c r="G2714" t="str">
        <x:v>DCF_SCREENING_EXCLUSION</x:v>
      </x:c>
      <x:c r="H2714" t="str">
        <x:v>NON_POSITIVE_ENTERPRISE_VALUE|NON_POSITIVE_TERMINAL_FCF</x:v>
      </x:c>
      <x:c r="I2714" s="54" t="n">
        <x:v>45565</x:v>
      </x:c>
      <x:c r="J2714" s="55" t="n">
        <x:v>6190</x:v>
      </x:c>
      <x:c r="K2714" s="55" t="n">
        <x:v>60390184720</x:v>
      </x:c>
      <x:c r="L2714" s="55" t="n">
        <x:v>9756088</x:v>
      </x:c>
      <x:c r="M2714" t="str">
        <x:v>20240321000627</x:v>
      </x:c>
      <x:c r="N2714" t="n">
        <x:v>45372.624999988424</x:v>
      </x:c>
      <x:c r="O2714" s="54" t="n">
        <x:v>45291</x:v>
      </x:c>
      <x:c r="P2714" t="str">
        <x:v>False</x:v>
      </x:c>
      <x:c r="Q2714" t="str">
        <x:v>5acac5a331b342db9901d2784b2bee6fd1c9f8c46b5d641c1d73d1e72c01d923</x:v>
      </x:c>
      <x:c r="R2714" t="str">
        <x:v>85eae463fc3f2386067cd4632f9fefbcf873ac3c43379cf42ad3558029c0ee0c</x:v>
      </x:c>
      <x:c r="S2714" t="n">
        <x:v>6</x:v>
      </x:c>
      <x:c r="T2714" t="str">
        <x:v>2018-12-31|2019-12-31|2020-12-31|2021-12-31|2022-12-31|2023-12-31</x:v>
      </x:c>
      <x:c r="U2714" s="57" t="n">
        <x:v>137.57773993768473</x:v>
      </x:c>
      <x:c r="V2714" s="57" t="n">
        <x:v>-0.9777741938711333</x:v>
      </x:c>
      <x:c r="W2714"/>
      <x:c r="X2714"/>
      <x:c r="Y2714" s="38" t="n">
        <x:v>0.6409090909090909</x:v>
      </x:c>
      <x:c r="Z2714" s="38" t="n">
        <x:v>0.176221162582711</x:v>
      </x:c>
      <x:c r="AA2714" t="str">
        <x:v>NON_POSITIVE_ENTERPRISE_VALUE|NON_POSITIVE_TERMINAL_FCF</x:v>
      </x:c>
    </x:row>
    <x:row r="2715">
      <x:c r="A2715" s="54" t="n">
        <x:v>45565</x:v>
      </x:c>
      <x:c r="B2715" t="n">
        <x:v>45565.624999988424</x:v>
      </x:c>
      <x:c r="C2715" t="str">
        <x:v>024740</x:v>
      </x:c>
      <x:c r="D2715" t="str">
        <x:v>한일단조</x:v>
      </x:c>
      <x:c r="E2715" t="str">
        <x:v>KOSDAQ</x:v>
      </x:c>
      <x:c r="F2715" t="str">
        <x:v>SMALL</x:v>
      </x:c>
      <x:c r="G2715" t="str">
        <x:v>DCF_SCREENING_EXCLUSION</x:v>
      </x:c>
      <x:c r="H2715" t="str">
        <x:v>NON_POSITIVE_EQUITY_VALUE</x:v>
      </x:c>
      <x:c r="I2715" s="54" t="n">
        <x:v>45565</x:v>
      </x:c>
      <x:c r="J2715" s="55" t="n">
        <x:v>1980</x:v>
      </x:c>
      <x:c r="K2715" s="55" t="n">
        <x:v>62434441080</x:v>
      </x:c>
      <x:c r="L2715" s="55" t="n">
        <x:v>31532546</x:v>
      </x:c>
      <x:c r="M2715" t="str">
        <x:v>20240320000786</x:v>
      </x:c>
      <x:c r="N2715" t="n">
        <x:v>45371.624999988424</x:v>
      </x:c>
      <x:c r="O2715" s="54" t="n">
        <x:v>45291</x:v>
      </x:c>
      <x:c r="P2715" t="str">
        <x:v>False</x:v>
      </x:c>
      <x:c r="Q2715" t="str">
        <x:v>abf92710b391b70a6847627e0266a7b119d3df48dde6e252b34a1123f881e9ff</x:v>
      </x:c>
      <x:c r="R2715" t="str">
        <x:v>43b0009358c6931fa9d33fd957a192eb10c4b18055d193c0d4ab367152e3ac27</x:v>
      </x:c>
      <x:c r="S2715" t="n">
        <x:v>7</x:v>
      </x:c>
      <x:c r="T2715" t="str">
        <x:v>2018-12-31|2019-12-31|2020-12-31|2021-12-31|2022-12-31|2023-12-31</x:v>
      </x:c>
      <x:c r="U2715" s="57" t="n">
        <x:v>-344.52523221887634</x:v>
      </x:c>
      <x:c r="V2715" s="57" t="n">
        <x:v>-1.174002642534786</x:v>
      </x:c>
      <x:c r="W2715"/>
      <x:c r="X2715"/>
      <x:c r="Y2715" s="38" t="n">
        <x:v>0.6409090909090909</x:v>
      </x:c>
      <x:c r="Z2715" s="38" t="n">
        <x:v>0.3525412604122592</x:v>
      </x:c>
      <x:c r="AA2715" t="str">
        <x:v>NON_POSITIVE_EQUITY_VALUE</x:v>
      </x:c>
    </x:row>
    <x:row r="2716">
      <x:c r="A2716" s="54" t="n">
        <x:v>45565</x:v>
      </x:c>
      <x:c r="B2716" t="n">
        <x:v>45565.624999988424</x:v>
      </x:c>
      <x:c r="C2716" t="str">
        <x:v>340930</x:v>
      </x:c>
      <x:c r="D2716" t="str">
        <x:v>유일에너테크</x:v>
      </x:c>
      <x:c r="E2716" t="str">
        <x:v>KOSDAQ</x:v>
      </x:c>
      <x:c r="F2716" t="str">
        <x:v>SMALL</x:v>
      </x:c>
      <x:c r="G2716" t="str">
        <x:v>DCF_SCREENING_EXCLUSION</x:v>
      </x:c>
      <x:c r="H2716" t="str">
        <x:v>NON_POSITIVE_ENTERPRISE_VALUE|NON_POSITIVE_EQUITY_VALUE|NON_POSITIVE_TERMINAL_FCF</x:v>
      </x:c>
      <x:c r="I2716" s="54" t="n">
        <x:v>45565</x:v>
      </x:c>
      <x:c r="J2716" s="55" t="n">
        <x:v>2670</x:v>
      </x:c>
      <x:c r="K2716" s="55" t="n">
        <x:v>91325881500</x:v>
      </x:c>
      <x:c r="L2716" s="55" t="n">
        <x:v>34204450</x:v>
      </x:c>
      <x:c r="M2716" t="str">
        <x:v>20240719000309</x:v>
      </x:c>
      <x:c r="N2716" t="n">
        <x:v>45492.624999988424</x:v>
      </x:c>
      <x:c r="O2716" s="54" t="n">
        <x:v>45291</x:v>
      </x:c>
      <x:c r="P2716" t="str">
        <x:v>True</x:v>
      </x:c>
      <x:c r="Q2716" t="str">
        <x:v>aa441a8882c96d75239ee20ac0b738870189c535466b18772f43339fc6d97e72</x:v>
      </x:c>
      <x:c r="R2716" t="str">
        <x:v>55e445810a074380aa8e361195e17e535af4aba86958dc9d25889fb6683efb92</x:v>
      </x:c>
      <x:c r="S2716" t="n">
        <x:v>7</x:v>
      </x:c>
      <x:c r="T2716" t="str">
        <x:v>2020-12-31|2021-12-31|2022-12-31|2023-12-31</x:v>
      </x:c>
      <x:c r="U2716" s="57" t="n">
        <x:v>-3054.871582697284</x:v>
      </x:c>
      <x:c r="V2716" s="57" t="n">
        <x:v>-2.1441466601862484</x:v>
      </x:c>
      <x:c r="W2716"/>
      <x:c r="X2716"/>
      <x:c r="Y2716" s="38" t="n">
        <x:v>0.6409090909090909</x:v>
      </x:c>
      <x:c r="Z2716" s="38" t="n">
        <x:v>0.6320982637210726</x:v>
      </x:c>
      <x:c r="AA2716" t="str">
        <x:v>NON_POSITIVE_ENTERPRISE_VALUE|NON_POSITIVE_EQUITY_VALUE|NON_POSITIVE_TERMINAL_FCF</x:v>
      </x:c>
    </x:row>
    <x:row r="2717">
      <x:c r="A2717" s="54" t="n">
        <x:v>45565</x:v>
      </x:c>
      <x:c r="B2717" t="n">
        <x:v>45565.624999988424</x:v>
      </x:c>
      <x:c r="C2717" t="str">
        <x:v>057030</x:v>
      </x:c>
      <x:c r="D2717" t="str">
        <x:v>YBM넷</x:v>
      </x:c>
      <x:c r="E2717" t="str">
        <x:v>KOSDAQ</x:v>
      </x:c>
      <x:c r="F2717" t="str">
        <x:v>SMALL</x:v>
      </x:c>
      <x:c r="G2717" t="str">
        <x:v>ELIGIBLE</x:v>
      </x:c>
      <x:c r="H2717"/>
      <x:c r="I2717" s="54" t="n">
        <x:v>45565</x:v>
      </x:c>
      <x:c r="J2717" s="55" t="n">
        <x:v>3675</x:v>
      </x:c>
      <x:c r="K2717" s="55" t="n">
        <x:v>59949161475</x:v>
      </x:c>
      <x:c r="L2717" s="55" t="n">
        <x:v>16312697</x:v>
      </x:c>
      <x:c r="M2717" t="str">
        <x:v>20240321001738</x:v>
      </x:c>
      <x:c r="N2717" t="n">
        <x:v>45372.624999988424</x:v>
      </x:c>
      <x:c r="O2717" s="54" t="n">
        <x:v>45291</x:v>
      </x:c>
      <x:c r="P2717" t="str">
        <x:v>False</x:v>
      </x:c>
      <x:c r="Q2717" t="str">
        <x:v>8147d8f24082e8860082882319e3c620bc56cbc015545fbdf694727bc4b16c0d</x:v>
      </x:c>
      <x:c r="R2717" t="str">
        <x:v>69e0556f12206fbecd7d25ad321a7ee918a3653aaab923ed13c8686e2704463f</x:v>
      </x:c>
      <x:c r="S2717" t="n">
        <x:v>6</x:v>
      </x:c>
      <x:c r="T2717" t="str">
        <x:v>2018-12-31|2019-12-31|2020-12-31|2021-12-31|2022-12-31|2023-12-31</x:v>
      </x:c>
      <x:c r="U2717" s="57" t="n">
        <x:v>1994.9348267885857</x:v>
      </x:c>
      <x:c r="V2717" s="57" t="n">
        <x:v>-0.4571605913500447</x:v>
      </x:c>
      <x:c r="W2717" t="n">
        <x:v>42</x:v>
      </x:c>
      <x:c r="X2717" t="n">
        <x:v>4</x:v>
      </x:c>
      <x:c r="Y2717" s="38" t="n">
        <x:v>0.6409090909090909</x:v>
      </x:c>
      <x:c r="Z2717" s="38" t="n">
        <x:v>0.5369789741982043</x:v>
      </x:c>
      <x:c r="AA2717"/>
    </x:row>
    <x:row r="2718">
      <x:c r="A2718" s="54" t="n">
        <x:v>45565</x:v>
      </x:c>
      <x:c r="B2718" t="n">
        <x:v>45565.624999988424</x:v>
      </x:c>
      <x:c r="C2718" t="str">
        <x:v>053160</x:v>
      </x:c>
      <x:c r="D2718" t="str">
        <x:v>프리엠스</x:v>
      </x:c>
      <x:c r="E2718" t="str">
        <x:v>KOSDAQ</x:v>
      </x:c>
      <x:c r="F2718" t="str">
        <x:v>SMALL</x:v>
      </x:c>
      <x:c r="G2718" t="str">
        <x:v>ELIGIBLE</x:v>
      </x:c>
      <x:c r="H2718"/>
      <x:c r="I2718" s="54" t="n">
        <x:v>45565</x:v>
      </x:c>
      <x:c r="J2718" s="55" t="n">
        <x:v>10260</x:v>
      </x:c>
      <x:c r="K2718" s="55" t="n">
        <x:v>61560000000</x:v>
      </x:c>
      <x:c r="L2718" s="55" t="n">
        <x:v>6000000</x:v>
      </x:c>
      <x:c r="M2718" t="str">
        <x:v>20240318000760</x:v>
      </x:c>
      <x:c r="N2718" t="n">
        <x:v>45369.624999988424</x:v>
      </x:c>
      <x:c r="O2718" s="54" t="n">
        <x:v>45291</x:v>
      </x:c>
      <x:c r="P2718" t="str">
        <x:v>False</x:v>
      </x:c>
      <x:c r="Q2718" t="str">
        <x:v>2857aa5920fe847db222f777826b59d57097213d3f796faa767f453fc53f1e57</x:v>
      </x:c>
      <x:c r="R2718" t="str">
        <x:v>1112bb16686f089f6e921fe155e2e6ac56290cfb085da3d42ea24c8347739b21</x:v>
      </x:c>
      <x:c r="S2718" t="n">
        <x:v>7</x:v>
      </x:c>
      <x:c r="T2718" t="str">
        <x:v>2018-12-31|2019-12-31|2020-12-31|2021-12-31|2022-12-31|2023-12-31</x:v>
      </x:c>
      <x:c r="U2718" s="57" t="n">
        <x:v>2643.8845167910263</x:v>
      </x:c>
      <x:c r="V2718" s="57" t="n">
        <x:v>-0.7423114506051631</x:v>
      </x:c>
      <x:c r="W2718" t="n">
        <x:v>59</x:v>
      </x:c>
      <x:c r="X2718" t="n">
        <x:v>5</x:v>
      </x:c>
      <x:c r="Y2718" s="38" t="n">
        <x:v>0.6409090909090909</x:v>
      </x:c>
      <x:c r="Z2718" s="38" t="n">
        <x:v>0.8102580611813543</x:v>
      </x:c>
      <x:c r="AA2718"/>
    </x:row>
    <x:row r="2719">
      <x:c r="A2719" s="54" t="n">
        <x:v>45565</x:v>
      </x:c>
      <x:c r="B2719" t="n">
        <x:v>45565.624999988424</x:v>
      </x:c>
      <x:c r="C2719" t="str">
        <x:v>038620</x:v>
      </x:c>
      <x:c r="D2719" t="str">
        <x:v>위즈코프</x:v>
      </x:c>
      <x:c r="E2719" t="str">
        <x:v>KOSDAQ</x:v>
      </x:c>
      <x:c r="F2719" t="str">
        <x:v>SMALL</x:v>
      </x:c>
      <x:c r="G2719" t="str">
        <x:v>ELIGIBLE</x:v>
      </x:c>
      <x:c r="H2719"/>
      <x:c r="I2719" s="54" t="n">
        <x:v>45565</x:v>
      </x:c>
      <x:c r="J2719" s="55" t="n">
        <x:v>623</x:v>
      </x:c>
      <x:c r="K2719" s="55" t="n">
        <x:v>41458447695</x:v>
      </x:c>
      <x:c r="L2719" s="55" t="n">
        <x:v>66546465</x:v>
      </x:c>
      <x:c r="M2719" t="str">
        <x:v>20240320001532</x:v>
      </x:c>
      <x:c r="N2719" t="n">
        <x:v>45371.624999988424</x:v>
      </x:c>
      <x:c r="O2719" s="54" t="n">
        <x:v>45291</x:v>
      </x:c>
      <x:c r="P2719" t="str">
        <x:v>False</x:v>
      </x:c>
      <x:c r="Q2719" t="str">
        <x:v>272208ce5ebb5ff32e6d296ee870a448df4644666eb5b0b296ba31699f25ae35</x:v>
      </x:c>
      <x:c r="R2719" t="str">
        <x:v>91bdf7c084de96b2ec1fa33532af52d7e3525dc0207004b14802c08b3171213a</x:v>
      </x:c>
      <x:c r="S2719" t="n">
        <x:v>6</x:v>
      </x:c>
      <x:c r="T2719" t="str">
        <x:v>2018-12-31|2019-12-31|2020-12-31|2021-12-31|2022-12-31|2023-12-31</x:v>
      </x:c>
      <x:c r="U2719" s="57" t="n">
        <x:v>310.4127673293446</x:v>
      </x:c>
      <x:c r="V2719" s="57" t="n">
        <x:v>-0.5017451567747278</x:v>
      </x:c>
      <x:c r="W2719" t="n">
        <x:v>46</x:v>
      </x:c>
      <x:c r="X2719" t="n">
        <x:v>4</x:v>
      </x:c>
      <x:c r="Y2719" s="38" t="n">
        <x:v>0.6409090909090909</x:v>
      </x:c>
      <x:c r="Z2719" s="38" t="n">
        <x:v>0.7544106526876061</x:v>
      </x:c>
      <x:c r="AA2719"/>
    </x:row>
    <x:row r="2720">
      <x:c r="A2720" s="54" t="n">
        <x:v>45565</x:v>
      </x:c>
      <x:c r="B2720" t="n">
        <x:v>45565.624999988424</x:v>
      </x:c>
      <x:c r="C2720" t="str">
        <x:v>313760</x:v>
      </x:c>
      <x:c r="D2720" t="str">
        <x:v>캐리</x:v>
      </x:c>
      <x:c r="E2720" t="str">
        <x:v>KOSDAQ</x:v>
      </x:c>
      <x:c r="F2720" t="str">
        <x:v>SMALL</x:v>
      </x:c>
      <x:c r="G2720" t="str">
        <x:v>DCF_SCREENING_EXCLUSION</x:v>
      </x:c>
      <x:c r="H2720" t="str">
        <x:v>NON_POSITIVE_ENTERPRISE_VALUE|NON_POSITIVE_EQUITY_VALUE|NON_POSITIVE_TERMINAL_FCF</x:v>
      </x:c>
      <x:c r="I2720" s="54" t="n">
        <x:v>45565</x:v>
      </x:c>
      <x:c r="J2720" s="55" t="n">
        <x:v>7200</x:v>
      </x:c>
      <x:c r="K2720" s="55" t="n">
        <x:v>52479943200</x:v>
      </x:c>
      <x:c r="L2720" s="55" t="n">
        <x:v>7288881</x:v>
      </x:c>
      <x:c r="M2720" t="str">
        <x:v>20240321001989</x:v>
      </x:c>
      <x:c r="N2720" t="n">
        <x:v>45372.624999988424</x:v>
      </x:c>
      <x:c r="O2720" s="54" t="n">
        <x:v>45291</x:v>
      </x:c>
      <x:c r="P2720" t="str">
        <x:v>False</x:v>
      </x:c>
      <x:c r="Q2720" t="str">
        <x:v>0bd7d04c0e0aefca490f9f7e586ebbb3a0eaaa331be2633cad42cc56ead868d7</x:v>
      </x:c>
      <x:c r="R2720" t="str">
        <x:v>a26b9199ee23d76d0c1c62eb187fc56048af16cace3c582c8dff5b6ebbb377eb</x:v>
      </x:c>
      <x:c r="S2720" t="n">
        <x:v>6</x:v>
      </x:c>
      <x:c r="T2720" t="str">
        <x:v>2019-12-31|2020-12-31|2021-12-31|2022-12-31|2023-12-31</x:v>
      </x:c>
      <x:c r="U2720" s="57" t="n">
        <x:v>-2480.60540618919</x:v>
      </x:c>
      <x:c r="V2720" s="57" t="n">
        <x:v>-1.3445285286373876</x:v>
      </x:c>
      <x:c r="W2720"/>
      <x:c r="X2720"/>
      <x:c r="Y2720" s="38" t="n">
        <x:v>0.6409090909090909</x:v>
      </x:c>
      <x:c r="Z2720" s="38" t="n">
        <x:v>0.37057902973359175</x:v>
      </x:c>
      <x:c r="AA2720" t="str">
        <x:v>NON_POSITIVE_ENTERPRISE_VALUE|NON_POSITIVE_EQUITY_VALUE|NON_POSITIVE_TERMINAL_FCF</x:v>
      </x:c>
    </x:row>
    <x:row r="2721">
      <x:c r="A2721" s="54" t="n">
        <x:v>45565</x:v>
      </x:c>
      <x:c r="B2721" t="n">
        <x:v>45565.624999988424</x:v>
      </x:c>
      <x:c r="C2721" t="str">
        <x:v>372800</x:v>
      </x:c>
      <x:c r="D2721" t="str">
        <x:v>아이티아이즈</x:v>
      </x:c>
      <x:c r="E2721" t="str">
        <x:v>KOSDAQ</x:v>
      </x:c>
      <x:c r="F2721" t="str">
        <x:v>SMALL</x:v>
      </x:c>
      <x:c r="G2721" t="str">
        <x:v>DCF_SCREENING_EXCLUSION</x:v>
      </x:c>
      <x:c r="H2721" t="str">
        <x:v>NON_POSITIVE_ENTERPRISE_VALUE|NON_POSITIVE_EQUITY_VALUE|NON_POSITIVE_TERMINAL_FCF</x:v>
      </x:c>
      <x:c r="I2721" s="54" t="n">
        <x:v>45565</x:v>
      </x:c>
      <x:c r="J2721" s="55" t="n">
        <x:v>6570</x:v>
      </x:c>
      <x:c r="K2721" s="55" t="n">
        <x:v>39597324300</x:v>
      </x:c>
      <x:c r="L2721" s="55" t="n">
        <x:v>6026990</x:v>
      </x:c>
      <x:c r="M2721" t="str">
        <x:v>20240320000934</x:v>
      </x:c>
      <x:c r="N2721" t="n">
        <x:v>45371.624999988424</x:v>
      </x:c>
      <x:c r="O2721" s="54" t="n">
        <x:v>45291</x:v>
      </x:c>
      <x:c r="P2721" t="str">
        <x:v>False</x:v>
      </x:c>
      <x:c r="Q2721" t="str">
        <x:v>914d149f88b12fc4a464092978e0ee083b9040a890a137adf5971d85f8f45f80</x:v>
      </x:c>
      <x:c r="R2721" t="str">
        <x:v>186741dd3cd6e9e0251882e11e7c262fa8ba822aaad5de6aab48bcd9ef45bfb4</x:v>
      </x:c>
      <x:c r="S2721" t="n">
        <x:v>7</x:v>
      </x:c>
      <x:c r="T2721" t="str">
        <x:v>2021-12-31|2022-12-31|2023-12-31</x:v>
      </x:c>
      <x:c r="U2721" s="57" t="n">
        <x:v>-11187.477178495124</x:v>
      </x:c>
      <x:c r="V2721" s="57" t="n">
        <x:v>-2.702812355935331</x:v>
      </x:c>
      <x:c r="W2721"/>
      <x:c r="X2721"/>
      <x:c r="Y2721" s="38" t="n">
        <x:v>0.6409090909090909</x:v>
      </x:c>
      <x:c r="Z2721" s="38" t="n">
        <x:v>0.635813030340686</x:v>
      </x:c>
      <x:c r="AA2721" t="str">
        <x:v>NON_POSITIVE_ENTERPRISE_VALUE|NON_POSITIVE_EQUITY_VALUE|NON_POSITIVE_TERMINAL_FCF</x:v>
      </x:c>
    </x:row>
    <x:row r="2722">
      <x:c r="A2722" s="54" t="n">
        <x:v>45565</x:v>
      </x:c>
      <x:c r="B2722" t="n">
        <x:v>45565.624999988424</x:v>
      </x:c>
      <x:c r="C2722" t="str">
        <x:v>332290</x:v>
      </x:c>
      <x:c r="D2722" t="str">
        <x:v>누보</x:v>
      </x:c>
      <x:c r="E2722" t="str">
        <x:v>KOSDAQ</x:v>
      </x:c>
      <x:c r="F2722" t="str">
        <x:v>SMALL</x:v>
      </x:c>
      <x:c r="G2722" t="str">
        <x:v>DCF_SCREENING_EXCLUSION</x:v>
      </x:c>
      <x:c r="H2722" t="str">
        <x:v>NON_POSITIVE_ENTERPRISE_VALUE|NON_POSITIVE_EQUITY_VALUE|NON_POSITIVE_TERMINAL_FCF</x:v>
      </x:c>
      <x:c r="I2722" s="54" t="n">
        <x:v>45565</x:v>
      </x:c>
      <x:c r="J2722" s="55" t="n">
        <x:v>1279</x:v>
      </x:c>
      <x:c r="K2722" s="55" t="n">
        <x:v>42699163037</x:v>
      </x:c>
      <x:c r="L2722" s="55" t="n">
        <x:v>33384803</x:v>
      </x:c>
      <x:c r="M2722" t="str">
        <x:v>20240321001435</x:v>
      </x:c>
      <x:c r="N2722" t="n">
        <x:v>45372.624999988424</x:v>
      </x:c>
      <x:c r="O2722" s="54" t="n">
        <x:v>45291</x:v>
      </x:c>
      <x:c r="P2722" t="str">
        <x:v>False</x:v>
      </x:c>
      <x:c r="Q2722" t="str">
        <x:v>dc20de5e13288cb8f1f4cc4cb90edd3cdfdcd47054020425ace8241e22b4cbb1</x:v>
      </x:c>
      <x:c r="R2722" t="str">
        <x:v>992623ccf14a72026f02310e0de027405308a3b157e8c09aa903b601fd91883f</x:v>
      </x:c>
      <x:c r="S2722" t="n">
        <x:v>6</x:v>
      </x:c>
      <x:c r="T2722" t="str">
        <x:v>2022-12-31|2023-12-31</x:v>
      </x:c>
      <x:c r="U2722" s="57" t="n">
        <x:v>-2501.67071673091</x:v>
      </x:c>
      <x:c r="V2722" s="57" t="n">
        <x:v>-2.9559583398990696</x:v>
      </x:c>
      <x:c r="W2722"/>
      <x:c r="X2722"/>
      <x:c r="Y2722" s="38" t="n">
        <x:v>0.6409090909090909</x:v>
      </x:c>
      <x:c r="Z2722" s="38" t="n">
        <x:v>0.5782388693498399</x:v>
      </x:c>
      <x:c r="AA2722" t="str">
        <x:v>NON_POSITIVE_ENTERPRISE_VALUE|NON_POSITIVE_EQUITY_VALUE|NON_POSITIVE_TERMINAL_FCF</x:v>
      </x:c>
    </x:row>
    <x:row r="2723">
      <x:c r="A2723" s="54" t="n">
        <x:v>45565</x:v>
      </x:c>
      <x:c r="B2723" t="n">
        <x:v>45565.624999988424</x:v>
      </x:c>
      <x:c r="C2723" t="str">
        <x:v>059100</x:v>
      </x:c>
      <x:c r="D2723" t="str">
        <x:v>아이컴포넌트</x:v>
      </x:c>
      <x:c r="E2723" t="str">
        <x:v>KOSDAQ</x:v>
      </x:c>
      <x:c r="F2723" t="str">
        <x:v>SMALL</x:v>
      </x:c>
      <x:c r="G2723" t="str">
        <x:v>ELIGIBLE</x:v>
      </x:c>
      <x:c r="H2723"/>
      <x:c r="I2723" s="54" t="n">
        <x:v>45565</x:v>
      </x:c>
      <x:c r="J2723" s="55" t="n">
        <x:v>4700</x:v>
      </x:c>
      <x:c r="K2723" s="55" t="n">
        <x:v>33233042000</x:v>
      </x:c>
      <x:c r="L2723" s="55" t="n">
        <x:v>7070860</x:v>
      </x:c>
      <x:c r="M2723" t="str">
        <x:v>20240313000819</x:v>
      </x:c>
      <x:c r="N2723" t="n">
        <x:v>45364.624999988424</x:v>
      </x:c>
      <x:c r="O2723" s="54" t="n">
        <x:v>45291</x:v>
      </x:c>
      <x:c r="P2723" t="str">
        <x:v>False</x:v>
      </x:c>
      <x:c r="Q2723" t="str">
        <x:v>de44602b8531c88c57c436d45a3c15970778ae4a85492606d87188a14adbb222</x:v>
      </x:c>
      <x:c r="R2723" t="str">
        <x:v>8125346753fa442ed777a22a67b817367371619afdfc04cb77de1670c0ed2379</x:v>
      </x:c>
      <x:c r="S2723" t="n">
        <x:v>7</x:v>
      </x:c>
      <x:c r="T2723" t="str">
        <x:v>2018-12-31|2019-12-31|2020-12-31|2021-12-31|2022-12-31|2023-12-31</x:v>
      </x:c>
      <x:c r="U2723" s="57" t="n">
        <x:v>795.2291200624518</x:v>
      </x:c>
      <x:c r="V2723" s="57" t="n">
        <x:v>-0.8308023148803294</x:v>
      </x:c>
      <x:c r="W2723" t="n">
        <x:v>64</x:v>
      </x:c>
      <x:c r="X2723" t="n">
        <x:v>5</x:v>
      </x:c>
      <x:c r="Y2723" s="38" t="n">
        <x:v>0.6409090909090909</x:v>
      </x:c>
      <x:c r="Z2723" s="38" t="n">
        <x:v>0.7736031747531312</x:v>
      </x:c>
      <x:c r="AA2723"/>
    </x:row>
    <x:row r="2724">
      <x:c r="A2724" s="54" t="n">
        <x:v>45565</x:v>
      </x:c>
      <x:c r="B2724" t="n">
        <x:v>45565.624999988424</x:v>
      </x:c>
      <x:c r="C2724" t="str">
        <x:v>060900</x:v>
      </x:c>
      <x:c r="D2724" t="str">
        <x:v>DGP</x:v>
      </x:c>
      <x:c r="E2724" t="str">
        <x:v>KOSDAQ</x:v>
      </x:c>
      <x:c r="F2724" t="str">
        <x:v>SMALL</x:v>
      </x:c>
      <x:c r="G2724" t="str">
        <x:v>DCF_SCREENING_EXCLUSION</x:v>
      </x:c>
      <x:c r="H2724" t="str">
        <x:v>NON_POSITIVE_ENTERPRISE_VALUE|NON_POSITIVE_EQUITY_VALUE|NON_POSITIVE_TERMINAL_FCF</x:v>
      </x:c>
      <x:c r="I2724" s="54" t="n">
        <x:v>45565</x:v>
      </x:c>
      <x:c r="J2724" s="55" t="n">
        <x:v>1124</x:v>
      </x:c>
      <x:c r="K2724" s="55" t="n">
        <x:v>28390249396</x:v>
      </x:c>
      <x:c r="L2724" s="55" t="n">
        <x:v>25258229</x:v>
      </x:c>
      <x:c r="M2724" t="str">
        <x:v>20240321001894</x:v>
      </x:c>
      <x:c r="N2724" t="n">
        <x:v>45372.624999988424</x:v>
      </x:c>
      <x:c r="O2724" s="54" t="n">
        <x:v>45291</x:v>
      </x:c>
      <x:c r="P2724" t="str">
        <x:v>True</x:v>
      </x:c>
      <x:c r="Q2724" t="str">
        <x:v>1474ada931eb98b57e14ab7ff50c791dc82e5b1d395e17eaf8f3027f0dcc9574</x:v>
      </x:c>
      <x:c r="R2724" t="str">
        <x:v>af32aa183884862091064b823e70b298662bea83ef667da6652d0713a03d64d3</x:v>
      </x:c>
      <x:c r="S2724" t="n">
        <x:v>5</x:v>
      </x:c>
      <x:c r="T2724" t="str">
        <x:v>2018-12-31|2019-12-31|2021-12-31|2022-12-31|2023-12-31</x:v>
      </x:c>
      <x:c r="U2724" s="57" t="n">
        <x:v>-1283.8058073904676</x:v>
      </x:c>
      <x:c r="V2724" s="57" t="n">
        <x:v>-2.142175985222836</x:v>
      </x:c>
      <x:c r="W2724"/>
      <x:c r="X2724"/>
      <x:c r="Y2724" s="38" t="n">
        <x:v>0.6409090909090909</x:v>
      </x:c>
      <x:c r="Z2724" s="38" t="n">
        <x:v>0.621144036130219</x:v>
      </x:c>
      <x:c r="AA2724" t="str">
        <x:v>NON_POSITIVE_ENTERPRISE_VALUE|NON_POSITIVE_EQUITY_VALUE|NON_POSITIVE_TERMINAL_FCF</x:v>
      </x:c>
    </x:row>
    <x:row r="2725">
      <x:c r="A2725" s="54" t="n">
        <x:v>45565</x:v>
      </x:c>
      <x:c r="B2725" t="n">
        <x:v>45565.624999988424</x:v>
      </x:c>
      <x:c r="C2725" t="str">
        <x:v>232830</x:v>
      </x:c>
      <x:c r="D2725" t="str">
        <x:v>아이티센피엔에스</x:v>
      </x:c>
      <x:c r="E2725" t="str">
        <x:v>KOSDAQ</x:v>
      </x:c>
      <x:c r="F2725" t="str">
        <x:v>SMALL</x:v>
      </x:c>
      <x:c r="G2725" t="str">
        <x:v>DCF_SCREENING_EXCLUSION</x:v>
      </x:c>
      <x:c r="H2725" t="str">
        <x:v>NON_POSITIVE_ENTERPRISE_VALUE|NON_POSITIVE_EQUITY_VALUE|NON_POSITIVE_TERMINAL_FCF</x:v>
      </x:c>
      <x:c r="I2725" s="54" t="n">
        <x:v>45565</x:v>
      </x:c>
      <x:c r="J2725" s="55" t="n">
        <x:v>2070</x:v>
      </x:c>
      <x:c r="K2725" s="55" t="n">
        <x:v>24234467040</x:v>
      </x:c>
      <x:c r="L2725" s="55" t="n">
        <x:v>11707472</x:v>
      </x:c>
      <x:c r="M2725" t="str">
        <x:v>20240318000711</x:v>
      </x:c>
      <x:c r="N2725" t="n">
        <x:v>45369.624999988424</x:v>
      </x:c>
      <x:c r="O2725" s="54" t="n">
        <x:v>45291</x:v>
      </x:c>
      <x:c r="P2725" t="str">
        <x:v>False</x:v>
      </x:c>
      <x:c r="Q2725" t="str">
        <x:v>2ef9f4621e5d771c469b1b6c7fdc4cd88bef1e6298a76a757c5b3c158fc41901</x:v>
      </x:c>
      <x:c r="R2725" t="str">
        <x:v>676c3589c1b25fc921096fefbc5c14cae7e63b0412aea817f9e7fe7d395cd937</x:v>
      </x:c>
      <x:c r="S2725" t="n">
        <x:v>6</x:v>
      </x:c>
      <x:c r="T2725" t="str">
        <x:v>2023-12-31</x:v>
      </x:c>
      <x:c r="U2725" s="57" t="n">
        <x:v>-882.1328119703383</x:v>
      </x:c>
      <x:c r="V2725" s="57" t="n">
        <x:v>-1.4261511168938832</x:v>
      </x:c>
      <x:c r="W2725"/>
      <x:c r="X2725"/>
      <x:c r="Y2725" s="38" t="n">
        <x:v>0.6409090909090909</x:v>
      </x:c>
      <x:c r="Z2725" s="38" t="n">
        <x:v>0.6264850986190418</x:v>
      </x:c>
      <x:c r="AA2725" t="str">
        <x:v>NON_POSITIVE_ENTERPRISE_VALUE|NON_POSITIVE_EQUITY_VALUE|NON_POSITIVE_TERMINAL_FCF</x:v>
      </x:c>
    </x:row>
    <x:row r="2726">
      <x:c r="A2726" s="54" t="n">
        <x:v>45565</x:v>
      </x:c>
      <x:c r="B2726" t="n">
        <x:v>45565.624999988424</x:v>
      </x:c>
      <x:c r="C2726" t="str">
        <x:v>070590</x:v>
      </x:c>
      <x:c r="D2726" t="str">
        <x:v>한솔인티큐브</x:v>
      </x:c>
      <x:c r="E2726" t="str">
        <x:v>KOSDAQ</x:v>
      </x:c>
      <x:c r="F2726" t="str">
        <x:v>SMALL</x:v>
      </x:c>
      <x:c r="G2726" t="str">
        <x:v>DCF_SCREENING_EXCLUSION</x:v>
      </x:c>
      <x:c r="H2726" t="str">
        <x:v>NON_POSITIVE_ENTERPRISE_VALUE|NON_POSITIVE_EQUITY_VALUE|NON_POSITIVE_TERMINAL_FCF</x:v>
      </x:c>
      <x:c r="I2726" s="54" t="n">
        <x:v>45565</x:v>
      </x:c>
      <x:c r="J2726" s="55" t="n">
        <x:v>1158</x:v>
      </x:c>
      <x:c r="K2726" s="55" t="n">
        <x:v>16072485318</x:v>
      </x:c>
      <x:c r="L2726" s="55" t="n">
        <x:v>13879521</x:v>
      </x:c>
      <x:c r="M2726" t="str">
        <x:v>20240312000981</x:v>
      </x:c>
      <x:c r="N2726" t="n">
        <x:v>45363.624999988424</x:v>
      </x:c>
      <x:c r="O2726" s="54" t="n">
        <x:v>45291</x:v>
      </x:c>
      <x:c r="P2726" t="str">
        <x:v>False</x:v>
      </x:c>
      <x:c r="Q2726" t="str">
        <x:v>1dcf4f95e11520238d31fe55d66a361893d88863002eb93ccfa11d774ad77ecd</x:v>
      </x:c>
      <x:c r="R2726" t="str">
        <x:v>0a25ac283323a913ae282d5b4fa9d812e4daf6e8b8fde04a6d83b338fee07dc1</x:v>
      </x:c>
      <x:c r="S2726" t="n">
        <x:v>6</x:v>
      </x:c>
      <x:c r="T2726" t="str">
        <x:v>2018-12-31|2019-12-31|2020-12-31|2021-12-31|2022-12-31|2023-12-31</x:v>
      </x:c>
      <x:c r="U2726" s="57" t="n">
        <x:v>-727.1708574239069</x:v>
      </x:c>
      <x:c r="V2726" s="57" t="n">
        <x:v>-1.6279541083108005</x:v>
      </x:c>
      <x:c r="W2726"/>
      <x:c r="X2726"/>
      <x:c r="Y2726" s="38" t="n">
        <x:v>0.6409090909090909</x:v>
      </x:c>
      <x:c r="Z2726" s="38" t="n">
        <x:v>0.39168294997409436</x:v>
      </x:c>
      <x:c r="AA2726" t="str">
        <x:v>NON_POSITIVE_ENTERPRISE_VALUE|NON_POSITIVE_EQUITY_VALUE|NON_POSITIVE_TERMINAL_FCF</x:v>
      </x:c>
    </x:row>
    <x:row r="2727">
      <x:c r="A2727" s="54" t="n">
        <x:v>45565</x:v>
      </x:c>
      <x:c r="B2727" t="n">
        <x:v>45565.624999988424</x:v>
      </x:c>
      <x:c r="C2727" t="str">
        <x:v>163560</x:v>
      </x:c>
      <x:c r="D2727" t="str">
        <x:v>동일고무벨트</x:v>
      </x:c>
      <x:c r="E2727" t="str">
        <x:v>KOSPI</x:v>
      </x:c>
      <x:c r="F2727" t="str">
        <x:v>SMALL</x:v>
      </x:c>
      <x:c r="G2727" t="str">
        <x:v>ELIGIBLE</x:v>
      </x:c>
      <x:c r="H2727"/>
      <x:c r="I2727" s="54" t="n">
        <x:v>45565</x:v>
      </x:c>
      <x:c r="J2727" s="55" t="n">
        <x:v>7620</x:v>
      </x:c>
      <x:c r="K2727" s="55" t="n">
        <x:v>105918000000</x:v>
      </x:c>
      <x:c r="L2727" s="55" t="n">
        <x:v>13900000</x:v>
      </x:c>
      <x:c r="M2727" t="str">
        <x:v>20240312000727</x:v>
      </x:c>
      <x:c r="N2727" t="n">
        <x:v>45363.624999988424</x:v>
      </x:c>
      <x:c r="O2727" s="54" t="n">
        <x:v>45291</x:v>
      </x:c>
      <x:c r="P2727" t="str">
        <x:v>False</x:v>
      </x:c>
      <x:c r="Q2727" t="str">
        <x:v>8300d6b1875715c243030f671f2aaf02f96d54e1068e1a551b702430cd374885</x:v>
      </x:c>
      <x:c r="R2727" t="str">
        <x:v>219a543a521b843095fcaa2f4cf5a286d564452ada755581ce03daced7cab1f4</x:v>
      </x:c>
      <x:c r="S2727" t="n">
        <x:v>5</x:v>
      </x:c>
      <x:c r="T2727" t="str">
        <x:v>2018-12-31|2019-12-31|2020-12-31|2021-12-31|2022-12-31|2023-12-31</x:v>
      </x:c>
      <x:c r="U2727" s="57" t="n">
        <x:v>3794.8274011621584</x:v>
      </x:c>
      <x:c r="V2727" s="57" t="n">
        <x:v>-0.5019911547031288</x:v>
      </x:c>
      <x:c r="W2727" t="n">
        <x:v>47</x:v>
      </x:c>
      <x:c r="X2727" t="n">
        <x:v>4</x:v>
      </x:c>
      <x:c r="Y2727" s="38" t="n">
        <x:v>0.6409090909090909</x:v>
      </x:c>
      <x:c r="Z2727" s="38" t="n">
        <x:v>0.63760841552032</x:v>
      </x:c>
      <x:c r="AA2727"/>
    </x:row>
    <x:row r="2728">
      <x:c r="A2728" s="54" t="n">
        <x:v>45565</x:v>
      </x:c>
      <x:c r="B2728" t="n">
        <x:v>45565.624999988424</x:v>
      </x:c>
      <x:c r="C2728" t="str">
        <x:v>004830</x:v>
      </x:c>
      <x:c r="D2728" t="str">
        <x:v>덕성</x:v>
      </x:c>
      <x:c r="E2728" t="str">
        <x:v>KOSPI</x:v>
      </x:c>
      <x:c r="F2728" t="str">
        <x:v>SMALL</x:v>
      </x:c>
      <x:c r="G2728" t="str">
        <x:v>ELIGIBLE</x:v>
      </x:c>
      <x:c r="H2728"/>
      <x:c r="I2728" s="54" t="n">
        <x:v>45565</x:v>
      </x:c>
      <x:c r="J2728" s="55" t="n">
        <x:v>6870</x:v>
      </x:c>
      <x:c r="K2728" s="55" t="n">
        <x:v>107721600000</x:v>
      </x:c>
      <x:c r="L2728" s="55" t="n">
        <x:v>15680000</x:v>
      </x:c>
      <x:c r="M2728" t="str">
        <x:v>20240318000444</x:v>
      </x:c>
      <x:c r="N2728" t="n">
        <x:v>45369.624999988424</x:v>
      </x:c>
      <x:c r="O2728" s="54" t="n">
        <x:v>45291</x:v>
      </x:c>
      <x:c r="P2728" t="str">
        <x:v>False</x:v>
      </x:c>
      <x:c r="Q2728" t="str">
        <x:v>5c791e9d7c4baa9765c24340c5b47bda11989d0310430c6cc33cf087e7d59d93</x:v>
      </x:c>
      <x:c r="R2728" t="str">
        <x:v>d7fd13e4080789861d787a14face42a4b7821446f86335eeac9fa652e97eec43</x:v>
      </x:c>
      <x:c r="S2728" t="n">
        <x:v>7</x:v>
      </x:c>
      <x:c r="T2728" t="str">
        <x:v>2018-12-31|2019-12-31|2020-12-31|2021-12-31|2022-12-31|2023-12-31</x:v>
      </x:c>
      <x:c r="U2728" s="57" t="n">
        <x:v>2363.208087404123</x:v>
      </x:c>
      <x:c r="V2728" s="57" t="n">
        <x:v>-0.6560104676267652</x:v>
      </x:c>
      <x:c r="W2728" t="n">
        <x:v>52</x:v>
      </x:c>
      <x:c r="X2728" t="n">
        <x:v>4</x:v>
      </x:c>
      <x:c r="Y2728" s="38" t="n">
        <x:v>0.6409090909090909</x:v>
      </x:c>
      <x:c r="Z2728" s="38" t="n">
        <x:v>0.6091383391219799</x:v>
      </x:c>
      <x:c r="AA2728"/>
    </x:row>
    <x:row r="2729">
      <x:c r="A2729" s="54" t="n">
        <x:v>45565</x:v>
      </x:c>
      <x:c r="B2729" t="n">
        <x:v>45565.624999988424</x:v>
      </x:c>
      <x:c r="C2729" t="str">
        <x:v>014440</x:v>
      </x:c>
      <x:c r="D2729" t="str">
        <x:v>영보화학</x:v>
      </x:c>
      <x:c r="E2729" t="str">
        <x:v>KOSPI</x:v>
      </x:c>
      <x:c r="F2729" t="str">
        <x:v>SMALL</x:v>
      </x:c>
      <x:c r="G2729" t="str">
        <x:v>ELIGIBLE</x:v>
      </x:c>
      <x:c r="H2729"/>
      <x:c r="I2729" s="54" t="n">
        <x:v>45565</x:v>
      </x:c>
      <x:c r="J2729" s="55" t="n">
        <x:v>3435</x:v>
      </x:c>
      <x:c r="K2729" s="55" t="n">
        <x:v>68700000000</x:v>
      </x:c>
      <x:c r="L2729" s="55" t="n">
        <x:v>20000000</x:v>
      </x:c>
      <x:c r="M2729" t="str">
        <x:v>20240313001248</x:v>
      </x:c>
      <x:c r="N2729" t="n">
        <x:v>45364.624999988424</x:v>
      </x:c>
      <x:c r="O2729" s="54" t="n">
        <x:v>45291</x:v>
      </x:c>
      <x:c r="P2729" t="str">
        <x:v>False</x:v>
      </x:c>
      <x:c r="Q2729" t="str">
        <x:v>906f6477c652f0506d6357d210e56a5f26efb08af099195d43ebe66ddb3a9a16</x:v>
      </x:c>
      <x:c r="R2729" t="str">
        <x:v>6cfa4e5d2a857dac7b466b3d3e6f158247567fd453702755355a023a17654a90</x:v>
      </x:c>
      <x:c r="S2729" t="n">
        <x:v>6</x:v>
      </x:c>
      <x:c r="T2729" t="str">
        <x:v>2018-12-31|2019-12-31|2020-12-31|2021-12-31|2022-12-31|2023-12-31</x:v>
      </x:c>
      <x:c r="U2729" s="57" t="n">
        <x:v>2627.709734330535</x:v>
      </x:c>
      <x:c r="V2729" s="57" t="n">
        <x:v>-0.23501900019489516</x:v>
      </x:c>
      <x:c r="W2729" t="n">
        <x:v>35</x:v>
      </x:c>
      <x:c r="X2729" t="n">
        <x:v>3</x:v>
      </x:c>
      <x:c r="Y2729" s="38" t="n">
        <x:v>0.6409090909090909</x:v>
      </x:c>
      <x:c r="Z2729" s="38" t="n">
        <x:v>0.3830129280904156</x:v>
      </x:c>
      <x:c r="AA2729"/>
    </x:row>
    <x:row r="2730">
      <x:c r="A2730" s="54" t="n">
        <x:v>45565</x:v>
      </x:c>
      <x:c r="B2730" t="n">
        <x:v>45565.624999988424</x:v>
      </x:c>
      <x:c r="C2730" t="str">
        <x:v>009180</x:v>
      </x:c>
      <x:c r="D2730" t="str">
        <x:v>한솔로지스틱스</x:v>
      </x:c>
      <x:c r="E2730" t="str">
        <x:v>KOSPI</x:v>
      </x:c>
      <x:c r="F2730" t="str">
        <x:v>SMALL</x:v>
      </x:c>
      <x:c r="G2730" t="str">
        <x:v>ELIGIBLE</x:v>
      </x:c>
      <x:c r="H2730"/>
      <x:c r="I2730" s="54" t="n">
        <x:v>45565</x:v>
      </x:c>
      <x:c r="J2730" s="55" t="n">
        <x:v>2455</x:v>
      </x:c>
      <x:c r="K2730" s="55" t="n">
        <x:v>68879996375</x:v>
      </x:c>
      <x:c r="L2730" s="55" t="n">
        <x:v>28057025</x:v>
      </x:c>
      <x:c r="M2730" t="str">
        <x:v>20240312000456</x:v>
      </x:c>
      <x:c r="N2730" t="n">
        <x:v>45363.624999988424</x:v>
      </x:c>
      <x:c r="O2730" s="54" t="n">
        <x:v>45291</x:v>
      </x:c>
      <x:c r="P2730" t="str">
        <x:v>False</x:v>
      </x:c>
      <x:c r="Q2730" t="str">
        <x:v>e3e86eda83e12a1cdfafba8607f3d06217ed3703a0d0654f09efaa4b44fe752a</x:v>
      </x:c>
      <x:c r="R2730" t="str">
        <x:v>bf9d76ef0c6161455304be5f656f5022db39256267de7ec786e18b5457e5cfd2</x:v>
      </x:c>
      <x:c r="S2730" t="n">
        <x:v>6</x:v>
      </x:c>
      <x:c r="T2730" t="str">
        <x:v>2018-12-31|2019-12-31|2020-12-31|2021-12-31|2022-12-31|2023-12-31</x:v>
      </x:c>
      <x:c r="U2730" s="57" t="n">
        <x:v>6464.2183829052</x:v>
      </x:c>
      <x:c r="V2730" s="57" t="n">
        <x:v>1.6330828443605703</x:v>
      </x:c>
      <x:c r="W2730" t="n">
        <x:v>9</x:v>
      </x:c>
      <x:c r="X2730" t="n">
        <x:v>1</x:v>
      </x:c>
      <x:c r="Y2730" s="38" t="n">
        <x:v>0.6409090909090909</x:v>
      </x:c>
      <x:c r="Z2730" s="38" t="n">
        <x:v>0.6327524850142684</x:v>
      </x:c>
      <x:c r="AA2730"/>
    </x:row>
    <x:row r="2731">
      <x:c r="A2731" s="54" t="n">
        <x:v>45565</x:v>
      </x:c>
      <x:c r="B2731" t="n">
        <x:v>45565.624999988424</x:v>
      </x:c>
      <x:c r="C2731" t="str">
        <x:v>004910</x:v>
      </x:c>
      <x:c r="D2731" t="str">
        <x:v>조광페인트</x:v>
      </x:c>
      <x:c r="E2731" t="str">
        <x:v>KOSPI</x:v>
      </x:c>
      <x:c r="F2731" t="str">
        <x:v>SMALL</x:v>
      </x:c>
      <x:c r="G2731" t="str">
        <x:v>DCF_SCREENING_EXCLUSION</x:v>
      </x:c>
      <x:c r="H2731" t="str">
        <x:v>NON_POSITIVE_ENTERPRISE_VALUE|NON_POSITIVE_EQUITY_VALUE|NON_POSITIVE_TERMINAL_FCF</x:v>
      </x:c>
      <x:c r="I2731" s="54" t="n">
        <x:v>45565</x:v>
      </x:c>
      <x:c r="J2731" s="55" t="n">
        <x:v>6670</x:v>
      </x:c>
      <x:c r="K2731" s="55" t="n">
        <x:v>85376000000</x:v>
      </x:c>
      <x:c r="L2731" s="55" t="n">
        <x:v>12800000</x:v>
      </x:c>
      <x:c r="M2731" t="str">
        <x:v>20240320000988</x:v>
      </x:c>
      <x:c r="N2731" t="n">
        <x:v>45371.624999988424</x:v>
      </x:c>
      <x:c r="O2731" s="54" t="n">
        <x:v>45291</x:v>
      </x:c>
      <x:c r="P2731" t="str">
        <x:v>False</x:v>
      </x:c>
      <x:c r="Q2731" t="str">
        <x:v>011166dc06a77bd72caf4b4c520c6c3d496b4d62095b3f9f3304a8a9c15b76e8</x:v>
      </x:c>
      <x:c r="R2731" t="str">
        <x:v>38f0a80f49dd016085e3272f83dedfb09ff2e263674bbb598f8d3e74fda0d5a1</x:v>
      </x:c>
      <x:c r="S2731" t="n">
        <x:v>6</x:v>
      </x:c>
      <x:c r="T2731" t="str">
        <x:v>2018-12-31|2019-12-31|2020-12-31|2021-12-31|2022-12-31|2023-12-31</x:v>
      </x:c>
      <x:c r="U2731" s="57" t="n">
        <x:v>-7916.655886505957</x:v>
      </x:c>
      <x:c r="V2731" s="57" t="n">
        <x:v>-2.186904930510638</x:v>
      </x:c>
      <x:c r="W2731"/>
      <x:c r="X2731"/>
      <x:c r="Y2731" s="38" t="n">
        <x:v>0.6409090909090909</x:v>
      </x:c>
      <x:c r="Z2731" s="38" t="n">
        <x:v>0.7035350926583852</x:v>
      </x:c>
      <x:c r="AA2731" t="str">
        <x:v>NON_POSITIVE_ENTERPRISE_VALUE|NON_POSITIVE_EQUITY_VALUE|NON_POSITIVE_TERMINAL_FCF</x:v>
      </x:c>
    </x:row>
    <x:row r="2732">
      <x:c r="A2732" s="54" t="n">
        <x:v>45565</x:v>
      </x:c>
      <x:c r="B2732" t="n">
        <x:v>45565.624999988424</x:v>
      </x:c>
      <x:c r="C2732" t="str">
        <x:v>004870</x:v>
      </x:c>
      <x:c r="D2732" t="str">
        <x:v>티웨이홀딩스</x:v>
      </x:c>
      <x:c r="E2732" t="str">
        <x:v>KOSPI</x:v>
      </x:c>
      <x:c r="F2732" t="str">
        <x:v>SMALL</x:v>
      </x:c>
      <x:c r="G2732" t="str">
        <x:v>EXCLUDED_ARCHETYPE</x:v>
      </x:c>
      <x:c r="H2732" t="str">
        <x:v>FCFF_NOT_COMPARABLE_FOR_FINANCE_OR_HOLDING_HINT</x:v>
      </x:c>
      <x:c r="I2732" s="54"/>
      <x:c r="J2732" s="55"/>
      <x:c r="K2732" s="55"/>
      <x:c r="L2732" s="55"/>
      <x:c r="M2732"/>
      <x:c r="N2732"/>
      <x:c r="O2732" s="54"/>
      <x:c r="P2732"/>
      <x:c r="Q2732"/>
      <x:c r="R2732"/>
      <x:c r="S2732"/>
      <x:c r="T2732"/>
      <x:c r="U2732" s="57"/>
      <x:c r="V2732" s="57"/>
      <x:c r="W2732"/>
      <x:c r="X2732"/>
      <x:c r="Y2732" s="38"/>
      <x:c r="Z2732" s="38"/>
      <x:c r="AA2732"/>
    </x:row>
    <x:row r="2733">
      <x:c r="A2733" s="54" t="n">
        <x:v>45565</x:v>
      </x:c>
      <x:c r="B2733" t="n">
        <x:v>45565.624999988424</x:v>
      </x:c>
      <x:c r="C2733" t="str">
        <x:v>010770</x:v>
      </x:c>
      <x:c r="D2733" t="str">
        <x:v>평화홀딩스</x:v>
      </x:c>
      <x:c r="E2733" t="str">
        <x:v>KOSPI</x:v>
      </x:c>
      <x:c r="F2733" t="str">
        <x:v>SMALL</x:v>
      </x:c>
      <x:c r="G2733" t="str">
        <x:v>EXCLUDED_ARCHETYPE</x:v>
      </x:c>
      <x:c r="H2733" t="str">
        <x:v>FCFF_NOT_COMPARABLE_FOR_FINANCE_OR_HOLDING_HINT</x:v>
      </x:c>
      <x:c r="I2733" s="54"/>
      <x:c r="J2733" s="55"/>
      <x:c r="K2733" s="55"/>
      <x:c r="L2733" s="55"/>
      <x:c r="M2733"/>
      <x:c r="N2733"/>
      <x:c r="O2733" s="54"/>
      <x:c r="P2733"/>
      <x:c r="Q2733"/>
      <x:c r="R2733"/>
      <x:c r="S2733"/>
      <x:c r="T2733"/>
      <x:c r="U2733" s="57"/>
      <x:c r="V2733" s="57"/>
      <x:c r="W2733"/>
      <x:c r="X2733"/>
      <x:c r="Y2733" s="38"/>
      <x:c r="Z2733" s="38"/>
      <x:c r="AA2733"/>
    </x:row>
    <x:row r="2734">
      <x:c r="A2734" s="54" t="n">
        <x:v>45565</x:v>
      </x:c>
      <x:c r="B2734" t="n">
        <x:v>45565.624999988424</x:v>
      </x:c>
      <x:c r="C2734" t="str">
        <x:v>001290</x:v>
      </x:c>
      <x:c r="D2734" t="str">
        <x:v>상상인증권</x:v>
      </x:c>
      <x:c r="E2734" t="str">
        <x:v>KOSPI</x:v>
      </x:c>
      <x:c r="F2734" t="str">
        <x:v>SMALL</x:v>
      </x:c>
      <x:c r="G2734" t="str">
        <x:v>EXCLUDED_ARCHETYPE</x:v>
      </x:c>
      <x:c r="H2734" t="str">
        <x:v>FCFF_NOT_COMPARABLE_FOR_FINANCE_OR_HOLDING_HINT</x:v>
      </x:c>
      <x:c r="I2734" s="54"/>
      <x:c r="J2734" s="55"/>
      <x:c r="K2734" s="55"/>
      <x:c r="L2734" s="55"/>
      <x:c r="M2734"/>
      <x:c r="N2734"/>
      <x:c r="O2734" s="54"/>
      <x:c r="P2734"/>
      <x:c r="Q2734"/>
      <x:c r="R2734"/>
      <x:c r="S2734"/>
      <x:c r="T2734"/>
      <x:c r="U2734" s="57"/>
      <x:c r="V2734" s="57"/>
      <x:c r="W2734"/>
      <x:c r="X2734"/>
      <x:c r="Y2734" s="38"/>
      <x:c r="Z2734" s="38"/>
      <x:c r="AA2734"/>
    </x:row>
    <x:row r="2735">
      <x:c r="A2735" s="54" t="n">
        <x:v>45565</x:v>
      </x:c>
      <x:c r="B2735" t="n">
        <x:v>45565.624999988424</x:v>
      </x:c>
      <x:c r="C2735" t="str">
        <x:v>047400</x:v>
      </x:c>
      <x:c r="D2735" t="str">
        <x:v>유니온머티리얼</x:v>
      </x:c>
      <x:c r="E2735" t="str">
        <x:v>KOSPI</x:v>
      </x:c>
      <x:c r="F2735" t="str">
        <x:v>SMALL</x:v>
      </x:c>
      <x:c r="G2735" t="str">
        <x:v>DCF_SCREENING_EXCLUSION</x:v>
      </x:c>
      <x:c r="H2735" t="str">
        <x:v>NON_POSITIVE_ENTERPRISE_VALUE|NON_POSITIVE_EQUITY_VALUE|NON_POSITIVE_TERMINAL_FCF</x:v>
      </x:c>
      <x:c r="I2735" s="54" t="n">
        <x:v>45565</x:v>
      </x:c>
      <x:c r="J2735" s="55" t="n">
        <x:v>2130</x:v>
      </x:c>
      <x:c r="K2735" s="55" t="n">
        <x:v>89460000000</x:v>
      </x:c>
      <x:c r="L2735" s="55" t="n">
        <x:v>42000000</x:v>
      </x:c>
      <x:c r="M2735" t="str">
        <x:v>20240320001765</x:v>
      </x:c>
      <x:c r="N2735" t="n">
        <x:v>45371.624999988424</x:v>
      </x:c>
      <x:c r="O2735" s="54" t="n">
        <x:v>45291</x:v>
      </x:c>
      <x:c r="P2735" t="str">
        <x:v>False</x:v>
      </x:c>
      <x:c r="Q2735" t="str">
        <x:v>5388f7e4d62e738917bcb25445a6393239daafedd04b6510c6b284bc33bd94b9</x:v>
      </x:c>
      <x:c r="R2735" t="str">
        <x:v>7e8bbc2b129cefc9496566cc6cc894fd4e78a2be493d05699d922af91a39b2b1</x:v>
      </x:c>
      <x:c r="S2735" t="n">
        <x:v>7</x:v>
      </x:c>
      <x:c r="T2735" t="str">
        <x:v>2018-12-31|2019-12-31|2020-12-31|2021-12-31|2022-12-31|2023-12-31</x:v>
      </x:c>
      <x:c r="U2735" s="57" t="n">
        <x:v>-2955.842766905707</x:v>
      </x:c>
      <x:c r="V2735" s="57" t="n">
        <x:v>-2.3877196088759187</x:v>
      </x:c>
      <x:c r="W2735"/>
      <x:c r="X2735"/>
      <x:c r="Y2735" s="38" t="n">
        <x:v>0.6409090909090909</x:v>
      </x:c>
      <x:c r="Z2735" s="38" t="n">
        <x:v>0.5638612783643214</x:v>
      </x:c>
      <x:c r="AA2735" t="str">
        <x:v>NON_POSITIVE_ENTERPRISE_VALUE|NON_POSITIVE_EQUITY_VALUE|NON_POSITIVE_TERMINAL_FCF</x:v>
      </x:c>
    </x:row>
    <x:row r="2736">
      <x:c r="A2736" s="54" t="n">
        <x:v>45565</x:v>
      </x:c>
      <x:c r="B2736" t="n">
        <x:v>45565.624999988424</x:v>
      </x:c>
      <x:c r="C2736" t="str">
        <x:v>011300</x:v>
      </x:c>
      <x:c r="D2736" t="str">
        <x:v>성안머티리얼스</x:v>
      </x:c>
      <x:c r="E2736" t="str">
        <x:v>KOSPI</x:v>
      </x:c>
      <x:c r="F2736" t="str">
        <x:v>SMALL</x:v>
      </x:c>
      <x:c r="G2736" t="str">
        <x:v>DCF_SCREENING_EXCLUSION</x:v>
      </x:c>
      <x:c r="H2736" t="str">
        <x:v>NON_POSITIVE_ENTERPRISE_VALUE|NON_POSITIVE_EQUITY_VALUE|NON_POSITIVE_TERMINAL_FCF</x:v>
      </x:c>
      <x:c r="I2736" s="54" t="n">
        <x:v>45565</x:v>
      </x:c>
      <x:c r="J2736" s="55" t="n">
        <x:v>540</x:v>
      </x:c>
      <x:c r="K2736" s="55" t="n">
        <x:v>43717761180</x:v>
      </x:c>
      <x:c r="L2736" s="55" t="n">
        <x:v>80958817</x:v>
      </x:c>
      <x:c r="M2736" t="str">
        <x:v>20240321001113</x:v>
      </x:c>
      <x:c r="N2736" t="n">
        <x:v>45372.624999988424</x:v>
      </x:c>
      <x:c r="O2736" s="54" t="n">
        <x:v>45291</x:v>
      </x:c>
      <x:c r="P2736" t="str">
        <x:v>False</x:v>
      </x:c>
      <x:c r="Q2736" t="str">
        <x:v>e6e54bed3ead79b641dcaa9bf885e9e250dabc02777af1069689273f4df3cb72</x:v>
      </x:c>
      <x:c r="R2736" t="str">
        <x:v>79d7dbebfb369b6a4f104b9f12e2ef3dd5e57ae35ac5295fc565aca4497da4b0</x:v>
      </x:c>
      <x:c r="S2736" t="n">
        <x:v>7</x:v>
      </x:c>
      <x:c r="T2736" t="str">
        <x:v>2018-12-31|2019-12-31|2020-12-31|2021-12-31|2022-12-31|2023-12-31</x:v>
      </x:c>
      <x:c r="U2736" s="57" t="n">
        <x:v>-494.17469823174946</x:v>
      </x:c>
      <x:c r="V2736" s="57" t="n">
        <x:v>-1.9151383300587954</x:v>
      </x:c>
      <x:c r="W2736"/>
      <x:c r="X2736"/>
      <x:c r="Y2736" s="38" t="n">
        <x:v>0.6409090909090909</x:v>
      </x:c>
      <x:c r="Z2736" s="38" t="n">
        <x:v>0.35474198726081796</x:v>
      </x:c>
      <x:c r="AA2736" t="str">
        <x:v>NON_POSITIVE_ENTERPRISE_VALUE|NON_POSITIVE_EQUITY_VALUE|NON_POSITIVE_TERMINAL_FCF</x:v>
      </x:c>
    </x:row>
    <x:row r="2737">
      <x:c r="A2737" s="54" t="n">
        <x:v>45565</x:v>
      </x:c>
      <x:c r="B2737" t="n">
        <x:v>45565.624999988424</x:v>
      </x:c>
      <x:c r="C2737" t="str">
        <x:v>018500</x:v>
      </x:c>
      <x:c r="D2737" t="str">
        <x:v>동원금속</x:v>
      </x:c>
      <x:c r="E2737" t="str">
        <x:v>KOSPI</x:v>
      </x:c>
      <x:c r="F2737" t="str">
        <x:v>SMALL</x:v>
      </x:c>
      <x:c r="G2737" t="str">
        <x:v>DCF_SCREENING_EXCLUSION</x:v>
      </x:c>
      <x:c r="H2737" t="str">
        <x:v>NON_POSITIVE_EQUITY_VALUE|NON_POSITIVE_TERMINAL_FCF|UNRELIABLE_TERMINAL_VALUE_SHARE</x:v>
      </x:c>
      <x:c r="I2737" s="54" t="n">
        <x:v>45565</x:v>
      </x:c>
      <x:c r="J2737" s="55" t="n">
        <x:v>1383</x:v>
      </x:c>
      <x:c r="K2737" s="55" t="n">
        <x:v>64662072339</x:v>
      </x:c>
      <x:c r="L2737" s="55" t="n">
        <x:v>46754933</x:v>
      </x:c>
      <x:c r="M2737" t="str">
        <x:v>20240619000177</x:v>
      </x:c>
      <x:c r="N2737" t="n">
        <x:v>45462.624999988424</x:v>
      </x:c>
      <x:c r="O2737" s="54" t="n">
        <x:v>45382</x:v>
      </x:c>
      <x:c r="P2737" t="str">
        <x:v>False</x:v>
      </x:c>
      <x:c r="Q2737" t="str">
        <x:v>8a03c200412751313e60676f690eeaccfa94e6e2d3d5c91635efb46b2b4c556a</x:v>
      </x:c>
      <x:c r="R2737" t="str">
        <x:v>221c2a022065bc5e4b98f0ad26e589d1263a832088a1015b66150b62c26290ba</x:v>
      </x:c>
      <x:c r="S2737" t="n">
        <x:v>6</x:v>
      </x:c>
      <x:c r="T2737" t="str">
        <x:v>2019-03-31|2020-03-31|2021-03-31|2022-03-31|2023-03-31|2024-03-31</x:v>
      </x:c>
      <x:c r="U2737" s="57" t="n">
        <x:v>-2219.933760496447</x:v>
      </x:c>
      <x:c r="V2737" s="57" t="n">
        <x:v>-2.6051581782331503</x:v>
      </x:c>
      <x:c r="W2737"/>
      <x:c r="X2737"/>
      <x:c r="Y2737" s="38" t="n">
        <x:v>0.6409090909090909</x:v>
      </x:c>
      <x:c r="Z2737" s="38" t="n">
        <x:v>-3.12237275670015</x:v>
      </x:c>
      <x:c r="AA2737" t="str">
        <x:v>NON_POSITIVE_EQUITY_VALUE|NON_POSITIVE_TERMINAL_FCF|UNRELIABLE_TERMINAL_VALUE_SHARE</x:v>
      </x:c>
    </x:row>
    <x:row r="2738">
      <x:c r="A2738" s="54" t="n">
        <x:v>45565</x:v>
      </x:c>
      <x:c r="B2738" t="n">
        <x:v>45565.624999988424</x:v>
      </x:c>
      <x:c r="C2738" t="str">
        <x:v>004770</x:v>
      </x:c>
      <x:c r="D2738" t="str">
        <x:v>써니전자</x:v>
      </x:c>
      <x:c r="E2738" t="str">
        <x:v>KOSPI</x:v>
      </x:c>
      <x:c r="F2738" t="str">
        <x:v>SMALL</x:v>
      </x:c>
      <x:c r="G2738" t="str">
        <x:v>ELIGIBLE</x:v>
      </x:c>
      <x:c r="H2738"/>
      <x:c r="I2738" s="54" t="n">
        <x:v>45565</x:v>
      </x:c>
      <x:c r="J2738" s="55" t="n">
        <x:v>1581</x:v>
      </x:c>
      <x:c r="K2738" s="55" t="n">
        <x:v>58027259604</x:v>
      </x:c>
      <x:c r="L2738" s="55" t="n">
        <x:v>36702884</x:v>
      </x:c>
      <x:c r="M2738" t="str">
        <x:v>20240315000788</x:v>
      </x:c>
      <x:c r="N2738" t="n">
        <x:v>45366.624999988424</x:v>
      </x:c>
      <x:c r="O2738" s="54" t="n">
        <x:v>45291</x:v>
      </x:c>
      <x:c r="P2738" t="str">
        <x:v>False</x:v>
      </x:c>
      <x:c r="Q2738" t="str">
        <x:v>0544811db3a63a737bc4d70e35346fc713260dec75bbb31fcb5f31956b594c3b</x:v>
      </x:c>
      <x:c r="R2738" t="str">
        <x:v>a1c9a750bde13ec833ca5635cea9dbd013b7b5019f5834642dee0c44fba92da7</x:v>
      </x:c>
      <x:c r="S2738" t="n">
        <x:v>7</x:v>
      </x:c>
      <x:c r="T2738" t="str">
        <x:v>2018-12-31|2019-12-31|2020-12-31|2021-12-31|2022-12-31|2023-12-31</x:v>
      </x:c>
      <x:c r="U2738" s="57" t="n">
        <x:v>316.3274961914687</x:v>
      </x:c>
      <x:c r="V2738" s="57" t="n">
        <x:v>-0.7999193572476478</x:v>
      </x:c>
      <x:c r="W2738" t="n">
        <x:v>61</x:v>
      </x:c>
      <x:c r="X2738" t="n">
        <x:v>5</x:v>
      </x:c>
      <x:c r="Y2738" s="38" t="n">
        <x:v>0.6409090909090909</x:v>
      </x:c>
      <x:c r="Z2738" s="38" t="n">
        <x:v>0.6338544069218005</x:v>
      </x:c>
      <x:c r="AA2738"/>
    </x:row>
    <x:row r="2739">
      <x:c r="A2739" s="54" t="n">
        <x:v>45565</x:v>
      </x:c>
      <x:c r="B2739" t="n">
        <x:v>45565.624999988424</x:v>
      </x:c>
      <x:c r="C2739" t="str">
        <x:v>000890</x:v>
      </x:c>
      <x:c r="D2739" t="str">
        <x:v>보해양조</x:v>
      </x:c>
      <x:c r="E2739" t="str">
        <x:v>KOSPI</x:v>
      </x:c>
      <x:c r="F2739" t="str">
        <x:v>SMALL</x:v>
      </x:c>
      <x:c r="G2739" t="str">
        <x:v>DCF_SCREENING_EXCLUSION</x:v>
      </x:c>
      <x:c r="H2739" t="str">
        <x:v>NON_POSITIVE_ENTERPRISE_VALUE|NON_POSITIVE_EQUITY_VALUE|NON_POSITIVE_TERMINAL_FCF</x:v>
      </x:c>
      <x:c r="I2739" s="54" t="n">
        <x:v>45565</x:v>
      </x:c>
      <x:c r="J2739" s="55" t="n">
        <x:v>445</x:v>
      </x:c>
      <x:c r="K2739" s="55" t="n">
        <x:v>61908457405</x:v>
      </x:c>
      <x:c r="L2739" s="55" t="n">
        <x:v>139120129</x:v>
      </x:c>
      <x:c r="M2739" t="str">
        <x:v>20240318000717</x:v>
      </x:c>
      <x:c r="N2739" t="n">
        <x:v>45369.624999988424</x:v>
      </x:c>
      <x:c r="O2739" s="54" t="n">
        <x:v>45291</x:v>
      </x:c>
      <x:c r="P2739" t="str">
        <x:v>False</x:v>
      </x:c>
      <x:c r="Q2739" t="str">
        <x:v>b3c53e350bf9c01281e3b16751eaf662806bd4057ff6ed366c302b963d5d04e6</x:v>
      </x:c>
      <x:c r="R2739" t="str">
        <x:v>d0bad0e1706d964a5181b87f8d24979625906c140d943a25500018c037301fa0</x:v>
      </x:c>
      <x:c r="S2739" t="n">
        <x:v>6</x:v>
      </x:c>
      <x:c r="T2739" t="str">
        <x:v>2018-12-31|2019-12-31|2020-12-31|2021-12-31|2022-12-31|2023-12-31</x:v>
      </x:c>
      <x:c r="U2739" s="57" t="n">
        <x:v>-394.1806390797659</x:v>
      </x:c>
      <x:c r="V2739" s="57" t="n">
        <x:v>-1.8857991889432941</x:v>
      </x:c>
      <x:c r="W2739"/>
      <x:c r="X2739"/>
      <x:c r="Y2739" s="38" t="n">
        <x:v>0.6409090909090909</x:v>
      </x:c>
      <x:c r="Z2739" s="38" t="n">
        <x:v>0.5713667037677271</x:v>
      </x:c>
      <x:c r="AA2739" t="str">
        <x:v>NON_POSITIVE_ENTERPRISE_VALUE|NON_POSITIVE_EQUITY_VALUE|NON_POSITIVE_TERMINAL_FCF</x:v>
      </x:c>
    </x:row>
    <x:row r="2740">
      <x:c r="A2740" s="54" t="n">
        <x:v>45565</x:v>
      </x:c>
      <x:c r="B2740" t="n">
        <x:v>45565.624999988424</x:v>
      </x:c>
      <x:c r="C2740" t="str">
        <x:v>021050</x:v>
      </x:c>
      <x:c r="D2740" t="str">
        <x:v>서원</x:v>
      </x:c>
      <x:c r="E2740" t="str">
        <x:v>KOSPI</x:v>
      </x:c>
      <x:c r="F2740" t="str">
        <x:v>SMALL</x:v>
      </x:c>
      <x:c r="G2740" t="str">
        <x:v>DCF_SCREENING_EXCLUSION</x:v>
      </x:c>
      <x:c r="H2740" t="str">
        <x:v>NON_POSITIVE_EQUITY_VALUE</x:v>
      </x:c>
      <x:c r="I2740" s="54" t="n">
        <x:v>45565</x:v>
      </x:c>
      <x:c r="J2740" s="55" t="n">
        <x:v>1309</x:v>
      </x:c>
      <x:c r="K2740" s="55" t="n">
        <x:v>62144238310</x:v>
      </x:c>
      <x:c r="L2740" s="55" t="n">
        <x:v>47474590</x:v>
      </x:c>
      <x:c r="M2740" t="str">
        <x:v>20240320000669</x:v>
      </x:c>
      <x:c r="N2740" t="n">
        <x:v>45371.624999988424</x:v>
      </x:c>
      <x:c r="O2740" s="54" t="n">
        <x:v>45291</x:v>
      </x:c>
      <x:c r="P2740" t="str">
        <x:v>False</x:v>
      </x:c>
      <x:c r="Q2740" t="str">
        <x:v>13707779d33111bbbaa4b1cda7b65a9d917cfde93d6321bdaf18f2aa8c3fbf7d</x:v>
      </x:c>
      <x:c r="R2740" t="str">
        <x:v>0d3dc2f27a1014934f6fa3b2a755f1a6003dcd24254b2aa3015fc492d5b2bc72</x:v>
      </x:c>
      <x:c r="S2740" t="n">
        <x:v>6</x:v>
      </x:c>
      <x:c r="T2740" t="str">
        <x:v>2018-12-31|2019-12-31|2020-12-31|2021-12-31|2022-12-31|2023-12-31</x:v>
      </x:c>
      <x:c r="U2740" s="57" t="n">
        <x:v>-1207.9812308175005</x:v>
      </x:c>
      <x:c r="V2740" s="57" t="n">
        <x:v>-1.922827525452636</x:v>
      </x:c>
      <x:c r="W2740"/>
      <x:c r="X2740"/>
      <x:c r="Y2740" s="38" t="n">
        <x:v>0.6409090909090909</x:v>
      </x:c>
      <x:c r="Z2740" s="38" t="n">
        <x:v>0.8019023146303658</x:v>
      </x:c>
      <x:c r="AA2740" t="str">
        <x:v>NON_POSITIVE_EQUITY_VALUE</x:v>
      </x:c>
    </x:row>
    <x:row r="2741">
      <x:c r="A2741" s="54" t="n">
        <x:v>45565</x:v>
      </x:c>
      <x:c r="B2741" t="n">
        <x:v>45565.624999988424</x:v>
      </x:c>
      <x:c r="C2741" t="str">
        <x:v>134790</x:v>
      </x:c>
      <x:c r="D2741" t="str">
        <x:v>시디즈</x:v>
      </x:c>
      <x:c r="E2741" t="str">
        <x:v>KOSPI</x:v>
      </x:c>
      <x:c r="F2741" t="str">
        <x:v>SMALL</x:v>
      </x:c>
      <x:c r="G2741" t="str">
        <x:v>DCF_SCREENING_EXCLUSION</x:v>
      </x:c>
      <x:c r="H2741" t="str">
        <x:v>UNRELIABLE_TERMINAL_VALUE_SHARE</x:v>
      </x:c>
      <x:c r="I2741" s="54" t="n">
        <x:v>45565</x:v>
      </x:c>
      <x:c r="J2741" s="55" t="n">
        <x:v>28150</x:v>
      </x:c>
      <x:c r="K2741" s="55" t="n">
        <x:v>56300000000</x:v>
      </x:c>
      <x:c r="L2741" s="55" t="n">
        <x:v>2000000</x:v>
      </x:c>
      <x:c r="M2741" t="str">
        <x:v>20240321001589</x:v>
      </x:c>
      <x:c r="N2741" t="n">
        <x:v>45372.624999988424</x:v>
      </x:c>
      <x:c r="O2741" s="54" t="n">
        <x:v>45291</x:v>
      </x:c>
      <x:c r="P2741" t="str">
        <x:v>False</x:v>
      </x:c>
      <x:c r="Q2741" t="str">
        <x:v>71fd6eaec2fa751df2f680d2a9892f3a2c6083cce0eda5a28afa1df0f798582f</x:v>
      </x:c>
      <x:c r="R2741" t="str">
        <x:v>c0df1fe29e63e10e52d6d574ce4d4a6fec7a8e932a7232f34910265e23beab7d</x:v>
      </x:c>
      <x:c r="S2741" t="n">
        <x:v>6</x:v>
      </x:c>
      <x:c r="T2741" t="str">
        <x:v>2018-12-31|2019-12-31|2020-12-31|2021-12-31|2022-12-31|2023-12-31</x:v>
      </x:c>
      <x:c r="U2741" s="57" t="n">
        <x:v>20770.659888979455</x:v>
      </x:c>
      <x:c r="V2741" s="57" t="n">
        <x:v>-0.26214352081778136</x:v>
      </x:c>
      <x:c r="W2741"/>
      <x:c r="X2741"/>
      <x:c r="Y2741" s="38" t="n">
        <x:v>0.6409090909090909</x:v>
      </x:c>
      <x:c r="Z2741" s="38" t="n">
        <x:v>0.982914719870955</x:v>
      </x:c>
      <x:c r="AA2741" t="str">
        <x:v>UNRELIABLE_TERMINAL_VALUE_SHARE</x:v>
      </x:c>
    </x:row>
    <x:row r="2742">
      <x:c r="A2742" s="54" t="n">
        <x:v>45565</x:v>
      </x:c>
      <x:c r="B2742" t="n">
        <x:v>45565.624999988424</x:v>
      </x:c>
      <x:c r="C2742" t="str">
        <x:v>004920</x:v>
      </x:c>
      <x:c r="D2742" t="str">
        <x:v>씨아이테크</x:v>
      </x:c>
      <x:c r="E2742" t="str">
        <x:v>KOSPI</x:v>
      </x:c>
      <x:c r="F2742" t="str">
        <x:v>SMALL</x:v>
      </x:c>
      <x:c r="G2742" t="str">
        <x:v>DCF_SCREENING_EXCLUSION</x:v>
      </x:c>
      <x:c r="H2742" t="str">
        <x:v>NON_POSITIVE_ENTERPRISE_VALUE|NON_POSITIVE_EQUITY_VALUE|NON_POSITIVE_TERMINAL_FCF</x:v>
      </x:c>
      <x:c r="I2742" s="54" t="n">
        <x:v>45565</x:v>
      </x:c>
      <x:c r="J2742" s="55" t="n">
        <x:v>1256</x:v>
      </x:c>
      <x:c r="K2742" s="55" t="n">
        <x:v>62882636008</x:v>
      </x:c>
      <x:c r="L2742" s="55" t="n">
        <x:v>50065793</x:v>
      </x:c>
      <x:c r="M2742" t="str">
        <x:v>20230320000388</x:v>
      </x:c>
      <x:c r="N2742" t="n">
        <x:v>45005.624999988424</x:v>
      </x:c>
      <x:c r="O2742" s="54" t="n">
        <x:v>44926</x:v>
      </x:c>
      <x:c r="P2742" t="str">
        <x:v>False</x:v>
      </x:c>
      <x:c r="Q2742" t="str">
        <x:v>9d171d492d7f298cc2edf609b66dec5acde94c9a7fd778fd9b9fdec668887cd8</x:v>
      </x:c>
      <x:c r="R2742" t="str">
        <x:v>9302036e2699fc3141df99cf16ef66f975b5f1d676b5bebd06e6278c021f59d3</x:v>
      </x:c>
      <x:c r="S2742" t="n">
        <x:v>6</x:v>
      </x:c>
      <x:c r="T2742" t="str">
        <x:v>2018-12-31|2019-12-31|2020-12-31|2021-12-31|2022-12-31</x:v>
      </x:c>
      <x:c r="U2742" s="57" t="n">
        <x:v>-1040.053216400551</x:v>
      </x:c>
      <x:c r="V2742" s="57" t="n">
        <x:v>-1.8280678474526681</x:v>
      </x:c>
      <x:c r="W2742"/>
      <x:c r="X2742"/>
      <x:c r="Y2742" s="38" t="n">
        <x:v>0.6409090909090909</x:v>
      </x:c>
      <x:c r="Z2742" s="38" t="n">
        <x:v>0.6703860416593708</x:v>
      </x:c>
      <x:c r="AA2742" t="str">
        <x:v>NON_POSITIVE_ENTERPRISE_VALUE|NON_POSITIVE_EQUITY_VALUE|NON_POSITIVE_TERMINAL_FCF</x:v>
      </x:c>
    </x:row>
    <x:row r="2743">
      <x:c r="A2743" s="54" t="n">
        <x:v>45565</x:v>
      </x:c>
      <x:c r="B2743" t="n">
        <x:v>45565.624999988424</x:v>
      </x:c>
      <x:c r="C2743" t="str">
        <x:v>058730</x:v>
      </x:c>
      <x:c r="D2743" t="str">
        <x:v>다스코</x:v>
      </x:c>
      <x:c r="E2743" t="str">
        <x:v>KOSPI</x:v>
      </x:c>
      <x:c r="F2743" t="str">
        <x:v>SMALL</x:v>
      </x:c>
      <x:c r="G2743" t="str">
        <x:v>ELIGIBLE</x:v>
      </x:c>
      <x:c r="H2743"/>
      <x:c r="I2743" s="54" t="n">
        <x:v>45565</x:v>
      </x:c>
      <x:c r="J2743" s="55" t="n">
        <x:v>3195</x:v>
      </x:c>
      <x:c r="K2743" s="55" t="n">
        <x:v>60056226495</x:v>
      </x:c>
      <x:c r="L2743" s="55" t="n">
        <x:v>18796941</x:v>
      </x:c>
      <x:c r="M2743" t="str">
        <x:v>20240318000513</x:v>
      </x:c>
      <x:c r="N2743" t="n">
        <x:v>45369.624999988424</x:v>
      </x:c>
      <x:c r="O2743" s="54" t="n">
        <x:v>45291</x:v>
      </x:c>
      <x:c r="P2743" t="str">
        <x:v>False</x:v>
      </x:c>
      <x:c r="Q2743" t="str">
        <x:v>b1799d56761d7ad862919dc211fd8cc6521f964950ecb3c50cc9a511ff9d9af9</x:v>
      </x:c>
      <x:c r="R2743" t="str">
        <x:v>87b0088345015d392662a0f86392f19a7771af40288322e29d996059398d1793</x:v>
      </x:c>
      <x:c r="S2743" t="n">
        <x:v>7</x:v>
      </x:c>
      <x:c r="T2743" t="str">
        <x:v>2019-12-31|2020-12-31|2021-12-31|2022-12-31|2023-12-31</x:v>
      </x:c>
      <x:c r="U2743" s="57" t="n">
        <x:v>570.9145913299562</x:v>
      </x:c>
      <x:c r="V2743" s="57" t="n">
        <x:v>-0.8213099870641765</x:v>
      </x:c>
      <x:c r="W2743" t="n">
        <x:v>62</x:v>
      </x:c>
      <x:c r="X2743" t="n">
        <x:v>5</x:v>
      </x:c>
      <x:c r="Y2743" s="38" t="n">
        <x:v>0.6409090909090909</x:v>
      </x:c>
      <x:c r="Z2743" s="38" t="n">
        <x:v>0.144991969908655</x:v>
      </x:c>
      <x:c r="AA2743"/>
    </x:row>
    <x:row r="2744">
      <x:c r="A2744" s="54" t="n">
        <x:v>45565</x:v>
      </x:c>
      <x:c r="B2744" t="n">
        <x:v>45565.624999988424</x:v>
      </x:c>
      <x:c r="C2744" t="str">
        <x:v>465770</x:v>
      </x:c>
      <x:c r="D2744" t="str">
        <x:v>STX그린로지스</x:v>
      </x:c>
      <x:c r="E2744" t="str">
        <x:v>KOSPI</x:v>
      </x:c>
      <x:c r="F2744" t="str">
        <x:v>SMALL</x:v>
      </x:c>
      <x:c r="G2744" t="str">
        <x:v>NO_PIT_FINANCIALS</x:v>
      </x:c>
      <x:c r="H2744"/>
      <x:c r="I2744" s="54" t="n">
        <x:v>45565</x:v>
      </x:c>
      <x:c r="J2744" s="55" t="n">
        <x:v>14630</x:v>
      </x:c>
      <x:c r="K2744" s="55" t="n">
        <x:v>104912198160</x:v>
      </x:c>
      <x:c r="L2744" s="55" t="n">
        <x:v>7171032</x:v>
      </x:c>
      <x:c r="M2744"/>
      <x:c r="N2744"/>
      <x:c r="O2744" s="54"/>
      <x:c r="P2744"/>
      <x:c r="Q2744"/>
      <x:c r="R2744"/>
      <x:c r="S2744"/>
      <x:c r="T2744"/>
      <x:c r="U2744" s="57"/>
      <x:c r="V2744" s="57"/>
      <x:c r="W2744"/>
      <x:c r="X2744"/>
      <x:c r="Y2744" s="38"/>
      <x:c r="Z2744" s="38"/>
      <x:c r="AA2744"/>
    </x:row>
    <x:row r="2745">
      <x:c r="A2745" s="54" t="n">
        <x:v>45565</x:v>
      </x:c>
      <x:c r="B2745" t="n">
        <x:v>45565.624999988424</x:v>
      </x:c>
      <x:c r="C2745" t="str">
        <x:v>000950</x:v>
      </x:c>
      <x:c r="D2745" t="str">
        <x:v>전방</x:v>
      </x:c>
      <x:c r="E2745" t="str">
        <x:v>KOSPI</x:v>
      </x:c>
      <x:c r="F2745" t="str">
        <x:v>SMALL</x:v>
      </x:c>
      <x:c r="G2745" t="str">
        <x:v>DCF_SCREENING_EXCLUSION</x:v>
      </x:c>
      <x:c r="H2745" t="str">
        <x:v>NON_POSITIVE_ENTERPRISE_VALUE|NON_POSITIVE_EQUITY_VALUE|NON_POSITIVE_TERMINAL_FCF</x:v>
      </x:c>
      <x:c r="I2745" s="54" t="n">
        <x:v>45565</x:v>
      </x:c>
      <x:c r="J2745" s="55" t="n">
        <x:v>19410</x:v>
      </x:c>
      <x:c r="K2745" s="55" t="n">
        <x:v>32608800000</x:v>
      </x:c>
      <x:c r="L2745" s="55" t="n">
        <x:v>1680000</x:v>
      </x:c>
      <x:c r="M2745" t="str">
        <x:v>20240314001271</x:v>
      </x:c>
      <x:c r="N2745" t="n">
        <x:v>45365.624999988424</x:v>
      </x:c>
      <x:c r="O2745" s="54" t="n">
        <x:v>45291</x:v>
      </x:c>
      <x:c r="P2745" t="str">
        <x:v>False</x:v>
      </x:c>
      <x:c r="Q2745" t="str">
        <x:v>58dd3829eabf7b7557a79f6277780d6fea8d93e254fedd7f7680ba0df8f4675c</x:v>
      </x:c>
      <x:c r="R2745" t="str">
        <x:v>1b68ef9c2f30834bc0f16435717c9a7b7df2117d2d5a38b8e79c1ffa58a0745e</x:v>
      </x:c>
      <x:c r="S2745" t="n">
        <x:v>6</x:v>
      </x:c>
      <x:c r="T2745" t="str">
        <x:v>2018-12-31|2019-12-31|2020-12-31|2021-12-31|2022-12-31|2023-12-31</x:v>
      </x:c>
      <x:c r="U2745" s="57" t="n">
        <x:v>-85707.24367455572</x:v>
      </x:c>
      <x:c r="V2745" s="57" t="n">
        <x:v>-5.4156230641193055</x:v>
      </x:c>
      <x:c r="W2745"/>
      <x:c r="X2745"/>
      <x:c r="Y2745" s="38" t="n">
        <x:v>0.6409090909090909</x:v>
      </x:c>
      <x:c r="Z2745" s="38" t="n">
        <x:v>0.6421691932697219</x:v>
      </x:c>
      <x:c r="AA2745" t="str">
        <x:v>NON_POSITIVE_ENTERPRISE_VALUE|NON_POSITIVE_EQUITY_VALUE|NON_POSITIVE_TERMINAL_FCF</x:v>
      </x:c>
    </x:row>
    <x:row r="2746">
      <x:c r="A2746" s="54" t="n">
        <x:v>45565</x:v>
      </x:c>
      <x:c r="B2746" t="n">
        <x:v>45565.624999988424</x:v>
      </x:c>
      <x:c r="C2746" t="str">
        <x:v>019180</x:v>
      </x:c>
      <x:c r="D2746" t="str">
        <x:v>티에이치엔</x:v>
      </x:c>
      <x:c r="E2746" t="str">
        <x:v>KOSPI</x:v>
      </x:c>
      <x:c r="F2746" t="str">
        <x:v>SMALL</x:v>
      </x:c>
      <x:c r="G2746" t="str">
        <x:v>ELIGIBLE</x:v>
      </x:c>
      <x:c r="H2746"/>
      <x:c r="I2746" s="54" t="n">
        <x:v>45565</x:v>
      </x:c>
      <x:c r="J2746" s="55" t="n">
        <x:v>3385</x:v>
      </x:c>
      <x:c r="K2746" s="55" t="n">
        <x:v>60930000000</x:v>
      </x:c>
      <x:c r="L2746" s="55" t="n">
        <x:v>18000000</x:v>
      </x:c>
      <x:c r="M2746" t="str">
        <x:v>20240320001057</x:v>
      </x:c>
      <x:c r="N2746" t="n">
        <x:v>45371.624999988424</x:v>
      </x:c>
      <x:c r="O2746" s="54" t="n">
        <x:v>45291</x:v>
      </x:c>
      <x:c r="P2746" t="str">
        <x:v>False</x:v>
      </x:c>
      <x:c r="Q2746" t="str">
        <x:v>94d5fe5e3b01bada9704628e28b7efc42c3ba8cc94dbf7d4b5665bbc34322aad</x:v>
      </x:c>
      <x:c r="R2746" t="str">
        <x:v>f17a34203fcc300e5e982172224dc617873eefc397c933b83156654f242224d3</x:v>
      </x:c>
      <x:c r="S2746" t="n">
        <x:v>6</x:v>
      </x:c>
      <x:c r="T2746" t="str">
        <x:v>2018-12-31|2019-12-31|2020-12-31|2021-12-31|2022-12-31|2023-12-31</x:v>
      </x:c>
      <x:c r="U2746" s="57" t="n">
        <x:v>6739.232065289754</x:v>
      </x:c>
      <x:c r="V2746" s="57" t="n">
        <x:v>0.9909105067325714</x:v>
      </x:c>
      <x:c r="W2746" t="n">
        <x:v>14</x:v>
      </x:c>
      <x:c r="X2746" t="n">
        <x:v>1</x:v>
      </x:c>
      <x:c r="Y2746" s="38" t="n">
        <x:v>0.6409090909090909</x:v>
      </x:c>
      <x:c r="Z2746" s="38" t="n">
        <x:v>0.5164052084034038</x:v>
      </x:c>
      <x:c r="AA2746"/>
    </x:row>
    <x:row r="2747">
      <x:c r="A2747" s="54" t="n">
        <x:v>45565</x:v>
      </x:c>
      <x:c r="B2747" t="n">
        <x:v>45565.624999988424</x:v>
      </x:c>
      <x:c r="C2747" t="str">
        <x:v>020760</x:v>
      </x:c>
      <x:c r="D2747" t="str">
        <x:v>일진디스플</x:v>
      </x:c>
      <x:c r="E2747" t="str">
        <x:v>KOSPI</x:v>
      </x:c>
      <x:c r="F2747" t="str">
        <x:v>SMALL</x:v>
      </x:c>
      <x:c r="G2747" t="str">
        <x:v>DCF_SCREENING_EXCLUSION</x:v>
      </x:c>
      <x:c r="H2747" t="str">
        <x:v>NON_POSITIVE_ENTERPRISE_VALUE|NON_POSITIVE_EQUITY_VALUE|NON_POSITIVE_TERMINAL_FCF</x:v>
      </x:c>
      <x:c r="I2747" s="54" t="n">
        <x:v>45565</x:v>
      </x:c>
      <x:c r="J2747" s="55" t="n">
        <x:v>1018</x:v>
      </x:c>
      <x:c r="K2747" s="55" t="n">
        <x:v>52440988338</x:v>
      </x:c>
      <x:c r="L2747" s="55" t="n">
        <x:v>51513741</x:v>
      </x:c>
      <x:c r="M2747" t="str">
        <x:v>20240321001473</x:v>
      </x:c>
      <x:c r="N2747" t="n">
        <x:v>45372.624999988424</x:v>
      </x:c>
      <x:c r="O2747" s="54" t="n">
        <x:v>45291</x:v>
      </x:c>
      <x:c r="P2747" t="str">
        <x:v>False</x:v>
      </x:c>
      <x:c r="Q2747" t="str">
        <x:v>9c995e89352a2b5cdf57277db2a8c3ca65806474ba5d0affbd8494974407d338</x:v>
      </x:c>
      <x:c r="R2747" t="str">
        <x:v>879cec65b290be0c02ae6330fa19167fcbdbc44efbecfea1dfd7cc79f1597e76</x:v>
      </x:c>
      <x:c r="S2747" t="n">
        <x:v>6</x:v>
      </x:c>
      <x:c r="T2747" t="str">
        <x:v>2018-12-31|2019-12-31|2020-12-31|2021-12-31|2022-12-31|2023-12-31</x:v>
      </x:c>
      <x:c r="U2747" s="57" t="n">
        <x:v>-2349.731108985517</x:v>
      </x:c>
      <x:c r="V2747" s="57" t="n">
        <x:v>-3.308183800575164</x:v>
      </x:c>
      <x:c r="W2747"/>
      <x:c r="X2747"/>
      <x:c r="Y2747" s="38" t="n">
        <x:v>0.6409090909090909</x:v>
      </x:c>
      <x:c r="Z2747" s="38" t="n">
        <x:v>0.6581502733436171</x:v>
      </x:c>
      <x:c r="AA2747" t="str">
        <x:v>NON_POSITIVE_ENTERPRISE_VALUE|NON_POSITIVE_EQUITY_VALUE|NON_POSITIVE_TERMINAL_FCF</x:v>
      </x:c>
    </x:row>
    <x:row r="2748">
      <x:c r="A2748" s="54" t="n">
        <x:v>45565</x:v>
      </x:c>
      <x:c r="B2748" t="n">
        <x:v>45565.624999988424</x:v>
      </x:c>
      <x:c r="C2748" t="str">
        <x:v>069640</x:v>
      </x:c>
      <x:c r="D2748" t="str">
        <x:v>한세엠케이</x:v>
      </x:c>
      <x:c r="E2748" t="str">
        <x:v>KOSPI</x:v>
      </x:c>
      <x:c r="F2748" t="str">
        <x:v>SMALL</x:v>
      </x:c>
      <x:c r="G2748" t="str">
        <x:v>DCF_SCREENING_EXCLUSION</x:v>
      </x:c>
      <x:c r="H2748" t="str">
        <x:v>NON_POSITIVE_ENTERPRISE_VALUE|NON_POSITIVE_EQUITY_VALUE|NON_POSITIVE_TERMINAL_FCF</x:v>
      </x:c>
      <x:c r="I2748" s="54" t="n">
        <x:v>45565</x:v>
      </x:c>
      <x:c r="J2748" s="55" t="n">
        <x:v>1720</x:v>
      </x:c>
      <x:c r="K2748" s="55" t="n">
        <x:v>51783183440</x:v>
      </x:c>
      <x:c r="L2748" s="55" t="n">
        <x:v>30106502</x:v>
      </x:c>
      <x:c r="M2748" t="str">
        <x:v>20240321000107</x:v>
      </x:c>
      <x:c r="N2748" t="n">
        <x:v>45372.624999988424</x:v>
      </x:c>
      <x:c r="O2748" s="54" t="n">
        <x:v>45291</x:v>
      </x:c>
      <x:c r="P2748" t="str">
        <x:v>True</x:v>
      </x:c>
      <x:c r="Q2748" t="str">
        <x:v>c6c624ecad0caf29ef149a109a8c52a53ae799047eaff9c1c4473581418c8825</x:v>
      </x:c>
      <x:c r="R2748" t="str">
        <x:v>171f558e1151da07ffa10f911a581cd7b1da5c947fc9be89af3d7c8100a922cf</x:v>
      </x:c>
      <x:c r="S2748" t="n">
        <x:v>6</x:v>
      </x:c>
      <x:c r="T2748" t="str">
        <x:v>2018-12-31|2019-12-31|2020-12-31|2021-12-31|2022-12-31|2023-12-31</x:v>
      </x:c>
      <x:c r="U2748" s="57" t="n">
        <x:v>-8034.13585691119</x:v>
      </x:c>
      <x:c r="V2748" s="57" t="n">
        <x:v>-5.671009219134413</x:v>
      </x:c>
      <x:c r="W2748"/>
      <x:c r="X2748"/>
      <x:c r="Y2748" s="38" t="n">
        <x:v>0.6409090909090909</x:v>
      </x:c>
      <x:c r="Z2748" s="38" t="n">
        <x:v>0.7685873680556787</x:v>
      </x:c>
      <x:c r="AA2748" t="str">
        <x:v>NON_POSITIVE_ENTERPRISE_VALUE|NON_POSITIVE_EQUITY_VALUE|NON_POSITIVE_TERMINAL_FCF</x:v>
      </x:c>
    </x:row>
    <x:row r="2749">
      <x:c r="A2749" s="54" t="n">
        <x:v>45565</x:v>
      </x:c>
      <x:c r="B2749" t="n">
        <x:v>45565.624999988424</x:v>
      </x:c>
      <x:c r="C2749" t="str">
        <x:v>000040</x:v>
      </x:c>
      <x:c r="D2749" t="str">
        <x:v>KR모터스</x:v>
      </x:c>
      <x:c r="E2749" t="str">
        <x:v>KOSPI</x:v>
      </x:c>
      <x:c r="F2749" t="str">
        <x:v>SMALL</x:v>
      </x:c>
      <x:c r="G2749" t="str">
        <x:v>DCF_SCREENING_EXCLUSION</x:v>
      </x:c>
      <x:c r="H2749" t="str">
        <x:v>NON_POSITIVE_ENTERPRISE_VALUE|NON_POSITIVE_EQUITY_VALUE|NON_POSITIVE_TERMINAL_FCF</x:v>
      </x:c>
      <x:c r="I2749" s="54" t="n">
        <x:v>45565</x:v>
      </x:c>
      <x:c r="J2749" s="55" t="n">
        <x:v>560</x:v>
      </x:c>
      <x:c r="K2749" s="55" t="n">
        <x:v>33674406080</x:v>
      </x:c>
      <x:c r="L2749" s="55" t="n">
        <x:v>60132868</x:v>
      </x:c>
      <x:c r="M2749" t="str">
        <x:v>20240321002062</x:v>
      </x:c>
      <x:c r="N2749" t="n">
        <x:v>45372.624999988424</x:v>
      </x:c>
      <x:c r="O2749" s="54" t="n">
        <x:v>45291</x:v>
      </x:c>
      <x:c r="P2749" t="str">
        <x:v>False</x:v>
      </x:c>
      <x:c r="Q2749" t="str">
        <x:v>2f9eded2ace2c621de3e5bda4d271b017b34b655a8cd7d03d373060803c53315</x:v>
      </x:c>
      <x:c r="R2749" t="str">
        <x:v>98f936772d8238d60c680cae69992200bef04cf3236dda197953f9312090cded</x:v>
      </x:c>
      <x:c r="S2749" t="n">
        <x:v>6</x:v>
      </x:c>
      <x:c r="T2749" t="str">
        <x:v>2018-12-31|2019-12-31|2020-12-31|2021-12-31|2022-12-31|2023-12-31</x:v>
      </x:c>
      <x:c r="U2749" s="57" t="n">
        <x:v>-1538.3670603283913</x:v>
      </x:c>
      <x:c r="V2749" s="57" t="n">
        <x:v>-3.7470840363006985</x:v>
      </x:c>
      <x:c r="W2749"/>
      <x:c r="X2749"/>
      <x:c r="Y2749" s="38" t="n">
        <x:v>0.6409090909090909</x:v>
      </x:c>
      <x:c r="Z2749" s="38" t="n">
        <x:v>0.5333062008682303</x:v>
      </x:c>
      <x:c r="AA2749" t="str">
        <x:v>NON_POSITIVE_ENTERPRISE_VALUE|NON_POSITIVE_EQUITY_VALUE|NON_POSITIVE_TERMINAL_FCF</x:v>
      </x:c>
    </x:row>
    <x:row r="2750">
      <x:c r="A2750" s="54" t="n">
        <x:v>45565</x:v>
      </x:c>
      <x:c r="B2750" t="n">
        <x:v>45565.624999988424</x:v>
      </x:c>
      <x:c r="C2750" t="str">
        <x:v>003680</x:v>
      </x:c>
      <x:c r="D2750" t="str">
        <x:v>한성기업</x:v>
      </x:c>
      <x:c r="E2750" t="str">
        <x:v>KOSPI</x:v>
      </x:c>
      <x:c r="F2750" t="str">
        <x:v>SMALL</x:v>
      </x:c>
      <x:c r="G2750" t="str">
        <x:v>DCF_SCREENING_EXCLUSION</x:v>
      </x:c>
      <x:c r="H2750" t="str">
        <x:v>NON_POSITIVE_EQUITY_VALUE</x:v>
      </x:c>
      <x:c r="I2750" s="54" t="n">
        <x:v>45565</x:v>
      </x:c>
      <x:c r="J2750" s="55" t="n">
        <x:v>5380</x:v>
      </x:c>
      <x:c r="K2750" s="55" t="n">
        <x:v>33407190700</x:v>
      </x:c>
      <x:c r="L2750" s="55" t="n">
        <x:v>6209515</x:v>
      </x:c>
      <x:c r="M2750" t="str">
        <x:v>20240320000851</x:v>
      </x:c>
      <x:c r="N2750" t="n">
        <x:v>45371.624999988424</x:v>
      </x:c>
      <x:c r="O2750" s="54" t="n">
        <x:v>45291</x:v>
      </x:c>
      <x:c r="P2750" t="str">
        <x:v>False</x:v>
      </x:c>
      <x:c r="Q2750" t="str">
        <x:v>4d3b13cc19e66ba4c11683b19dd4a9fff06cc03287eb96eb808fa9bb53525127</x:v>
      </x:c>
      <x:c r="R2750" t="str">
        <x:v>aeaeb4eafcf7e2169330bef04f4ceffb70a69df8703cb76add8d5c06c50c55f2</x:v>
      </x:c>
      <x:c r="S2750" t="n">
        <x:v>7</x:v>
      </x:c>
      <x:c r="T2750" t="str">
        <x:v>2018-12-31|2019-12-31|2020-12-31|2021-12-31|2022-12-31|2023-12-31</x:v>
      </x:c>
      <x:c r="U2750" s="57" t="n">
        <x:v>-251.2292333481937</x:v>
      </x:c>
      <x:c r="V2750" s="57" t="n">
        <x:v>-1.046696883521969</x:v>
      </x:c>
      <x:c r="W2750"/>
      <x:c r="X2750"/>
      <x:c r="Y2750" s="38" t="n">
        <x:v>0.6409090909090909</x:v>
      </x:c>
      <x:c r="Z2750" s="38" t="n">
        <x:v>0.41485910212059907</x:v>
      </x:c>
      <x:c r="AA2750" t="str">
        <x:v>NON_POSITIVE_EQUITY_VALUE</x:v>
      </x:c>
    </x:row>
    <x:row r="2751">
      <x:c r="A2751" s="54" t="n">
        <x:v>45565</x:v>
      </x:c>
      <x:c r="B2751" t="n">
        <x:v>45565.624999988424</x:v>
      </x:c>
      <x:c r="C2751" t="str">
        <x:v>008600</x:v>
      </x:c>
      <x:c r="D2751" t="str">
        <x:v>윌비스</x:v>
      </x:c>
      <x:c r="E2751" t="str">
        <x:v>KOSPI</x:v>
      </x:c>
      <x:c r="F2751" t="str">
        <x:v>SMALL</x:v>
      </x:c>
      <x:c r="G2751" t="str">
        <x:v>DCF_SCREENING_EXCLUSION</x:v>
      </x:c>
      <x:c r="H2751" t="str">
        <x:v>NON_POSITIVE_ENTERPRISE_VALUE|NON_POSITIVE_EQUITY_VALUE|NON_POSITIVE_TERMINAL_FCF|UNRELIABLE_TERMINAL_VALUE_SHARE</x:v>
      </x:c>
      <x:c r="I2751" s="54" t="n">
        <x:v>45565</x:v>
      </x:c>
      <x:c r="J2751" s="55" t="n">
        <x:v>447</x:v>
      </x:c>
      <x:c r="K2751" s="55" t="n">
        <x:v>30054509433</x:v>
      </x:c>
      <x:c r="L2751" s="55" t="n">
        <x:v>67236039</x:v>
      </x:c>
      <x:c r="M2751" t="str">
        <x:v>20240321001447</x:v>
      </x:c>
      <x:c r="N2751" t="n">
        <x:v>45372.624999988424</x:v>
      </x:c>
      <x:c r="O2751" s="54" t="n">
        <x:v>45291</x:v>
      </x:c>
      <x:c r="P2751" t="str">
        <x:v>False</x:v>
      </x:c>
      <x:c r="Q2751" t="str">
        <x:v>2b2bcbc75dccb36df46b9b9baf8736ac46a111885d7844e74bc39e18d97f56e8</x:v>
      </x:c>
      <x:c r="R2751" t="str">
        <x:v>3a1540abc77616d8d510e3e9d5cd1867bc6d8a51975437ce72c1ff35b4d019d2</x:v>
      </x:c>
      <x:c r="S2751" t="n">
        <x:v>6</x:v>
      </x:c>
      <x:c r="T2751" t="str">
        <x:v>2018-12-31|2019-12-31|2020-12-31|2021-12-31|2022-12-31|2023-12-31</x:v>
      </x:c>
      <x:c r="U2751" s="57" t="n">
        <x:v>-2244.048633515764</x:v>
      </x:c>
      <x:c r="V2751" s="57" t="n">
        <x:v>-6.020243027999472</x:v>
      </x:c>
      <x:c r="W2751"/>
      <x:c r="X2751"/>
      <x:c r="Y2751" s="38" t="n">
        <x:v>0.6409090909090909</x:v>
      </x:c>
      <x:c r="Z2751" s="38" t="n">
        <x:v>1.0651186144863742</x:v>
      </x:c>
      <x:c r="AA2751" t="str">
        <x:v>NON_POSITIVE_ENTERPRISE_VALUE|NON_POSITIVE_EQUITY_VALUE|NON_POSITIVE_TERMINAL_FCF|UNRELIABLE_TERMINAL_VALUE_SHARE</x:v>
      </x:c>
    </x:row>
    <x:row r="2752">
      <x:c r="A2752" s="54" t="n">
        <x:v>45565</x:v>
      </x:c>
      <x:c r="B2752" t="n">
        <x:v>45565.624999988424</x:v>
      </x:c>
      <x:c r="C2752" t="str">
        <x:v>018310</x:v>
      </x:c>
      <x:c r="D2752" t="str">
        <x:v>삼목에스폼</x:v>
      </x:c>
      <x:c r="E2752" t="str">
        <x:v>KOSDAQ</x:v>
      </x:c>
      <x:c r="F2752" t="str">
        <x:v>MID</x:v>
      </x:c>
      <x:c r="G2752" t="str">
        <x:v>ELIGIBLE</x:v>
      </x:c>
      <x:c r="H2752"/>
      <x:c r="I2752" s="54" t="n">
        <x:v>45565</x:v>
      </x:c>
      <x:c r="J2752" s="55" t="n">
        <x:v>27700</x:v>
      </x:c>
      <x:c r="K2752" s="55" t="n">
        <x:v>407190000000</x:v>
      </x:c>
      <x:c r="L2752" s="55" t="n">
        <x:v>14700000</x:v>
      </x:c>
      <x:c r="M2752" t="str">
        <x:v>20240321001591</x:v>
      </x:c>
      <x:c r="N2752" t="n">
        <x:v>45372.624999988424</x:v>
      </x:c>
      <x:c r="O2752" s="54" t="n">
        <x:v>45291</x:v>
      </x:c>
      <x:c r="P2752" t="str">
        <x:v>False</x:v>
      </x:c>
      <x:c r="Q2752" t="str">
        <x:v>b642c65f29eeb6af33c837fb4f87024ed3698ab7140eb33f5c98e1bf48137c08</x:v>
      </x:c>
      <x:c r="R2752" t="str">
        <x:v>274d7ac112ebedf4e991cbf1ea1b36c68be73c87a7c18528e3d2597bdb5a6953</x:v>
      </x:c>
      <x:c r="S2752" t="n">
        <x:v>6</x:v>
      </x:c>
      <x:c r="T2752" t="str">
        <x:v>2018-12-31|2019-12-31|2020-12-31|2021-12-31|2022-12-31|2023-12-31</x:v>
      </x:c>
      <x:c r="U2752" s="57" t="n">
        <x:v>47359.36110143023</x:v>
      </x:c>
      <x:c r="V2752" s="57" t="n">
        <x:v>0.709724227488456</x:v>
      </x:c>
      <x:c r="W2752" t="n">
        <x:v>17</x:v>
      </x:c>
      <x:c r="X2752" t="n">
        <x:v>2</x:v>
      </x:c>
      <x:c r="Y2752" s="38" t="n">
        <x:v>0.6409090909090909</x:v>
      </x:c>
      <x:c r="Z2752" s="38" t="n">
        <x:v>0.5795746440054866</x:v>
      </x:c>
      <x:c r="AA2752"/>
    </x:row>
    <x:row r="2753">
      <x:c r="A2753" s="54" t="n">
        <x:v>45565</x:v>
      </x:c>
      <x:c r="B2753" t="n">
        <x:v>45565.624999988424</x:v>
      </x:c>
      <x:c r="C2753" t="str">
        <x:v>090360</x:v>
      </x:c>
      <x:c r="D2753" t="str">
        <x:v>로보스타</x:v>
      </x:c>
      <x:c r="E2753" t="str">
        <x:v>KOSDAQ</x:v>
      </x:c>
      <x:c r="F2753" t="str">
        <x:v>MID</x:v>
      </x:c>
      <x:c r="G2753" t="str">
        <x:v>DCF_SCREENING_EXCLUSION</x:v>
      </x:c>
      <x:c r="H2753" t="str">
        <x:v>NON_POSITIVE_ENTERPRISE_VALUE|NON_POSITIVE_TERMINAL_FCF|UNRELIABLE_TERMINAL_VALUE_SHARE</x:v>
      </x:c>
      <x:c r="I2753" s="54" t="n">
        <x:v>45565</x:v>
      </x:c>
      <x:c r="J2753" s="55" t="n">
        <x:v>23000</x:v>
      </x:c>
      <x:c r="K2753" s="55" t="n">
        <x:v>224250000000</x:v>
      </x:c>
      <x:c r="L2753" s="55" t="n">
        <x:v>9750000</x:v>
      </x:c>
      <x:c r="M2753" t="str">
        <x:v>20240314001416</x:v>
      </x:c>
      <x:c r="N2753" t="n">
        <x:v>45365.624999988424</x:v>
      </x:c>
      <x:c r="O2753" s="54" t="n">
        <x:v>45291</x:v>
      </x:c>
      <x:c r="P2753" t="str">
        <x:v>False</x:v>
      </x:c>
      <x:c r="Q2753" t="str">
        <x:v>37ee07bfb8d061c135df8bd2eb69253a734b8f52886d8cce2f024a20d1cc237e</x:v>
      </x:c>
      <x:c r="R2753" t="str">
        <x:v>aa3db28f0145e23dff5dbed4d487e72ea79203422a04851f738cb41708fc7da8</x:v>
      </x:c>
      <x:c r="S2753" t="n">
        <x:v>5</x:v>
      </x:c>
      <x:c r="T2753" t="str">
        <x:v>2018-12-31|2019-12-31|2020-12-31|2021-12-31|2022-12-31|2023-12-31</x:v>
      </x:c>
      <x:c r="U2753" s="57" t="n">
        <x:v>2043.0268994379805</x:v>
      </x:c>
      <x:c r="V2753" s="57" t="n">
        <x:v>-0.9111727435026965</x:v>
      </x:c>
      <x:c r="W2753"/>
      <x:c r="X2753"/>
      <x:c r="Y2753" s="38" t="n">
        <x:v>0.6409090909090909</x:v>
      </x:c>
      <x:c r="Z2753" s="38" t="n">
        <x:v>1.1319150275221614</x:v>
      </x:c>
      <x:c r="AA2753" t="str">
        <x:v>NON_POSITIVE_ENTERPRISE_VALUE|NON_POSITIVE_TERMINAL_FCF|UNRELIABLE_TERMINAL_VALUE_SHARE</x:v>
      </x:c>
    </x:row>
    <x:row r="2754">
      <x:c r="A2754" s="54" t="n">
        <x:v>45565</x:v>
      </x:c>
      <x:c r="B2754" t="n">
        <x:v>45565.624999988424</x:v>
      </x:c>
      <x:c r="C2754" t="str">
        <x:v>144960</x:v>
      </x:c>
      <x:c r="D2754" t="str">
        <x:v>뉴파워프라즈마</x:v>
      </x:c>
      <x:c r="E2754" t="str">
        <x:v>KOSDAQ</x:v>
      </x:c>
      <x:c r="F2754" t="str">
        <x:v>MID</x:v>
      </x:c>
      <x:c r="G2754" t="str">
        <x:v>DCF_SCREENING_EXCLUSION</x:v>
      </x:c>
      <x:c r="H2754" t="str">
        <x:v>UNRELIABLE_TERMINAL_VALUE_SHARE</x:v>
      </x:c>
      <x:c r="I2754" s="54" t="n">
        <x:v>45565</x:v>
      </x:c>
      <x:c r="J2754" s="55" t="n">
        <x:v>5220</x:v>
      </x:c>
      <x:c r="K2754" s="55" t="n">
        <x:v>228075497280</x:v>
      </x:c>
      <x:c r="L2754" s="55" t="n">
        <x:v>43692624</x:v>
      </x:c>
      <x:c r="M2754" t="str">
        <x:v>20240321000704</x:v>
      </x:c>
      <x:c r="N2754" t="n">
        <x:v>45372.624999988424</x:v>
      </x:c>
      <x:c r="O2754" s="54" t="n">
        <x:v>45291</x:v>
      </x:c>
      <x:c r="P2754" t="str">
        <x:v>False</x:v>
      </x:c>
      <x:c r="Q2754" t="str">
        <x:v>b5e89db27ae39318ccb2673d5a114f48c2d3177720aeef0fb3ebdc01f3fcc69c</x:v>
      </x:c>
      <x:c r="R2754" t="str">
        <x:v>ff46cc8323fdf10cd2f64b2bb4c57f836a1a61d98b17a6bcd0bf337779d7591f</x:v>
      </x:c>
      <x:c r="S2754" t="n">
        <x:v>6</x:v>
      </x:c>
      <x:c r="T2754" t="str">
        <x:v>2018-12-31|2019-12-31|2020-12-31|2021-12-31|2022-12-31|2023-12-31</x:v>
      </x:c>
      <x:c r="U2754" s="57" t="n">
        <x:v>387.1672566268894</x:v>
      </x:c>
      <x:c r="V2754" s="57" t="n">
        <x:v>-0.9258300274661131</x:v>
      </x:c>
      <x:c r="W2754"/>
      <x:c r="X2754"/>
      <x:c r="Y2754" s="38" t="n">
        <x:v>0.6409090909090909</x:v>
      </x:c>
      <x:c r="Z2754" s="38" t="n">
        <x:v>1.0088078840844468</x:v>
      </x:c>
      <x:c r="AA2754" t="str">
        <x:v>UNRELIABLE_TERMINAL_VALUE_SHARE</x:v>
      </x:c>
    </x:row>
    <x:row r="2755">
      <x:c r="A2755" s="54" t="n">
        <x:v>45565</x:v>
      </x:c>
      <x:c r="B2755" t="n">
        <x:v>45565.624999988424</x:v>
      </x:c>
      <x:c r="C2755" t="str">
        <x:v>065660</x:v>
      </x:c>
      <x:c r="D2755" t="str">
        <x:v>안트로젠</x:v>
      </x:c>
      <x:c r="E2755" t="str">
        <x:v>KOSDAQ</x:v>
      </x:c>
      <x:c r="F2755" t="str">
        <x:v>MID</x:v>
      </x:c>
      <x:c r="G2755" t="str">
        <x:v>DCF_SCREENING_EXCLUSION</x:v>
      </x:c>
      <x:c r="H2755" t="str">
        <x:v>NON_POSITIVE_ENTERPRISE_VALUE|NON_POSITIVE_EQUITY_VALUE|NON_POSITIVE_TERMINAL_FCF</x:v>
      </x:c>
      <x:c r="I2755" s="54" t="n">
        <x:v>45565</x:v>
      </x:c>
      <x:c r="J2755" s="55" t="n">
        <x:v>14380</x:v>
      </x:c>
      <x:c r="K2755" s="55" t="n">
        <x:v>139937143740</x:v>
      </x:c>
      <x:c r="L2755" s="55" t="n">
        <x:v>9731373</x:v>
      </x:c>
      <x:c r="M2755" t="str">
        <x:v>20240318000493</x:v>
      </x:c>
      <x:c r="N2755" t="n">
        <x:v>45369.624999988424</x:v>
      </x:c>
      <x:c r="O2755" s="54" t="n">
        <x:v>45291</x:v>
      </x:c>
      <x:c r="P2755" t="str">
        <x:v>False</x:v>
      </x:c>
      <x:c r="Q2755" t="str">
        <x:v>ef60674049d682351099faa34e3eb62d977003f9a33daf57158b2ec3042418b6</x:v>
      </x:c>
      <x:c r="R2755" t="str">
        <x:v>355c77e90835ddf6571455999b69129084341fcdd9472c5729fb0d907b43ba6e</x:v>
      </x:c>
      <x:c r="S2755" t="n">
        <x:v>6</x:v>
      </x:c>
      <x:c r="T2755" t="str">
        <x:v>2018-12-31|2019-12-31|2020-12-31|2021-12-31|2023-12-31</x:v>
      </x:c>
      <x:c r="U2755" s="57" t="n">
        <x:v>-2734.5691435966323</x:v>
      </x:c>
      <x:c r="V2755" s="57" t="n">
        <x:v>-1.1901647526840495</x:v>
      </x:c>
      <x:c r="W2755"/>
      <x:c r="X2755"/>
      <x:c r="Y2755" s="38" t="n">
        <x:v>0.6409090909090909</x:v>
      </x:c>
      <x:c r="Z2755" s="38" t="n">
        <x:v>0.6666592455022953</x:v>
      </x:c>
      <x:c r="AA2755" t="str">
        <x:v>NON_POSITIVE_ENTERPRISE_VALUE|NON_POSITIVE_EQUITY_VALUE|NON_POSITIVE_TERMINAL_FCF</x:v>
      </x:c>
    </x:row>
    <x:row r="2756">
      <x:c r="A2756" s="54" t="n">
        <x:v>45565</x:v>
      </x:c>
      <x:c r="B2756" t="n">
        <x:v>45565.624999988424</x:v>
      </x:c>
      <x:c r="C2756" t="str">
        <x:v>255220</x:v>
      </x:c>
      <x:c r="D2756" t="str">
        <x:v>SG</x:v>
      </x:c>
      <x:c r="E2756" t="str">
        <x:v>KOSDAQ</x:v>
      </x:c>
      <x:c r="F2756" t="str">
        <x:v>MID</x:v>
      </x:c>
      <x:c r="G2756" t="str">
        <x:v>DCF_SCREENING_EXCLUSION</x:v>
      </x:c>
      <x:c r="H2756" t="str">
        <x:v>NON_POSITIVE_ENTERPRISE_VALUE|NON_POSITIVE_EQUITY_VALUE|NON_POSITIVE_TERMINAL_FCF</x:v>
      </x:c>
      <x:c r="I2756" s="54" t="n">
        <x:v>45565</x:v>
      </x:c>
      <x:c r="J2756" s="55" t="n">
        <x:v>2285</x:v>
      </x:c>
      <x:c r="K2756" s="55" t="n">
        <x:v>213641040305</x:v>
      </x:c>
      <x:c r="L2756" s="55" t="n">
        <x:v>93497173</x:v>
      </x:c>
      <x:c r="M2756" t="str">
        <x:v>20240320001577</x:v>
      </x:c>
      <x:c r="N2756" t="n">
        <x:v>45371.624999988424</x:v>
      </x:c>
      <x:c r="O2756" s="54" t="n">
        <x:v>45291</x:v>
      </x:c>
      <x:c r="P2756" t="str">
        <x:v>False</x:v>
      </x:c>
      <x:c r="Q2756" t="str">
        <x:v>802033ebe05b476b11a5cd33571e1b1340c0db3ce02c2d235192981aee1f89bd</x:v>
      </x:c>
      <x:c r="R2756" t="str">
        <x:v>8b0a222bea654a5f7372b265555038bdf285365448e48f99856645c6bb017357</x:v>
      </x:c>
      <x:c r="S2756" t="n">
        <x:v>6</x:v>
      </x:c>
      <x:c r="T2756" t="str">
        <x:v>2018-12-31|2019-12-31|2020-12-31|2021-12-31|2022-12-31|2023-12-31</x:v>
      </x:c>
      <x:c r="U2756" s="57" t="n">
        <x:v>-797.1910721074158</x:v>
      </x:c>
      <x:c r="V2756" s="57" t="n">
        <x:v>-1.3488801190842084</x:v>
      </x:c>
      <x:c r="W2756"/>
      <x:c r="X2756"/>
      <x:c r="Y2756" s="38" t="n">
        <x:v>0.6409090909090909</x:v>
      </x:c>
      <x:c r="Z2756" s="38" t="n">
        <x:v>0.07725377279525597</x:v>
      </x:c>
      <x:c r="AA2756" t="str">
        <x:v>NON_POSITIVE_ENTERPRISE_VALUE|NON_POSITIVE_EQUITY_VALUE|NON_POSITIVE_TERMINAL_FCF</x:v>
      </x:c>
    </x:row>
    <x:row r="2757">
      <x:c r="A2757" s="54" t="n">
        <x:v>45565</x:v>
      </x:c>
      <x:c r="B2757" t="n">
        <x:v>45565.624999988424</x:v>
      </x:c>
      <x:c r="C2757" t="str">
        <x:v>356680</x:v>
      </x:c>
      <x:c r="D2757" t="str">
        <x:v>엑스게이트</x:v>
      </x:c>
      <x:c r="E2757" t="str">
        <x:v>KOSDAQ</x:v>
      </x:c>
      <x:c r="F2757" t="str">
        <x:v>MID</x:v>
      </x:c>
      <x:c r="G2757" t="str">
        <x:v>ELIGIBLE</x:v>
      </x:c>
      <x:c r="H2757"/>
      <x:c r="I2757" s="54" t="n">
        <x:v>45565</x:v>
      </x:c>
      <x:c r="J2757" s="55" t="n">
        <x:v>4435</x:v>
      </x:c>
      <x:c r="K2757" s="55" t="n">
        <x:v>126590387020</x:v>
      </x:c>
      <x:c r="L2757" s="55" t="n">
        <x:v>28543492</x:v>
      </x:c>
      <x:c r="M2757" t="str">
        <x:v>20240320000741</x:v>
      </x:c>
      <x:c r="N2757" t="n">
        <x:v>45371.624999988424</x:v>
      </x:c>
      <x:c r="O2757" s="54" t="n">
        <x:v>45291</x:v>
      </x:c>
      <x:c r="P2757" t="str">
        <x:v>False</x:v>
      </x:c>
      <x:c r="Q2757" t="str">
        <x:v>411dba391a5618a47e342cff6469dfec93ffa310f1426596899b9268827e4688</x:v>
      </x:c>
      <x:c r="R2757" t="str">
        <x:v>91c28fca4bd93ccfc833effbc7172fbbb98fdc8d3de43e888c92a2b75ddc7b35</x:v>
      </x:c>
      <x:c r="S2757" t="n">
        <x:v>7</x:v>
      </x:c>
      <x:c r="T2757" t="str">
        <x:v>2022-12-31|2023-12-31</x:v>
      </x:c>
      <x:c r="U2757" s="57" t="n">
        <x:v>1527.357058793884</x:v>
      </x:c>
      <x:c r="V2757" s="57" t="n">
        <x:v>-0.6556128390543666</x:v>
      </x:c>
      <x:c r="W2757" t="n">
        <x:v>51</x:v>
      </x:c>
      <x:c r="X2757" t="n">
        <x:v>4</x:v>
      </x:c>
      <x:c r="Y2757" s="38" t="n">
        <x:v>0.6409090909090909</x:v>
      </x:c>
      <x:c r="Z2757" s="38" t="n">
        <x:v>0.8118552005286007</x:v>
      </x:c>
      <x:c r="AA2757"/>
    </x:row>
    <x:row r="2758">
      <x:c r="A2758" s="54" t="n">
        <x:v>45565</x:v>
      </x:c>
      <x:c r="B2758" t="n">
        <x:v>45565.624999988424</x:v>
      </x:c>
      <x:c r="C2758" t="str">
        <x:v>038390</x:v>
      </x:c>
      <x:c r="D2758" t="str">
        <x:v>레드캡투어</x:v>
      </x:c>
      <x:c r="E2758" t="str">
        <x:v>KOSDAQ</x:v>
      </x:c>
      <x:c r="F2758" t="str">
        <x:v>MID</x:v>
      </x:c>
      <x:c r="G2758" t="str">
        <x:v>ELIGIBLE</x:v>
      </x:c>
      <x:c r="H2758"/>
      <x:c r="I2758" s="54" t="n">
        <x:v>45565</x:v>
      </x:c>
      <x:c r="J2758" s="55" t="n">
        <x:v>15890</x:v>
      </x:c>
      <x:c r="K2758" s="55" t="n">
        <x:v>136486837200</x:v>
      </x:c>
      <x:c r="L2758" s="55" t="n">
        <x:v>8589480</x:v>
      </x:c>
      <x:c r="M2758" t="str">
        <x:v>20240314001063</x:v>
      </x:c>
      <x:c r="N2758" t="n">
        <x:v>45365.624999988424</x:v>
      </x:c>
      <x:c r="O2758" s="54" t="n">
        <x:v>45291</x:v>
      </x:c>
      <x:c r="P2758" t="str">
        <x:v>False</x:v>
      </x:c>
      <x:c r="Q2758" t="str">
        <x:v>fd36d793118950285fee662f10fac7fcdc129f8f3143b98ce551f6ce54038473</x:v>
      </x:c>
      <x:c r="R2758" t="str">
        <x:v>568919094dea73f6d3a242c07a8b08042db0121da9db32409f91e94da6d96886</x:v>
      </x:c>
      <x:c r="S2758" t="n">
        <x:v>6</x:v>
      </x:c>
      <x:c r="T2758" t="str">
        <x:v>2018-12-31|2019-12-31|2020-12-31|2021-12-31|2022-12-31|2023-12-31</x:v>
      </x:c>
      <x:c r="U2758" s="57" t="n">
        <x:v>21649.652872592273</x:v>
      </x:c>
      <x:c r="V2758" s="57" t="n">
        <x:v>0.3624702877654042</x:v>
      </x:c>
      <x:c r="W2758" t="n">
        <x:v>20</x:v>
      </x:c>
      <x:c r="X2758" t="n">
        <x:v>2</x:v>
      </x:c>
      <x:c r="Y2758" s="38" t="n">
        <x:v>0.6409090909090909</x:v>
      </x:c>
      <x:c r="Z2758" s="38" t="n">
        <x:v>0.6611393478171571</x:v>
      </x:c>
      <x:c r="AA2758"/>
    </x:row>
    <x:row r="2759">
      <x:c r="A2759" s="54" t="n">
        <x:v>45565</x:v>
      </x:c>
      <x:c r="B2759" t="n">
        <x:v>45565.624999988424</x:v>
      </x:c>
      <x:c r="C2759" t="str">
        <x:v>083930</x:v>
      </x:c>
      <x:c r="D2759" t="str">
        <x:v>아바코</x:v>
      </x:c>
      <x:c r="E2759" t="str">
        <x:v>KOSDAQ</x:v>
      </x:c>
      <x:c r="F2759" t="str">
        <x:v>MID</x:v>
      </x:c>
      <x:c r="G2759" t="str">
        <x:v>ELIGIBLE</x:v>
      </x:c>
      <x:c r="H2759"/>
      <x:c r="I2759" s="54" t="n">
        <x:v>45565</x:v>
      </x:c>
      <x:c r="J2759" s="55" t="n">
        <x:v>14040</x:v>
      </x:c>
      <x:c r="K2759" s="55" t="n">
        <x:v>209375683920</x:v>
      </x:c>
      <x:c r="L2759" s="55" t="n">
        <x:v>14912798</x:v>
      </x:c>
      <x:c r="M2759" t="str">
        <x:v>20240318000914</x:v>
      </x:c>
      <x:c r="N2759" t="n">
        <x:v>45369.624999988424</x:v>
      </x:c>
      <x:c r="O2759" s="54" t="n">
        <x:v>45291</x:v>
      </x:c>
      <x:c r="P2759" t="str">
        <x:v>False</x:v>
      </x:c>
      <x:c r="Q2759" t="str">
        <x:v>eac8cc9607a0566e093b43e10cd0248e654a9f6f02ed08872c70bffceefc109e</x:v>
      </x:c>
      <x:c r="R2759" t="str">
        <x:v>b9cbe3e6660c5aa662f945e617e327022628d74035681c27e70835169136833f</x:v>
      </x:c>
      <x:c r="S2759" t="n">
        <x:v>7</x:v>
      </x:c>
      <x:c r="T2759" t="str">
        <x:v>2018-12-31|2019-12-31|2020-12-31|2021-12-31|2022-12-31|2023-12-31</x:v>
      </x:c>
      <x:c r="U2759" s="57" t="n">
        <x:v>8624.32589713317</x:v>
      </x:c>
      <x:c r="V2759" s="57" t="n">
        <x:v>-0.3857317737084637</x:v>
      </x:c>
      <x:c r="W2759" t="n">
        <x:v>40</x:v>
      </x:c>
      <x:c r="X2759" t="n">
        <x:v>3</x:v>
      </x:c>
      <x:c r="Y2759" s="38" t="n">
        <x:v>0.6409090909090909</x:v>
      </x:c>
      <x:c r="Z2759" s="38" t="n">
        <x:v>0.6466073177770937</x:v>
      </x:c>
      <x:c r="AA2759"/>
    </x:row>
    <x:row r="2760">
      <x:c r="A2760" s="54" t="n">
        <x:v>45565</x:v>
      </x:c>
      <x:c r="B2760" t="n">
        <x:v>45565.624999988424</x:v>
      </x:c>
      <x:c r="C2760" t="str">
        <x:v>089600</x:v>
      </x:c>
      <x:c r="D2760" t="str">
        <x:v>KT나스미디어</x:v>
      </x:c>
      <x:c r="E2760" t="str">
        <x:v>KOSDAQ</x:v>
      </x:c>
      <x:c r="F2760" t="str">
        <x:v>MID</x:v>
      </x:c>
      <x:c r="G2760" t="str">
        <x:v>ELIGIBLE</x:v>
      </x:c>
      <x:c r="H2760"/>
      <x:c r="I2760" s="54" t="n">
        <x:v>45565</x:v>
      </x:c>
      <x:c r="J2760" s="55" t="n">
        <x:v>15980</x:v>
      </x:c>
      <x:c r="K2760" s="55" t="n">
        <x:v>184859244740</x:v>
      </x:c>
      <x:c r="L2760" s="55" t="n">
        <x:v>11568163</x:v>
      </x:c>
      <x:c r="M2760" t="str">
        <x:v>20240321000363</x:v>
      </x:c>
      <x:c r="N2760" t="n">
        <x:v>45372.624999988424</x:v>
      </x:c>
      <x:c r="O2760" s="54" t="n">
        <x:v>45291</x:v>
      </x:c>
      <x:c r="P2760" t="str">
        <x:v>False</x:v>
      </x:c>
      <x:c r="Q2760" t="str">
        <x:v>b7f1a5437ad92e7e9513650155787e077663f0826124db50bc5289e11593d832</x:v>
      </x:c>
      <x:c r="R2760" t="str">
        <x:v>bfef28c66cd78518c4a6de78e6be33333001fa056bbf8f8aa7f33a26a359f112</x:v>
      </x:c>
      <x:c r="S2760" t="n">
        <x:v>6</x:v>
      </x:c>
      <x:c r="T2760" t="str">
        <x:v>2019-12-31|2020-12-31|2021-12-31|2022-12-31|2023-12-31</x:v>
      </x:c>
      <x:c r="U2760" s="57" t="n">
        <x:v>28670.885048986216</x:v>
      </x:c>
      <x:c r="V2760" s="57" t="n">
        <x:v>0.7941730318514528</x:v>
      </x:c>
      <x:c r="W2760" t="n">
        <x:v>16</x:v>
      </x:c>
      <x:c r="X2760" t="n">
        <x:v>2</x:v>
      </x:c>
      <x:c r="Y2760" s="38" t="n">
        <x:v>0.6409090909090909</x:v>
      </x:c>
      <x:c r="Z2760" s="38" t="n">
        <x:v>0.7341956370746694</x:v>
      </x:c>
      <x:c r="AA2760"/>
    </x:row>
    <x:row r="2761">
      <x:c r="A2761" s="54" t="n">
        <x:v>45565</x:v>
      </x:c>
      <x:c r="B2761" t="n">
        <x:v>45565.624999988424</x:v>
      </x:c>
      <x:c r="C2761" t="str">
        <x:v>091120</x:v>
      </x:c>
      <x:c r="D2761" t="str">
        <x:v>이엠텍</x:v>
      </x:c>
      <x:c r="E2761" t="str">
        <x:v>KOSDAQ</x:v>
      </x:c>
      <x:c r="F2761" t="str">
        <x:v>MID</x:v>
      </x:c>
      <x:c r="G2761" t="str">
        <x:v>DCF_SCREENING_EXCLUSION</x:v>
      </x:c>
      <x:c r="H2761" t="str">
        <x:v>NON_POSITIVE_ENTERPRISE_VALUE|UNRELIABLE_TERMINAL_VALUE_SHARE</x:v>
      </x:c>
      <x:c r="I2761" s="54" t="n">
        <x:v>45565</x:v>
      </x:c>
      <x:c r="J2761" s="55" t="n">
        <x:v>28100</x:v>
      </x:c>
      <x:c r="K2761" s="55" t="n">
        <x:v>481435501600</x:v>
      </x:c>
      <x:c r="L2761" s="55" t="n">
        <x:v>17132936</x:v>
      </x:c>
      <x:c r="M2761" t="str">
        <x:v>20240412003916</x:v>
      </x:c>
      <x:c r="N2761" t="n">
        <x:v>45394.624999988424</x:v>
      </x:c>
      <x:c r="O2761" s="54" t="n">
        <x:v>45291</x:v>
      </x:c>
      <x:c r="P2761" t="str">
        <x:v>True</x:v>
      </x:c>
      <x:c r="Q2761" t="str">
        <x:v>0d6eac9f85a900bbc1f1a30799c161ef96d83e8d4b8afd8acc742753be01c75e</x:v>
      </x:c>
      <x:c r="R2761" t="str">
        <x:v>7a19f5c1536360dbe0bd6246ea9ed04ec3ad10e2f9ebcba4775252cf1017c665</x:v>
      </x:c>
      <x:c r="S2761" t="n">
        <x:v>6</x:v>
      </x:c>
      <x:c r="T2761" t="str">
        <x:v>2018-12-31|2019-12-31|2020-12-31|2021-12-31|2022-12-31|2023-12-31</x:v>
      </x:c>
      <x:c r="U2761" s="57" t="n">
        <x:v>144.63258920150412</x:v>
      </x:c>
      <x:c r="V2761" s="57" t="n">
        <x:v>-0.9948529327686297</x:v>
      </x:c>
      <x:c r="W2761"/>
      <x:c r="X2761"/>
      <x:c r="Y2761" s="38" t="n">
        <x:v>0.6409090909090909</x:v>
      </x:c>
      <x:c r="Z2761" s="38" t="n">
        <x:v>-0.0027763268057279674</x:v>
      </x:c>
      <x:c r="AA2761" t="str">
        <x:v>NON_POSITIVE_ENTERPRISE_VALUE|UNRELIABLE_TERMINAL_VALUE_SHARE</x:v>
      </x:c>
    </x:row>
    <x:row r="2762">
      <x:c r="A2762" s="54" t="n">
        <x:v>45565</x:v>
      </x:c>
      <x:c r="B2762" t="n">
        <x:v>45565.624999988424</x:v>
      </x:c>
      <x:c r="C2762" t="str">
        <x:v>353810</x:v>
      </x:c>
      <x:c r="D2762" t="str">
        <x:v>이지바이오</x:v>
      </x:c>
      <x:c r="E2762" t="str">
        <x:v>KOSDAQ</x:v>
      </x:c>
      <x:c r="F2762" t="str">
        <x:v>MID</x:v>
      </x:c>
      <x:c r="G2762" t="str">
        <x:v>ELIGIBLE</x:v>
      </x:c>
      <x:c r="H2762"/>
      <x:c r="I2762" s="54" t="n">
        <x:v>45565</x:v>
      </x:c>
      <x:c r="J2762" s="55" t="n">
        <x:v>3810</x:v>
      </x:c>
      <x:c r="K2762" s="55" t="n">
        <x:v>130270453200</x:v>
      </x:c>
      <x:c r="L2762" s="55" t="n">
        <x:v>34191720</x:v>
      </x:c>
      <x:c r="M2762" t="str">
        <x:v>20240321001360</x:v>
      </x:c>
      <x:c r="N2762" t="n">
        <x:v>45372.624999988424</x:v>
      </x:c>
      <x:c r="O2762" s="54" t="n">
        <x:v>45291</x:v>
      </x:c>
      <x:c r="P2762" t="str">
        <x:v>False</x:v>
      </x:c>
      <x:c r="Q2762" t="str">
        <x:v>0c595a4289176d26f4bb211a8777e3552707069c69111b627265c5a9988199b2</x:v>
      </x:c>
      <x:c r="R2762" t="str">
        <x:v>abd6bec6d7dbfa84737cf0be785800c3f2ef5a1062ea4dac1b0cc07e2e0ea7fe</x:v>
      </x:c>
      <x:c r="S2762" t="n">
        <x:v>6</x:v>
      </x:c>
      <x:c r="T2762" t="str">
        <x:v>2021-12-31|2022-12-31|2023-12-31</x:v>
      </x:c>
      <x:c r="U2762" s="57" t="n">
        <x:v>5566.0717405511205</x:v>
      </x:c>
      <x:c r="V2762" s="57" t="n">
        <x:v>0.4609112179924201</x:v>
      </x:c>
      <x:c r="W2762" t="n">
        <x:v>18</x:v>
      </x:c>
      <x:c r="X2762" t="n">
        <x:v>2</x:v>
      </x:c>
      <x:c r="Y2762" s="38" t="n">
        <x:v>0.6409090909090909</x:v>
      </x:c>
      <x:c r="Z2762" s="38" t="n">
        <x:v>0.7093808942265634</x:v>
      </x:c>
      <x:c r="AA2762"/>
    </x:row>
    <x:row r="2763">
      <x:c r="A2763" s="54" t="n">
        <x:v>45565</x:v>
      </x:c>
      <x:c r="B2763" t="n">
        <x:v>45565.624999988424</x:v>
      </x:c>
      <x:c r="C2763" t="str">
        <x:v>203650</x:v>
      </x:c>
      <x:c r="D2763" t="str">
        <x:v>드림시큐리티</x:v>
      </x:c>
      <x:c r="E2763" t="str">
        <x:v>KOSDAQ</x:v>
      </x:c>
      <x:c r="F2763" t="str">
        <x:v>MID</x:v>
      </x:c>
      <x:c r="G2763" t="str">
        <x:v>ELIGIBLE</x:v>
      </x:c>
      <x:c r="H2763"/>
      <x:c r="I2763" s="54" t="n">
        <x:v>45565</x:v>
      </x:c>
      <x:c r="J2763" s="55" t="n">
        <x:v>3140</x:v>
      </x:c>
      <x:c r="K2763" s="55" t="n">
        <x:v>158902067560</x:v>
      </x:c>
      <x:c r="L2763" s="55" t="n">
        <x:v>50605754</x:v>
      </x:c>
      <x:c r="M2763" t="str">
        <x:v>20240320001616</x:v>
      </x:c>
      <x:c r="N2763" t="n">
        <x:v>45371.624999988424</x:v>
      </x:c>
      <x:c r="O2763" s="54" t="n">
        <x:v>45291</x:v>
      </x:c>
      <x:c r="P2763" t="str">
        <x:v>False</x:v>
      </x:c>
      <x:c r="Q2763" t="str">
        <x:v>59557a89bd1d47b720b80a53a15be6f50c0d82bf0b9f2520c87a5022cb4045a6</x:v>
      </x:c>
      <x:c r="R2763" t="str">
        <x:v>59a24d7af35dd416ea554fb005afe1310718f8bdadef140cad50d43e02d4f4ed</x:v>
      </x:c>
      <x:c r="S2763" t="n">
        <x:v>6</x:v>
      </x:c>
      <x:c r="T2763" t="str">
        <x:v>2018-12-31|2019-12-31|2020-12-31|2021-12-31|2022-12-31|2023-12-31</x:v>
      </x:c>
      <x:c r="U2763" s="57" t="n">
        <x:v>2552.939432679765</x:v>
      </x:c>
      <x:c r="V2763" s="57" t="n">
        <x:v>-0.18696196411472454</x:v>
      </x:c>
      <x:c r="W2763" t="n">
        <x:v>33</x:v>
      </x:c>
      <x:c r="X2763" t="n">
        <x:v>3</x:v>
      </x:c>
      <x:c r="Y2763" s="38" t="n">
        <x:v>0.6409090909090909</x:v>
      </x:c>
      <x:c r="Z2763" s="38" t="n">
        <x:v>0.6404933526297818</x:v>
      </x:c>
      <x:c r="AA2763"/>
    </x:row>
    <x:row r="2764">
      <x:c r="A2764" s="54" t="n">
        <x:v>45565</x:v>
      </x:c>
      <x:c r="B2764" t="n">
        <x:v>45565.624999988424</x:v>
      </x:c>
      <x:c r="C2764" t="str">
        <x:v>251120</x:v>
      </x:c>
      <x:c r="D2764" t="str">
        <x:v>바이오에프디엔씨</x:v>
      </x:c>
      <x:c r="E2764" t="str">
        <x:v>KOSDAQ</x:v>
      </x:c>
      <x:c r="F2764" t="str">
        <x:v>MID</x:v>
      </x:c>
      <x:c r="G2764" t="str">
        <x:v>ELIGIBLE</x:v>
      </x:c>
      <x:c r="H2764"/>
      <x:c r="I2764" s="54" t="n">
        <x:v>45565</x:v>
      </x:c>
      <x:c r="J2764" s="55" t="n">
        <x:v>14710</x:v>
      </x:c>
      <x:c r="K2764" s="55" t="n">
        <x:v>127913747000</x:v>
      </x:c>
      <x:c r="L2764" s="55" t="n">
        <x:v>8695700</x:v>
      </x:c>
      <x:c r="M2764" t="str">
        <x:v>20240321000249</x:v>
      </x:c>
      <x:c r="N2764" t="n">
        <x:v>45372.624999988424</x:v>
      </x:c>
      <x:c r="O2764" s="54" t="n">
        <x:v>45291</x:v>
      </x:c>
      <x:c r="P2764" t="str">
        <x:v>False</x:v>
      </x:c>
      <x:c r="Q2764" t="str">
        <x:v>c894555c5fdfdb9baf6bf268f5640c81148c59946a1eafa8da5b49d314396693</x:v>
      </x:c>
      <x:c r="R2764" t="str">
        <x:v>35019dcd4d45a807ec26f115e7a76ad156ed28697c042def8718bf6a0cc77e88</x:v>
      </x:c>
      <x:c r="S2764" t="n">
        <x:v>5</x:v>
      </x:c>
      <x:c r="T2764" t="str">
        <x:v>2021-12-31|2022-12-31|2023-12-31</x:v>
      </x:c>
      <x:c r="U2764" s="57" t="n">
        <x:v>7712.335656881882</x:v>
      </x:c>
      <x:c r="V2764" s="57" t="n">
        <x:v>-0.4757079770984445</x:v>
      </x:c>
      <x:c r="W2764" t="n">
        <x:v>44</x:v>
      </x:c>
      <x:c r="X2764" t="n">
        <x:v>4</x:v>
      </x:c>
      <x:c r="Y2764" s="38" t="n">
        <x:v>0.6409090909090909</x:v>
      </x:c>
      <x:c r="Z2764" s="38" t="n">
        <x:v>0.6857096411955244</x:v>
      </x:c>
      <x:c r="AA2764"/>
    </x:row>
    <x:row r="2765">
      <x:c r="A2765" s="54" t="n">
        <x:v>45565</x:v>
      </x:c>
      <x:c r="B2765" t="n">
        <x:v>45565.624999988424</x:v>
      </x:c>
      <x:c r="C2765" t="str">
        <x:v>094820</x:v>
      </x:c>
      <x:c r="D2765" t="str">
        <x:v>일진파워</x:v>
      </x:c>
      <x:c r="E2765" t="str">
        <x:v>KOSDAQ</x:v>
      </x:c>
      <x:c r="F2765" t="str">
        <x:v>MID</x:v>
      </x:c>
      <x:c r="G2765" t="str">
        <x:v>ELIGIBLE</x:v>
      </x:c>
      <x:c r="H2765"/>
      <x:c r="I2765" s="54" t="n">
        <x:v>45565</x:v>
      </x:c>
      <x:c r="J2765" s="55" t="n">
        <x:v>9310</x:v>
      </x:c>
      <x:c r="K2765" s="55" t="n">
        <x:v>140382780790</x:v>
      </x:c>
      <x:c r="L2765" s="55" t="n">
        <x:v>15078709</x:v>
      </x:c>
      <x:c r="M2765" t="str">
        <x:v>20240321001764</x:v>
      </x:c>
      <x:c r="N2765" t="n">
        <x:v>45372.624999988424</x:v>
      </x:c>
      <x:c r="O2765" s="54" t="n">
        <x:v>45291</x:v>
      </x:c>
      <x:c r="P2765" t="str">
        <x:v>False</x:v>
      </x:c>
      <x:c r="Q2765" t="str">
        <x:v>8c5fa5ba08df3c46a6c9cb3b32b03d2c7c85ac50aa13ff9446297e85309caec8</x:v>
      </x:c>
      <x:c r="R2765" t="str">
        <x:v>b2a2fceaaef99e188f7034d4081d0b975740594c9da3f86d04ce5e260695d90f</x:v>
      </x:c>
      <x:c r="S2765" t="n">
        <x:v>6</x:v>
      </x:c>
      <x:c r="T2765" t="str">
        <x:v>2018-12-31|2019-12-31|2020-12-31|2021-12-31|2022-12-31|2023-12-31</x:v>
      </x:c>
      <x:c r="U2765" s="57" t="n">
        <x:v>11601.18410293352</x:v>
      </x:c>
      <x:c r="V2765" s="57" t="n">
        <x:v>0.24609925917653275</x:v>
      </x:c>
      <x:c r="W2765" t="n">
        <x:v>23</x:v>
      </x:c>
      <x:c r="X2765" t="n">
        <x:v>2</x:v>
      </x:c>
      <x:c r="Y2765" s="38" t="n">
        <x:v>0.6409090909090909</x:v>
      </x:c>
      <x:c r="Z2765" s="38" t="n">
        <x:v>0.7050890831920046</x:v>
      </x:c>
      <x:c r="AA2765"/>
    </x:row>
    <x:row r="2766">
      <x:c r="A2766" s="54" t="n">
        <x:v>45565</x:v>
      </x:c>
      <x:c r="B2766" t="n">
        <x:v>45565.624999988424</x:v>
      </x:c>
      <x:c r="C2766" t="str">
        <x:v>333430</x:v>
      </x:c>
      <x:c r="D2766" t="str">
        <x:v>일승</x:v>
      </x:c>
      <x:c r="E2766" t="str">
        <x:v>KOSDAQ</x:v>
      </x:c>
      <x:c r="F2766" t="str">
        <x:v>MID</x:v>
      </x:c>
      <x:c r="G2766" t="str">
        <x:v>ELIGIBLE</x:v>
      </x:c>
      <x:c r="H2766"/>
      <x:c r="I2766" s="54" t="n">
        <x:v>45565</x:v>
      </x:c>
      <x:c r="J2766" s="55" t="n">
        <x:v>2935</x:v>
      </x:c>
      <x:c r="K2766" s="55" t="n">
        <x:v>90183002445</x:v>
      </x:c>
      <x:c r="L2766" s="55" t="n">
        <x:v>30726747</x:v>
      </x:c>
      <x:c r="M2766" t="str">
        <x:v>20240320001390</x:v>
      </x:c>
      <x:c r="N2766" t="n">
        <x:v>45371.624999988424</x:v>
      </x:c>
      <x:c r="O2766" s="54" t="n">
        <x:v>45291</x:v>
      </x:c>
      <x:c r="P2766" t="str">
        <x:v>False</x:v>
      </x:c>
      <x:c r="Q2766" t="str">
        <x:v>05cf1e22aafc5d920c8c81b418025835d5932b5c50d9228145fa25d47cd4ef22</x:v>
      </x:c>
      <x:c r="R2766" t="str">
        <x:v>3369e7e64e23442f481936057f32ca618633ffe3c990fb52bad4734b6afb620f</x:v>
      </x:c>
      <x:c r="S2766" t="n">
        <x:v>6</x:v>
      </x:c>
      <x:c r="T2766" t="str">
        <x:v>2021-12-31|2022-12-31|2023-12-31</x:v>
      </x:c>
      <x:c r="U2766" s="57" t="n">
        <x:v>1044.0587971328735</x:v>
      </x:c>
      <x:c r="V2766" s="57" t="n">
        <x:v>-0.6442729822375218</x:v>
      </x:c>
      <x:c r="W2766" t="n">
        <x:v>50</x:v>
      </x:c>
      <x:c r="X2766" t="n">
        <x:v>4</x:v>
      </x:c>
      <x:c r="Y2766" s="38" t="n">
        <x:v>0.6409090909090909</x:v>
      </x:c>
      <x:c r="Z2766" s="38" t="n">
        <x:v>0.678303173070809</x:v>
      </x:c>
      <x:c r="AA2766"/>
    </x:row>
    <x:row r="2767">
      <x:c r="A2767" s="54" t="n">
        <x:v>45565</x:v>
      </x:c>
      <x:c r="B2767" t="n">
        <x:v>45565.624999988424</x:v>
      </x:c>
      <x:c r="C2767" t="str">
        <x:v>041440</x:v>
      </x:c>
      <x:c r="D2767" t="str">
        <x:v>현대에버다임</x:v>
      </x:c>
      <x:c r="E2767" t="str">
        <x:v>KOSDAQ</x:v>
      </x:c>
      <x:c r="F2767" t="str">
        <x:v>MID</x:v>
      </x:c>
      <x:c r="G2767" t="str">
        <x:v>DCF_SCREENING_EXCLUSION</x:v>
      </x:c>
      <x:c r="H2767" t="str">
        <x:v>NON_POSITIVE_ENTERPRISE_VALUE|NON_POSITIVE_EQUITY_VALUE|NON_POSITIVE_TERMINAL_FCF</x:v>
      </x:c>
      <x:c r="I2767" s="54" t="n">
        <x:v>45565</x:v>
      </x:c>
      <x:c r="J2767" s="55" t="n">
        <x:v>7460</x:v>
      </x:c>
      <x:c r="K2767" s="55" t="n">
        <x:v>133652942240</x:v>
      </x:c>
      <x:c r="L2767" s="55" t="n">
        <x:v>17915944</x:v>
      </x:c>
      <x:c r="M2767" t="str">
        <x:v>20240312001027</x:v>
      </x:c>
      <x:c r="N2767" t="n">
        <x:v>45363.624999988424</x:v>
      </x:c>
      <x:c r="O2767" s="54" t="n">
        <x:v>45291</x:v>
      </x:c>
      <x:c r="P2767" t="str">
        <x:v>False</x:v>
      </x:c>
      <x:c r="Q2767" t="str">
        <x:v>7e46271a69192a51a876226fc710db6e424a950de4b5ef8ae1bcf70976ae6352</x:v>
      </x:c>
      <x:c r="R2767" t="str">
        <x:v>c986d76643fde8ddb48387593a879a224b39986131f53a2e70a46324061690f4</x:v>
      </x:c>
      <x:c r="S2767" t="n">
        <x:v>7</x:v>
      </x:c>
      <x:c r="T2767" t="str">
        <x:v>2018-12-31|2019-12-31|2020-12-31|2021-12-31|2022-12-31|2023-12-31</x:v>
      </x:c>
      <x:c r="U2767" s="57" t="n">
        <x:v>-2012.5319738242547</x:v>
      </x:c>
      <x:c r="V2767" s="57" t="n">
        <x:v>-1.2697764039978894</x:v>
      </x:c>
      <x:c r="W2767"/>
      <x:c r="X2767"/>
      <x:c r="Y2767" s="38" t="n">
        <x:v>0.6409090909090909</x:v>
      </x:c>
      <x:c r="Z2767" s="38" t="n">
        <x:v>0.3466080451041223</x:v>
      </x:c>
      <x:c r="AA2767" t="str">
        <x:v>NON_POSITIVE_ENTERPRISE_VALUE|NON_POSITIVE_EQUITY_VALUE|NON_POSITIVE_TERMINAL_FCF</x:v>
      </x:c>
    </x:row>
    <x:row r="2768">
      <x:c r="A2768" s="54" t="n">
        <x:v>45565</x:v>
      </x:c>
      <x:c r="B2768" t="n">
        <x:v>45565.624999988424</x:v>
      </x:c>
      <x:c r="C2768" t="str">
        <x:v>067990</x:v>
      </x:c>
      <x:c r="D2768" t="str">
        <x:v>도이치모터스</x:v>
      </x:c>
      <x:c r="E2768" t="str">
        <x:v>KOSDAQ</x:v>
      </x:c>
      <x:c r="F2768" t="str">
        <x:v>MID</x:v>
      </x:c>
      <x:c r="G2768" t="str">
        <x:v>DCF_SCREENING_EXCLUSION</x:v>
      </x:c>
      <x:c r="H2768" t="str">
        <x:v>NON_POSITIVE_EQUITY_VALUE</x:v>
      </x:c>
      <x:c r="I2768" s="54" t="n">
        <x:v>45565</x:v>
      </x:c>
      <x:c r="J2768" s="55" t="n">
        <x:v>4670</x:v>
      </x:c>
      <x:c r="K2768" s="55" t="n">
        <x:v>140947838500</x:v>
      </x:c>
      <x:c r="L2768" s="55" t="n">
        <x:v>30181550</x:v>
      </x:c>
      <x:c r="M2768" t="str">
        <x:v>20240320001811</x:v>
      </x:c>
      <x:c r="N2768" t="n">
        <x:v>45371.624999988424</x:v>
      </x:c>
      <x:c r="O2768" s="54" t="n">
        <x:v>45291</x:v>
      </x:c>
      <x:c r="P2768" t="str">
        <x:v>False</x:v>
      </x:c>
      <x:c r="Q2768" t="str">
        <x:v>0bc7f3d8d46eeca98074f004bde11ebaceccb4d0727220416c04f6ece769a38b</x:v>
      </x:c>
      <x:c r="R2768" t="str">
        <x:v>2fe0dc46726ebab2714b5d5a488616fe5159fc6c4dd7b3039c7bcb1783cdbe0a</x:v>
      </x:c>
      <x:c r="S2768" t="n">
        <x:v>6</x:v>
      </x:c>
      <x:c r="T2768" t="str">
        <x:v>2016-12-31|2018-12-31|2019-12-31|2020-12-31|2021-12-31|2022-12-31|2023-12-31</x:v>
      </x:c>
      <x:c r="U2768" s="57" t="n">
        <x:v>-4177.27394893669</x:v>
      </x:c>
      <x:c r="V2768" s="57" t="n">
        <x:v>-1.8944912096224176</x:v>
      </x:c>
      <x:c r="W2768"/>
      <x:c r="X2768"/>
      <x:c r="Y2768" s="38" t="n">
        <x:v>0.6409090909090909</x:v>
      </x:c>
      <x:c r="Z2768" s="38" t="n">
        <x:v>0.8283303031315056</x:v>
      </x:c>
      <x:c r="AA2768" t="str">
        <x:v>NON_POSITIVE_EQUITY_VALUE</x:v>
      </x:c>
    </x:row>
    <x:row r="2769">
      <x:c r="A2769" s="54" t="n">
        <x:v>45565</x:v>
      </x:c>
      <x:c r="B2769" t="n">
        <x:v>45565.624999988424</x:v>
      </x:c>
      <x:c r="C2769" t="str">
        <x:v>037070</x:v>
      </x:c>
      <x:c r="D2769" t="str">
        <x:v>파세코</x:v>
      </x:c>
      <x:c r="E2769" t="str">
        <x:v>KOSDAQ</x:v>
      </x:c>
      <x:c r="F2769" t="str">
        <x:v>MID</x:v>
      </x:c>
      <x:c r="G2769" t="str">
        <x:v>DCF_SCREENING_EXCLUSION</x:v>
      </x:c>
      <x:c r="H2769" t="str">
        <x:v>UNRELIABLE_TERMINAL_VALUE_SHARE</x:v>
      </x:c>
      <x:c r="I2769" s="54" t="n">
        <x:v>45565</x:v>
      </x:c>
      <x:c r="J2769" s="55" t="n">
        <x:v>6190</x:v>
      </x:c>
      <x:c r="K2769" s="55" t="n">
        <x:v>123800000000</x:v>
      </x:c>
      <x:c r="L2769" s="55" t="n">
        <x:v>20000000</x:v>
      </x:c>
      <x:c r="M2769" t="str">
        <x:v>20240321000783</x:v>
      </x:c>
      <x:c r="N2769" t="n">
        <x:v>45372.624999988424</x:v>
      </x:c>
      <x:c r="O2769" s="54" t="n">
        <x:v>45291</x:v>
      </x:c>
      <x:c r="P2769" t="str">
        <x:v>False</x:v>
      </x:c>
      <x:c r="Q2769" t="str">
        <x:v>784393044605cd99f115f12712e4d213e1008d38343a2c7f9152ad39cdd13c7d</x:v>
      </x:c>
      <x:c r="R2769" t="str">
        <x:v>e993a3ec31febcb41e3bc61f6c681f23684150b0414f372f5f522aaf1908f978</x:v>
      </x:c>
      <x:c r="S2769" t="n">
        <x:v>7</x:v>
      </x:c>
      <x:c r="T2769" t="str">
        <x:v>2018-12-31|2019-12-31|2020-12-31|2021-12-31|2022-12-31|2023-12-31</x:v>
      </x:c>
      <x:c r="U2769" s="57" t="n">
        <x:v>4248.1881586291975</x:v>
      </x:c>
      <x:c r="V2769" s="57" t="n">
        <x:v>-0.31370142833130904</x:v>
      </x:c>
      <x:c r="W2769"/>
      <x:c r="X2769"/>
      <x:c r="Y2769" s="38" t="n">
        <x:v>0.6409090909090909</x:v>
      </x:c>
      <x:c r="Z2769" s="38" t="n">
        <x:v>0.9240520239327586</x:v>
      </x:c>
      <x:c r="AA2769" t="str">
        <x:v>UNRELIABLE_TERMINAL_VALUE_SHARE</x:v>
      </x:c>
    </x:row>
    <x:row r="2770">
      <x:c r="A2770" s="54" t="n">
        <x:v>45565</x:v>
      </x:c>
      <x:c r="B2770" t="n">
        <x:v>45565.624999988424</x:v>
      </x:c>
      <x:c r="C2770" t="str">
        <x:v>365330</x:v>
      </x:c>
      <x:c r="D2770" t="str">
        <x:v>에스와이스틸텍</x:v>
      </x:c>
      <x:c r="E2770" t="str">
        <x:v>KOSDAQ</x:v>
      </x:c>
      <x:c r="F2770" t="str">
        <x:v>MID</x:v>
      </x:c>
      <x:c r="G2770" t="str">
        <x:v>ELIGIBLE</x:v>
      </x:c>
      <x:c r="H2770"/>
      <x:c r="I2770" s="54" t="n">
        <x:v>45565</x:v>
      </x:c>
      <x:c r="J2770" s="55" t="n">
        <x:v>4005</x:v>
      </x:c>
      <x:c r="K2770" s="55" t="n">
        <x:v>122593050000</x:v>
      </x:c>
      <x:c r="L2770" s="55" t="n">
        <x:v>30610000</x:v>
      </x:c>
      <x:c r="M2770" t="str">
        <x:v>20240320000887</x:v>
      </x:c>
      <x:c r="N2770" t="n">
        <x:v>45371.624999988424</x:v>
      </x:c>
      <x:c r="O2770" s="54" t="n">
        <x:v>45291</x:v>
      </x:c>
      <x:c r="P2770" t="str">
        <x:v>False</x:v>
      </x:c>
      <x:c r="Q2770" t="str">
        <x:v>24573bfdcd10bad4ce40d7dee1546ba30c331c97bb0d8f9057b6fa4ab0f1cc87</x:v>
      </x:c>
      <x:c r="R2770" t="str">
        <x:v>0d3f2e5727184a349b90ab2537360e91a99b544acbb94997ce0b227032ecba06</x:v>
      </x:c>
      <x:c r="S2770" t="n">
        <x:v>4</x:v>
      </x:c>
      <x:c r="T2770" t="str">
        <x:v>2023-12-31</x:v>
      </x:c>
      <x:c r="U2770" s="57" t="n">
        <x:v>4523.773780380267</x:v>
      </x:c>
      <x:c r="V2770" s="57" t="n">
        <x:v>0.12953153068171483</x:v>
      </x:c>
      <x:c r="W2770" t="n">
        <x:v>26</x:v>
      </x:c>
      <x:c r="X2770" t="n">
        <x:v>2</x:v>
      </x:c>
      <x:c r="Y2770" s="38" t="n">
        <x:v>0.6409090909090909</x:v>
      </x:c>
      <x:c r="Z2770" s="38" t="n">
        <x:v>0.6701769222689359</x:v>
      </x:c>
      <x:c r="AA2770"/>
    </x:row>
    <x:row r="2771">
      <x:c r="A2771" s="54" t="n">
        <x:v>45565</x:v>
      </x:c>
      <x:c r="B2771" t="n">
        <x:v>45565.624999988424</x:v>
      </x:c>
      <x:c r="C2771" t="str">
        <x:v>086960</x:v>
      </x:c>
      <x:c r="D2771" t="str">
        <x:v>MDS테크</x:v>
      </x:c>
      <x:c r="E2771" t="str">
        <x:v>KOSDAQ</x:v>
      </x:c>
      <x:c r="F2771" t="str">
        <x:v>MID</x:v>
      </x:c>
      <x:c r="G2771" t="str">
        <x:v>ELIGIBLE</x:v>
      </x:c>
      <x:c r="H2771"/>
      <x:c r="I2771" s="54" t="n">
        <x:v>45565</x:v>
      </x:c>
      <x:c r="J2771" s="55" t="n">
        <x:v>1138</x:v>
      </x:c>
      <x:c r="K2771" s="55" t="n">
        <x:v>105631194744</x:v>
      </x:c>
      <x:c r="L2771" s="55" t="n">
        <x:v>92821788</x:v>
      </x:c>
      <x:c r="M2771" t="str">
        <x:v>20240320001272</x:v>
      </x:c>
      <x:c r="N2771" t="n">
        <x:v>45371.624999988424</x:v>
      </x:c>
      <x:c r="O2771" s="54" t="n">
        <x:v>45291</x:v>
      </x:c>
      <x:c r="P2771" t="str">
        <x:v>False</x:v>
      </x:c>
      <x:c r="Q2771" t="str">
        <x:v>84de4515ca1119a24d9147eddc788440aecaaee691f2865c90aa8ed59fc89a1d</x:v>
      </x:c>
      <x:c r="R2771" t="str">
        <x:v>3e08d93b2f163c2e15943a2607b75a5534844c24473dd034ace6e16e0edd5ab7</x:v>
      </x:c>
      <x:c r="S2771" t="n">
        <x:v>6</x:v>
      </x:c>
      <x:c r="T2771" t="str">
        <x:v>2018-12-31|2019-12-31|2020-12-31|2021-12-31|2022-12-31|2023-12-31</x:v>
      </x:c>
      <x:c r="U2771" s="57" t="n">
        <x:v>1191.600691175317</x:v>
      </x:c>
      <x:c r="V2771" s="57" t="n">
        <x:v>0.0471007831066055</x:v>
      </x:c>
      <x:c r="W2771" t="n">
        <x:v>28</x:v>
      </x:c>
      <x:c r="X2771" t="n">
        <x:v>2</x:v>
      </x:c>
      <x:c r="Y2771" s="38" t="n">
        <x:v>0.6409090909090909</x:v>
      </x:c>
      <x:c r="Z2771" s="38" t="n">
        <x:v>0.6113041702507156</x:v>
      </x:c>
      <x:c r="AA2771"/>
    </x:row>
    <x:row r="2772">
      <x:c r="A2772" s="54" t="n">
        <x:v>45565</x:v>
      </x:c>
      <x:c r="B2772" t="n">
        <x:v>45565.624999988424</x:v>
      </x:c>
      <x:c r="C2772" t="str">
        <x:v>014970</x:v>
      </x:c>
      <x:c r="D2772" t="str">
        <x:v>삼륭물산</x:v>
      </x:c>
      <x:c r="E2772" t="str">
        <x:v>KOSDAQ</x:v>
      </x:c>
      <x:c r="F2772" t="str">
        <x:v>MID</x:v>
      </x:c>
      <x:c r="G2772" t="str">
        <x:v>DCF_SCREENING_EXCLUSION</x:v>
      </x:c>
      <x:c r="H2772" t="str">
        <x:v>NON_POSITIVE_ENTERPRISE_VALUE|NON_POSITIVE_EQUITY_VALUE|NON_POSITIVE_TERMINAL_FCF</x:v>
      </x:c>
      <x:c r="I2772" s="54" t="n">
        <x:v>45565</x:v>
      </x:c>
      <x:c r="J2772" s="55" t="n">
        <x:v>4000</x:v>
      </x:c>
      <x:c r="K2772" s="55" t="n">
        <x:v>60500000000</x:v>
      </x:c>
      <x:c r="L2772" s="55" t="n">
        <x:v>15125000</x:v>
      </x:c>
      <x:c r="M2772" t="str">
        <x:v>20240320000719</x:v>
      </x:c>
      <x:c r="N2772" t="n">
        <x:v>45371.624999988424</x:v>
      </x:c>
      <x:c r="O2772" s="54" t="n">
        <x:v>45291</x:v>
      </x:c>
      <x:c r="P2772" t="str">
        <x:v>False</x:v>
      </x:c>
      <x:c r="Q2772" t="str">
        <x:v>2cadfc6d7219ebba9d011695e07f4b6314ecd5df7ec1ae231e8cf6b97f5bef45</x:v>
      </x:c>
      <x:c r="R2772" t="str">
        <x:v>8e030fcab7ea2a0ed13b3f3fd4694f1f7256ca3970f5581f149752a285031d6d</x:v>
      </x:c>
      <x:c r="S2772" t="n">
        <x:v>6</x:v>
      </x:c>
      <x:c r="T2772" t="str">
        <x:v>2018-12-31|2019-12-31|2020-12-31|2021-12-31|2022-12-31|2023-12-31</x:v>
      </x:c>
      <x:c r="U2772" s="57" t="n">
        <x:v>-1515.1892678884392</x:v>
      </x:c>
      <x:c r="V2772" s="57" t="n">
        <x:v>-1.3787973169721097</x:v>
      </x:c>
      <x:c r="W2772"/>
      <x:c r="X2772"/>
      <x:c r="Y2772" s="38" t="n">
        <x:v>0.6409090909090909</x:v>
      </x:c>
      <x:c r="Z2772" s="38" t="n">
        <x:v>0.6814610306368521</x:v>
      </x:c>
      <x:c r="AA2772" t="str">
        <x:v>NON_POSITIVE_ENTERPRISE_VALUE|NON_POSITIVE_EQUITY_VALUE|NON_POSITIVE_TERMINAL_FCF</x:v>
      </x:c>
    </x:row>
    <x:row r="2773">
      <x:c r="A2773" s="54" t="n">
        <x:v>45565</x:v>
      </x:c>
      <x:c r="B2773" t="n">
        <x:v>45565.624999988424</x:v>
      </x:c>
      <x:c r="C2773" t="str">
        <x:v>088390</x:v>
      </x:c>
      <x:c r="D2773" t="str">
        <x:v>이녹스</x:v>
      </x:c>
      <x:c r="E2773" t="str">
        <x:v>KOSDAQ</x:v>
      </x:c>
      <x:c r="F2773" t="str">
        <x:v>MID</x:v>
      </x:c>
      <x:c r="G2773" t="str">
        <x:v>ELIGIBLE</x:v>
      </x:c>
      <x:c r="H2773"/>
      <x:c r="I2773" s="54" t="n">
        <x:v>45565</x:v>
      </x:c>
      <x:c r="J2773" s="55" t="n">
        <x:v>12740</x:v>
      </x:c>
      <x:c r="K2773" s="55" t="n">
        <x:v>119575652560</x:v>
      </x:c>
      <x:c r="L2773" s="55" t="n">
        <x:v>9385844</x:v>
      </x:c>
      <x:c r="M2773" t="str">
        <x:v>20240320001657</x:v>
      </x:c>
      <x:c r="N2773" t="n">
        <x:v>45371.624999988424</x:v>
      </x:c>
      <x:c r="O2773" s="54" t="n">
        <x:v>45291</x:v>
      </x:c>
      <x:c r="P2773" t="str">
        <x:v>False</x:v>
      </x:c>
      <x:c r="Q2773" t="str">
        <x:v>8dc6d17d648284619088b51a47683a39d7c9ed1736f616904b02e68189eceadb</x:v>
      </x:c>
      <x:c r="R2773" t="str">
        <x:v>f2b8c39a537bef7a34bd1d926810f6f2272c3e414fb936e3f96940d36f9a1331</x:v>
      </x:c>
      <x:c r="S2773" t="n">
        <x:v>6</x:v>
      </x:c>
      <x:c r="T2773" t="str">
        <x:v>2018-12-31|2019-12-31|2020-12-31|2021-12-31|2022-12-31|2023-12-31</x:v>
      </x:c>
      <x:c r="U2773" s="57" t="n">
        <x:v>8672.755239064714</x:v>
      </x:c>
      <x:c r="V2773" s="57" t="n">
        <x:v>-0.3192499812351087</x:v>
      </x:c>
      <x:c r="W2773" t="n">
        <x:v>39</x:v>
      </x:c>
      <x:c r="X2773" t="n">
        <x:v>3</x:v>
      </x:c>
      <x:c r="Y2773" s="38" t="n">
        <x:v>0.6409090909090909</x:v>
      </x:c>
      <x:c r="Z2773" s="38" t="n">
        <x:v>0.7494179855138948</x:v>
      </x:c>
      <x:c r="AA2773"/>
    </x:row>
    <x:row r="2774">
      <x:c r="A2774" s="54" t="n">
        <x:v>45565</x:v>
      </x:c>
      <x:c r="B2774" t="n">
        <x:v>45565.624999988424</x:v>
      </x:c>
      <x:c r="C2774" t="str">
        <x:v>170920</x:v>
      </x:c>
      <x:c r="D2774" t="str">
        <x:v>엘티씨</x:v>
      </x:c>
      <x:c r="E2774" t="str">
        <x:v>KOSDAQ</x:v>
      </x:c>
      <x:c r="F2774" t="str">
        <x:v>MID</x:v>
      </x:c>
      <x:c r="G2774" t="str">
        <x:v>DCF_SCREENING_EXCLUSION</x:v>
      </x:c>
      <x:c r="H2774" t="str">
        <x:v>NON_POSITIVE_ENTERPRISE_VALUE|NON_POSITIVE_EQUITY_VALUE|UNRELIABLE_TERMINAL_VALUE_SHARE</x:v>
      </x:c>
      <x:c r="I2774" s="54" t="n">
        <x:v>45565</x:v>
      </x:c>
      <x:c r="J2774" s="55" t="n">
        <x:v>9690</x:v>
      </x:c>
      <x:c r="K2774" s="55" t="n">
        <x:v>95016457800</x:v>
      </x:c>
      <x:c r="L2774" s="55" t="n">
        <x:v>9805620</x:v>
      </x:c>
      <x:c r="M2774" t="str">
        <x:v>20240321001742</x:v>
      </x:c>
      <x:c r="N2774" t="n">
        <x:v>45372.624999988424</x:v>
      </x:c>
      <x:c r="O2774" s="54" t="n">
        <x:v>45291</x:v>
      </x:c>
      <x:c r="P2774" t="str">
        <x:v>False</x:v>
      </x:c>
      <x:c r="Q2774" t="str">
        <x:v>e0fb18466957ab0f83d20a2f4e800266152f0cbe424990d422a2254e9053e290</x:v>
      </x:c>
      <x:c r="R2774" t="str">
        <x:v>c96edd30d1785443fbfc98210e3ff88ce203af94559a254a9db7253a722dc9b0</x:v>
      </x:c>
      <x:c r="S2774" t="n">
        <x:v>6</x:v>
      </x:c>
      <x:c r="T2774" t="str">
        <x:v>2018-12-31|2019-12-31|2020-12-31|2021-12-31|2022-12-31|2023-12-31</x:v>
      </x:c>
      <x:c r="U2774" s="57" t="n">
        <x:v>-7442.29652600761</x:v>
      </x:c>
      <x:c r="V2774" s="57" t="n">
        <x:v>-1.7680388571731278</x:v>
      </x:c>
      <x:c r="W2774"/>
      <x:c r="X2774"/>
      <x:c r="Y2774" s="38" t="n">
        <x:v>0.6409090909090909</x:v>
      </x:c>
      <x:c r="Z2774" s="38" t="n">
        <x:v>-0.5601716319008023</x:v>
      </x:c>
      <x:c r="AA2774" t="str">
        <x:v>NON_POSITIVE_ENTERPRISE_VALUE|NON_POSITIVE_EQUITY_VALUE|UNRELIABLE_TERMINAL_VALUE_SHARE</x:v>
      </x:c>
    </x:row>
    <x:row r="2775">
      <x:c r="A2775" s="54" t="n">
        <x:v>45565</x:v>
      </x:c>
      <x:c r="B2775" t="n">
        <x:v>45565.624999988424</x:v>
      </x:c>
      <x:c r="C2775" t="str">
        <x:v>021080</x:v>
      </x:c>
      <x:c r="D2775" t="str">
        <x:v>에이티넘인베스트</x:v>
      </x:c>
      <x:c r="E2775" t="str">
        <x:v>KOSDAQ</x:v>
      </x:c>
      <x:c r="F2775" t="str">
        <x:v>MID</x:v>
      </x:c>
      <x:c r="G2775" t="str">
        <x:v>ELIGIBLE</x:v>
      </x:c>
      <x:c r="H2775"/>
      <x:c r="I2775" s="54" t="n">
        <x:v>45565</x:v>
      </x:c>
      <x:c r="J2775" s="55" t="n">
        <x:v>2460</x:v>
      </x:c>
      <x:c r="K2775" s="55" t="n">
        <x:v>118080000000</x:v>
      </x:c>
      <x:c r="L2775" s="55" t="n">
        <x:v>48000000</x:v>
      </x:c>
      <x:c r="M2775" t="str">
        <x:v>20240312000765</x:v>
      </x:c>
      <x:c r="N2775" t="n">
        <x:v>45363.624999988424</x:v>
      </x:c>
      <x:c r="O2775" s="54" t="n">
        <x:v>45291</x:v>
      </x:c>
      <x:c r="P2775" t="str">
        <x:v>False</x:v>
      </x:c>
      <x:c r="Q2775" t="str">
        <x:v>585e092b523d9f6610c602b3553f86e82bb9685ce00a429285a4a5e44a1b69ad</x:v>
      </x:c>
      <x:c r="R2775" t="str">
        <x:v>d63c9082395f6f464c3496fb0527874d7a68bea07199380a9ea6a3a2ff1a2912</x:v>
      </x:c>
      <x:c r="S2775" t="n">
        <x:v>4</x:v>
      </x:c>
      <x:c r="T2775" t="str">
        <x:v>2018-12-31|2019-12-31|2020-12-31|2021-12-31|2022-12-31|2023-12-31</x:v>
      </x:c>
      <x:c r="U2775" s="57" t="n">
        <x:v>11357.071815195002</x:v>
      </x:c>
      <x:c r="V2775" s="57" t="n">
        <x:v>3.616695859835367</x:v>
      </x:c>
      <x:c r="W2775" t="n">
        <x:v>4</x:v>
      </x:c>
      <x:c r="X2775" t="n">
        <x:v>1</x:v>
      </x:c>
      <x:c r="Y2775" s="38" t="n">
        <x:v>0.6409090909090909</x:v>
      </x:c>
      <x:c r="Z2775" s="38" t="n">
        <x:v>0.7437819354512628</x:v>
      </x:c>
      <x:c r="AA2775"/>
    </x:row>
    <x:row r="2776">
      <x:c r="A2776" s="54" t="n">
        <x:v>45565</x:v>
      </x:c>
      <x:c r="B2776" t="n">
        <x:v>45565.624999988424</x:v>
      </x:c>
      <x:c r="C2776" t="str">
        <x:v>302550</x:v>
      </x:c>
      <x:c r="D2776" t="str">
        <x:v>리메드</x:v>
      </x:c>
      <x:c r="E2776" t="str">
        <x:v>KOSDAQ</x:v>
      </x:c>
      <x:c r="F2776" t="str">
        <x:v>MID</x:v>
      </x:c>
      <x:c r="G2776" t="str">
        <x:v>ELIGIBLE</x:v>
      </x:c>
      <x:c r="H2776"/>
      <x:c r="I2776" s="54" t="n">
        <x:v>45565</x:v>
      </x:c>
      <x:c r="J2776" s="55" t="n">
        <x:v>2995</x:v>
      </x:c>
      <x:c r="K2776" s="55" t="n">
        <x:v>91761049600</x:v>
      </x:c>
      <x:c r="L2776" s="55" t="n">
        <x:v>30638080</x:v>
      </x:c>
      <x:c r="M2776" t="str">
        <x:v>20230712000076</x:v>
      </x:c>
      <x:c r="N2776" t="n">
        <x:v>45119.624999988424</x:v>
      </x:c>
      <x:c r="O2776" s="54" t="n">
        <x:v>44926</x:v>
      </x:c>
      <x:c r="P2776" t="str">
        <x:v>True</x:v>
      </x:c>
      <x:c r="Q2776" t="str">
        <x:v>2696cb4a23bf61a69eae1203094ad6ef054f124c385ab3ed7cb3badc732e56ea</x:v>
      </x:c>
      <x:c r="R2776" t="str">
        <x:v>e324af1e445581034711bdcbf297ec383f60b2407cd91b67ee5229b470556ea0</x:v>
      </x:c>
      <x:c r="S2776" t="n">
        <x:v>5</x:v>
      </x:c>
      <x:c r="T2776" t="str">
        <x:v>2019-12-31|2020-12-31|2021-12-31|2022-12-31</x:v>
      </x:c>
      <x:c r="U2776" s="57" t="n">
        <x:v>786.7567809151806</x:v>
      </x:c>
      <x:c r="V2776" s="57" t="n">
        <x:v>-0.7373099228997727</x:v>
      </x:c>
      <x:c r="W2776" t="n">
        <x:v>58</x:v>
      </x:c>
      <x:c r="X2776" t="n">
        <x:v>5</x:v>
      </x:c>
      <x:c r="Y2776" s="38" t="n">
        <x:v>0.6409090909090909</x:v>
      </x:c>
      <x:c r="Z2776" s="38" t="n">
        <x:v>0.6901126110971331</x:v>
      </x:c>
      <x:c r="AA2776"/>
    </x:row>
    <x:row r="2777">
      <x:c r="A2777" s="54" t="n">
        <x:v>45565</x:v>
      </x:c>
      <x:c r="B2777" t="n">
        <x:v>45565.624999988424</x:v>
      </x:c>
      <x:c r="C2777" t="str">
        <x:v>011760</x:v>
      </x:c>
      <x:c r="D2777" t="str">
        <x:v>현대코퍼레이션</x:v>
      </x:c>
      <x:c r="E2777" t="str">
        <x:v>KOSPI</x:v>
      </x:c>
      <x:c r="F2777" t="str">
        <x:v>MID</x:v>
      </x:c>
      <x:c r="G2777" t="str">
        <x:v>ELIGIBLE</x:v>
      </x:c>
      <x:c r="H2777"/>
      <x:c r="I2777" s="54" t="n">
        <x:v>45565</x:v>
      </x:c>
      <x:c r="J2777" s="55" t="n">
        <x:v>18730</x:v>
      </x:c>
      <x:c r="K2777" s="55" t="n">
        <x:v>247778533180</x:v>
      </x:c>
      <x:c r="L2777" s="55" t="n">
        <x:v>13228966</x:v>
      </x:c>
      <x:c r="M2777" t="str">
        <x:v>20240318000785</x:v>
      </x:c>
      <x:c r="N2777" t="n">
        <x:v>45369.624999988424</x:v>
      </x:c>
      <x:c r="O2777" s="54" t="n">
        <x:v>45291</x:v>
      </x:c>
      <x:c r="P2777" t="str">
        <x:v>False</x:v>
      </x:c>
      <x:c r="Q2777" t="str">
        <x:v>bd05e601957c225260fa17bce33245bbeb5087b300ec05c3078d2af44b23856f</x:v>
      </x:c>
      <x:c r="R2777" t="str">
        <x:v>1c4e9c8420b26b511d1e44e0285bfb973453d5b57b84484050f2da19059bf4b0</x:v>
      </x:c>
      <x:c r="S2777" t="n">
        <x:v>6</x:v>
      </x:c>
      <x:c r="T2777" t="str">
        <x:v>2018-12-31|2019-12-31|2020-12-31|2021-12-31|2022-12-31|2023-12-31</x:v>
      </x:c>
      <x:c r="U2777" s="57" t="n">
        <x:v>5583.9450786115685</x:v>
      </x:c>
      <x:c r="V2777" s="57" t="n">
        <x:v>-0.7018715921723668</x:v>
      </x:c>
      <x:c r="W2777" t="n">
        <x:v>55</x:v>
      </x:c>
      <x:c r="X2777" t="n">
        <x:v>4</x:v>
      </x:c>
      <x:c r="Y2777" s="38" t="n">
        <x:v>0.6409090909090909</x:v>
      </x:c>
      <x:c r="Z2777" s="38" t="n">
        <x:v>0.6111192753275378</x:v>
      </x:c>
      <x:c r="AA2777"/>
    </x:row>
    <x:row r="2778">
      <x:c r="A2778" s="54" t="n">
        <x:v>45565</x:v>
      </x:c>
      <x:c r="B2778" t="n">
        <x:v>45565.624999988424</x:v>
      </x:c>
      <x:c r="C2778" t="str">
        <x:v>010690</x:v>
      </x:c>
      <x:c r="D2778" t="str">
        <x:v>화신</x:v>
      </x:c>
      <x:c r="E2778" t="str">
        <x:v>KOSPI</x:v>
      </x:c>
      <x:c r="F2778" t="str">
        <x:v>MID</x:v>
      </x:c>
      <x:c r="G2778" t="str">
        <x:v>DCF_SCREENING_EXCLUSION</x:v>
      </x:c>
      <x:c r="H2778" t="str">
        <x:v>NON_POSITIVE_ENTERPRISE_VALUE|NON_POSITIVE_EQUITY_VALUE|NON_POSITIVE_TERMINAL_FCF|UNRELIABLE_TERMINAL_VALUE_SHARE</x:v>
      </x:c>
      <x:c r="I2778" s="54" t="n">
        <x:v>45565</x:v>
      </x:c>
      <x:c r="J2778" s="55" t="n">
        <x:v>9090</x:v>
      </x:c>
      <x:c r="K2778" s="55" t="n">
        <x:v>317426526900</x:v>
      </x:c>
      <x:c r="L2778" s="55" t="n">
        <x:v>34920410</x:v>
      </x:c>
      <x:c r="M2778" t="str">
        <x:v>20240320000628</x:v>
      </x:c>
      <x:c r="N2778" t="n">
        <x:v>45371.624999988424</x:v>
      </x:c>
      <x:c r="O2778" s="54" t="n">
        <x:v>45291</x:v>
      </x:c>
      <x:c r="P2778" t="str">
        <x:v>False</x:v>
      </x:c>
      <x:c r="Q2778" t="str">
        <x:v>e81705d8d6ba1afc0afef48e6b5e8812525711e6cd1c45d6819869d7b9b99be1</x:v>
      </x:c>
      <x:c r="R2778" t="str">
        <x:v>1cfc709ce29738cc466feeb517f518e423ab5954b30269b72d371bf06ee4533a</x:v>
      </x:c>
      <x:c r="S2778" t="n">
        <x:v>6</x:v>
      </x:c>
      <x:c r="T2778" t="str">
        <x:v>2018-12-31|2019-12-31|2020-12-31|2021-12-31|2022-12-31|2023-12-31</x:v>
      </x:c>
      <x:c r="U2778" s="57" t="n">
        <x:v>-10980.749844779888</x:v>
      </x:c>
      <x:c r="V2778" s="57" t="n">
        <x:v>-2.208003283254113</x:v>
      </x:c>
      <x:c r="W2778"/>
      <x:c r="X2778"/>
      <x:c r="Y2778" s="38" t="n">
        <x:v>0.6409090909090909</x:v>
      </x:c>
      <x:c r="Z2778" s="38" t="n">
        <x:v>0.9229095949043173</x:v>
      </x:c>
      <x:c r="AA2778" t="str">
        <x:v>NON_POSITIVE_ENTERPRISE_VALUE|NON_POSITIVE_EQUITY_VALUE|NON_POSITIVE_TERMINAL_FCF|UNRELIABLE_TERMINAL_VALUE_SHARE</x:v>
      </x:c>
    </x:row>
    <x:row r="2779">
      <x:c r="A2779" s="54" t="n">
        <x:v>45565</x:v>
      </x:c>
      <x:c r="B2779" t="n">
        <x:v>45565.624999988424</x:v>
      </x:c>
      <x:c r="C2779" t="str">
        <x:v>029460</x:v>
      </x:c>
      <x:c r="D2779" t="str">
        <x:v>케이씨</x:v>
      </x:c>
      <x:c r="E2779" t="str">
        <x:v>KOSPI</x:v>
      </x:c>
      <x:c r="F2779" t="str">
        <x:v>MID</x:v>
      </x:c>
      <x:c r="G2779" t="str">
        <x:v>ELIGIBLE</x:v>
      </x:c>
      <x:c r="H2779"/>
      <x:c r="I2779" s="54" t="n">
        <x:v>45565</x:v>
      </x:c>
      <x:c r="J2779" s="55" t="n">
        <x:v>20600</x:v>
      </x:c>
      <x:c r="K2779" s="55" t="n">
        <x:v>279213306400</x:v>
      </x:c>
      <x:c r="L2779" s="55" t="n">
        <x:v>13554044</x:v>
      </x:c>
      <x:c r="M2779" t="str">
        <x:v>20240320001938</x:v>
      </x:c>
      <x:c r="N2779" t="n">
        <x:v>45371.624999988424</x:v>
      </x:c>
      <x:c r="O2779" s="54" t="n">
        <x:v>45291</x:v>
      </x:c>
      <x:c r="P2779" t="str">
        <x:v>False</x:v>
      </x:c>
      <x:c r="Q2779" t="str">
        <x:v>c14886d85c95ef98f0cb4a19df3b598ddb2981a5a15fc88ae7c3335125c0f27e</x:v>
      </x:c>
      <x:c r="R2779" t="str">
        <x:v>22a13afaea6021ee4bf693c4026f93fafaa7a8fba704d505a71c242704fcc3e8</x:v>
      </x:c>
      <x:c r="S2779" t="n">
        <x:v>7</x:v>
      </x:c>
      <x:c r="T2779" t="str">
        <x:v>2018-12-31|2019-12-31|2020-12-31|2021-12-31|2022-12-31|2023-12-31</x:v>
      </x:c>
      <x:c r="U2779" s="57" t="n">
        <x:v>45130.92374360341</x:v>
      </x:c>
      <x:c r="V2779" s="57" t="n">
        <x:v>1.1908215409516218</x:v>
      </x:c>
      <x:c r="W2779" t="n">
        <x:v>12</x:v>
      </x:c>
      <x:c r="X2779" t="n">
        <x:v>1</x:v>
      </x:c>
      <x:c r="Y2779" s="38" t="n">
        <x:v>0.6409090909090909</x:v>
      </x:c>
      <x:c r="Z2779" s="38" t="n">
        <x:v>0.7089059046499804</x:v>
      </x:c>
      <x:c r="AA2779"/>
    </x:row>
    <x:row r="2780">
      <x:c r="A2780" s="54" t="n">
        <x:v>45565</x:v>
      </x:c>
      <x:c r="B2780" t="n">
        <x:v>45565.624999988424</x:v>
      </x:c>
      <x:c r="C2780" t="str">
        <x:v>122900</x:v>
      </x:c>
      <x:c r="D2780" t="str">
        <x:v>아이마켓코리아</x:v>
      </x:c>
      <x:c r="E2780" t="str">
        <x:v>KOSPI</x:v>
      </x:c>
      <x:c r="F2780" t="str">
        <x:v>MID</x:v>
      </x:c>
      <x:c r="G2780" t="str">
        <x:v>ELIGIBLE</x:v>
      </x:c>
      <x:c r="H2780"/>
      <x:c r="I2780" s="54" t="n">
        <x:v>45565</x:v>
      </x:c>
      <x:c r="J2780" s="55" t="n">
        <x:v>8430</x:v>
      </x:c>
      <x:c r="K2780" s="55" t="n">
        <x:v>281805121200</x:v>
      </x:c>
      <x:c r="L2780" s="55" t="n">
        <x:v>33428840</x:v>
      </x:c>
      <x:c r="M2780" t="str">
        <x:v>20240320001539</x:v>
      </x:c>
      <x:c r="N2780" t="n">
        <x:v>45371.624999988424</x:v>
      </x:c>
      <x:c r="O2780" s="54" t="n">
        <x:v>45291</x:v>
      </x:c>
      <x:c r="P2780" t="str">
        <x:v>False</x:v>
      </x:c>
      <x:c r="Q2780" t="str">
        <x:v>d1503789c50ef811d0de22a09dbf8dc2d39a26a93f95f814ae38fa4dd228ed72</x:v>
      </x:c>
      <x:c r="R2780" t="str">
        <x:v>e28ed1210e03ccf7a9f73952a8150699e698367f047dd509b998036ce69b2f89</x:v>
      </x:c>
      <x:c r="S2780" t="n">
        <x:v>7</x:v>
      </x:c>
      <x:c r="T2780" t="str">
        <x:v>2018-12-31|2019-12-31|2020-12-31|2021-12-31|2022-12-31|2023-12-31</x:v>
      </x:c>
      <x:c r="U2780" s="57" t="n">
        <x:v>8276.257238095726</x:v>
      </x:c>
      <x:c r="V2780" s="57" t="n">
        <x:v>-0.018237575552108358</x:v>
      </x:c>
      <x:c r="W2780" t="n">
        <x:v>30</x:v>
      </x:c>
      <x:c r="X2780" t="n">
        <x:v>3</x:v>
      </x:c>
      <x:c r="Y2780" s="38" t="n">
        <x:v>0.6409090909090909</x:v>
      </x:c>
      <x:c r="Z2780" s="38" t="n">
        <x:v>0.6641229820729971</x:v>
      </x:c>
      <x:c r="AA2780"/>
    </x:row>
    <x:row r="2781">
      <x:c r="A2781" s="54" t="n">
        <x:v>45565</x:v>
      </x:c>
      <x:c r="B2781" t="n">
        <x:v>45565.624999988424</x:v>
      </x:c>
      <x:c r="C2781" t="str">
        <x:v>001820</x:v>
      </x:c>
      <x:c r="D2781" t="str">
        <x:v>삼화콘덴서</x:v>
      </x:c>
      <x:c r="E2781" t="str">
        <x:v>KOSPI</x:v>
      </x:c>
      <x:c r="F2781" t="str">
        <x:v>MID</x:v>
      </x:c>
      <x:c r="G2781" t="str">
        <x:v>ELIGIBLE</x:v>
      </x:c>
      <x:c r="H2781"/>
      <x:c r="I2781" s="54" t="n">
        <x:v>45565</x:v>
      </x:c>
      <x:c r="J2781" s="55" t="n">
        <x:v>36150</x:v>
      </x:c>
      <x:c r="K2781" s="55" t="n">
        <x:v>375779250000</x:v>
      </x:c>
      <x:c r="L2781" s="55" t="n">
        <x:v>10395000</x:v>
      </x:c>
      <x:c r="M2781" t="str">
        <x:v>20240314001464</x:v>
      </x:c>
      <x:c r="N2781" t="n">
        <x:v>45365.624999988424</x:v>
      </x:c>
      <x:c r="O2781" s="54" t="n">
        <x:v>45291</x:v>
      </x:c>
      <x:c r="P2781" t="str">
        <x:v>False</x:v>
      </x:c>
      <x:c r="Q2781" t="str">
        <x:v>274a5347b9dabbb2482dfee0910723d6566dfabab115cb38d8e94d1bd1edface</x:v>
      </x:c>
      <x:c r="R2781" t="str">
        <x:v>cf569ee3978138fde2695bac84c5bc8c63f354d09fc34a554225e8d2005758d2</x:v>
      </x:c>
      <x:c r="S2781" t="n">
        <x:v>6</x:v>
      </x:c>
      <x:c r="T2781" t="str">
        <x:v>2018-12-31|2019-12-31|2020-12-31|2021-12-31|2022-12-31|2023-12-31</x:v>
      </x:c>
      <x:c r="U2781" s="57" t="n">
        <x:v>20806.516685187282</x:v>
      </x:c>
      <x:c r="V2781" s="57" t="n">
        <x:v>-0.42443937247061464</x:v>
      </x:c>
      <x:c r="W2781" t="n">
        <x:v>41</x:v>
      </x:c>
      <x:c r="X2781" t="n">
        <x:v>3</x:v>
      </x:c>
      <x:c r="Y2781" s="38" t="n">
        <x:v>0.6409090909090909</x:v>
      </x:c>
      <x:c r="Z2781" s="38" t="n">
        <x:v>0.7219471498277276</x:v>
      </x:c>
      <x:c r="AA2781"/>
    </x:row>
    <x:row r="2782">
      <x:c r="A2782" s="54" t="n">
        <x:v>45565</x:v>
      </x:c>
      <x:c r="B2782" t="n">
        <x:v>45565.624999988424</x:v>
      </x:c>
      <x:c r="C2782" t="str">
        <x:v>001790</x:v>
      </x:c>
      <x:c r="D2782" t="str">
        <x:v>대한제당</x:v>
      </x:c>
      <x:c r="E2782" t="str">
        <x:v>KOSPI</x:v>
      </x:c>
      <x:c r="F2782" t="str">
        <x:v>MID</x:v>
      </x:c>
      <x:c r="G2782" t="str">
        <x:v>ELIGIBLE</x:v>
      </x:c>
      <x:c r="H2782"/>
      <x:c r="I2782" s="54" t="n">
        <x:v>45565</x:v>
      </x:c>
      <x:c r="J2782" s="55" t="n">
        <x:v>2955</x:v>
      </x:c>
      <x:c r="K2782" s="55" t="n">
        <x:v>265053393900</x:v>
      </x:c>
      <x:c r="L2782" s="55" t="n">
        <x:v>89696580</x:v>
      </x:c>
      <x:c r="M2782" t="str">
        <x:v>20240314001234</x:v>
      </x:c>
      <x:c r="N2782" t="n">
        <x:v>45365.624999988424</x:v>
      </x:c>
      <x:c r="O2782" s="54" t="n">
        <x:v>45291</x:v>
      </x:c>
      <x:c r="P2782" t="str">
        <x:v>False</x:v>
      </x:c>
      <x:c r="Q2782" t="str">
        <x:v>df56a246a05df0b3fabb54db375323623b0235bb5736b3320cf8ef71f3e0dca7</x:v>
      </x:c>
      <x:c r="R2782" t="str">
        <x:v>95750ec16fad2e2d24c3b44296bd94ca5da4245c47d0c3845aa3b1a4c61c7771</x:v>
      </x:c>
      <x:c r="S2782" t="n">
        <x:v>6</x:v>
      </x:c>
      <x:c r="T2782" t="str">
        <x:v>2018-12-31|2019-12-31|2020-12-31|2021-12-31|2022-12-31|2023-12-31</x:v>
      </x:c>
      <x:c r="U2782" s="57" t="n">
        <x:v>3415.658777254967</x:v>
      </x:c>
      <x:c r="V2782" s="57" t="n">
        <x:v>0.15589129517934577</x:v>
      </x:c>
      <x:c r="W2782" t="n">
        <x:v>25</x:v>
      </x:c>
      <x:c r="X2782" t="n">
        <x:v>2</x:v>
      </x:c>
      <x:c r="Y2782" s="38" t="n">
        <x:v>0.6409090909090909</x:v>
      </x:c>
      <x:c r="Z2782" s="38" t="n">
        <x:v>0.6282445060315464</x:v>
      </x:c>
      <x:c r="AA2782"/>
    </x:row>
    <x:row r="2783">
      <x:c r="A2783" s="54" t="n">
        <x:v>45565</x:v>
      </x:c>
      <x:c r="B2783" t="n">
        <x:v>45565.624999988424</x:v>
      </x:c>
      <x:c r="C2783" t="str">
        <x:v>001340</x:v>
      </x:c>
      <x:c r="D2783" t="str">
        <x:v>PKC</x:v>
      </x:c>
      <x:c r="E2783" t="str">
        <x:v>KOSPI</x:v>
      </x:c>
      <x:c r="F2783" t="str">
        <x:v>MID</x:v>
      </x:c>
      <x:c r="G2783" t="str">
        <x:v>DCF_SCREENING_EXCLUSION</x:v>
      </x:c>
      <x:c r="H2783" t="str">
        <x:v>NON_POSITIVE_EQUITY_VALUE</x:v>
      </x:c>
      <x:c r="I2783" s="54" t="n">
        <x:v>45565</x:v>
      </x:c>
      <x:c r="J2783" s="55" t="n">
        <x:v>8850</x:v>
      </x:c>
      <x:c r="K2783" s="55" t="n">
        <x:v>397527901950</x:v>
      </x:c>
      <x:c r="L2783" s="55" t="n">
        <x:v>44918407</x:v>
      </x:c>
      <x:c r="M2783" t="str">
        <x:v>20240320001979</x:v>
      </x:c>
      <x:c r="N2783" t="n">
        <x:v>45371.624999988424</x:v>
      </x:c>
      <x:c r="O2783" s="54" t="n">
        <x:v>45291</x:v>
      </x:c>
      <x:c r="P2783" t="str">
        <x:v>False</x:v>
      </x:c>
      <x:c r="Q2783" t="str">
        <x:v>3c6ac6dfee2c7c5af21ff44265a33e23602bb7d3184a696b2b272cd587a4e2f8</x:v>
      </x:c>
      <x:c r="R2783" t="str">
        <x:v>37c0fe6d2ee64845eaf70afcce40d9a39f2a58d7f9bf1537b18fbf2299467f70</x:v>
      </x:c>
      <x:c r="S2783" t="n">
        <x:v>6</x:v>
      </x:c>
      <x:c r="T2783" t="str">
        <x:v>2016-12-31|2017-12-31|2018-12-31|2019-12-31|2020-12-31|2021-12-31|2022-12-31|2023-12-31</x:v>
      </x:c>
      <x:c r="U2783" s="57" t="n">
        <x:v>-680.2452659586256</x:v>
      </x:c>
      <x:c r="V2783" s="57" t="n">
        <x:v>-1.0768638718597316</x:v>
      </x:c>
      <x:c r="W2783"/>
      <x:c r="X2783"/>
      <x:c r="Y2783" s="38" t="n">
        <x:v>0.6409090909090909</x:v>
      </x:c>
      <x:c r="Z2783" s="38" t="n">
        <x:v>0.719630078039282</x:v>
      </x:c>
      <x:c r="AA2783" t="str">
        <x:v>NON_POSITIVE_EQUITY_VALUE</x:v>
      </x:c>
    </x:row>
    <x:row r="2784">
      <x:c r="A2784" s="54" t="n">
        <x:v>45565</x:v>
      </x:c>
      <x:c r="B2784" t="n">
        <x:v>45565.624999988424</x:v>
      </x:c>
      <x:c r="C2784" t="str">
        <x:v>096760</x:v>
      </x:c>
      <x:c r="D2784" t="str">
        <x:v>JW홀딩스</x:v>
      </x:c>
      <x:c r="E2784" t="str">
        <x:v>KOSPI</x:v>
      </x:c>
      <x:c r="F2784" t="str">
        <x:v>MID</x:v>
      </x:c>
      <x:c r="G2784" t="str">
        <x:v>EXCLUDED_ARCHETYPE</x:v>
      </x:c>
      <x:c r="H2784" t="str">
        <x:v>FCFF_NOT_COMPARABLE_FOR_FINANCE_OR_HOLDING_HINT</x:v>
      </x:c>
      <x:c r="I2784" s="54"/>
      <x:c r="J2784" s="55"/>
      <x:c r="K2784" s="55"/>
      <x:c r="L2784" s="55"/>
      <x:c r="M2784"/>
      <x:c r="N2784"/>
      <x:c r="O2784" s="54"/>
      <x:c r="P2784"/>
      <x:c r="Q2784"/>
      <x:c r="R2784"/>
      <x:c r="S2784"/>
      <x:c r="T2784"/>
      <x:c r="U2784" s="57"/>
      <x:c r="V2784" s="57"/>
      <x:c r="W2784"/>
      <x:c r="X2784"/>
      <x:c r="Y2784" s="38"/>
      <x:c r="Z2784" s="38"/>
      <x:c r="AA2784"/>
    </x:row>
    <x:row r="2785">
      <x:c r="A2785" s="54" t="n">
        <x:v>45565</x:v>
      </x:c>
      <x:c r="B2785" t="n">
        <x:v>45565.624999988424</x:v>
      </x:c>
      <x:c r="C2785" t="str">
        <x:v>005010</x:v>
      </x:c>
      <x:c r="D2785" t="str">
        <x:v>휴스틸</x:v>
      </x:c>
      <x:c r="E2785" t="str">
        <x:v>KOSPI</x:v>
      </x:c>
      <x:c r="F2785" t="str">
        <x:v>MID</x:v>
      </x:c>
      <x:c r="G2785" t="str">
        <x:v>ELIGIBLE</x:v>
      </x:c>
      <x:c r="H2785"/>
      <x:c r="I2785" s="54" t="n">
        <x:v>45565</x:v>
      </x:c>
      <x:c r="J2785" s="55" t="n">
        <x:v>4165</x:v>
      </x:c>
      <x:c r="K2785" s="55" t="n">
        <x:v>234023332375</x:v>
      </x:c>
      <x:c r="L2785" s="55" t="n">
        <x:v>56188075</x:v>
      </x:c>
      <x:c r="M2785" t="str">
        <x:v>20240320001603</x:v>
      </x:c>
      <x:c r="N2785" t="n">
        <x:v>45371.624999988424</x:v>
      </x:c>
      <x:c r="O2785" s="54" t="n">
        <x:v>45291</x:v>
      </x:c>
      <x:c r="P2785" t="str">
        <x:v>False</x:v>
      </x:c>
      <x:c r="Q2785" t="str">
        <x:v>35aae45fefebaf10aa2c86741eb7509a2cff890309dfeb292b0a34398125d0ed</x:v>
      </x:c>
      <x:c r="R2785" t="str">
        <x:v>55c6ff67c8f62cec78e5b4d1a25f40746047d70c48fcc8b9976e04ef6ee101d9</x:v>
      </x:c>
      <x:c r="S2785" t="n">
        <x:v>7</x:v>
      </x:c>
      <x:c r="T2785" t="str">
        <x:v>2018-12-31|2019-12-31|2020-12-31|2021-12-31|2022-12-31|2023-12-31</x:v>
      </x:c>
      <x:c r="U2785" s="57" t="n">
        <x:v>10468.317900691738</x:v>
      </x:c>
      <x:c r="V2785" s="57" t="n">
        <x:v>1.513401656828749</x:v>
      </x:c>
      <x:c r="W2785" t="n">
        <x:v>10</x:v>
      </x:c>
      <x:c r="X2785" t="n">
        <x:v>1</x:v>
      </x:c>
      <x:c r="Y2785" s="38" t="n">
        <x:v>0.6409090909090909</x:v>
      </x:c>
      <x:c r="Z2785" s="38" t="n">
        <x:v>0.447207451895078</x:v>
      </x:c>
      <x:c r="AA2785"/>
    </x:row>
    <x:row r="2786">
      <x:c r="A2786" s="54" t="n">
        <x:v>45565</x:v>
      </x:c>
      <x:c r="B2786" t="n">
        <x:v>45565.624999988424</x:v>
      </x:c>
      <x:c r="C2786" t="str">
        <x:v>001630</x:v>
      </x:c>
      <x:c r="D2786" t="str">
        <x:v>종근당홀딩스</x:v>
      </x:c>
      <x:c r="E2786" t="str">
        <x:v>KOSPI</x:v>
      </x:c>
      <x:c r="F2786" t="str">
        <x:v>MID</x:v>
      </x:c>
      <x:c r="G2786" t="str">
        <x:v>EXCLUDED_ARCHETYPE</x:v>
      </x:c>
      <x:c r="H2786" t="str">
        <x:v>FCFF_NOT_COMPARABLE_FOR_FINANCE_OR_HOLDING_HINT</x:v>
      </x:c>
      <x:c r="I2786" s="54"/>
      <x:c r="J2786" s="55"/>
      <x:c r="K2786" s="55"/>
      <x:c r="L2786" s="55"/>
      <x:c r="M2786"/>
      <x:c r="N2786"/>
      <x:c r="O2786" s="54"/>
      <x:c r="P2786"/>
      <x:c r="Q2786"/>
      <x:c r="R2786"/>
      <x:c r="S2786"/>
      <x:c r="T2786"/>
      <x:c r="U2786" s="57"/>
      <x:c r="V2786" s="57"/>
      <x:c r="W2786"/>
      <x:c r="X2786"/>
      <x:c r="Y2786" s="38"/>
      <x:c r="Z2786" s="38"/>
      <x:c r="AA2786"/>
    </x:row>
    <x:row r="2787">
      <x:c r="A2787" s="54" t="n">
        <x:v>45565</x:v>
      </x:c>
      <x:c r="B2787" t="n">
        <x:v>45565.624999988424</x:v>
      </x:c>
      <x:c r="C2787" t="str">
        <x:v>005680</x:v>
      </x:c>
      <x:c r="D2787" t="str">
        <x:v>삼영전자</x:v>
      </x:c>
      <x:c r="E2787" t="str">
        <x:v>KOSPI</x:v>
      </x:c>
      <x:c r="F2787" t="str">
        <x:v>MID</x:v>
      </x:c>
      <x:c r="G2787" t="str">
        <x:v>ELIGIBLE</x:v>
      </x:c>
      <x:c r="H2787"/>
      <x:c r="I2787" s="54" t="n">
        <x:v>45565</x:v>
      </x:c>
      <x:c r="J2787" s="55" t="n">
        <x:v>9490</x:v>
      </x:c>
      <x:c r="K2787" s="55" t="n">
        <x:v>189800000000</x:v>
      </x:c>
      <x:c r="L2787" s="55" t="n">
        <x:v>20000000</x:v>
      </x:c>
      <x:c r="M2787" t="str">
        <x:v>20240326000917</x:v>
      </x:c>
      <x:c r="N2787" t="n">
        <x:v>45377.624999988424</x:v>
      </x:c>
      <x:c r="O2787" s="54" t="n">
        <x:v>45291</x:v>
      </x:c>
      <x:c r="P2787" t="str">
        <x:v>False</x:v>
      </x:c>
      <x:c r="Q2787" t="str">
        <x:v>c9489600e923660150670cea88e10103608288ea56fadc66095a9aeeb1947124</x:v>
      </x:c>
      <x:c r="R2787" t="str">
        <x:v>f302bc68e8759b0aa0925fdb1b06b3e93b20fe5c27a5437c64873a5ca5bd9f85</x:v>
      </x:c>
      <x:c r="S2787" t="n">
        <x:v>6</x:v>
      </x:c>
      <x:c r="T2787" t="str">
        <x:v>2018-12-31|2019-12-31|2020-12-31|2021-12-31|2022-12-31|2023-12-31</x:v>
      </x:c>
      <x:c r="U2787" s="57" t="n">
        <x:v>4030.562647874543</x:v>
      </x:c>
      <x:c r="V2787" s="57" t="n">
        <x:v>-0.5752831772524191</x:v>
      </x:c>
      <x:c r="W2787" t="n">
        <x:v>48</x:v>
      </x:c>
      <x:c r="X2787" t="n">
        <x:v>4</x:v>
      </x:c>
      <x:c r="Y2787" s="38" t="n">
        <x:v>0.6409090909090909</x:v>
      </x:c>
      <x:c r="Z2787" s="38" t="n">
        <x:v>0.5975463439034572</x:v>
      </x:c>
      <x:c r="AA2787"/>
    </x:row>
    <x:row r="2788">
      <x:c r="A2788" s="54" t="n">
        <x:v>45565</x:v>
      </x:c>
      <x:c r="B2788" t="n">
        <x:v>45565.624999988424</x:v>
      </x:c>
      <x:c r="C2788" t="str">
        <x:v>028100</x:v>
      </x:c>
      <x:c r="D2788" t="str">
        <x:v>동아지질</x:v>
      </x:c>
      <x:c r="E2788" t="str">
        <x:v>KOSPI</x:v>
      </x:c>
      <x:c r="F2788" t="str">
        <x:v>MID</x:v>
      </x:c>
      <x:c r="G2788" t="str">
        <x:v>ELIGIBLE</x:v>
      </x:c>
      <x:c r="H2788"/>
      <x:c r="I2788" s="54" t="n">
        <x:v>45565</x:v>
      </x:c>
      <x:c r="J2788" s="55" t="n">
        <x:v>12400</x:v>
      </x:c>
      <x:c r="K2788" s="55" t="n">
        <x:v>174252810400</x:v>
      </x:c>
      <x:c r="L2788" s="55" t="n">
        <x:v>14052646</x:v>
      </x:c>
      <x:c r="M2788" t="str">
        <x:v>20240320001574</x:v>
      </x:c>
      <x:c r="N2788" t="n">
        <x:v>45371.624999988424</x:v>
      </x:c>
      <x:c r="O2788" s="54" t="n">
        <x:v>45291</x:v>
      </x:c>
      <x:c r="P2788" t="str">
        <x:v>False</x:v>
      </x:c>
      <x:c r="Q2788" t="str">
        <x:v>ee52a2e3e477bd9e8cfb8f2ba62b81403571f1861c743963d4d6485d911c75be</x:v>
      </x:c>
      <x:c r="R2788" t="str">
        <x:v>4d06e68b268047c2158644a358ddec39196c4ce7f8c0bd01059dd2aaef3abcdd</x:v>
      </x:c>
      <x:c r="S2788" t="n">
        <x:v>7</x:v>
      </x:c>
      <x:c r="T2788" t="str">
        <x:v>2018-12-31|2019-12-31|2020-12-31|2021-12-31|2022-12-31|2023-12-31</x:v>
      </x:c>
      <x:c r="U2788" s="57" t="n">
        <x:v>8765.107670137253</x:v>
      </x:c>
      <x:c r="V2788" s="57" t="n">
        <x:v>-0.29313647821473765</x:v>
      </x:c>
      <x:c r="W2788" t="n">
        <x:v>38</x:v>
      </x:c>
      <x:c r="X2788" t="n">
        <x:v>3</x:v>
      </x:c>
      <x:c r="Y2788" s="38" t="n">
        <x:v>0.6409090909090909</x:v>
      </x:c>
      <x:c r="Z2788" s="38" t="n">
        <x:v>0.49011150122882485</x:v>
      </x:c>
      <x:c r="AA2788"/>
    </x:row>
    <x:row r="2789">
      <x:c r="A2789" s="54" t="n">
        <x:v>45565</x:v>
      </x:c>
      <x:c r="B2789" t="n">
        <x:v>45565.624999988424</x:v>
      </x:c>
      <x:c r="C2789" t="str">
        <x:v>001750</x:v>
      </x:c>
      <x:c r="D2789" t="str">
        <x:v>한양증권</x:v>
      </x:c>
      <x:c r="E2789" t="str">
        <x:v>KOSPI</x:v>
      </x:c>
      <x:c r="F2789" t="str">
        <x:v>MID</x:v>
      </x:c>
      <x:c r="G2789" t="str">
        <x:v>EXCLUDED_ARCHETYPE</x:v>
      </x:c>
      <x:c r="H2789" t="str">
        <x:v>FCFF_NOT_COMPARABLE_FOR_FINANCE_OR_HOLDING_HINT</x:v>
      </x:c>
      <x:c r="I2789" s="54"/>
      <x:c r="J2789" s="55"/>
      <x:c r="K2789" s="55"/>
      <x:c r="L2789" s="55"/>
      <x:c r="M2789"/>
      <x:c r="N2789"/>
      <x:c r="O2789" s="54"/>
      <x:c r="P2789"/>
      <x:c r="Q2789"/>
      <x:c r="R2789"/>
      <x:c r="S2789"/>
      <x:c r="T2789"/>
      <x:c r="U2789" s="57"/>
      <x:c r="V2789" s="57"/>
      <x:c r="W2789"/>
      <x:c r="X2789"/>
      <x:c r="Y2789" s="38"/>
      <x:c r="Z2789" s="38"/>
      <x:c r="AA2789"/>
    </x:row>
    <x:row r="2790">
      <x:c r="A2790" s="54" t="n">
        <x:v>45565</x:v>
      </x:c>
      <x:c r="B2790" t="n">
        <x:v>45565.624999988424</x:v>
      </x:c>
      <x:c r="C2790" t="str">
        <x:v>102460</x:v>
      </x:c>
      <x:c r="D2790" t="str">
        <x:v>이연제약</x:v>
      </x:c>
      <x:c r="E2790" t="str">
        <x:v>KOSPI</x:v>
      </x:c>
      <x:c r="F2790" t="str">
        <x:v>MID</x:v>
      </x:c>
      <x:c r="G2790" t="str">
        <x:v>ELIGIBLE</x:v>
      </x:c>
      <x:c r="H2790"/>
      <x:c r="I2790" s="54" t="n">
        <x:v>45565</x:v>
      </x:c>
      <x:c r="J2790" s="55" t="n">
        <x:v>13890</x:v>
      </x:c>
      <x:c r="K2790" s="55" t="n">
        <x:v>258170804790</x:v>
      </x:c>
      <x:c r="L2790" s="55" t="n">
        <x:v>18586811</x:v>
      </x:c>
      <x:c r="M2790" t="str">
        <x:v>20240321001807</x:v>
      </x:c>
      <x:c r="N2790" t="n">
        <x:v>45372.624999988424</x:v>
      </x:c>
      <x:c r="O2790" s="54" t="n">
        <x:v>45291</x:v>
      </x:c>
      <x:c r="P2790" t="str">
        <x:v>False</x:v>
      </x:c>
      <x:c r="Q2790" t="str">
        <x:v>80d21ff9a7e0cc91512ce41db0823ff69fde89fde7aa4df36154d1bf9cf32883</x:v>
      </x:c>
      <x:c r="R2790" t="str">
        <x:v>5abe4fd2790dc39b5a5e6080a797e3d1f134ad081f87807db896d3642047e82d</x:v>
      </x:c>
      <x:c r="S2790" t="n">
        <x:v>4</x:v>
      </x:c>
      <x:c r="T2790" t="str">
        <x:v>2018-12-31|2019-12-31|2020-12-31|2021-12-31|2022-12-31|2023-12-31</x:v>
      </x:c>
      <x:c r="U2790" s="57" t="n">
        <x:v>2170.4219230363597</x:v>
      </x:c>
      <x:c r="V2790" s="57" t="n">
        <x:v>-0.8437421221716084</x:v>
      </x:c>
      <x:c r="W2790" t="n">
        <x:v>65</x:v>
      </x:c>
      <x:c r="X2790" t="n">
        <x:v>5</x:v>
      </x:c>
      <x:c r="Y2790" s="38" t="n">
        <x:v>0.6409090909090909</x:v>
      </x:c>
      <x:c r="Z2790" s="38" t="n">
        <x:v>0.8239939514401352</x:v>
      </x:c>
      <x:c r="AA2790"/>
    </x:row>
    <x:row r="2791">
      <x:c r="A2791" s="54" t="n">
        <x:v>45565</x:v>
      </x:c>
      <x:c r="B2791" t="n">
        <x:v>45565.624999988424</x:v>
      </x:c>
      <x:c r="C2791" t="str">
        <x:v>053690</x:v>
      </x:c>
      <x:c r="D2791" t="str">
        <x:v>한미글로벌</x:v>
      </x:c>
      <x:c r="E2791" t="str">
        <x:v>KOSPI</x:v>
      </x:c>
      <x:c r="F2791" t="str">
        <x:v>MID</x:v>
      </x:c>
      <x:c r="G2791" t="str">
        <x:v>ELIGIBLE</x:v>
      </x:c>
      <x:c r="H2791"/>
      <x:c r="I2791" s="54" t="n">
        <x:v>45565</x:v>
      </x:c>
      <x:c r="J2791" s="55" t="n">
        <x:v>14720</x:v>
      </x:c>
      <x:c r="K2791" s="55" t="n">
        <x:v>161295136000</x:v>
      </x:c>
      <x:c r="L2791" s="55" t="n">
        <x:v>10957550</x:v>
      </x:c>
      <x:c r="M2791" t="str">
        <x:v>20240313000849</x:v>
      </x:c>
      <x:c r="N2791" t="n">
        <x:v>45364.624999988424</x:v>
      </x:c>
      <x:c r="O2791" s="54" t="n">
        <x:v>45291</x:v>
      </x:c>
      <x:c r="P2791" t="str">
        <x:v>False</x:v>
      </x:c>
      <x:c r="Q2791" t="str">
        <x:v>600ede85d8fc76ab530b9b07c7cb77f2a7e9a31bbf1c2792ce98764725fae529</x:v>
      </x:c>
      <x:c r="R2791" t="str">
        <x:v>b62dda95c5ba2018a83c44b538c7f4363dc397a14cafc5bec0d3704c830014df</x:v>
      </x:c>
      <x:c r="S2791" t="n">
        <x:v>6</x:v>
      </x:c>
      <x:c r="T2791" t="str">
        <x:v>2018-12-31|2019-12-31|2020-12-31|2021-12-31|2022-12-31|2023-12-31</x:v>
      </x:c>
      <x:c r="U2791" s="57" t="n">
        <x:v>28120.708258603623</x:v>
      </x:c>
      <x:c r="V2791" s="57" t="n">
        <x:v>0.9103742023507897</x:v>
      </x:c>
      <x:c r="W2791" t="n">
        <x:v>15</x:v>
      </x:c>
      <x:c r="X2791" t="n">
        <x:v>2</x:v>
      </x:c>
      <x:c r="Y2791" s="38" t="n">
        <x:v>0.6409090909090909</x:v>
      </x:c>
      <x:c r="Z2791" s="38" t="n">
        <x:v>0.7211920712773437</x:v>
      </x:c>
      <x:c r="AA2791"/>
    </x:row>
    <x:row r="2792">
      <x:c r="A2792" s="54" t="n">
        <x:v>45565</x:v>
      </x:c>
      <x:c r="B2792" t="n">
        <x:v>45565.624999988424</x:v>
      </x:c>
      <x:c r="C2792" t="str">
        <x:v>213500</x:v>
      </x:c>
      <x:c r="D2792" t="str">
        <x:v>한솔제지</x:v>
      </x:c>
      <x:c r="E2792" t="str">
        <x:v>KOSPI</x:v>
      </x:c>
      <x:c r="F2792" t="str">
        <x:v>MID</x:v>
      </x:c>
      <x:c r="G2792" t="str">
        <x:v>ELIGIBLE</x:v>
      </x:c>
      <x:c r="H2792"/>
      <x:c r="I2792" s="54" t="n">
        <x:v>45565</x:v>
      </x:c>
      <x:c r="J2792" s="55" t="n">
        <x:v>9440</x:v>
      </x:c>
      <x:c r="K2792" s="55" t="n">
        <x:v>224677437440</x:v>
      </x:c>
      <x:c r="L2792" s="55" t="n">
        <x:v>23800576</x:v>
      </x:c>
      <x:c r="M2792" t="str">
        <x:v>20240312000971</x:v>
      </x:c>
      <x:c r="N2792" t="n">
        <x:v>45363.624999988424</x:v>
      </x:c>
      <x:c r="O2792" s="54" t="n">
        <x:v>45291</x:v>
      </x:c>
      <x:c r="P2792" t="str">
        <x:v>False</x:v>
      </x:c>
      <x:c r="Q2792" t="str">
        <x:v>19dff331e8b1c6ee5277754cd0302ed39450af4fcdb182c178e95c0d536d86c3</x:v>
      </x:c>
      <x:c r="R2792" t="str">
        <x:v>ee2ea9fea7706535f462605c9bbd31b8c46a23812968bbcab329a050fc29d719</x:v>
      </x:c>
      <x:c r="S2792" t="n">
        <x:v>7</x:v>
      </x:c>
      <x:c r="T2792" t="str">
        <x:v>2018-12-31|2019-12-31|2020-12-31|2021-12-31|2022-12-31|2023-12-31</x:v>
      </x:c>
      <x:c r="U2792" s="57" t="n">
        <x:v>25881.732116932646</x:v>
      </x:c>
      <x:c r="V2792" s="57" t="n">
        <x:v>1.7417089106920178</x:v>
      </x:c>
      <x:c r="W2792" t="n">
        <x:v>7</x:v>
      </x:c>
      <x:c r="X2792" t="n">
        <x:v>1</x:v>
      </x:c>
      <x:c r="Y2792" s="38" t="n">
        <x:v>0.6409090909090909</x:v>
      </x:c>
      <x:c r="Z2792" s="38" t="n">
        <x:v>0.7969868076380493</x:v>
      </x:c>
      <x:c r="AA2792"/>
    </x:row>
    <x:row r="2793">
      <x:c r="A2793" s="54" t="n">
        <x:v>45565</x:v>
      </x:c>
      <x:c r="B2793" t="n">
        <x:v>45565.624999988424</x:v>
      </x:c>
      <x:c r="C2793" t="str">
        <x:v>005430</x:v>
      </x:c>
      <x:c r="D2793" t="str">
        <x:v>한국공항</x:v>
      </x:c>
      <x:c r="E2793" t="str">
        <x:v>KOSPI</x:v>
      </x:c>
      <x:c r="F2793" t="str">
        <x:v>MID</x:v>
      </x:c>
      <x:c r="G2793" t="str">
        <x:v>ELIGIBLE</x:v>
      </x:c>
      <x:c r="H2793"/>
      <x:c r="I2793" s="54" t="n">
        <x:v>45565</x:v>
      </x:c>
      <x:c r="J2793" s="55" t="n">
        <x:v>53100</x:v>
      </x:c>
      <x:c r="K2793" s="55" t="n">
        <x:v>168133450500</x:v>
      </x:c>
      <x:c r="L2793" s="55" t="n">
        <x:v>3166355</x:v>
      </x:c>
      <x:c r="M2793" t="str">
        <x:v>20240313001250</x:v>
      </x:c>
      <x:c r="N2793" t="n">
        <x:v>45364.624999988424</x:v>
      </x:c>
      <x:c r="O2793" s="54" t="n">
        <x:v>45291</x:v>
      </x:c>
      <x:c r="P2793" t="str">
        <x:v>False</x:v>
      </x:c>
      <x:c r="Q2793" t="str">
        <x:v>91288d905d329bc748c57e4da2087a6810ead9e2eb7289cf7df63e0f6be160d7</x:v>
      </x:c>
      <x:c r="R2793" t="str">
        <x:v>29f2c59495d30dcc25005b2cbc9d508ccbe1c6e25677cf3fa2fbbf9a8e4b05b1</x:v>
      </x:c>
      <x:c r="S2793" t="n">
        <x:v>7</x:v>
      </x:c>
      <x:c r="T2793" t="str">
        <x:v>2018-12-31|2019-12-31|2020-12-31|2021-12-31|2022-12-31|2023-12-31</x:v>
      </x:c>
      <x:c r="U2793" s="57" t="n">
        <x:v>61944.748552711986</x:v>
      </x:c>
      <x:c r="V2793" s="57" t="n">
        <x:v>0.16656776935427464</x:v>
      </x:c>
      <x:c r="W2793" t="n">
        <x:v>24</x:v>
      </x:c>
      <x:c r="X2793" t="n">
        <x:v>2</x:v>
      </x:c>
      <x:c r="Y2793" s="38" t="n">
        <x:v>0.6409090909090909</x:v>
      </x:c>
      <x:c r="Z2793" s="38" t="n">
        <x:v>0.5315329476545686</x:v>
      </x:c>
      <x:c r="AA2793"/>
    </x:row>
    <x:row r="2794">
      <x:c r="A2794" s="54" t="n">
        <x:v>45565</x:v>
      </x:c>
      <x:c r="B2794" t="n">
        <x:v>45565.624999988424</x:v>
      </x:c>
      <x:c r="C2794" t="str">
        <x:v>003460</x:v>
      </x:c>
      <x:c r="D2794" t="str">
        <x:v>유화증권</x:v>
      </x:c>
      <x:c r="E2794" t="str">
        <x:v>KOSPI</x:v>
      </x:c>
      <x:c r="F2794" t="str">
        <x:v>MID</x:v>
      </x:c>
      <x:c r="G2794" t="str">
        <x:v>EXCLUDED_ARCHETYPE</x:v>
      </x:c>
      <x:c r="H2794" t="str">
        <x:v>FCFF_NOT_COMPARABLE_FOR_FINANCE_OR_HOLDING_HINT</x:v>
      </x:c>
      <x:c r="I2794" s="54"/>
      <x:c r="J2794" s="55"/>
      <x:c r="K2794" s="55"/>
      <x:c r="L2794" s="55"/>
      <x:c r="M2794"/>
      <x:c r="N2794"/>
      <x:c r="O2794" s="54"/>
      <x:c r="P2794"/>
      <x:c r="Q2794"/>
      <x:c r="R2794"/>
      <x:c r="S2794"/>
      <x:c r="T2794"/>
      <x:c r="U2794" s="57"/>
      <x:c r="V2794" s="57"/>
      <x:c r="W2794"/>
      <x:c r="X2794"/>
      <x:c r="Y2794" s="38"/>
      <x:c r="Z2794" s="38"/>
      <x:c r="AA2794"/>
    </x:row>
    <x:row r="2795">
      <x:c r="A2795" s="54" t="n">
        <x:v>45565</x:v>
      </x:c>
      <x:c r="B2795" t="n">
        <x:v>45565.624999988424</x:v>
      </x:c>
      <x:c r="C2795" t="str">
        <x:v>004140</x:v>
      </x:c>
      <x:c r="D2795" t="str">
        <x:v>동방</x:v>
      </x:c>
      <x:c r="E2795" t="str">
        <x:v>KOSPI</x:v>
      </x:c>
      <x:c r="F2795" t="str">
        <x:v>MID</x:v>
      </x:c>
      <x:c r="G2795" t="str">
        <x:v>ELIGIBLE</x:v>
      </x:c>
      <x:c r="H2795"/>
      <x:c r="I2795" s="54" t="n">
        <x:v>45565</x:v>
      </x:c>
      <x:c r="J2795" s="55" t="n">
        <x:v>2820</x:v>
      </x:c>
      <x:c r="K2795" s="55" t="n">
        <x:v>135280380120</x:v>
      </x:c>
      <x:c r="L2795" s="55" t="n">
        <x:v>47971766</x:v>
      </x:c>
      <x:c r="M2795" t="str">
        <x:v>20240321001580</x:v>
      </x:c>
      <x:c r="N2795" t="n">
        <x:v>45372.624999988424</x:v>
      </x:c>
      <x:c r="O2795" s="54" t="n">
        <x:v>45291</x:v>
      </x:c>
      <x:c r="P2795" t="str">
        <x:v>False</x:v>
      </x:c>
      <x:c r="Q2795" t="str">
        <x:v>cb972dcae33b5fe915c126c95898fd6f6f7e4564cf7e930abea935125474e09c</x:v>
      </x:c>
      <x:c r="R2795" t="str">
        <x:v>de1f0d0bfea597d8482dadfeb4006a8840d2b9e5f343aa9e189c4f1287213fec</x:v>
      </x:c>
      <x:c r="S2795" t="n">
        <x:v>6</x:v>
      </x:c>
      <x:c r="T2795" t="str">
        <x:v>2013-12-31|2014-12-31|2015-12-31|2016-12-31|2018-12-31|2019-12-31|2020-12-31|2021-12-31|2022-12-31|2023-12-31</x:v>
      </x:c>
      <x:c r="U2795" s="57" t="n">
        <x:v>247.8871572399862</x:v>
      </x:c>
      <x:c r="V2795" s="57" t="n">
        <x:v>-0.9120967527517779</x:v>
      </x:c>
      <x:c r="W2795" t="n">
        <x:v>66</x:v>
      </x:c>
      <x:c r="X2795" t="n">
        <x:v>5</x:v>
      </x:c>
      <x:c r="Y2795" s="38" t="n">
        <x:v>0.6409090909090909</x:v>
      </x:c>
      <x:c r="Z2795" s="38" t="n">
        <x:v>0.6002060477668534</x:v>
      </x:c>
      <x:c r="AA2795"/>
    </x:row>
    <x:row r="2796">
      <x:c r="A2796" s="54" t="n">
        <x:v>45565</x:v>
      </x:c>
      <x:c r="B2796" t="n">
        <x:v>45565.624999988424</x:v>
      </x:c>
      <x:c r="C2796" t="str">
        <x:v>317400</x:v>
      </x:c>
      <x:c r="D2796" t="str">
        <x:v>자이에스앤디</x:v>
      </x:c>
      <x:c r="E2796" t="str">
        <x:v>KOSPI</x:v>
      </x:c>
      <x:c r="F2796" t="str">
        <x:v>MID</x:v>
      </x:c>
      <x:c r="G2796" t="str">
        <x:v>ELIGIBLE</x:v>
      </x:c>
      <x:c r="H2796"/>
      <x:c r="I2796" s="54" t="n">
        <x:v>45565</x:v>
      </x:c>
      <x:c r="J2796" s="55" t="n">
        <x:v>4220</x:v>
      </x:c>
      <x:c r="K2796" s="55" t="n">
        <x:v>163662234400</x:v>
      </x:c>
      <x:c r="L2796" s="55" t="n">
        <x:v>38782520</x:v>
      </x:c>
      <x:c r="M2796" t="str">
        <x:v>20240326000881</x:v>
      </x:c>
      <x:c r="N2796" t="n">
        <x:v>45377.624999988424</x:v>
      </x:c>
      <x:c r="O2796" s="54" t="n">
        <x:v>45291</x:v>
      </x:c>
      <x:c r="P2796" t="str">
        <x:v>True</x:v>
      </x:c>
      <x:c r="Q2796" t="str">
        <x:v>62243e72979fac9eb9c35ba9a1755566586ed81ff5034a5c1fe8b1feb2ed6895</x:v>
      </x:c>
      <x:c r="R2796" t="str">
        <x:v>aee106395813db3ab5be1dd79dac8df2df94d014e69795e3423a55111987f7a4</x:v>
      </x:c>
      <x:c r="S2796" t="n">
        <x:v>5</x:v>
      </x:c>
      <x:c r="T2796" t="str">
        <x:v>2019-12-31|2020-12-31|2021-12-31|2022-12-31|2023-12-31</x:v>
      </x:c>
      <x:c r="U2796" s="57" t="n">
        <x:v>55408.75127847823</x:v>
      </x:c>
      <x:c r="V2796" s="57" t="n">
        <x:v>12.130035847980622</x:v>
      </x:c>
      <x:c r="W2796" t="n">
        <x:v>2</x:v>
      </x:c>
      <x:c r="X2796" t="n">
        <x:v>1</x:v>
      </x:c>
      <x:c r="Y2796" s="38" t="n">
        <x:v>0.6409090909090909</x:v>
      </x:c>
      <x:c r="Z2796" s="38" t="n">
        <x:v>0.7436843944694342</x:v>
      </x:c>
      <x:c r="AA2796"/>
    </x:row>
    <x:row r="2797">
      <x:c r="A2797" s="54" t="n">
        <x:v>45565</x:v>
      </x:c>
      <x:c r="B2797" t="n">
        <x:v>45565.624999988424</x:v>
      </x:c>
      <x:c r="C2797" t="str">
        <x:v>077500</x:v>
      </x:c>
      <x:c r="D2797" t="str">
        <x:v>유니퀘스트</x:v>
      </x:c>
      <x:c r="E2797" t="str">
        <x:v>KOSPI</x:v>
      </x:c>
      <x:c r="F2797" t="str">
        <x:v>MID</x:v>
      </x:c>
      <x:c r="G2797" t="str">
        <x:v>ELIGIBLE</x:v>
      </x:c>
      <x:c r="H2797"/>
      <x:c r="I2797" s="54" t="n">
        <x:v>45565</x:v>
      </x:c>
      <x:c r="J2797" s="55" t="n">
        <x:v>4870</x:v>
      </x:c>
      <x:c r="K2797" s="55" t="n">
        <x:v>106136853050</x:v>
      </x:c>
      <x:c r="L2797" s="55" t="n">
        <x:v>21794015</x:v>
      </x:c>
      <x:c r="M2797" t="str">
        <x:v>20240321001571</x:v>
      </x:c>
      <x:c r="N2797" t="n">
        <x:v>45372.624999988424</x:v>
      </x:c>
      <x:c r="O2797" s="54" t="n">
        <x:v>45291</x:v>
      </x:c>
      <x:c r="P2797" t="str">
        <x:v>False</x:v>
      </x:c>
      <x:c r="Q2797" t="str">
        <x:v>73ab5a56c9611f1aa2b93c841dfc282fc89e2067fad0a1fb87019519be18c160</x:v>
      </x:c>
      <x:c r="R2797" t="str">
        <x:v>3b17a27842d2359136a23ce256ea6bc6152f38e08d27763ca467c67c613b99f1</x:v>
      </x:c>
      <x:c r="S2797" t="n">
        <x:v>6</x:v>
      </x:c>
      <x:c r="T2797" t="str">
        <x:v>2011-12-31|2012-12-31|2013-12-31|2014-12-31|2015-12-31|2016-12-31|2017-12-31|2018-12-31|2019-12-31|2020-12-31|2021-12-31|2022-12-31|2023-12-31</x:v>
      </x:c>
      <x:c r="U2797" s="57" t="n">
        <x:v>5315.942478598926</x:v>
      </x:c>
      <x:c r="V2797" s="57" t="n">
        <x:v>0.09156929745357814</x:v>
      </x:c>
      <x:c r="W2797" t="n">
        <x:v>27</x:v>
      </x:c>
      <x:c r="X2797" t="n">
        <x:v>2</x:v>
      </x:c>
      <x:c r="Y2797" s="38" t="n">
        <x:v>0.6409090909090909</x:v>
      </x:c>
      <x:c r="Z2797" s="38" t="n">
        <x:v>0.6307992148694126</x:v>
      </x:c>
      <x:c r="AA2797"/>
    </x:row>
    <x:row r="2798">
      <x:c r="A2798" s="54" t="n">
        <x:v>45565</x:v>
      </x:c>
      <x:c r="B2798" t="n">
        <x:v>45565.624999988424</x:v>
      </x:c>
      <x:c r="C2798" t="str">
        <x:v>012800</x:v>
      </x:c>
      <x:c r="D2798" t="str">
        <x:v>대창</x:v>
      </x:c>
      <x:c r="E2798" t="str">
        <x:v>KOSPI</x:v>
      </x:c>
      <x:c r="F2798" t="str">
        <x:v>MID</x:v>
      </x:c>
      <x:c r="G2798" t="str">
        <x:v>DCF_SCREENING_EXCLUSION</x:v>
      </x:c>
      <x:c r="H2798" t="str">
        <x:v>NON_POSITIVE_EQUITY_VALUE|UNRELIABLE_TERMINAL_VALUE_SHARE</x:v>
      </x:c>
      <x:c r="I2798" s="54" t="n">
        <x:v>45565</x:v>
      </x:c>
      <x:c r="J2798" s="55" t="n">
        <x:v>1352</x:v>
      </x:c>
      <x:c r="K2798" s="55" t="n">
        <x:v>123221954648</x:v>
      </x:c>
      <x:c r="L2798" s="55" t="n">
        <x:v>91140499</x:v>
      </x:c>
      <x:c r="M2798" t="str">
        <x:v>20240319000397</x:v>
      </x:c>
      <x:c r="N2798" t="n">
        <x:v>45370.624999988424</x:v>
      </x:c>
      <x:c r="O2798" s="54" t="n">
        <x:v>45291</x:v>
      </x:c>
      <x:c r="P2798" t="str">
        <x:v>False</x:v>
      </x:c>
      <x:c r="Q2798" t="str">
        <x:v>c884aaf8bda599a6589039d2af0b7536bf2d9b85b3f7408b94d7249667032480</x:v>
      </x:c>
      <x:c r="R2798" t="str">
        <x:v>12825b7a99ca3f11e6a1c01b450f304f4b2a6cd864f55f76ed52ee51ae206687</x:v>
      </x:c>
      <x:c r="S2798" t="n">
        <x:v>6</x:v>
      </x:c>
      <x:c r="T2798" t="str">
        <x:v>2018-12-31|2019-12-31|2020-12-31|2021-12-31|2022-12-31|2023-12-31</x:v>
      </x:c>
      <x:c r="U2798" s="57" t="n">
        <x:v>-2835.27425876338</x:v>
      </x:c>
      <x:c r="V2798" s="57" t="n">
        <x:v>-3.097096345239186</x:v>
      </x:c>
      <x:c r="W2798"/>
      <x:c r="X2798"/>
      <x:c r="Y2798" s="38" t="n">
        <x:v>0.6409090909090909</x:v>
      </x:c>
      <x:c r="Z2798" s="38" t="n">
        <x:v>1.2542393020244607</x:v>
      </x:c>
      <x:c r="AA2798" t="str">
        <x:v>NON_POSITIVE_EQUITY_VALUE|UNRELIABLE_TERMINAL_VALUE_SHARE</x:v>
      </x:c>
    </x:row>
    <x:row r="2799">
      <x:c r="A2799" s="54" t="n">
        <x:v>45565</x:v>
      </x:c>
      <x:c r="B2799" t="n">
        <x:v>45565.624999988424</x:v>
      </x:c>
      <x:c r="C2799" t="str">
        <x:v>063160</x:v>
      </x:c>
      <x:c r="D2799" t="str">
        <x:v>종근당바이오</x:v>
      </x:c>
      <x:c r="E2799" t="str">
        <x:v>KOSPI</x:v>
      </x:c>
      <x:c r="F2799" t="str">
        <x:v>MID</x:v>
      </x:c>
      <x:c r="G2799" t="str">
        <x:v>DCF_SCREENING_EXCLUSION</x:v>
      </x:c>
      <x:c r="H2799" t="str">
        <x:v>NON_POSITIVE_ENTERPRISE_VALUE|NON_POSITIVE_EQUITY_VALUE|NON_POSITIVE_TERMINAL_FCF</x:v>
      </x:c>
      <x:c r="I2799" s="54" t="n">
        <x:v>45565</x:v>
      </x:c>
      <x:c r="J2799" s="55" t="n">
        <x:v>29100</x:v>
      </x:c>
      <x:c r="K2799" s="55" t="n">
        <x:v>159641494200</x:v>
      </x:c>
      <x:c r="L2799" s="55" t="n">
        <x:v>5485962</x:v>
      </x:c>
      <x:c r="M2799" t="str">
        <x:v>20240320001689</x:v>
      </x:c>
      <x:c r="N2799" t="n">
        <x:v>45371.624999988424</x:v>
      </x:c>
      <x:c r="O2799" s="54" t="n">
        <x:v>45291</x:v>
      </x:c>
      <x:c r="P2799" t="str">
        <x:v>False</x:v>
      </x:c>
      <x:c r="Q2799" t="str">
        <x:v>93e252d7dcae6de697e231778352f4d313713c6c1fbe2146b14da4849e4fac5c</x:v>
      </x:c>
      <x:c r="R2799" t="str">
        <x:v>16da8cdf2ba55bf0d25ef8f0739d6b99254dd7661ecd7093de4281353ebda5e8</x:v>
      </x:c>
      <x:c r="S2799" t="n">
        <x:v>6</x:v>
      </x:c>
      <x:c r="T2799" t="str">
        <x:v>2018-12-31|2019-12-31|2020-12-31|2021-12-31|2022-12-31|2023-12-31</x:v>
      </x:c>
      <x:c r="U2799" s="57" t="n">
        <x:v>-45514.57621893075</x:v>
      </x:c>
      <x:c r="V2799" s="57" t="n">
        <x:v>-2.564074784155696</x:v>
      </x:c>
      <x:c r="W2799"/>
      <x:c r="X2799"/>
      <x:c r="Y2799" s="38" t="n">
        <x:v>0.6409090909090909</x:v>
      </x:c>
      <x:c r="Z2799" s="38" t="n">
        <x:v>0.5142144965024156</x:v>
      </x:c>
      <x:c r="AA2799" t="str">
        <x:v>NON_POSITIVE_ENTERPRISE_VALUE|NON_POSITIVE_EQUITY_VALUE|NON_POSITIVE_TERMINAL_FCF</x:v>
      </x:c>
    </x:row>
    <x:row r="2800">
      <x:c r="A2800" s="54" t="n">
        <x:v>45565</x:v>
      </x:c>
      <x:c r="B2800" t="n">
        <x:v>45565.624999988424</x:v>
      </x:c>
      <x:c r="C2800" t="str">
        <x:v>013570</x:v>
      </x:c>
      <x:c r="D2800" t="str">
        <x:v>디와이</x:v>
      </x:c>
      <x:c r="E2800" t="str">
        <x:v>KOSPI</x:v>
      </x:c>
      <x:c r="F2800" t="str">
        <x:v>MID</x:v>
      </x:c>
      <x:c r="G2800" t="str">
        <x:v>ELIGIBLE</x:v>
      </x:c>
      <x:c r="H2800"/>
      <x:c r="I2800" s="54" t="n">
        <x:v>45565</x:v>
      </x:c>
      <x:c r="J2800" s="55" t="n">
        <x:v>4955</x:v>
      </x:c>
      <x:c r="K2800" s="55" t="n">
        <x:v>130413781515</x:v>
      </x:c>
      <x:c r="L2800" s="55" t="n">
        <x:v>26319633</x:v>
      </x:c>
      <x:c r="M2800" t="str">
        <x:v>20240313001243</x:v>
      </x:c>
      <x:c r="N2800" t="n">
        <x:v>45364.624999988424</x:v>
      </x:c>
      <x:c r="O2800" s="54" t="n">
        <x:v>45291</x:v>
      </x:c>
      <x:c r="P2800" t="str">
        <x:v>False</x:v>
      </x:c>
      <x:c r="Q2800" t="str">
        <x:v>5b93197c4315775238e13da809d27c345451f041c63c57432f379f3055212c04</x:v>
      </x:c>
      <x:c r="R2800" t="str">
        <x:v>c05e3809b025eb9c415a01ff07fab054469996c80b404b67909179775d4ea5e8</x:v>
      </x:c>
      <x:c r="S2800" t="n">
        <x:v>6</x:v>
      </x:c>
      <x:c r="T2800" t="str">
        <x:v>2018-12-31|2019-12-31|2020-12-31|2021-12-31|2022-12-31|2023-12-31</x:v>
      </x:c>
      <x:c r="U2800" s="57" t="n">
        <x:v>11956.0318836646</x:v>
      </x:c>
      <x:c r="V2800" s="57" t="n">
        <x:v>1.412922680860666</x:v>
      </x:c>
      <x:c r="W2800" t="n">
        <x:v>11</x:v>
      </x:c>
      <x:c r="X2800" t="n">
        <x:v>1</x:v>
      </x:c>
      <x:c r="Y2800" s="38" t="n">
        <x:v>0.6409090909090909</x:v>
      </x:c>
      <x:c r="Z2800" s="38" t="n">
        <x:v>0.8130986732652858</x:v>
      </x:c>
      <x:c r="AA2800"/>
    </x:row>
    <x:row r="2801">
      <x:c r="A2801" s="54" t="n">
        <x:v>45565</x:v>
      </x:c>
      <x:c r="B2801" t="n">
        <x:v>45565.624999988424</x:v>
      </x:c>
      <x:c r="C2801" t="str">
        <x:v>227840</x:v>
      </x:c>
      <x:c r="D2801" t="str">
        <x:v>현대코퍼레이션홀딩스</x:v>
      </x:c>
      <x:c r="E2801" t="str">
        <x:v>KOSPI</x:v>
      </x:c>
      <x:c r="F2801" t="str">
        <x:v>MID</x:v>
      </x:c>
      <x:c r="G2801" t="str">
        <x:v>EXCLUDED_ARCHETYPE</x:v>
      </x:c>
      <x:c r="H2801" t="str">
        <x:v>FCFF_NOT_COMPARABLE_FOR_FINANCE_OR_HOLDING_HINT</x:v>
      </x:c>
      <x:c r="I2801" s="54"/>
      <x:c r="J2801" s="55"/>
      <x:c r="K2801" s="55"/>
      <x:c r="L2801" s="55"/>
      <x:c r="M2801"/>
      <x:c r="N2801"/>
      <x:c r="O2801" s="54"/>
      <x:c r="P2801"/>
      <x:c r="Q2801"/>
      <x:c r="R2801"/>
      <x:c r="S2801"/>
      <x:c r="T2801"/>
      <x:c r="U2801" s="57"/>
      <x:c r="V2801" s="57"/>
      <x:c r="W2801"/>
      <x:c r="X2801"/>
      <x:c r="Y2801" s="38"/>
      <x:c r="Z2801" s="38"/>
      <x:c r="AA2801"/>
    </x:row>
    <x:row r="2802">
      <x:c r="A2802" s="54" t="n">
        <x:v>45565</x:v>
      </x:c>
      <x:c r="B2802" t="n">
        <x:v>45565.624999988424</x:v>
      </x:c>
      <x:c r="C2802" t="str">
        <x:v>247540</x:v>
      </x:c>
      <x:c r="D2802" t="str">
        <x:v>에코프로비엠</x:v>
      </x:c>
      <x:c r="E2802" t="str">
        <x:v>KOSDAQ</x:v>
      </x:c>
      <x:c r="F2802" t="str">
        <x:v>LARGE</x:v>
      </x:c>
      <x:c r="G2802" t="str">
        <x:v>DCF_SCREENING_EXCLUSION</x:v>
      </x:c>
      <x:c r="H2802" t="str">
        <x:v>NON_POSITIVE_ENTERPRISE_VALUE|NON_POSITIVE_EQUITY_VALUE|NON_POSITIVE_TERMINAL_FCF</x:v>
      </x:c>
      <x:c r="I2802" s="54" t="n">
        <x:v>45565</x:v>
      </x:c>
      <x:c r="J2802" s="55" t="n">
        <x:v>184500</x:v>
      </x:c>
      <x:c r="K2802" s="55" t="n">
        <x:v>18044347968000</x:v>
      </x:c>
      <x:c r="L2802" s="55" t="n">
        <x:v>97801344</x:v>
      </x:c>
      <x:c r="M2802" t="str">
        <x:v>20240417000540</x:v>
      </x:c>
      <x:c r="N2802" t="n">
        <x:v>45399.624999988424</x:v>
      </x:c>
      <x:c r="O2802" s="54" t="n">
        <x:v>45291</x:v>
      </x:c>
      <x:c r="P2802" t="str">
        <x:v>True</x:v>
      </x:c>
      <x:c r="Q2802" t="str">
        <x:v>0ddf8426cecdd8200af2dcd31ea963791bd56de3aa352493ef7d7c00b560bb17</x:v>
      </x:c>
      <x:c r="R2802" t="str">
        <x:v>ee4c7102cf3c459f29a9a97e98005bf737eba9fb990a03c7d9ba1901b6103a3c</x:v>
      </x:c>
      <x:c r="S2802" t="n">
        <x:v>7</x:v>
      </x:c>
      <x:c r="T2802" t="str">
        <x:v>2018-12-31|2019-12-31|2020-12-31|2021-12-31|2022-12-31|2023-12-31</x:v>
      </x:c>
      <x:c r="U2802" s="57" t="n">
        <x:v>-107538.59393692066</x:v>
      </x:c>
      <x:c r="V2802" s="57" t="n">
        <x:v>-1.5828650077881878</x:v>
      </x:c>
      <x:c r="W2802"/>
      <x:c r="X2802"/>
      <x:c r="Y2802" s="38" t="n">
        <x:v>0.6409090909090909</x:v>
      </x:c>
      <x:c r="Z2802" s="38" t="n">
        <x:v>0.6279002068373618</x:v>
      </x:c>
      <x:c r="AA2802" t="str">
        <x:v>NON_POSITIVE_ENTERPRISE_VALUE|NON_POSITIVE_EQUITY_VALUE|NON_POSITIVE_TERMINAL_FCF</x:v>
      </x:c>
    </x:row>
    <x:row r="2803">
      <x:c r="A2803" s="54" t="n">
        <x:v>45565</x:v>
      </x:c>
      <x:c r="B2803" t="n">
        <x:v>45565.624999988424</x:v>
      </x:c>
      <x:c r="C2803" t="str">
        <x:v>086520</x:v>
      </x:c>
      <x:c r="D2803" t="str">
        <x:v>에코프로</x:v>
      </x:c>
      <x:c r="E2803" t="str">
        <x:v>KOSDAQ</x:v>
      </x:c>
      <x:c r="F2803" t="str">
        <x:v>LARGE</x:v>
      </x:c>
      <x:c r="G2803" t="str">
        <x:v>DCF_SCREENING_EXCLUSION</x:v>
      </x:c>
      <x:c r="H2803" t="str">
        <x:v>NON_POSITIVE_EQUITY_VALUE|UNRELIABLE_TERMINAL_VALUE_SHARE</x:v>
      </x:c>
      <x:c r="I2803" s="54" t="n">
        <x:v>45565</x:v>
      </x:c>
      <x:c r="J2803" s="55" t="n">
        <x:v>88600</x:v>
      </x:c>
      <x:c r="K2803" s="55" t="n">
        <x:v>11796056924000</x:v>
      </x:c>
      <x:c r="L2803" s="55" t="n">
        <x:v>133138340</x:v>
      </x:c>
      <x:c r="M2803" t="str">
        <x:v>20240417000532</x:v>
      </x:c>
      <x:c r="N2803" t="n">
        <x:v>45399.624999988424</x:v>
      </x:c>
      <x:c r="O2803" s="54" t="n">
        <x:v>45291</x:v>
      </x:c>
      <x:c r="P2803" t="str">
        <x:v>True</x:v>
      </x:c>
      <x:c r="Q2803" t="str">
        <x:v>3845023c1030daabbda43f32b091ab008422bdaa538975661cce1cc85ccd3004</x:v>
      </x:c>
      <x:c r="R2803" t="str">
        <x:v>b46c72b6f96ba5092dee2d116bcc3587fd26e9283e9e2b35e4655ee6068ea9d3</x:v>
      </x:c>
      <x:c r="S2803" t="n">
        <x:v>6</x:v>
      </x:c>
      <x:c r="T2803" t="str">
        <x:v>2018-12-31|2019-12-31|2020-12-31|2021-12-31|2022-12-31|2023-12-31</x:v>
      </x:c>
      <x:c r="U2803" s="57" t="n">
        <x:v>-4014.195185505057</x:v>
      </x:c>
      <x:c r="V2803" s="57" t="n">
        <x:v>-1.0453069434029916</x:v>
      </x:c>
      <x:c r="W2803"/>
      <x:c r="X2803"/>
      <x:c r="Y2803" s="38" t="n">
        <x:v>0.6409090909090909</x:v>
      </x:c>
      <x:c r="Z2803" s="38" t="n">
        <x:v>5.583488695579711</x:v>
      </x:c>
      <x:c r="AA2803" t="str">
        <x:v>NON_POSITIVE_EQUITY_VALUE|UNRELIABLE_TERMINAL_VALUE_SHARE</x:v>
      </x:c>
    </x:row>
    <x:row r="2804">
      <x:c r="A2804" s="54" t="n">
        <x:v>45565</x:v>
      </x:c>
      <x:c r="B2804" t="n">
        <x:v>45565.624999988424</x:v>
      </x:c>
      <x:c r="C2804" t="str">
        <x:v>214450</x:v>
      </x:c>
      <x:c r="D2804" t="str">
        <x:v>파마리서치</x:v>
      </x:c>
      <x:c r="E2804" t="str">
        <x:v>KOSDAQ</x:v>
      </x:c>
      <x:c r="F2804" t="str">
        <x:v>LARGE</x:v>
      </x:c>
      <x:c r="G2804" t="str">
        <x:v>ELIGIBLE</x:v>
      </x:c>
      <x:c r="H2804"/>
      <x:c r="I2804" s="54" t="n">
        <x:v>45565</x:v>
      </x:c>
      <x:c r="J2804" s="55" t="n">
        <x:v>192700</x:v>
      </x:c>
      <x:c r="K2804" s="55" t="n">
        <x:v>2016442090400</x:v>
      </x:c>
      <x:c r="L2804" s="55" t="n">
        <x:v>10464152</x:v>
      </x:c>
      <x:c r="M2804" t="str">
        <x:v>20240315000795</x:v>
      </x:c>
      <x:c r="N2804" t="n">
        <x:v>45366.624999988424</x:v>
      </x:c>
      <x:c r="O2804" s="54" t="n">
        <x:v>45291</x:v>
      </x:c>
      <x:c r="P2804" t="str">
        <x:v>False</x:v>
      </x:c>
      <x:c r="Q2804" t="str">
        <x:v>1ca6653e737ac1ab4647915c3685d32c933a6338658bbc237f5442a5b8bd304c</x:v>
      </x:c>
      <x:c r="R2804" t="str">
        <x:v>586578e116185a501e396a08e037a1519b9bbd009d43388e5023f6b18bb210cb</x:v>
      </x:c>
      <x:c r="S2804" t="n">
        <x:v>6</x:v>
      </x:c>
      <x:c r="T2804" t="str">
        <x:v>2018-12-31|2019-12-31|2020-12-31|2021-12-31|2022-12-31|2023-12-31</x:v>
      </x:c>
      <x:c r="U2804" s="57" t="n">
        <x:v>97583.29502701489</x:v>
      </x:c>
      <x:c r="V2804" s="57" t="n">
        <x:v>-0.49359992201860464</x:v>
      </x:c>
      <x:c r="W2804" t="n">
        <x:v>45</x:v>
      </x:c>
      <x:c r="X2804" t="n">
        <x:v>4</x:v>
      </x:c>
      <x:c r="Y2804" s="38" t="n">
        <x:v>0.6409090909090909</x:v>
      </x:c>
      <x:c r="Z2804" s="38" t="n">
        <x:v>0.7131539854290058</x:v>
      </x:c>
      <x:c r="AA2804"/>
    </x:row>
    <x:row r="2805">
      <x:c r="A2805" s="54" t="n">
        <x:v>45565</x:v>
      </x:c>
      <x:c r="B2805" t="n">
        <x:v>45565.624999988424</x:v>
      </x:c>
      <x:c r="C2805" t="str">
        <x:v>277810</x:v>
      </x:c>
      <x:c r="D2805" t="str">
        <x:v>레인보우로보틱스</x:v>
      </x:c>
      <x:c r="E2805" t="str">
        <x:v>KOSDAQ</x:v>
      </x:c>
      <x:c r="F2805" t="str">
        <x:v>LARGE</x:v>
      </x:c>
      <x:c r="G2805" t="str">
        <x:v>DCF_SCREENING_EXCLUSION</x:v>
      </x:c>
      <x:c r="H2805" t="str">
        <x:v>NON_POSITIVE_ENTERPRISE_VALUE|NON_POSITIVE_TERMINAL_FCF</x:v>
      </x:c>
      <x:c r="I2805" s="54" t="n">
        <x:v>45565</x:v>
      </x:c>
      <x:c r="J2805" s="55" t="n">
        <x:v>139900</x:v>
      </x:c>
      <x:c r="K2805" s="55" t="n">
        <x:v>2714040134200</x:v>
      </x:c>
      <x:c r="L2805" s="55" t="n">
        <x:v>19399858</x:v>
      </x:c>
      <x:c r="M2805" t="str">
        <x:v>20240321001029</x:v>
      </x:c>
      <x:c r="N2805" t="n">
        <x:v>45372.624999988424</x:v>
      </x:c>
      <x:c r="O2805" s="54" t="n">
        <x:v>45291</x:v>
      </x:c>
      <x:c r="P2805" t="str">
        <x:v>False</x:v>
      </x:c>
      <x:c r="Q2805" t="str">
        <x:v>6faf0823956f1a0a084e90db4ad447ebe74845120ffac4a66fa07667e2bf8af4</x:v>
      </x:c>
      <x:c r="R2805" t="str">
        <x:v>31210a3857756860f0f1911cc01a9700fe3f215b91245e6200fa14ccb0b5ab40</x:v>
      </x:c>
      <x:c r="S2805" t="n">
        <x:v>6</x:v>
      </x:c>
      <x:c r="T2805" t="str">
        <x:v>2020-12-31|2021-12-31|2022-12-31|2023-12-31</x:v>
      </x:c>
      <x:c r="U2805" s="57" t="n">
        <x:v>2129.059522379487</x:v>
      </x:c>
      <x:c r="V2805" s="57" t="n">
        <x:v>-0.9847815616699107</x:v>
      </x:c>
      <x:c r="W2805"/>
      <x:c r="X2805"/>
      <x:c r="Y2805" s="38" t="n">
        <x:v>0.6409090909090909</x:v>
      </x:c>
      <x:c r="Z2805" s="38" t="n">
        <x:v>0.6832451360716333</x:v>
      </x:c>
      <x:c r="AA2805" t="str">
        <x:v>NON_POSITIVE_ENTERPRISE_VALUE|NON_POSITIVE_TERMINAL_FCF</x:v>
      </x:c>
    </x:row>
    <x:row r="2806">
      <x:c r="A2806" s="54" t="n">
        <x:v>45565</x:v>
      </x:c>
      <x:c r="B2806" t="n">
        <x:v>45565.624999988424</x:v>
      </x:c>
      <x:c r="C2806" t="str">
        <x:v>310210</x:v>
      </x:c>
      <x:c r="D2806" t="str">
        <x:v>보로노이</x:v>
      </x:c>
      <x:c r="E2806" t="str">
        <x:v>KOSDAQ</x:v>
      </x:c>
      <x:c r="F2806" t="str">
        <x:v>LARGE</x:v>
      </x:c>
      <x:c r="G2806" t="str">
        <x:v>DCF_SCREENING_EXCLUSION</x:v>
      </x:c>
      <x:c r="H2806" t="str">
        <x:v>NON_POSITIVE_ENTERPRISE_VALUE|NON_POSITIVE_EQUITY_VALUE|NON_POSITIVE_TERMINAL_FCF</x:v>
      </x:c>
      <x:c r="I2806" s="54" t="n">
        <x:v>45565</x:v>
      </x:c>
      <x:c r="J2806" s="55" t="n">
        <x:v>97000</x:v>
      </x:c>
      <x:c r="K2806" s="55" t="n">
        <x:v>1755101510000</x:v>
      </x:c>
      <x:c r="L2806" s="55" t="n">
        <x:v>18093830</x:v>
      </x:c>
      <x:c r="M2806" t="str">
        <x:v>20230323001447</x:v>
      </x:c>
      <x:c r="N2806" t="n">
        <x:v>45008.624999988424</x:v>
      </x:c>
      <x:c r="O2806" s="54" t="n">
        <x:v>44926</x:v>
      </x:c>
      <x:c r="P2806" t="str">
        <x:v>False</x:v>
      </x:c>
      <x:c r="Q2806" t="str">
        <x:v>38d2b1f5e9c968f4f6fa965d42cb2f1a325c069332624c3eed7a50315d302dcc</x:v>
      </x:c>
      <x:c r="R2806" t="str">
        <x:v>576c97c4daed21efafcbd8890e5b797da413a5a092541c93f1595fcf7c74e341</x:v>
      </x:c>
      <x:c r="S2806" t="n">
        <x:v>5</x:v>
      </x:c>
      <x:c r="T2806" t="str">
        <x:v>2022-12-31</x:v>
      </x:c>
      <x:c r="U2806" s="57" t="n">
        <x:v>-2052.957843611883</x:v>
      </x:c>
      <x:c r="V2806" s="57" t="n">
        <x:v>-1.021164513851669</x:v>
      </x:c>
      <x:c r="W2806"/>
      <x:c r="X2806"/>
      <x:c r="Y2806" s="38" t="n">
        <x:v>0.6409090909090909</x:v>
      </x:c>
      <x:c r="Z2806" s="38" t="n">
        <x:v>0.7013426708992583</x:v>
      </x:c>
      <x:c r="AA2806" t="str">
        <x:v>NON_POSITIVE_ENTERPRISE_VALUE|NON_POSITIVE_EQUITY_VALUE|NON_POSITIVE_TERMINAL_FCF</x:v>
      </x:c>
    </x:row>
    <x:row r="2807">
      <x:c r="A2807" s="54" t="n">
        <x:v>45565</x:v>
      </x:c>
      <x:c r="B2807" t="n">
        <x:v>45565.624999988424</x:v>
      </x:c>
      <x:c r="C2807" t="str">
        <x:v>195940</x:v>
      </x:c>
      <x:c r="D2807" t="str">
        <x:v>HK이노엔</x:v>
      </x:c>
      <x:c r="E2807" t="str">
        <x:v>KOSDAQ</x:v>
      </x:c>
      <x:c r="F2807" t="str">
        <x:v>LARGE</x:v>
      </x:c>
      <x:c r="G2807" t="str">
        <x:v>ELIGIBLE</x:v>
      </x:c>
      <x:c r="H2807"/>
      <x:c r="I2807" s="54" t="n">
        <x:v>45565</x:v>
      </x:c>
      <x:c r="J2807" s="55" t="n">
        <x:v>48850</x:v>
      </x:c>
      <x:c r="K2807" s="55" t="n">
        <x:v>1383915175350</x:v>
      </x:c>
      <x:c r="L2807" s="55" t="n">
        <x:v>28329891</x:v>
      </x:c>
      <x:c r="M2807" t="str">
        <x:v>20240320001555</x:v>
      </x:c>
      <x:c r="N2807" t="n">
        <x:v>45371.624999988424</x:v>
      </x:c>
      <x:c r="O2807" s="54" t="n">
        <x:v>45291</x:v>
      </x:c>
      <x:c r="P2807" t="str">
        <x:v>False</x:v>
      </x:c>
      <x:c r="Q2807" t="str">
        <x:v>bc835d0dc49a60e43618a45db225222ed10219260b1196a3404c984acf25a164</x:v>
      </x:c>
      <x:c r="R2807" t="str">
        <x:v>fe877cecd8b4c6f1f2ecfa519ee2c0dab312cbd9aff04d6aadad7f148db87b46</x:v>
      </x:c>
      <x:c r="S2807" t="n">
        <x:v>6</x:v>
      </x:c>
      <x:c r="T2807" t="str">
        <x:v>2021-12-31|2022-12-31|2023-12-31</x:v>
      </x:c>
      <x:c r="U2807" s="57" t="n">
        <x:v>4019.7724806511023</x:v>
      </x:c>
      <x:c r="V2807" s="57" t="n">
        <x:v>-0.9177119246540204</x:v>
      </x:c>
      <x:c r="W2807" t="n">
        <x:v>67</x:v>
      </x:c>
      <x:c r="X2807" t="n">
        <x:v>5</x:v>
      </x:c>
      <x:c r="Y2807" s="38" t="n">
        <x:v>0.6409090909090909</x:v>
      </x:c>
      <x:c r="Z2807" s="38" t="n">
        <x:v>0.6762156517019531</x:v>
      </x:c>
      <x:c r="AA2807"/>
    </x:row>
    <x:row r="2808">
      <x:c r="A2808" s="54" t="n">
        <x:v>45565</x:v>
      </x:c>
      <x:c r="B2808" t="n">
        <x:v>45565.624999988424</x:v>
      </x:c>
      <x:c r="C2808" t="str">
        <x:v>039200</x:v>
      </x:c>
      <x:c r="D2808" t="str">
        <x:v>오스코텍</x:v>
      </x:c>
      <x:c r="E2808" t="str">
        <x:v>KOSDAQ</x:v>
      </x:c>
      <x:c r="F2808" t="str">
        <x:v>LARGE</x:v>
      </x:c>
      <x:c r="G2808" t="str">
        <x:v>DCF_SCREENING_EXCLUSION</x:v>
      </x:c>
      <x:c r="H2808" t="str">
        <x:v>NON_POSITIVE_ENTERPRISE_VALUE|NON_POSITIVE_EQUITY_VALUE|NON_POSITIVE_TERMINAL_FCF</x:v>
      </x:c>
      <x:c r="I2808" s="54" t="n">
        <x:v>45565</x:v>
      </x:c>
      <x:c r="J2808" s="55" t="n">
        <x:v>34700</x:v>
      </x:c>
      <x:c r="K2808" s="55" t="n">
        <x:v>1327072907200</x:v>
      </x:c>
      <x:c r="L2808" s="55" t="n">
        <x:v>38244176</x:v>
      </x:c>
      <x:c r="M2808" t="str">
        <x:v>20240318000560</x:v>
      </x:c>
      <x:c r="N2808" t="n">
        <x:v>45369.624999988424</x:v>
      </x:c>
      <x:c r="O2808" s="54" t="n">
        <x:v>45291</x:v>
      </x:c>
      <x:c r="P2808" t="str">
        <x:v>False</x:v>
      </x:c>
      <x:c r="Q2808" t="str">
        <x:v>fa78055b80d7f3cc41c605aa4835ac75b86d483e7455456b98769cca3d71a27e</x:v>
      </x:c>
      <x:c r="R2808" t="str">
        <x:v>77fbbdbf0aed21c0debf106a088ad9da9f83f8b18d6bf28b8e4a2df0137cf6f5</x:v>
      </x:c>
      <x:c r="S2808" t="n">
        <x:v>6</x:v>
      </x:c>
      <x:c r="T2808" t="str">
        <x:v>2018-12-31|2019-12-31|2020-12-31|2021-12-31|2022-12-31|2023-12-31</x:v>
      </x:c>
      <x:c r="U2808" s="57" t="n">
        <x:v>-54.82895526366266</x:v>
      </x:c>
      <x:c r="V2808" s="57" t="n">
        <x:v>-1.0015800851660999</x:v>
      </x:c>
      <x:c r="W2808"/>
      <x:c r="X2808"/>
      <x:c r="Y2808" s="38" t="n">
        <x:v>0.6409090909090909</x:v>
      </x:c>
      <x:c r="Z2808" s="38" t="n">
        <x:v>0.7058896170186482</x:v>
      </x:c>
      <x:c r="AA2808" t="str">
        <x:v>NON_POSITIVE_ENTERPRISE_VALUE|NON_POSITIVE_EQUITY_VALUE|NON_POSITIVE_TERMINAL_FCF</x:v>
      </x:c>
    </x:row>
    <x:row r="2809">
      <x:c r="A2809" s="54" t="n">
        <x:v>45565</x:v>
      </x:c>
      <x:c r="B2809" t="n">
        <x:v>45565.624999988424</x:v>
      </x:c>
      <x:c r="C2809" t="str">
        <x:v>084370</x:v>
      </x:c>
      <x:c r="D2809" t="str">
        <x:v>유진테크</x:v>
      </x:c>
      <x:c r="E2809" t="str">
        <x:v>KOSDAQ</x:v>
      </x:c>
      <x:c r="F2809" t="str">
        <x:v>LARGE</x:v>
      </x:c>
      <x:c r="G2809" t="str">
        <x:v>ELIGIBLE</x:v>
      </x:c>
      <x:c r="H2809"/>
      <x:c r="I2809" s="54" t="n">
        <x:v>45565</x:v>
      </x:c>
      <x:c r="J2809" s="55" t="n">
        <x:v>37950</x:v>
      </x:c>
      <x:c r="K2809" s="55" t="n">
        <x:v>869663793900</x:v>
      </x:c>
      <x:c r="L2809" s="55" t="n">
        <x:v>22916042</x:v>
      </x:c>
      <x:c r="M2809" t="str">
        <x:v>20240321001566</x:v>
      </x:c>
      <x:c r="N2809" t="n">
        <x:v>45372.624999988424</x:v>
      </x:c>
      <x:c r="O2809" s="54" t="n">
        <x:v>45291</x:v>
      </x:c>
      <x:c r="P2809" t="str">
        <x:v>False</x:v>
      </x:c>
      <x:c r="Q2809" t="str">
        <x:v>5231344ec0918c3914c3b36ef88b559c2ae8a4ee043536c010b4450f86fdd1a0</x:v>
      </x:c>
      <x:c r="R2809" t="str">
        <x:v>c2b7a3f2f581f0b2e2849c5115cb6f1cb06355e9fa6f7646697709eef5a1ba49</x:v>
      </x:c>
      <x:c r="S2809" t="n">
        <x:v>6</x:v>
      </x:c>
      <x:c r="T2809" t="str">
        <x:v>2018-12-31|2019-12-31|2020-12-31|2021-12-31|2022-12-31|2023-12-31</x:v>
      </x:c>
      <x:c r="U2809" s="57" t="n">
        <x:v>12476.303701351173</x:v>
      </x:c>
      <x:c r="V2809" s="57" t="n">
        <x:v>-0.6712436442331707</x:v>
      </x:c>
      <x:c r="W2809" t="n">
        <x:v>53</x:v>
      </x:c>
      <x:c r="X2809" t="n">
        <x:v>4</x:v>
      </x:c>
      <x:c r="Y2809" s="38" t="n">
        <x:v>0.6409090909090909</x:v>
      </x:c>
      <x:c r="Z2809" s="38" t="n">
        <x:v>0.7279301673798181</x:v>
      </x:c>
      <x:c r="AA2809"/>
    </x:row>
    <x:row r="2810">
      <x:c r="A2810" s="54" t="n">
        <x:v>45565</x:v>
      </x:c>
      <x:c r="B2810" t="n">
        <x:v>45565.624999988424</x:v>
      </x:c>
      <x:c r="C2810" t="str">
        <x:v>160190</x:v>
      </x:c>
      <x:c r="D2810" t="str">
        <x:v>하이젠알앤엠</x:v>
      </x:c>
      <x:c r="E2810" t="str">
        <x:v>KOSDAQ</x:v>
      </x:c>
      <x:c r="F2810" t="str">
        <x:v>LARGE</x:v>
      </x:c>
      <x:c r="G2810" t="str">
        <x:v>NO_PIT_FINANCIALS</x:v>
      </x:c>
      <x:c r="H2810"/>
      <x:c r="I2810" s="54" t="n">
        <x:v>45565</x:v>
      </x:c>
      <x:c r="J2810" s="55" t="n">
        <x:v>9560</x:v>
      </x:c>
      <x:c r="K2810" s="55" t="n">
        <x:v>295289280000</x:v>
      </x:c>
      <x:c r="L2810" s="55" t="n">
        <x:v>30888000</x:v>
      </x:c>
      <x:c r="M2810"/>
      <x:c r="N2810"/>
      <x:c r="O2810" s="54"/>
      <x:c r="P2810"/>
      <x:c r="Q2810"/>
      <x:c r="R2810"/>
      <x:c r="S2810"/>
      <x:c r="T2810"/>
      <x:c r="U2810" s="57"/>
      <x:c r="V2810" s="57"/>
      <x:c r="W2810"/>
      <x:c r="X2810"/>
      <x:c r="Y2810" s="38"/>
      <x:c r="Z2810" s="38"/>
      <x:c r="AA2810"/>
    </x:row>
    <x:row r="2811">
      <x:c r="A2811" s="54" t="n">
        <x:v>45565</x:v>
      </x:c>
      <x:c r="B2811" t="n">
        <x:v>45565.624999988424</x:v>
      </x:c>
      <x:c r="C2811" t="str">
        <x:v>281740</x:v>
      </x:c>
      <x:c r="D2811" t="str">
        <x:v>레이크머티리얼즈</x:v>
      </x:c>
      <x:c r="E2811" t="str">
        <x:v>KOSDAQ</x:v>
      </x:c>
      <x:c r="F2811" t="str">
        <x:v>LARGE</x:v>
      </x:c>
      <x:c r="G2811" t="str">
        <x:v>ELIGIBLE</x:v>
      </x:c>
      <x:c r="H2811"/>
      <x:c r="I2811" s="54" t="n">
        <x:v>45565</x:v>
      </x:c>
      <x:c r="J2811" s="55" t="n">
        <x:v>17080</x:v>
      </x:c>
      <x:c r="K2811" s="55" t="n">
        <x:v>1122677759840</x:v>
      </x:c>
      <x:c r="L2811" s="55" t="n">
        <x:v>65730548</x:v>
      </x:c>
      <x:c r="M2811" t="str">
        <x:v>20240320000555</x:v>
      </x:c>
      <x:c r="N2811" t="n">
        <x:v>45371.624999988424</x:v>
      </x:c>
      <x:c r="O2811" s="54" t="n">
        <x:v>45291</x:v>
      </x:c>
      <x:c r="P2811" t="str">
        <x:v>False</x:v>
      </x:c>
      <x:c r="Q2811" t="str">
        <x:v>e48009a48bdc7d2f8f2c00276113fc227cdd6b48e967a314a504818c28300ca4</x:v>
      </x:c>
      <x:c r="R2811" t="str">
        <x:v>6f503c29bd608940742624a61507c77234fbfb7d232eab6267770926c04728de</x:v>
      </x:c>
      <x:c r="S2811" t="n">
        <x:v>6</x:v>
      </x:c>
      <x:c r="T2811" t="str">
        <x:v>2020-12-31|2021-12-31|2022-12-31|2023-12-31</x:v>
      </x:c>
      <x:c r="U2811" s="57" t="n">
        <x:v>3478.766264193427</x:v>
      </x:c>
      <x:c r="V2811" s="57" t="n">
        <x:v>-0.7963251601760288</x:v>
      </x:c>
      <x:c r="W2811" t="n">
        <x:v>60</x:v>
      </x:c>
      <x:c r="X2811" t="n">
        <x:v>5</x:v>
      </x:c>
      <x:c r="Y2811" s="38" t="n">
        <x:v>0.6409090909090909</x:v>
      </x:c>
      <x:c r="Z2811" s="38" t="n">
        <x:v>0.7468053248574974</x:v>
      </x:c>
      <x:c r="AA2811"/>
    </x:row>
    <x:row r="2812">
      <x:c r="A2812" s="54" t="n">
        <x:v>45565</x:v>
      </x:c>
      <x:c r="B2812" t="n">
        <x:v>45565.624999988424</x:v>
      </x:c>
      <x:c r="C2812" t="str">
        <x:v>078130</x:v>
      </x:c>
      <x:c r="D2812" t="str">
        <x:v>국일제지</x:v>
      </x:c>
      <x:c r="E2812" t="str">
        <x:v>KOSDAQ</x:v>
      </x:c>
      <x:c r="F2812" t="str">
        <x:v>LARGE</x:v>
      </x:c>
      <x:c r="G2812" t="str">
        <x:v>DCF_SCREENING_EXCLUSION</x:v>
      </x:c>
      <x:c r="H2812" t="str">
        <x:v>NON_POSITIVE_ENTERPRISE_VALUE|NON_POSITIVE_TERMINAL_FCF</x:v>
      </x:c>
      <x:c r="I2812" s="54" t="n">
        <x:v>45565</x:v>
      </x:c>
      <x:c r="J2812" s="55" t="n">
        <x:v>800</x:v>
      </x:c>
      <x:c r="K2812" s="55" t="n">
        <x:v>901924696800</x:v>
      </x:c>
      <x:c r="L2812" s="55" t="n">
        <x:v>1127405871</x:v>
      </x:c>
      <x:c r="M2812" t="str">
        <x:v>20240321001819</x:v>
      </x:c>
      <x:c r="N2812" t="n">
        <x:v>45372.624999988424</x:v>
      </x:c>
      <x:c r="O2812" s="54" t="n">
        <x:v>45291</x:v>
      </x:c>
      <x:c r="P2812" t="str">
        <x:v>False</x:v>
      </x:c>
      <x:c r="Q2812" t="str">
        <x:v>cac5fc1c6ff1a14dcf38476dd7409e9e086b5713e50cbb58359adb9134109ba9</x:v>
      </x:c>
      <x:c r="R2812" t="str">
        <x:v>a596ab6b40c4a26381c37c1e9d462e963486ede8040fbe78068010beed4d32ab</x:v>
      </x:c>
      <x:c r="S2812" t="n">
        <x:v>5</x:v>
      </x:c>
      <x:c r="T2812" t="str">
        <x:v>2018-12-31|2019-12-31|2020-12-31|2021-12-31|2022-12-31|2023-12-31</x:v>
      </x:c>
      <x:c r="U2812" s="57" t="n">
        <x:v>5.016268408445829</x:v>
      </x:c>
      <x:c r="V2812" s="57" t="n">
        <x:v>-0.9937296644894427</x:v>
      </x:c>
      <x:c r="W2812"/>
      <x:c r="X2812"/>
      <x:c r="Y2812" s="38" t="n">
        <x:v>0.6409090909090909</x:v>
      </x:c>
      <x:c r="Z2812" s="38" t="n">
        <x:v>0.5262628967257946</x:v>
      </x:c>
      <x:c r="AA2812" t="str">
        <x:v>NON_POSITIVE_ENTERPRISE_VALUE|NON_POSITIVE_TERMINAL_FCF</x:v>
      </x:c>
    </x:row>
    <x:row r="2813">
      <x:c r="A2813" s="54" t="n">
        <x:v>45565</x:v>
      </x:c>
      <x:c r="B2813" t="n">
        <x:v>45565.624999988424</x:v>
      </x:c>
      <x:c r="C2813" t="str">
        <x:v>131970</x:v>
      </x:c>
      <x:c r="D2813" t="str">
        <x:v>두산테스나</x:v>
      </x:c>
      <x:c r="E2813" t="str">
        <x:v>KOSDAQ</x:v>
      </x:c>
      <x:c r="F2813" t="str">
        <x:v>LARGE</x:v>
      </x:c>
      <x:c r="G2813" t="str">
        <x:v>ELIGIBLE</x:v>
      </x:c>
      <x:c r="H2813"/>
      <x:c r="I2813" s="54" t="n">
        <x:v>45565</x:v>
      </x:c>
      <x:c r="J2813" s="55" t="n">
        <x:v>31150</x:v>
      </x:c>
      <x:c r="K2813" s="55" t="n">
        <x:v>529754530900</x:v>
      </x:c>
      <x:c r="L2813" s="55" t="n">
        <x:v>17006566</x:v>
      </x:c>
      <x:c r="M2813" t="str">
        <x:v>20240320000768</x:v>
      </x:c>
      <x:c r="N2813" t="n">
        <x:v>45371.624999988424</x:v>
      </x:c>
      <x:c r="O2813" s="54" t="n">
        <x:v>45291</x:v>
      </x:c>
      <x:c r="P2813" t="str">
        <x:v>False</x:v>
      </x:c>
      <x:c r="Q2813" t="str">
        <x:v>40bad6e60031b403936d643f32613a1e9e21b7f03fd3114ef7c95a70bf1006f6</x:v>
      </x:c>
      <x:c r="R2813" t="str">
        <x:v>3d0ca6829b423ddba5543185c23cc15f13ce87ffbbdb4b6626a4ec7f73137ff1</x:v>
      </x:c>
      <x:c r="S2813" t="n">
        <x:v>6</x:v>
      </x:c>
      <x:c r="T2813" t="str">
        <x:v>2018-12-31|2019-12-31|2020-12-31|2021-12-31|2022-12-31|2023-12-31</x:v>
      </x:c>
      <x:c r="U2813" s="57" t="n">
        <x:v>44223.64769136174</x:v>
      </x:c>
      <x:c r="V2813" s="57" t="n">
        <x:v>0.41969976537276854</x:v>
      </x:c>
      <x:c r="W2813" t="n">
        <x:v>19</x:v>
      </x:c>
      <x:c r="X2813" t="n">
        <x:v>2</x:v>
      </x:c>
      <x:c r="Y2813" s="38" t="n">
        <x:v>0.6409090909090909</x:v>
      </x:c>
      <x:c r="Z2813" s="38" t="n">
        <x:v>0.7653441082853836</x:v>
      </x:c>
      <x:c r="AA2813"/>
    </x:row>
    <x:row r="2814">
      <x:c r="A2814" s="54" t="n">
        <x:v>45565</x:v>
      </x:c>
      <x:c r="B2814" t="n">
        <x:v>45565.624999988424</x:v>
      </x:c>
      <x:c r="C2814" t="str">
        <x:v>025320</x:v>
      </x:c>
      <x:c r="D2814" t="str">
        <x:v>시노펙스</x:v>
      </x:c>
      <x:c r="E2814" t="str">
        <x:v>KOSDAQ</x:v>
      </x:c>
      <x:c r="F2814" t="str">
        <x:v>LARGE</x:v>
      </x:c>
      <x:c r="G2814" t="str">
        <x:v>DCF_SCREENING_EXCLUSION</x:v>
      </x:c>
      <x:c r="H2814" t="str">
        <x:v>NON_POSITIVE_TERMINAL_FCF|UNRELIABLE_TERMINAL_VALUE_SHARE</x:v>
      </x:c>
      <x:c r="I2814" s="54" t="n">
        <x:v>45565</x:v>
      </x:c>
      <x:c r="J2814" s="55" t="n">
        <x:v>7440</x:v>
      </x:c>
      <x:c r="K2814" s="55" t="n">
        <x:v>623605443840</x:v>
      </x:c>
      <x:c r="L2814" s="55" t="n">
        <x:v>83817936</x:v>
      </x:c>
      <x:c r="M2814" t="str">
        <x:v>20240319000824</x:v>
      </x:c>
      <x:c r="N2814" t="n">
        <x:v>45370.624999988424</x:v>
      </x:c>
      <x:c r="O2814" s="54" t="n">
        <x:v>45291</x:v>
      </x:c>
      <x:c r="P2814" t="str">
        <x:v>False</x:v>
      </x:c>
      <x:c r="Q2814" t="str">
        <x:v>fc07d195fe498e8e68aedbf4db8f4f882567dd521ff667e04ba608362a05750b</x:v>
      </x:c>
      <x:c r="R2814" t="str">
        <x:v>2dd4c6603e35a0156e9a0cea29fb980ee3e8ed9d0390d27d2c878a187461202a</x:v>
      </x:c>
      <x:c r="S2814" t="n">
        <x:v>6</x:v>
      </x:c>
      <x:c r="T2814" t="str">
        <x:v>2018-12-31|2019-12-31|2020-12-31|2021-12-31|2022-12-31|2023-12-31</x:v>
      </x:c>
      <x:c r="U2814" s="57" t="n">
        <x:v>311.18425799108013</x:v>
      </x:c>
      <x:c r="V2814" s="57" t="n">
        <x:v>-0.9581741588721666</x:v>
      </x:c>
      <x:c r="W2814"/>
      <x:c r="X2814"/>
      <x:c r="Y2814" s="38" t="n">
        <x:v>0.6409090909090909</x:v>
      </x:c>
      <x:c r="Z2814" s="38" t="n">
        <x:v>-0.005765002764426046</x:v>
      </x:c>
      <x:c r="AA2814" t="str">
        <x:v>NON_POSITIVE_TERMINAL_FCF|UNRELIABLE_TERMINAL_VALUE_SHARE</x:v>
      </x:c>
    </x:row>
    <x:row r="2815">
      <x:c r="A2815" s="54" t="n">
        <x:v>45565</x:v>
      </x:c>
      <x:c r="B2815" t="n">
        <x:v>45565.624999988424</x:v>
      </x:c>
      <x:c r="C2815" t="str">
        <x:v>347700</x:v>
      </x:c>
      <x:c r="D2815" t="str">
        <x:v>스피어</x:v>
      </x:c>
      <x:c r="E2815" t="str">
        <x:v>KOSDAQ</x:v>
      </x:c>
      <x:c r="F2815" t="str">
        <x:v>LARGE</x:v>
      </x:c>
      <x:c r="G2815" t="str">
        <x:v>DCF_SCREENING_EXCLUSION</x:v>
      </x:c>
      <x:c r="H2815" t="str">
        <x:v>NON_POSITIVE_ENTERPRISE_VALUE|NON_POSITIVE_EQUITY_VALUE|NON_POSITIVE_TERMINAL_FCF</x:v>
      </x:c>
      <x:c r="I2815" s="54" t="n">
        <x:v>45565</x:v>
      </x:c>
      <x:c r="J2815" s="55" t="n">
        <x:v>2885</x:v>
      </x:c>
      <x:c r="K2815" s="55" t="n">
        <x:v>57683893045</x:v>
      </x:c>
      <x:c r="L2815" s="55" t="n">
        <x:v>19994417</x:v>
      </x:c>
      <x:c r="M2815" t="str">
        <x:v>20240321001584</x:v>
      </x:c>
      <x:c r="N2815" t="n">
        <x:v>45372.624999988424</x:v>
      </x:c>
      <x:c r="O2815" s="54" t="n">
        <x:v>45291</x:v>
      </x:c>
      <x:c r="P2815" t="str">
        <x:v>False</x:v>
      </x:c>
      <x:c r="Q2815" t="str">
        <x:v>c8db85bb879b3aca01865650c951a23a693799760087fa6122ff9d96f3ba2ca1</x:v>
      </x:c>
      <x:c r="R2815" t="str">
        <x:v>f18dddc557142c1619a97ea54e9197a2221e951ed4b86ff85e4b22d09f4bfa19</x:v>
      </x:c>
      <x:c r="S2815" t="n">
        <x:v>6</x:v>
      </x:c>
      <x:c r="T2815" t="str">
        <x:v>2020-12-31|2021-12-31|2022-12-31|2023-12-31</x:v>
      </x:c>
      <x:c r="U2815" s="57" t="n">
        <x:v>-348.17307714685455</x:v>
      </x:c>
      <x:c r="V2815" s="57" t="n">
        <x:v>-1.1206839088897242</x:v>
      </x:c>
      <x:c r="W2815"/>
      <x:c r="X2815"/>
      <x:c r="Y2815" s="38" t="n">
        <x:v>0.6409090909090909</x:v>
      </x:c>
      <x:c r="Z2815" s="38" t="n">
        <x:v>0.708015697222301</x:v>
      </x:c>
      <x:c r="AA2815" t="str">
        <x:v>NON_POSITIVE_ENTERPRISE_VALUE|NON_POSITIVE_EQUITY_VALUE|NON_POSITIVE_TERMINAL_FCF</x:v>
      </x:c>
    </x:row>
    <x:row r="2816">
      <x:c r="A2816" s="54" t="n">
        <x:v>45565</x:v>
      </x:c>
      <x:c r="B2816" t="n">
        <x:v>45565.624999988424</x:v>
      </x:c>
      <x:c r="C2816" t="str">
        <x:v>119850</x:v>
      </x:c>
      <x:c r="D2816" t="str">
        <x:v>지엔씨에너지</x:v>
      </x:c>
      <x:c r="E2816" t="str">
        <x:v>KOSDAQ</x:v>
      </x:c>
      <x:c r="F2816" t="str">
        <x:v>LARGE</x:v>
      </x:c>
      <x:c r="G2816" t="str">
        <x:v>ELIGIBLE</x:v>
      </x:c>
      <x:c r="H2816"/>
      <x:c r="I2816" s="54" t="n">
        <x:v>45565</x:v>
      </x:c>
      <x:c r="J2816" s="55" t="n">
        <x:v>5650</x:v>
      </x:c>
      <x:c r="K2816" s="55" t="n">
        <x:v>92936335850</x:v>
      </x:c>
      <x:c r="L2816" s="55" t="n">
        <x:v>16448909</x:v>
      </x:c>
      <x:c r="M2816" t="str">
        <x:v>20240319000205</x:v>
      </x:c>
      <x:c r="N2816" t="n">
        <x:v>45370.624999988424</x:v>
      </x:c>
      <x:c r="O2816" s="54" t="n">
        <x:v>45291</x:v>
      </x:c>
      <x:c r="P2816" t="str">
        <x:v>False</x:v>
      </x:c>
      <x:c r="Q2816" t="str">
        <x:v>3380204f5fcae5364c06e29c73eecafe1e6911e92f8f3b124ed75664c9267a06</x:v>
      </x:c>
      <x:c r="R2816" t="str">
        <x:v>3656c24a643e9a337a23adc52722d05405bb9505046c54d499dc35844579874a</x:v>
      </x:c>
      <x:c r="S2816" t="n">
        <x:v>6</x:v>
      </x:c>
      <x:c r="T2816" t="str">
        <x:v>2018-12-31|2019-12-31|2020-12-31|2021-12-31|2022-12-31|2023-12-31</x:v>
      </x:c>
      <x:c r="U2816" s="57" t="n">
        <x:v>5889.2035628156855</x:v>
      </x:c>
      <x:c r="V2816" s="57" t="n">
        <x:v>0.042336913772687695</x:v>
      </x:c>
      <x:c r="W2816" t="n">
        <x:v>29</x:v>
      </x:c>
      <x:c r="X2816" t="n">
        <x:v>3</x:v>
      </x:c>
      <x:c r="Y2816" s="38" t="n">
        <x:v>0.6409090909090909</x:v>
      </x:c>
      <x:c r="Z2816" s="38" t="n">
        <x:v>0.6498777413726008</x:v>
      </x:c>
      <x:c r="AA2816"/>
    </x:row>
    <x:row r="2817">
      <x:c r="A2817" s="54" t="n">
        <x:v>45565</x:v>
      </x:c>
      <x:c r="B2817" t="n">
        <x:v>45565.624999988424</x:v>
      </x:c>
      <x:c r="C2817" t="str">
        <x:v>084110</x:v>
      </x:c>
      <x:c r="D2817" t="str">
        <x:v>휴온스글로벌</x:v>
      </x:c>
      <x:c r="E2817" t="str">
        <x:v>KOSDAQ</x:v>
      </x:c>
      <x:c r="F2817" t="str">
        <x:v>LARGE</x:v>
      </x:c>
      <x:c r="G2817" t="str">
        <x:v>ELIGIBLE</x:v>
      </x:c>
      <x:c r="H2817"/>
      <x:c r="I2817" s="54" t="n">
        <x:v>45565</x:v>
      </x:c>
      <x:c r="J2817" s="55" t="n">
        <x:v>32500</x:v>
      </x:c>
      <x:c r="K2817" s="55" t="n">
        <x:v>410198490000</x:v>
      </x:c>
      <x:c r="L2817" s="55" t="n">
        <x:v>12621492</x:v>
      </x:c>
      <x:c r="M2817" t="str">
        <x:v>20240321001484</x:v>
      </x:c>
      <x:c r="N2817" t="n">
        <x:v>45372.624999988424</x:v>
      </x:c>
      <x:c r="O2817" s="54" t="n">
        <x:v>45291</x:v>
      </x:c>
      <x:c r="P2817" t="str">
        <x:v>True</x:v>
      </x:c>
      <x:c r="Q2817" t="str">
        <x:v>68bda756301fe1b6a3ebf0355b558ed15edc835d74a3ebca20911d8b2dd4eb5c</x:v>
      </x:c>
      <x:c r="R2817" t="str">
        <x:v>c0abd5c9731931252a7557433816c5757272af750c6e9199150f71e6ca6ff48a</x:v>
      </x:c>
      <x:c r="S2817" t="n">
        <x:v>6</x:v>
      </x:c>
      <x:c r="T2817" t="str">
        <x:v>2018-12-31|2019-12-31|2020-12-31|2021-12-31|2022-12-31|2023-12-31</x:v>
      </x:c>
      <x:c r="U2817" s="57" t="n">
        <x:v>88399.3096107096</x:v>
      </x:c>
      <x:c r="V2817" s="57" t="n">
        <x:v>1.719978757252603</x:v>
      </x:c>
      <x:c r="W2817" t="n">
        <x:v>8</x:v>
      </x:c>
      <x:c r="X2817" t="n">
        <x:v>1</x:v>
      </x:c>
      <x:c r="Y2817" s="38" t="n">
        <x:v>0.6409090909090909</x:v>
      </x:c>
      <x:c r="Z2817" s="38" t="n">
        <x:v>0.7414426298123072</x:v>
      </x:c>
      <x:c r="AA2817"/>
    </x:row>
    <x:row r="2818">
      <x:c r="A2818" s="54" t="n">
        <x:v>45565</x:v>
      </x:c>
      <x:c r="B2818" t="n">
        <x:v>45565.624999988424</x:v>
      </x:c>
      <x:c r="C2818" t="str">
        <x:v>206650</x:v>
      </x:c>
      <x:c r="D2818" t="str">
        <x:v>유바이오로직스</x:v>
      </x:c>
      <x:c r="E2818" t="str">
        <x:v>KOSDAQ</x:v>
      </x:c>
      <x:c r="F2818" t="str">
        <x:v>LARGE</x:v>
      </x:c>
      <x:c r="G2818" t="str">
        <x:v>ELIGIBLE</x:v>
      </x:c>
      <x:c r="H2818"/>
      <x:c r="I2818" s="54" t="n">
        <x:v>45565</x:v>
      </x:c>
      <x:c r="J2818" s="55" t="n">
        <x:v>11740</x:v>
      </x:c>
      <x:c r="K2818" s="55" t="n">
        <x:v>428912764180</x:v>
      </x:c>
      <x:c r="L2818" s="55" t="n">
        <x:v>36534307</x:v>
      </x:c>
      <x:c r="M2818" t="str">
        <x:v>20240319000532</x:v>
      </x:c>
      <x:c r="N2818" t="n">
        <x:v>45370.624999988424</x:v>
      </x:c>
      <x:c r="O2818" s="54" t="n">
        <x:v>45291</x:v>
      </x:c>
      <x:c r="P2818" t="str">
        <x:v>False</x:v>
      </x:c>
      <x:c r="Q2818" t="str">
        <x:v>c275c7dd12ee24ebe6fa42287990ee8e0fdfae41775f20a1e1fcb29570f277c9</x:v>
      </x:c>
      <x:c r="R2818" t="str">
        <x:v>7fc033611224efb7c803bf597ac87dfc5f9e64e7e31588f8eba7e4e94a0c831b</x:v>
      </x:c>
      <x:c r="S2818" t="n">
        <x:v>5</x:v>
      </x:c>
      <x:c r="T2818" t="str">
        <x:v>2018-12-31|2019-12-31|2020-12-31|2021-12-31|2022-12-31|2023-12-31</x:v>
      </x:c>
      <x:c r="U2818" s="57" t="n">
        <x:v>377.5014073258604</x:v>
      </x:c>
      <x:c r="V2818" s="57" t="n">
        <x:v>-0.9678448545719028</x:v>
      </x:c>
      <x:c r="W2818" t="n">
        <x:v>68</x:v>
      </x:c>
      <x:c r="X2818" t="n">
        <x:v>5</x:v>
      </x:c>
      <x:c r="Y2818" s="38" t="n">
        <x:v>0.6409090909090909</x:v>
      </x:c>
      <x:c r="Z2818" s="38" t="n">
        <x:v>0.2531187603046695</x:v>
      </x:c>
      <x:c r="AA2818"/>
    </x:row>
    <x:row r="2819">
      <x:c r="A2819" s="54" t="n">
        <x:v>45565</x:v>
      </x:c>
      <x:c r="B2819" t="n">
        <x:v>45565.624999988424</x:v>
      </x:c>
      <x:c r="C2819" t="str">
        <x:v>365340</x:v>
      </x:c>
      <x:c r="D2819" t="str">
        <x:v>성일하이텍</x:v>
      </x:c>
      <x:c r="E2819" t="str">
        <x:v>KOSDAQ</x:v>
      </x:c>
      <x:c r="F2819" t="str">
        <x:v>LARGE</x:v>
      </x:c>
      <x:c r="G2819" t="str">
        <x:v>DCF_SCREENING_EXCLUSION</x:v>
      </x:c>
      <x:c r="H2819" t="str">
        <x:v>NON_POSITIVE_ENTERPRISE_VALUE|NON_POSITIVE_EQUITY_VALUE|UNRELIABLE_TERMINAL_VALUE_SHARE</x:v>
      </x:c>
      <x:c r="I2819" s="54" t="n">
        <x:v>45565</x:v>
      </x:c>
      <x:c r="J2819" s="55" t="n">
        <x:v>58600</x:v>
      </x:c>
      <x:c r="K2819" s="55" t="n">
        <x:v>711248534200</x:v>
      </x:c>
      <x:c r="L2819" s="55" t="n">
        <x:v>12137347</x:v>
      </x:c>
      <x:c r="M2819" t="str">
        <x:v>20240320001734</x:v>
      </x:c>
      <x:c r="N2819" t="n">
        <x:v>45371.624999988424</x:v>
      </x:c>
      <x:c r="O2819" s="54" t="n">
        <x:v>45291</x:v>
      </x:c>
      <x:c r="P2819" t="str">
        <x:v>True</x:v>
      </x:c>
      <x:c r="Q2819" t="str">
        <x:v>d4ee4e9dd90905cf92f0a6849477c640efd013410a1ffdf823037d2d677a4793</x:v>
      </x:c>
      <x:c r="R2819" t="str">
        <x:v>c85952a24e7024b94d58b72ef170b9c9907751801bf9597f2d6450bd0a9f7cd1</x:v>
      </x:c>
      <x:c r="S2819" t="n">
        <x:v>6</x:v>
      </x:c>
      <x:c r="T2819" t="str">
        <x:v>2022-12-31|2023-12-31</x:v>
      </x:c>
      <x:c r="U2819" s="57" t="n">
        <x:v>-5558.051928393729</x:v>
      </x:c>
      <x:c r="V2819" s="57" t="n">
        <x:v>-1.0948473025323162</x:v>
      </x:c>
      <x:c r="W2819"/>
      <x:c r="X2819"/>
      <x:c r="Y2819" s="38" t="n">
        <x:v>0.6409090909090909</x:v>
      </x:c>
      <x:c r="Z2819" s="38" t="n">
        <x:v>-0.9336002145733966</x:v>
      </x:c>
      <x:c r="AA2819" t="str">
        <x:v>NON_POSITIVE_ENTERPRISE_VALUE|NON_POSITIVE_EQUITY_VALUE|UNRELIABLE_TERMINAL_VALUE_SHARE</x:v>
      </x:c>
    </x:row>
    <x:row r="2820">
      <x:c r="A2820" s="54" t="n">
        <x:v>45565</x:v>
      </x:c>
      <x:c r="B2820" t="n">
        <x:v>45565.624999988424</x:v>
      </x:c>
      <x:c r="C2820" t="str">
        <x:v>030530</x:v>
      </x:c>
      <x:c r="D2820" t="str">
        <x:v>원익홀딩스</x:v>
      </x:c>
      <x:c r="E2820" t="str">
        <x:v>KOSDAQ</x:v>
      </x:c>
      <x:c r="F2820" t="str">
        <x:v>LARGE</x:v>
      </x:c>
      <x:c r="G2820" t="str">
        <x:v>EXCLUDED_ARCHETYPE</x:v>
      </x:c>
      <x:c r="H2820" t="str">
        <x:v>FCFF_NOT_COMPARABLE_FOR_FINANCE_OR_HOLDING_HINT</x:v>
      </x:c>
      <x:c r="I2820" s="54"/>
      <x:c r="J2820" s="55"/>
      <x:c r="K2820" s="55"/>
      <x:c r="L2820" s="55"/>
      <x:c r="M2820"/>
      <x:c r="N2820"/>
      <x:c r="O2820" s="54"/>
      <x:c r="P2820"/>
      <x:c r="Q2820"/>
      <x:c r="R2820"/>
      <x:c r="S2820"/>
      <x:c r="T2820"/>
      <x:c r="U2820" s="57"/>
      <x:c r="V2820" s="57"/>
      <x:c r="W2820"/>
      <x:c r="X2820"/>
      <x:c r="Y2820" s="38"/>
      <x:c r="Z2820" s="38"/>
      <x:c r="AA2820"/>
    </x:row>
    <x:row r="2821">
      <x:c r="A2821" s="54" t="n">
        <x:v>45565</x:v>
      </x:c>
      <x:c r="B2821" t="n">
        <x:v>45565.624999988424</x:v>
      </x:c>
      <x:c r="C2821" t="str">
        <x:v>220100</x:v>
      </x:c>
      <x:c r="D2821" t="str">
        <x:v>퓨쳐켐</x:v>
      </x:c>
      <x:c r="E2821" t="str">
        <x:v>KOSDAQ</x:v>
      </x:c>
      <x:c r="F2821" t="str">
        <x:v>LARGE</x:v>
      </x:c>
      <x:c r="G2821" t="str">
        <x:v>DCF_SCREENING_EXCLUSION</x:v>
      </x:c>
      <x:c r="H2821" t="str">
        <x:v>NON_POSITIVE_ENTERPRISE_VALUE|NON_POSITIVE_EQUITY_VALUE|NON_POSITIVE_TERMINAL_FCF</x:v>
      </x:c>
      <x:c r="I2821" s="54" t="n">
        <x:v>45565</x:v>
      </x:c>
      <x:c r="J2821" s="55" t="n">
        <x:v>27000</x:v>
      </x:c>
      <x:c r="K2821" s="55" t="n">
        <x:v>596758185000</x:v>
      </x:c>
      <x:c r="L2821" s="55" t="n">
        <x:v>22102155</x:v>
      </x:c>
      <x:c r="M2821" t="str">
        <x:v>20240320000866</x:v>
      </x:c>
      <x:c r="N2821" t="n">
        <x:v>45371.624999988424</x:v>
      </x:c>
      <x:c r="O2821" s="54" t="n">
        <x:v>45291</x:v>
      </x:c>
      <x:c r="P2821" t="str">
        <x:v>False</x:v>
      </x:c>
      <x:c r="Q2821" t="str">
        <x:v>19aeda2f917d3d8c136224e5b636dd6047fcb3bad57309a3fded43faa8e6afc3</x:v>
      </x:c>
      <x:c r="R2821" t="str">
        <x:v>d24985bf25ba105e1014c7557b1691373f5aac20e2cb8486e5a58ba2b62bdac0</x:v>
      </x:c>
      <x:c r="S2821" t="n">
        <x:v>5</x:v>
      </x:c>
      <x:c r="T2821" t="str">
        <x:v>2018-12-31|2019-12-31|2020-12-31|2021-12-31|2022-12-31|2023-12-31</x:v>
      </x:c>
      <x:c r="U2821" s="57" t="n">
        <x:v>-1744.6815438320666</x:v>
      </x:c>
      <x:c r="V2821" s="57" t="n">
        <x:v>-1.0646178349567432</x:v>
      </x:c>
      <x:c r="W2821"/>
      <x:c r="X2821"/>
      <x:c r="Y2821" s="38" t="n">
        <x:v>0.6409090909090909</x:v>
      </x:c>
      <x:c r="Z2821" s="38" t="n">
        <x:v>0.7030899933568922</x:v>
      </x:c>
      <x:c r="AA2821" t="str">
        <x:v>NON_POSITIVE_ENTERPRISE_VALUE|NON_POSITIVE_EQUITY_VALUE|NON_POSITIVE_TERMINAL_FCF</x:v>
      </x:c>
    </x:row>
    <x:row r="2822">
      <x:c r="A2822" s="54" t="n">
        <x:v>45565</x:v>
      </x:c>
      <x:c r="B2822" t="n">
        <x:v>45565.624999988424</x:v>
      </x:c>
      <x:c r="C2822" t="str">
        <x:v>416180</x:v>
      </x:c>
      <x:c r="D2822" t="str">
        <x:v>신성에스티</x:v>
      </x:c>
      <x:c r="E2822" t="str">
        <x:v>KOSDAQ</x:v>
      </x:c>
      <x:c r="F2822" t="str">
        <x:v>LARGE</x:v>
      </x:c>
      <x:c r="G2822" t="str">
        <x:v>ELIGIBLE</x:v>
      </x:c>
      <x:c r="H2822"/>
      <x:c r="I2822" s="54" t="n">
        <x:v>45565</x:v>
      </x:c>
      <x:c r="J2822" s="55" t="n">
        <x:v>28850</x:v>
      </x:c>
      <x:c r="K2822" s="55" t="n">
        <x:v>260797595300</x:v>
      </x:c>
      <x:c r="L2822" s="55" t="n">
        <x:v>9039778</x:v>
      </x:c>
      <x:c r="M2822" t="str">
        <x:v>20240318000868</x:v>
      </x:c>
      <x:c r="N2822" t="n">
        <x:v>45369.624999988424</x:v>
      </x:c>
      <x:c r="O2822" s="54" t="n">
        <x:v>45291</x:v>
      </x:c>
      <x:c r="P2822" t="str">
        <x:v>True</x:v>
      </x:c>
      <x:c r="Q2822" t="str">
        <x:v>83365fda00f2859a3b0ddff8c98389930a65a5f3d9df38e420f7d88759a900f9</x:v>
      </x:c>
      <x:c r="R2822" t="str">
        <x:v>62eb0976f911e83b581cf67eda351f7a58d22f66167afead8dd2901cc6c187eb</x:v>
      </x:c>
      <x:c r="S2822" t="n">
        <x:v>6</x:v>
      </x:c>
      <x:c r="T2822" t="str">
        <x:v>2023-12-31</x:v>
      </x:c>
      <x:c r="U2822" s="57" t="n">
        <x:v>5107.11562013138</x:v>
      </x:c>
      <x:c r="V2822" s="57" t="n">
        <x:v>-0.8229769282450129</x:v>
      </x:c>
      <x:c r="W2822" t="n">
        <x:v>63</x:v>
      </x:c>
      <x:c r="X2822" t="n">
        <x:v>5</x:v>
      </x:c>
      <x:c r="Y2822" s="38" t="n">
        <x:v>0.6409090909090909</x:v>
      </x:c>
      <x:c r="Z2822" s="38" t="n">
        <x:v>0.7013426708992583</x:v>
      </x:c>
      <x:c r="AA2822"/>
    </x:row>
    <x:row r="2823">
      <x:c r="A2823" s="54" t="n">
        <x:v>45565</x:v>
      </x:c>
      <x:c r="B2823" t="n">
        <x:v>45565.624999988424</x:v>
      </x:c>
      <x:c r="C2823" t="str">
        <x:v>082800</x:v>
      </x:c>
      <x:c r="D2823" t="str">
        <x:v>비보존제약</x:v>
      </x:c>
      <x:c r="E2823" t="str">
        <x:v>KOSDAQ</x:v>
      </x:c>
      <x:c r="F2823" t="str">
        <x:v>LARGE</x:v>
      </x:c>
      <x:c r="G2823" t="str">
        <x:v>DCF_SCREENING_EXCLUSION</x:v>
      </x:c>
      <x:c r="H2823" t="str">
        <x:v>NON_POSITIVE_ENTERPRISE_VALUE|NON_POSITIVE_EQUITY_VALUE|NON_POSITIVE_TERMINAL_FCF</x:v>
      </x:c>
      <x:c r="I2823" s="54" t="n">
        <x:v>45565</x:v>
      </x:c>
      <x:c r="J2823" s="55" t="n">
        <x:v>3935</x:v>
      </x:c>
      <x:c r="K2823" s="55" t="n">
        <x:v>189836067275</x:v>
      </x:c>
      <x:c r="L2823" s="55" t="n">
        <x:v>48242965</x:v>
      </x:c>
      <x:c r="M2823" t="str">
        <x:v>20240321002013</x:v>
      </x:c>
      <x:c r="N2823" t="n">
        <x:v>45372.624999988424</x:v>
      </x:c>
      <x:c r="O2823" s="54" t="n">
        <x:v>45291</x:v>
      </x:c>
      <x:c r="P2823" t="str">
        <x:v>False</x:v>
      </x:c>
      <x:c r="Q2823" t="str">
        <x:v>1200d231ac66b364cd6dd71a9544ba9e11e21657093a252947ece200f617a847</x:v>
      </x:c>
      <x:c r="R2823" t="str">
        <x:v>e7d3c35d2a64f21d3d18e7af4df5f0b8ddb379d53162010627b5b42a5d50b5c8</x:v>
      </x:c>
      <x:c r="S2823" t="n">
        <x:v>7</x:v>
      </x:c>
      <x:c r="T2823" t="str">
        <x:v>2018-12-31|2019-12-31|2020-12-31|2021-12-31|2022-12-31|2023-12-31</x:v>
      </x:c>
      <x:c r="U2823" s="57" t="n">
        <x:v>-5538.783588111439</x:v>
      </x:c>
      <x:c r="V2823" s="57" t="n">
        <x:v>-2.407568891514978</x:v>
      </x:c>
      <x:c r="W2823"/>
      <x:c r="X2823"/>
      <x:c r="Y2823" s="38" t="n">
        <x:v>0.6409090909090909</x:v>
      </x:c>
      <x:c r="Z2823" s="38" t="n">
        <x:v>0.7855842606227819</x:v>
      </x:c>
      <x:c r="AA2823" t="str">
        <x:v>NON_POSITIVE_ENTERPRISE_VALUE|NON_POSITIVE_EQUITY_VALUE|NON_POSITIVE_TERMINAL_FCF</x:v>
      </x:c>
    </x:row>
    <x:row r="2824">
      <x:c r="A2824" s="54" t="n">
        <x:v>45565</x:v>
      </x:c>
      <x:c r="B2824" t="n">
        <x:v>45565.624999988424</x:v>
      </x:c>
      <x:c r="C2824" t="str">
        <x:v>204620</x:v>
      </x:c>
      <x:c r="D2824" t="str">
        <x:v>글로벌텍스프리</x:v>
      </x:c>
      <x:c r="E2824" t="str">
        <x:v>KOSDAQ</x:v>
      </x:c>
      <x:c r="F2824" t="str">
        <x:v>LARGE</x:v>
      </x:c>
      <x:c r="G2824" t="str">
        <x:v>DCF_SCREENING_EXCLUSION</x:v>
      </x:c>
      <x:c r="H2824" t="str">
        <x:v>NON_POSITIVE_ENTERPRISE_VALUE|NON_POSITIVE_TERMINAL_FCF|UNRELIABLE_TERMINAL_VALUE_SHARE</x:v>
      </x:c>
      <x:c r="I2824" s="54" t="n">
        <x:v>45565</x:v>
      </x:c>
      <x:c r="J2824" s="55" t="n">
        <x:v>3755</x:v>
      </x:c>
      <x:c r="K2824" s="55" t="n">
        <x:v>229490711425</x:v>
      </x:c>
      <x:c r="L2824" s="55" t="n">
        <x:v>61116035</x:v>
      </x:c>
      <x:c r="M2824" t="str">
        <x:v>20240321001393</x:v>
      </x:c>
      <x:c r="N2824" t="n">
        <x:v>45372.624999988424</x:v>
      </x:c>
      <x:c r="O2824" s="54" t="n">
        <x:v>45291</x:v>
      </x:c>
      <x:c r="P2824" t="str">
        <x:v>False</x:v>
      </x:c>
      <x:c r="Q2824" t="str">
        <x:v>e0b1e3ddb687ee203f0d57ff8debef6acfd63433052d16645e27c5766207b915</x:v>
      </x:c>
      <x:c r="R2824" t="str">
        <x:v>dcce45606b137b650c55576cddd69363c5753775be21a64637c0d8c6b4be2bd1</x:v>
      </x:c>
      <x:c r="S2824" t="n">
        <x:v>7</x:v>
      </x:c>
      <x:c r="T2824" t="str">
        <x:v>2018-12-31|2019-12-31|2020-12-31|2021-12-31|2022-12-31|2023-12-31</x:v>
      </x:c>
      <x:c r="U2824" s="57" t="n">
        <x:v>465.4626518232541</x:v>
      </x:c>
      <x:c r="V2824" s="57" t="n">
        <x:v>-0.8760419036422759</x:v>
      </x:c>
      <x:c r="W2824"/>
      <x:c r="X2824"/>
      <x:c r="Y2824" s="38" t="n">
        <x:v>0.6409090909090909</x:v>
      </x:c>
      <x:c r="Z2824" s="38" t="n">
        <x:v>2.277431839577951</x:v>
      </x:c>
      <x:c r="AA2824" t="str">
        <x:v>NON_POSITIVE_ENTERPRISE_VALUE|NON_POSITIVE_TERMINAL_FCF|UNRELIABLE_TERMINAL_VALUE_SHARE</x:v>
      </x:c>
    </x:row>
    <x:row r="2825">
      <x:c r="A2825" s="54" t="n">
        <x:v>45565</x:v>
      </x:c>
      <x:c r="B2825" t="n">
        <x:v>45565.624999988424</x:v>
      </x:c>
      <x:c r="C2825" t="str">
        <x:v>445090</x:v>
      </x:c>
      <x:c r="D2825" t="str">
        <x:v>에이직랜드</x:v>
      </x:c>
      <x:c r="E2825" t="str">
        <x:v>KOSDAQ</x:v>
      </x:c>
      <x:c r="F2825" t="str">
        <x:v>LARGE</x:v>
      </x:c>
      <x:c r="G2825" t="str">
        <x:v>DCF_SCREENING_EXCLUSION</x:v>
      </x:c>
      <x:c r="H2825" t="str">
        <x:v>NON_POSITIVE_ENTERPRISE_VALUE|NON_POSITIVE_TERMINAL_FCF</x:v>
      </x:c>
      <x:c r="I2825" s="54" t="n">
        <x:v>45565</x:v>
      </x:c>
      <x:c r="J2825" s="55" t="n">
        <x:v>27750</x:v>
      </x:c>
      <x:c r="K2825" s="55" t="n">
        <x:v>298914286500</x:v>
      </x:c>
      <x:c r="L2825" s="55" t="n">
        <x:v>10771686</x:v>
      </x:c>
      <x:c r="M2825" t="str">
        <x:v>20240321001771</x:v>
      </x:c>
      <x:c r="N2825" t="n">
        <x:v>45372.624999988424</x:v>
      </x:c>
      <x:c r="O2825" s="54" t="n">
        <x:v>45291</x:v>
      </x:c>
      <x:c r="P2825" t="str">
        <x:v>False</x:v>
      </x:c>
      <x:c r="Q2825" t="str">
        <x:v>3d21d9a3bcf8fe2c32b7f6dc6c7e026a5a5ae3046838b7fffa2eaa84e779cd56</x:v>
      </x:c>
      <x:c r="R2825" t="str">
        <x:v>784df8526e318aaddcf117b9d3686ba8818f97378f177aea4967c3f10bc5b0da</x:v>
      </x:c>
      <x:c r="S2825" t="n">
        <x:v>6</x:v>
      </x:c>
      <x:c r="T2825" t="str">
        <x:v>2023-12-31</x:v>
      </x:c>
      <x:c r="U2825" s="57" t="n">
        <x:v>1989.5473682608274</x:v>
      </x:c>
      <x:c r="V2825" s="57" t="n">
        <x:v>-0.9283045993419522</x:v>
      </x:c>
      <x:c r="W2825"/>
      <x:c r="X2825"/>
      <x:c r="Y2825" s="38" t="n">
        <x:v>0.6409090909090909</x:v>
      </x:c>
      <x:c r="Z2825" s="38" t="n">
        <x:v>0.7013426708992583</x:v>
      </x:c>
      <x:c r="AA2825" t="str">
        <x:v>NON_POSITIVE_ENTERPRISE_VALUE|NON_POSITIVE_TERMINAL_FCF</x:v>
      </x:c>
    </x:row>
    <x:row r="2826">
      <x:c r="A2826" s="54" t="n">
        <x:v>45565</x:v>
      </x:c>
      <x:c r="B2826" t="n">
        <x:v>45565.624999988424</x:v>
      </x:c>
      <x:c r="C2826" t="str">
        <x:v>115450</x:v>
      </x:c>
      <x:c r="D2826" t="str">
        <x:v>HLB테라퓨틱스</x:v>
      </x:c>
      <x:c r="E2826" t="str">
        <x:v>KOSDAQ</x:v>
      </x:c>
      <x:c r="F2826" t="str">
        <x:v>LARGE</x:v>
      </x:c>
      <x:c r="G2826" t="str">
        <x:v>DCF_SCREENING_EXCLUSION</x:v>
      </x:c>
      <x:c r="H2826" t="str">
        <x:v>NON_POSITIVE_ENTERPRISE_VALUE|NON_POSITIVE_EQUITY_VALUE|NON_POSITIVE_TERMINAL_FCF</x:v>
      </x:c>
      <x:c r="I2826" s="54" t="n">
        <x:v>45565</x:v>
      </x:c>
      <x:c r="J2826" s="55" t="n">
        <x:v>9530</x:v>
      </x:c>
      <x:c r="K2826" s="55" t="n">
        <x:v>763733561490</x:v>
      </x:c>
      <x:c r="L2826" s="55" t="n">
        <x:v>80139933</x:v>
      </x:c>
      <x:c r="M2826" t="str">
        <x:v>20240318000872</x:v>
      </x:c>
      <x:c r="N2826" t="n">
        <x:v>45369.624999988424</x:v>
      </x:c>
      <x:c r="O2826" s="54" t="n">
        <x:v>45291</x:v>
      </x:c>
      <x:c r="P2826" t="str">
        <x:v>False</x:v>
      </x:c>
      <x:c r="Q2826" t="str">
        <x:v>3b6234af336dabd6e48013d36719da3fe04641f207116acbfd61cf15ca526468</x:v>
      </x:c>
      <x:c r="R2826" t="str">
        <x:v>14ce768734819761b4fea6078d67aa7b456271a4c41dd8f377614d02e84bcf15</x:v>
      </x:c>
      <x:c r="S2826" t="n">
        <x:v>6</x:v>
      </x:c>
      <x:c r="T2826" t="str">
        <x:v>2018-12-31|2019-12-31|2020-12-31|2021-12-31|2022-12-31|2023-12-31</x:v>
      </x:c>
      <x:c r="U2826" s="57" t="n">
        <x:v>-1548.4038437577915</x:v>
      </x:c>
      <x:c r="V2826" s="57" t="n">
        <x:v>-1.162476793678677</x:v>
      </x:c>
      <x:c r="W2826"/>
      <x:c r="X2826"/>
      <x:c r="Y2826" s="38" t="n">
        <x:v>0.6409090909090909</x:v>
      </x:c>
      <x:c r="Z2826" s="38" t="n">
        <x:v>0.710888543448263</x:v>
      </x:c>
      <x:c r="AA2826" t="str">
        <x:v>NON_POSITIVE_ENTERPRISE_VALUE|NON_POSITIVE_EQUITY_VALUE|NON_POSITIVE_TERMINAL_FCF</x:v>
      </x:c>
    </x:row>
    <x:row r="2827">
      <x:c r="A2827" s="54" t="n">
        <x:v>45565</x:v>
      </x:c>
      <x:c r="B2827" t="n">
        <x:v>45565.624999988424</x:v>
      </x:c>
      <x:c r="C2827" t="str">
        <x:v>035420</x:v>
      </x:c>
      <x:c r="D2827" t="str">
        <x:v>NAVER</x:v>
      </x:c>
      <x:c r="E2827" t="str">
        <x:v>KOSPI</x:v>
      </x:c>
      <x:c r="F2827" t="str">
        <x:v>LARGE</x:v>
      </x:c>
      <x:c r="G2827" t="str">
        <x:v>ELIGIBLE</x:v>
      </x:c>
      <x:c r="H2827"/>
      <x:c r="I2827" s="54" t="n">
        <x:v>45565</x:v>
      </x:c>
      <x:c r="J2827" s="55" t="n">
        <x:v>169400</x:v>
      </x:c>
      <x:c r="K2827" s="55" t="n">
        <x:v>27236895655200</x:v>
      </x:c>
      <x:c r="L2827" s="55" t="n">
        <x:v>160784508</x:v>
      </x:c>
      <x:c r="M2827" t="str">
        <x:v>20240318000844</x:v>
      </x:c>
      <x:c r="N2827" t="n">
        <x:v>45369.624999988424</x:v>
      </x:c>
      <x:c r="O2827" s="54" t="n">
        <x:v>45291</x:v>
      </x:c>
      <x:c r="P2827" t="str">
        <x:v>False</x:v>
      </x:c>
      <x:c r="Q2827" t="str">
        <x:v>54a4f93f439c775756a90e1084778b46efe9cf0b2eb153fd52376c1005518a32</x:v>
      </x:c>
      <x:c r="R2827" t="str">
        <x:v>4aef43ac8569b66133cd1ad7d79e9087c487c40f813fb2d86ba2c4cda0ae7475</x:v>
      </x:c>
      <x:c r="S2827" t="n">
        <x:v>7</x:v>
      </x:c>
      <x:c r="T2827" t="str">
        <x:v>2018-12-31|2019-12-31|2020-12-31|2021-12-31|2022-12-31|2023-12-31</x:v>
      </x:c>
      <x:c r="U2827" s="57" t="n">
        <x:v>64337.65814421532</x:v>
      </x:c>
      <x:c r="V2827" s="57" t="n">
        <x:v>-0.6202027264213972</x:v>
      </x:c>
      <x:c r="W2827" t="n">
        <x:v>49</x:v>
      </x:c>
      <x:c r="X2827" t="n">
        <x:v>4</x:v>
      </x:c>
      <x:c r="Y2827" s="38" t="n">
        <x:v>0.6409090909090909</x:v>
      </x:c>
      <x:c r="Z2827" s="38" t="n">
        <x:v>0.7282407134116271</x:v>
      </x:c>
      <x:c r="AA2827"/>
    </x:row>
    <x:row r="2828">
      <x:c r="A2828" s="54" t="n">
        <x:v>45565</x:v>
      </x:c>
      <x:c r="B2828" t="n">
        <x:v>45565.624999988424</x:v>
      </x:c>
      <x:c r="C2828" t="str">
        <x:v>030200</x:v>
      </x:c>
      <x:c r="D2828" t="str">
        <x:v>KT</x:v>
      </x:c>
      <x:c r="E2828" t="str">
        <x:v>KOSPI</x:v>
      </x:c>
      <x:c r="F2828" t="str">
        <x:v>LARGE</x:v>
      </x:c>
      <x:c r="G2828" t="str">
        <x:v>ELIGIBLE</x:v>
      </x:c>
      <x:c r="H2828"/>
      <x:c r="I2828" s="54" t="n">
        <x:v>45565</x:v>
      </x:c>
      <x:c r="J2828" s="55" t="n">
        <x:v>40200</x:v>
      </x:c>
      <x:c r="K2828" s="55" t="n">
        <x:v>10131271737000</x:v>
      </x:c>
      <x:c r="L2828" s="55" t="n">
        <x:v>252021685</x:v>
      </x:c>
      <x:c r="M2828" t="str">
        <x:v>20240320002050</x:v>
      </x:c>
      <x:c r="N2828" t="n">
        <x:v>45371.624999988424</x:v>
      </x:c>
      <x:c r="O2828" s="54" t="n">
        <x:v>45291</x:v>
      </x:c>
      <x:c r="P2828" t="str">
        <x:v>True</x:v>
      </x:c>
      <x:c r="Q2828" t="str">
        <x:v>2143c9277fcc2280c3e9087bb1f7a6d900c560447e104f2fb74a2f19629cb33d</x:v>
      </x:c>
      <x:c r="R2828" t="str">
        <x:v>ce62a2e350a2e18746a25525a6040070e636efbf5510fc922d5568edfb628d68</x:v>
      </x:c>
      <x:c r="S2828" t="n">
        <x:v>7</x:v>
      </x:c>
      <x:c r="T2828" t="str">
        <x:v>2018-12-31|2019-12-31|2020-12-31|2021-12-31|2022-12-31|2023-12-31</x:v>
      </x:c>
      <x:c r="U2828" s="57" t="n">
        <x:v>212864.75671025182</x:v>
      </x:c>
      <x:c r="V2828" s="57" t="n">
        <x:v>4.295143201747558</x:v>
      </x:c>
      <x:c r="W2828" t="n">
        <x:v>3</x:v>
      </x:c>
      <x:c r="X2828" t="n">
        <x:v>1</x:v>
      </x:c>
      <x:c r="Y2828" s="38" t="n">
        <x:v>0.6409090909090909</x:v>
      </x:c>
      <x:c r="Z2828" s="38" t="n">
        <x:v>0.6999060533575371</x:v>
      </x:c>
      <x:c r="AA2828"/>
    </x:row>
    <x:row r="2829">
      <x:c r="A2829" s="54" t="n">
        <x:v>45565</x:v>
      </x:c>
      <x:c r="B2829" t="n">
        <x:v>45565.624999988424</x:v>
      </x:c>
      <x:c r="C2829" t="str">
        <x:v>018260</x:v>
      </x:c>
      <x:c r="D2829" t="str">
        <x:v>삼성에스디에스</x:v>
      </x:c>
      <x:c r="E2829" t="str">
        <x:v>KOSPI</x:v>
      </x:c>
      <x:c r="F2829" t="str">
        <x:v>LARGE</x:v>
      </x:c>
      <x:c r="G2829" t="str">
        <x:v>ELIGIBLE</x:v>
      </x:c>
      <x:c r="H2829"/>
      <x:c r="I2829" s="54" t="n">
        <x:v>45565</x:v>
      </x:c>
      <x:c r="J2829" s="55" t="n">
        <x:v>154700</x:v>
      </x:c>
      <x:c r="K2829" s="55" t="n">
        <x:v>11970345660000</x:v>
      </x:c>
      <x:c r="L2829" s="55" t="n">
        <x:v>77377800</x:v>
      </x:c>
      <x:c r="M2829" t="str">
        <x:v>20240329003204</x:v>
      </x:c>
      <x:c r="N2829" t="n">
        <x:v>45380.624999988424</x:v>
      </x:c>
      <x:c r="O2829" s="54" t="n">
        <x:v>45291</x:v>
      </x:c>
      <x:c r="P2829" t="str">
        <x:v>True</x:v>
      </x:c>
      <x:c r="Q2829" t="str">
        <x:v>18cebc8465d97b583091200410d012c12877fbf1b506f8f03e42d9acfaec4cb1</x:v>
      </x:c>
      <x:c r="R2829" t="str">
        <x:v>884bd679c7548d9c28c708b054cf4bec75102ff25dbeea45d78762e80128f816</x:v>
      </x:c>
      <x:c r="S2829" t="n">
        <x:v>7</x:v>
      </x:c>
      <x:c r="T2829" t="str">
        <x:v>2018-12-31|2019-12-31|2020-12-31|2021-12-31|2022-12-31|2023-12-31</x:v>
      </x:c>
      <x:c r="U2829" s="57" t="n">
        <x:v>122288.21245529415</x:v>
      </x:c>
      <x:c r="V2829" s="57" t="n">
        <x:v>-0.2095138173542718</x:v>
      </x:c>
      <x:c r="W2829" t="n">
        <x:v>34</x:v>
      </x:c>
      <x:c r="X2829" t="n">
        <x:v>3</x:v>
      </x:c>
      <x:c r="Y2829" s="38" t="n">
        <x:v>0.6409090909090909</x:v>
      </x:c>
      <x:c r="Z2829" s="38" t="n">
        <x:v>0.7228476007504209</x:v>
      </x:c>
      <x:c r="AA2829"/>
    </x:row>
    <x:row r="2830">
      <x:c r="A2830" s="54" t="n">
        <x:v>45565</x:v>
      </x:c>
      <x:c r="B2830" t="n">
        <x:v>45565.624999988424</x:v>
      </x:c>
      <x:c r="C2830" t="str">
        <x:v>090430</x:v>
      </x:c>
      <x:c r="D2830" t="str">
        <x:v>아모레퍼시픽</x:v>
      </x:c>
      <x:c r="E2830" t="str">
        <x:v>KOSPI</x:v>
      </x:c>
      <x:c r="F2830" t="str">
        <x:v>LARGE</x:v>
      </x:c>
      <x:c r="G2830" t="str">
        <x:v>ELIGIBLE</x:v>
      </x:c>
      <x:c r="H2830"/>
      <x:c r="I2830" s="54" t="n">
        <x:v>45565</x:v>
      </x:c>
      <x:c r="J2830" s="55" t="n">
        <x:v>147700</x:v>
      </x:c>
      <x:c r="K2830" s="55" t="n">
        <x:v>8639380504300</x:v>
      </x:c>
      <x:c r="L2830" s="55" t="n">
        <x:v>58492759</x:v>
      </x:c>
      <x:c r="M2830" t="str">
        <x:v>20240307000545</x:v>
      </x:c>
      <x:c r="N2830" t="n">
        <x:v>45358.624999988424</x:v>
      </x:c>
      <x:c r="O2830" s="54" t="n">
        <x:v>45291</x:v>
      </x:c>
      <x:c r="P2830" t="str">
        <x:v>False</x:v>
      </x:c>
      <x:c r="Q2830" t="str">
        <x:v>983705de0a1f45b92e9108d2cb5f8067751611ea62c2277984777ce1708ab8e8</x:v>
      </x:c>
      <x:c r="R2830" t="str">
        <x:v>e29e63aa8ddfd106584ad95dd808ba765e379e85945cd4910e62fca85bcf965d</x:v>
      </x:c>
      <x:c r="S2830" t="n">
        <x:v>7</x:v>
      </x:c>
      <x:c r="T2830" t="str">
        <x:v>2018-12-31|2019-12-31|2020-12-31|2021-12-31|2022-12-31|2023-12-31</x:v>
      </x:c>
      <x:c r="U2830" s="57" t="n">
        <x:v>45185.40296952942</x:v>
      </x:c>
      <x:c r="V2830" s="57" t="n">
        <x:v>-0.6940731010864629</x:v>
      </x:c>
      <x:c r="W2830" t="n">
        <x:v>54</x:v>
      </x:c>
      <x:c r="X2830" t="n">
        <x:v>4</x:v>
      </x:c>
      <x:c r="Y2830" s="38" t="n">
        <x:v>0.6409090909090909</x:v>
      </x:c>
      <x:c r="Z2830" s="38" t="n">
        <x:v>0.6871955991456108</x:v>
      </x:c>
      <x:c r="AA2830"/>
    </x:row>
    <x:row r="2831">
      <x:c r="A2831" s="54" t="n">
        <x:v>45565</x:v>
      </x:c>
      <x:c r="B2831" t="n">
        <x:v>45565.624999988424</x:v>
      </x:c>
      <x:c r="C2831" t="str">
        <x:v>278470</x:v>
      </x:c>
      <x:c r="D2831" t="str">
        <x:v>에이피알</x:v>
      </x:c>
      <x:c r="E2831" t="str">
        <x:v>KOSPI</x:v>
      </x:c>
      <x:c r="F2831" t="str">
        <x:v>LARGE</x:v>
      </x:c>
      <x:c r="G2831" t="str">
        <x:v>ELIGIBLE</x:v>
      </x:c>
      <x:c r="H2831"/>
      <x:c r="I2831" s="54" t="n">
        <x:v>45565</x:v>
      </x:c>
      <x:c r="J2831" s="55" t="n">
        <x:v>266500</x:v>
      </x:c>
      <x:c r="K2831" s="55" t="n">
        <x:v>2030777437000</x:v>
      </x:c>
      <x:c r="L2831" s="55" t="n">
        <x:v>7620178</x:v>
      </x:c>
      <x:c r="M2831" t="str">
        <x:v>20240321000964</x:v>
      </x:c>
      <x:c r="N2831" t="n">
        <x:v>45372.624999988424</x:v>
      </x:c>
      <x:c r="O2831" s="54" t="n">
        <x:v>45291</x:v>
      </x:c>
      <x:c r="P2831" t="str">
        <x:v>False</x:v>
      </x:c>
      <x:c r="Q2831" t="str">
        <x:v>04ca5e6c1f6cf209dc5de4b17e6b617de4ae883decea2ff2eb03b79a7a17d4a8</x:v>
      </x:c>
      <x:c r="R2831" t="str">
        <x:v>7e6dc7df6c5293196d2366117fc3ec877656460492a4b7bdbe26034dd5231cb2</x:v>
      </x:c>
      <x:c r="S2831" t="n">
        <x:v>7</x:v>
      </x:c>
      <x:c r="T2831" t="str">
        <x:v>2019-12-31|2020-12-31|2021-12-31|2022-12-31|2023-12-31</x:v>
      </x:c>
      <x:c r="U2831" s="57" t="n">
        <x:v>78317.16398497451</x:v>
      </x:c>
      <x:c r="V2831" s="57" t="n">
        <x:v>-0.7061269644091013</x:v>
      </x:c>
      <x:c r="W2831" t="n">
        <x:v>56</x:v>
      </x:c>
      <x:c r="X2831" t="n">
        <x:v>5</x:v>
      </x:c>
      <x:c r="Y2831" s="38" t="n">
        <x:v>0.6409090909090909</x:v>
      </x:c>
      <x:c r="Z2831" s="38" t="n">
        <x:v>0.5293064792577115</x:v>
      </x:c>
      <x:c r="AA2831"/>
    </x:row>
    <x:row r="2832">
      <x:c r="A2832" s="54" t="n">
        <x:v>45565</x:v>
      </x:c>
      <x:c r="B2832" t="n">
        <x:v>45565.624999988424</x:v>
      </x:c>
      <x:c r="C2832" t="str">
        <x:v>006260</x:v>
      </x:c>
      <x:c r="D2832" t="str">
        <x:v>LS</x:v>
      </x:c>
      <x:c r="E2832" t="str">
        <x:v>KOSPI</x:v>
      </x:c>
      <x:c r="F2832" t="str">
        <x:v>LARGE</x:v>
      </x:c>
      <x:c r="G2832" t="str">
        <x:v>DCF_SCREENING_EXCLUSION</x:v>
      </x:c>
      <x:c r="H2832" t="str">
        <x:v>NON_POSITIVE_EQUITY_VALUE|UNRELIABLE_TERMINAL_VALUE_SHARE</x:v>
      </x:c>
      <x:c r="I2832" s="54" t="n">
        <x:v>45565</x:v>
      </x:c>
      <x:c r="J2832" s="55" t="n">
        <x:v>123200</x:v>
      </x:c>
      <x:c r="K2832" s="55" t="n">
        <x:v>3967040000000</x:v>
      </x:c>
      <x:c r="L2832" s="55" t="n">
        <x:v>32200000</x:v>
      </x:c>
      <x:c r="M2832" t="str">
        <x:v>20240328001620</x:v>
      </x:c>
      <x:c r="N2832" t="n">
        <x:v>45379.624999988424</x:v>
      </x:c>
      <x:c r="O2832" s="54" t="n">
        <x:v>45291</x:v>
      </x:c>
      <x:c r="P2832" t="str">
        <x:v>True</x:v>
      </x:c>
      <x:c r="Q2832" t="str">
        <x:v>9fe30320efdcad1c5340f294e9f56b892e6082fae219d016336f02b346091952</x:v>
      </x:c>
      <x:c r="R2832" t="str">
        <x:v>d082c090d3a116ec85d400af7eee463106482a7d7859353ff448782f574e64db</x:v>
      </x:c>
      <x:c r="S2832" t="n">
        <x:v>7</x:v>
      </x:c>
      <x:c r="T2832" t="str">
        <x:v>2017-12-31|2018-12-31|2019-12-31|2020-12-31|2021-12-31|2022-12-31|2023-12-31</x:v>
      </x:c>
      <x:c r="U2832" s="57" t="n">
        <x:v>-105361.65513133879</x:v>
      </x:c>
      <x:c r="V2832" s="57" t="n">
        <x:v>-1.8552082397024252</x:v>
      </x:c>
      <x:c r="W2832"/>
      <x:c r="X2832"/>
      <x:c r="Y2832" s="38" t="n">
        <x:v>0.6409090909090909</x:v>
      </x:c>
      <x:c r="Z2832" s="38" t="n">
        <x:v>1.5056673965553193</x:v>
      </x:c>
      <x:c r="AA2832" t="str">
        <x:v>NON_POSITIVE_EQUITY_VALUE|UNRELIABLE_TERMINAL_VALUE_SHARE</x:v>
      </x:c>
    </x:row>
    <x:row r="2833">
      <x:c r="A2833" s="54" t="n">
        <x:v>45565</x:v>
      </x:c>
      <x:c r="B2833" t="n">
        <x:v>45565.624999988424</x:v>
      </x:c>
      <x:c r="C2833" t="str">
        <x:v>454910</x:v>
      </x:c>
      <x:c r="D2833" t="str">
        <x:v>두산로보틱스</x:v>
      </x:c>
      <x:c r="E2833" t="str">
        <x:v>KOSPI</x:v>
      </x:c>
      <x:c r="F2833" t="str">
        <x:v>LARGE</x:v>
      </x:c>
      <x:c r="G2833" t="str">
        <x:v>DCF_SCREENING_EXCLUSION</x:v>
      </x:c>
      <x:c r="H2833" t="str">
        <x:v>NON_POSITIVE_ENTERPRISE_VALUE|NON_POSITIVE_TERMINAL_FCF</x:v>
      </x:c>
      <x:c r="I2833" s="54" t="n">
        <x:v>45565</x:v>
      </x:c>
      <x:c r="J2833" s="55" t="n">
        <x:v>63700</x:v>
      </x:c>
      <x:c r="K2833" s="55" t="n">
        <x:v>4129032726000</x:v>
      </x:c>
      <x:c r="L2833" s="55" t="n">
        <x:v>64819980</x:v>
      </x:c>
      <x:c r="M2833" t="str">
        <x:v>20240320001860</x:v>
      </x:c>
      <x:c r="N2833" t="n">
        <x:v>45371.624999988424</x:v>
      </x:c>
      <x:c r="O2833" s="54" t="n">
        <x:v>45291</x:v>
      </x:c>
      <x:c r="P2833" t="str">
        <x:v>False</x:v>
      </x:c>
      <x:c r="Q2833" t="str">
        <x:v>5d0c8526a769dfb699e3a5a8d541b959348fa56a7fb0e13db871219f978613e8</x:v>
      </x:c>
      <x:c r="R2833" t="str">
        <x:v>9e2915c65080adc971a419f9d19db45fca450e2aaa5867ba5968fdfdcd809cda</x:v>
      </x:c>
      <x:c r="S2833" t="n">
        <x:v>6</x:v>
      </x:c>
      <x:c r="T2833" t="str">
        <x:v>2023-12-31</x:v>
      </x:c>
      <x:c r="U2833" s="57" t="n">
        <x:v>2405.426797352491</x:v>
      </x:c>
      <x:c r="V2833" s="57" t="n">
        <x:v>-0.96223819784376</x:v>
      </x:c>
      <x:c r="W2833"/>
      <x:c r="X2833"/>
      <x:c r="Y2833" s="38" t="n">
        <x:v>0.6409090909090909</x:v>
      </x:c>
      <x:c r="Z2833" s="38" t="n">
        <x:v>0.7013426708992583</x:v>
      </x:c>
      <x:c r="AA2833" t="str">
        <x:v>NON_POSITIVE_ENTERPRISE_VALUE|NON_POSITIVE_TERMINAL_FCF</x:v>
      </x:c>
    </x:row>
    <x:row r="2834">
      <x:c r="A2834" s="54" t="n">
        <x:v>45565</x:v>
      </x:c>
      <x:c r="B2834" t="n">
        <x:v>45565.624999988424</x:v>
      </x:c>
      <x:c r="C2834" t="str">
        <x:v>012750</x:v>
      </x:c>
      <x:c r="D2834" t="str">
        <x:v>에스원</x:v>
      </x:c>
      <x:c r="E2834" t="str">
        <x:v>KOSPI</x:v>
      </x:c>
      <x:c r="F2834" t="str">
        <x:v>LARGE</x:v>
      </x:c>
      <x:c r="G2834" t="str">
        <x:v>ELIGIBLE</x:v>
      </x:c>
      <x:c r="H2834"/>
      <x:c r="I2834" s="54" t="n">
        <x:v>45565</x:v>
      </x:c>
      <x:c r="J2834" s="55" t="n">
        <x:v>59100</x:v>
      </x:c>
      <x:c r="K2834" s="55" t="n">
        <x:v>2245751419800</x:v>
      </x:c>
      <x:c r="L2834" s="55" t="n">
        <x:v>37999178</x:v>
      </x:c>
      <x:c r="M2834" t="str">
        <x:v>20240313001360</x:v>
      </x:c>
      <x:c r="N2834" t="n">
        <x:v>45364.624999988424</x:v>
      </x:c>
      <x:c r="O2834" s="54" t="n">
        <x:v>45291</x:v>
      </x:c>
      <x:c r="P2834" t="str">
        <x:v>False</x:v>
      </x:c>
      <x:c r="Q2834" t="str">
        <x:v>983905c80557b47aaa55369ad23ffd7c797eb22f2d713724cdbe16330a9bee29</x:v>
      </x:c>
      <x:c r="R2834" t="str">
        <x:v>418b9c21ccc966183bf35367fadeaa591f28b941468ebf25e7ce65b3896bab07</x:v>
      </x:c>
      <x:c r="S2834" t="n">
        <x:v>6</x:v>
      </x:c>
      <x:c r="T2834" t="str">
        <x:v>2018-12-31|2019-12-31|2020-12-31|2021-12-31|2022-12-31|2023-12-31</x:v>
      </x:c>
      <x:c r="U2834" s="57" t="n">
        <x:v>53073.583077988624</x:v>
      </x:c>
      <x:c r="V2834" s="57" t="n">
        <x:v>-0.10196982947565786</x:v>
      </x:c>
      <x:c r="W2834" t="n">
        <x:v>31</x:v>
      </x:c>
      <x:c r="X2834" t="n">
        <x:v>3</x:v>
      </x:c>
      <x:c r="Y2834" s="38" t="n">
        <x:v>0.6409090909090909</x:v>
      </x:c>
      <x:c r="Z2834" s="38" t="n">
        <x:v>0.7167269513942994</x:v>
      </x:c>
      <x:c r="AA2834"/>
    </x:row>
    <x:row r="2835">
      <x:c r="A2835" s="54" t="n">
        <x:v>45565</x:v>
      </x:c>
      <x:c r="B2835" t="n">
        <x:v>45565.624999988424</x:v>
      </x:c>
      <x:c r="C2835" t="str">
        <x:v>081660</x:v>
      </x:c>
      <x:c r="D2835" t="str">
        <x:v>미스토홀딩스</x:v>
      </x:c>
      <x:c r="E2835" t="str">
        <x:v>KOSPI</x:v>
      </x:c>
      <x:c r="F2835" t="str">
        <x:v>LARGE</x:v>
      </x:c>
      <x:c r="G2835" t="str">
        <x:v>EXCLUDED_ARCHETYPE</x:v>
      </x:c>
      <x:c r="H2835" t="str">
        <x:v>FCFF_NOT_COMPARABLE_FOR_FINANCE_OR_HOLDING_HINT</x:v>
      </x:c>
      <x:c r="I2835" s="54"/>
      <x:c r="J2835" s="55"/>
      <x:c r="K2835" s="55"/>
      <x:c r="L2835" s="55"/>
      <x:c r="M2835"/>
      <x:c r="N2835"/>
      <x:c r="O2835" s="54"/>
      <x:c r="P2835"/>
      <x:c r="Q2835"/>
      <x:c r="R2835"/>
      <x:c r="S2835"/>
      <x:c r="T2835"/>
      <x:c r="U2835" s="57"/>
      <x:c r="V2835" s="57"/>
      <x:c r="W2835"/>
      <x:c r="X2835"/>
      <x:c r="Y2835" s="38"/>
      <x:c r="Z2835" s="38"/>
      <x:c r="AA2835"/>
    </x:row>
    <x:row r="2836">
      <x:c r="A2836" s="54" t="n">
        <x:v>45565</x:v>
      </x:c>
      <x:c r="B2836" t="n">
        <x:v>45565.624999988424</x:v>
      </x:c>
      <x:c r="C2836" t="str">
        <x:v>282330</x:v>
      </x:c>
      <x:c r="D2836" t="str">
        <x:v>BGF리테일</x:v>
      </x:c>
      <x:c r="E2836" t="str">
        <x:v>KOSPI</x:v>
      </x:c>
      <x:c r="F2836" t="str">
        <x:v>LARGE</x:v>
      </x:c>
      <x:c r="G2836" t="str">
        <x:v>ELIGIBLE</x:v>
      </x:c>
      <x:c r="H2836"/>
      <x:c r="I2836" s="54" t="n">
        <x:v>45565</x:v>
      </x:c>
      <x:c r="J2836" s="55" t="n">
        <x:v>114700</x:v>
      </x:c>
      <x:c r="K2836" s="55" t="n">
        <x:v>1982464018200</x:v>
      </x:c>
      <x:c r="L2836" s="55" t="n">
        <x:v>17283906</x:v>
      </x:c>
      <x:c r="M2836" t="str">
        <x:v>20240412003349</x:v>
      </x:c>
      <x:c r="N2836" t="n">
        <x:v>45394.624999988424</x:v>
      </x:c>
      <x:c r="O2836" s="54" t="n">
        <x:v>45291</x:v>
      </x:c>
      <x:c r="P2836" t="str">
        <x:v>True</x:v>
      </x:c>
      <x:c r="Q2836" t="str">
        <x:v>80452f5864f11413d1e18a343363f011c0e853e8f7a5e545f85575c87fe04167</x:v>
      </x:c>
      <x:c r="R2836" t="str">
        <x:v>0a7c904451d48d17e0a5cbbb1432a48af38d871660239ebffaf162b51598bb4a</x:v>
      </x:c>
      <x:c r="S2836" t="n">
        <x:v>7</x:v>
      </x:c>
      <x:c r="T2836" t="str">
        <x:v>2018-12-31|2019-12-31|2020-12-31|2021-12-31|2022-12-31|2023-12-31</x:v>
      </x:c>
      <x:c r="U2836" s="57" t="n">
        <x:v>148920.85850352462</x:v>
      </x:c>
      <x:c r="V2836" s="57" t="n">
        <x:v>0.2983509895686541</x:v>
      </x:c>
      <x:c r="W2836" t="n">
        <x:v>22</x:v>
      </x:c>
      <x:c r="X2836" t="n">
        <x:v>2</x:v>
      </x:c>
      <x:c r="Y2836" s="38" t="n">
        <x:v>0.6409090909090909</x:v>
      </x:c>
      <x:c r="Z2836" s="38" t="n">
        <x:v>0.7118873154840263</x:v>
      </x:c>
      <x:c r="AA2836"/>
    </x:row>
    <x:row r="2837">
      <x:c r="A2837" s="54" t="n">
        <x:v>45565</x:v>
      </x:c>
      <x:c r="B2837" t="n">
        <x:v>45565.624999988424</x:v>
      </x:c>
      <x:c r="C2837" t="str">
        <x:v>023590</x:v>
      </x:c>
      <x:c r="D2837" t="str">
        <x:v>다우기술</x:v>
      </x:c>
      <x:c r="E2837" t="str">
        <x:v>KOSPI</x:v>
      </x:c>
      <x:c r="F2837" t="str">
        <x:v>LARGE</x:v>
      </x:c>
      <x:c r="G2837" t="str">
        <x:v>ELIGIBLE</x:v>
      </x:c>
      <x:c r="H2837"/>
      <x:c r="I2837" s="54" t="n">
        <x:v>45565</x:v>
      </x:c>
      <x:c r="J2837" s="55" t="n">
        <x:v>18490</x:v>
      </x:c>
      <x:c r="K2837" s="55" t="n">
        <x:v>829583748330</x:v>
      </x:c>
      <x:c r="L2837" s="55" t="n">
        <x:v>44866617</x:v>
      </x:c>
      <x:c r="M2837" t="str">
        <x:v>20240320001719</x:v>
      </x:c>
      <x:c r="N2837" t="n">
        <x:v>45371.624999988424</x:v>
      </x:c>
      <x:c r="O2837" s="54" t="n">
        <x:v>45291</x:v>
      </x:c>
      <x:c r="P2837" t="str">
        <x:v>False</x:v>
      </x:c>
      <x:c r="Q2837" t="str">
        <x:v>7794020640f841938df6de0ab2cc083ffa7af19e3b8e73ccb0b21ec4189c4cdc</x:v>
      </x:c>
      <x:c r="R2837" t="str">
        <x:v>8d8def05dbb4edc06fae723db1c51a21604287b327a228b7d5b89af822e337b7</x:v>
      </x:c>
      <x:c r="S2837" t="n">
        <x:v>7</x:v>
      </x:c>
      <x:c r="T2837" t="str">
        <x:v>2015-12-31|2016-12-31|2017-12-31|2018-12-31|2019-12-31|2020-12-31|2021-12-31|2022-12-31|2023-12-31</x:v>
      </x:c>
      <x:c r="U2837" s="57" t="n">
        <x:v>499115.9136980873</x:v>
      </x:c>
      <x:c r="V2837" s="57" t="n">
        <x:v>25.99382983764669</x:v>
      </x:c>
      <x:c r="W2837" t="n">
        <x:v>1</x:v>
      </x:c>
      <x:c r="X2837" t="n">
        <x:v>1</x:v>
      </x:c>
      <x:c r="Y2837" s="38" t="n">
        <x:v>0.6409090909090909</x:v>
      </x:c>
      <x:c r="Z2837" s="38" t="n">
        <x:v>0.797836132376199</x:v>
      </x:c>
      <x:c r="AA2837"/>
    </x:row>
    <x:row r="2838">
      <x:c r="A2838" s="54" t="n">
        <x:v>45565</x:v>
      </x:c>
      <x:c r="B2838" t="n">
        <x:v>45565.624999988424</x:v>
      </x:c>
      <x:c r="C2838" t="str">
        <x:v>300720</x:v>
      </x:c>
      <x:c r="D2838" t="str">
        <x:v>한일시멘트</x:v>
      </x:c>
      <x:c r="E2838" t="str">
        <x:v>KOSPI</x:v>
      </x:c>
      <x:c r="F2838" t="str">
        <x:v>LARGE</x:v>
      </x:c>
      <x:c r="G2838" t="str">
        <x:v>ELIGIBLE</x:v>
      </x:c>
      <x:c r="H2838"/>
      <x:c r="I2838" s="54" t="n">
        <x:v>45565</x:v>
      </x:c>
      <x:c r="J2838" s="55" t="n">
        <x:v>13770</x:v>
      </x:c>
      <x:c r="K2838" s="55" t="n">
        <x:v>953731405800</x:v>
      </x:c>
      <x:c r="L2838" s="55" t="n">
        <x:v>69261540</x:v>
      </x:c>
      <x:c r="M2838" t="str">
        <x:v>20240320001711</x:v>
      </x:c>
      <x:c r="N2838" t="n">
        <x:v>45371.624999988424</x:v>
      </x:c>
      <x:c r="O2838" s="54" t="n">
        <x:v>45291</x:v>
      </x:c>
      <x:c r="P2838" t="str">
        <x:v>False</x:v>
      </x:c>
      <x:c r="Q2838" t="str">
        <x:v>efeb156f499068f934e7f6adc03553c51257bed2c8134fb026ce3ee629479a7f</x:v>
      </x:c>
      <x:c r="R2838" t="str">
        <x:v>069d8b2ae8d57e8a16050e57f9e1d4a09dfea2f176312162cf3af0431f66ce8e</x:v>
      </x:c>
      <x:c r="S2838" t="n">
        <x:v>6</x:v>
      </x:c>
      <x:c r="T2838" t="str">
        <x:v>2019-12-31|2020-12-31|2021-12-31|2022-12-31|2023-12-31</x:v>
      </x:c>
      <x:c r="U2838" s="57" t="n">
        <x:v>29988.40651458377</x:v>
      </x:c>
      <x:c r="V2838" s="57" t="n">
        <x:v>1.1778072995340427</x:v>
      </x:c>
      <x:c r="W2838" t="n">
        <x:v>13</x:v>
      </x:c>
      <x:c r="X2838" t="n">
        <x:v>1</x:v>
      </x:c>
      <x:c r="Y2838" s="38" t="n">
        <x:v>0.6409090909090909</x:v>
      </x:c>
      <x:c r="Z2838" s="38" t="n">
        <x:v>0.6613647926762065</x:v>
      </x:c>
      <x:c r="AA2838"/>
    </x:row>
    <x:row r="2839">
      <x:c r="A2839" s="54" t="n">
        <x:v>45565</x:v>
      </x:c>
      <x:c r="B2839" t="n">
        <x:v>45565.624999988424</x:v>
      </x:c>
      <x:c r="C2839" t="str">
        <x:v>007070</x:v>
      </x:c>
      <x:c r="D2839" t="str">
        <x:v>GS리테일</x:v>
      </x:c>
      <x:c r="E2839" t="str">
        <x:v>KOSPI</x:v>
      </x:c>
      <x:c r="F2839" t="str">
        <x:v>LARGE</x:v>
      </x:c>
      <x:c r="G2839" t="str">
        <x:v>ELIGIBLE</x:v>
      </x:c>
      <x:c r="H2839"/>
      <x:c r="I2839" s="54" t="n">
        <x:v>45565</x:v>
      </x:c>
      <x:c r="J2839" s="55" t="n">
        <x:v>21350</x:v>
      </x:c>
      <x:c r="K2839" s="55" t="n">
        <x:v>2235727634700</x:v>
      </x:c>
      <x:c r="L2839" s="55" t="n">
        <x:v>104717922</x:v>
      </x:c>
      <x:c r="M2839" t="str">
        <x:v>20240401004251</x:v>
      </x:c>
      <x:c r="N2839" t="n">
        <x:v>45383.624999988424</x:v>
      </x:c>
      <x:c r="O2839" s="54" t="n">
        <x:v>45291</x:v>
      </x:c>
      <x:c r="P2839" t="str">
        <x:v>True</x:v>
      </x:c>
      <x:c r="Q2839" t="str">
        <x:v>fea5f6d0ab27d8e52c122295c154205a5466e77cb66aeba6d640890b4d11c68e</x:v>
      </x:c>
      <x:c r="R2839" t="str">
        <x:v>c60512e504f5a67f685973e3003206aef9fd7ed8c15445f0aefa6202f70936bf</x:v>
      </x:c>
      <x:c r="S2839" t="n">
        <x:v>7</x:v>
      </x:c>
      <x:c r="T2839" t="str">
        <x:v>2018-12-31|2019-12-31|2020-12-31|2021-12-31|2022-12-31|2023-12-31</x:v>
      </x:c>
      <x:c r="U2839" s="57" t="n">
        <x:v>5672.259130661726</x:v>
      </x:c>
      <x:c r="V2839" s="57" t="n">
        <x:v>-0.7343204154256803</x:v>
      </x:c>
      <x:c r="W2839" t="n">
        <x:v>57</x:v>
      </x:c>
      <x:c r="X2839" t="n">
        <x:v>5</x:v>
      </x:c>
      <x:c r="Y2839" s="38" t="n">
        <x:v>0.6409090909090909</x:v>
      </x:c>
      <x:c r="Z2839" s="38" t="n">
        <x:v>0.6853688907017809</x:v>
      </x:c>
      <x:c r="AA2839"/>
    </x:row>
    <x:row r="2840">
      <x:c r="A2840" s="54" t="n">
        <x:v>45565</x:v>
      </x:c>
      <x:c r="B2840" t="n">
        <x:v>45565.624999988424</x:v>
      </x:c>
      <x:c r="C2840" t="str">
        <x:v>280360</x:v>
      </x:c>
      <x:c r="D2840" t="str">
        <x:v>롯데웰푸드</x:v>
      </x:c>
      <x:c r="E2840" t="str">
        <x:v>KOSPI</x:v>
      </x:c>
      <x:c r="F2840" t="str">
        <x:v>LARGE</x:v>
      </x:c>
      <x:c r="G2840" t="str">
        <x:v>DCF_SCREENING_EXCLUSION</x:v>
      </x:c>
      <x:c r="H2840" t="str">
        <x:v>NON_POSITIVE_ENTERPRISE_VALUE|NON_POSITIVE_EQUITY_VALUE|NON_POSITIVE_TERMINAL_FCF</x:v>
      </x:c>
      <x:c r="I2840" s="54" t="n">
        <x:v>45565</x:v>
      </x:c>
      <x:c r="J2840" s="55" t="n">
        <x:v>141100</x:v>
      </x:c>
      <x:c r="K2840" s="55" t="n">
        <x:v>1331218391400</x:v>
      </x:c>
      <x:c r="L2840" s="55" t="n">
        <x:v>9434574</x:v>
      </x:c>
      <x:c r="M2840" t="str">
        <x:v>20240322000503</x:v>
      </x:c>
      <x:c r="N2840" t="n">
        <x:v>45373.624999988424</x:v>
      </x:c>
      <x:c r="O2840" s="54" t="n">
        <x:v>45291</x:v>
      </x:c>
      <x:c r="P2840" t="str">
        <x:v>True</x:v>
      </x:c>
      <x:c r="Q2840" t="str">
        <x:v>d5e8d1b97bc8df8fa4512c5438099b631380c1de7f7030abf5754dd3643e0535</x:v>
      </x:c>
      <x:c r="R2840" t="str">
        <x:v>e56de214d4b32594cdefd0605ff9fdca6712d818b7d17816429b21ba27086a3b</x:v>
      </x:c>
      <x:c r="S2840" t="n">
        <x:v>7</x:v>
      </x:c>
      <x:c r="T2840" t="str">
        <x:v>2018-12-31|2019-12-31|2020-12-31|2021-12-31|2022-12-31|2023-12-31</x:v>
      </x:c>
      <x:c r="U2840" s="57" t="n">
        <x:v>-13896.654975482745</x:v>
      </x:c>
      <x:c r="V2840" s="57" t="n">
        <x:v>-1.098487987069332</x:v>
      </x:c>
      <x:c r="W2840"/>
      <x:c r="X2840"/>
      <x:c r="Y2840" s="38" t="n">
        <x:v>0.6409090909090909</x:v>
      </x:c>
      <x:c r="Z2840" s="38" t="n">
        <x:v>0.3321805813890434</x:v>
      </x:c>
      <x:c r="AA2840" t="str">
        <x:v>NON_POSITIVE_ENTERPRISE_VALUE|NON_POSITIVE_EQUITY_VALUE|NON_POSITIVE_TERMINAL_FCF</x:v>
      </x:c>
    </x:row>
    <x:row r="2841">
      <x:c r="A2841" s="54" t="n">
        <x:v>45565</x:v>
      </x:c>
      <x:c r="B2841" t="n">
        <x:v>45565.624999988424</x:v>
      </x:c>
      <x:c r="C2841" t="str">
        <x:v>039130</x:v>
      </x:c>
      <x:c r="D2841" t="str">
        <x:v>하나투어</x:v>
      </x:c>
      <x:c r="E2841" t="str">
        <x:v>KOSPI</x:v>
      </x:c>
      <x:c r="F2841" t="str">
        <x:v>LARGE</x:v>
      </x:c>
      <x:c r="G2841" t="str">
        <x:v>DCF_SCREENING_EXCLUSION</x:v>
      </x:c>
      <x:c r="H2841" t="str">
        <x:v>NON_POSITIVE_ENTERPRISE_VALUE|NON_POSITIVE_EQUITY_VALUE|NON_POSITIVE_TERMINAL_FCF|UNRELIABLE_TERMINAL_VALUE_SHARE</x:v>
      </x:c>
      <x:c r="I2841" s="54" t="n">
        <x:v>45565</x:v>
      </x:c>
      <x:c r="J2841" s="55" t="n">
        <x:v>50500</x:v>
      </x:c>
      <x:c r="K2841" s="55" t="n">
        <x:v>809978842500</x:v>
      </x:c>
      <x:c r="L2841" s="55" t="n">
        <x:v>16039185</x:v>
      </x:c>
      <x:c r="M2841" t="str">
        <x:v>20240321001614</x:v>
      </x:c>
      <x:c r="N2841" t="n">
        <x:v>45372.624999988424</x:v>
      </x:c>
      <x:c r="O2841" s="54" t="n">
        <x:v>45291</x:v>
      </x:c>
      <x:c r="P2841" t="str">
        <x:v>False</x:v>
      </x:c>
      <x:c r="Q2841" t="str">
        <x:v>f0c2c55a272091d14bd377d8caf7fb527cb7c384fef945523a89c7b0d0b39f64</x:v>
      </x:c>
      <x:c r="R2841" t="str">
        <x:v>c62286508cd3dc77d0382b786563efc5ed20454c4cf4d924c6dd2df19e1e055a</x:v>
      </x:c>
      <x:c r="S2841" t="n">
        <x:v>5</x:v>
      </x:c>
      <x:c r="T2841" t="str">
        <x:v>2018-12-31|2019-12-31|2020-12-31|2021-12-31|2022-12-31|2023-12-31</x:v>
      </x:c>
      <x:c r="U2841" s="57" t="n">
        <x:v>-33024.08135487313</x:v>
      </x:c>
      <x:c r="V2841" s="57" t="n">
        <x:v>-1.6539422050469927</x:v>
      </x:c>
      <x:c r="W2841"/>
      <x:c r="X2841"/>
      <x:c r="Y2841" s="38" t="n">
        <x:v>0.6409090909090909</x:v>
      </x:c>
      <x:c r="Z2841" s="38" t="n">
        <x:v>0.8961738839877824</x:v>
      </x:c>
      <x:c r="AA2841" t="str">
        <x:v>NON_POSITIVE_ENTERPRISE_VALUE|NON_POSITIVE_EQUITY_VALUE|NON_POSITIVE_TERMINAL_FCF|UNRELIABLE_TERMINAL_VALUE_SHARE</x:v>
      </x:c>
    </x:row>
    <x:row r="2842">
      <x:c r="A2842" s="54" t="n">
        <x:v>45565</x:v>
      </x:c>
      <x:c r="B2842" t="n">
        <x:v>45565.624999988424</x:v>
      </x:c>
      <x:c r="C2842" t="str">
        <x:v>005690</x:v>
      </x:c>
      <x:c r="D2842" t="str">
        <x:v>파미셀</x:v>
      </x:c>
      <x:c r="E2842" t="str">
        <x:v>KOSPI</x:v>
      </x:c>
      <x:c r="F2842" t="str">
        <x:v>LARGE</x:v>
      </x:c>
      <x:c r="G2842" t="str">
        <x:v>DCF_SCREENING_EXCLUSION</x:v>
      </x:c>
      <x:c r="H2842" t="str">
        <x:v>UNRELIABLE_TERMINAL_VALUE_SHARE</x:v>
      </x:c>
      <x:c r="I2842" s="54" t="n">
        <x:v>45565</x:v>
      </x:c>
      <x:c r="J2842" s="55" t="n">
        <x:v>5410</x:v>
      </x:c>
      <x:c r="K2842" s="55" t="n">
        <x:v>324691775240</x:v>
      </x:c>
      <x:c r="L2842" s="55" t="n">
        <x:v>60016964</x:v>
      </x:c>
      <x:c r="M2842" t="str">
        <x:v>20240320001254</x:v>
      </x:c>
      <x:c r="N2842" t="n">
        <x:v>45371.624999988424</x:v>
      </x:c>
      <x:c r="O2842" s="54" t="n">
        <x:v>45291</x:v>
      </x:c>
      <x:c r="P2842" t="str">
        <x:v>False</x:v>
      </x:c>
      <x:c r="Q2842" t="str">
        <x:v>f0839badcfbb3da29d835ed372fece953eb7f29e42063d7caa50114dfb7f481f</x:v>
      </x:c>
      <x:c r="R2842" t="str">
        <x:v>0c4e3b410f04a539b8a2129aa4e552281a487dda7d3fc9ef8b21a508f86db6f8</x:v>
      </x:c>
      <x:c r="S2842" t="n">
        <x:v>6</x:v>
      </x:c>
      <x:c r="T2842" t="str">
        <x:v>2018-12-31|2019-12-31|2020-12-31|2021-12-31|2022-12-31|2023-12-31</x:v>
      </x:c>
      <x:c r="U2842" s="57" t="n">
        <x:v>640.0509380092717</x:v>
      </x:c>
      <x:c r="V2842" s="57" t="n">
        <x:v>-0.8816911390001346</x:v>
      </x:c>
      <x:c r="W2842"/>
      <x:c r="X2842"/>
      <x:c r="Y2842" s="38" t="n">
        <x:v>0.6409090909090909</x:v>
      </x:c>
      <x:c r="Z2842" s="38" t="n">
        <x:v>1.1033716279088626</x:v>
      </x:c>
      <x:c r="AA2842" t="str">
        <x:v>UNRELIABLE_TERMINAL_VALUE_SHARE</x:v>
      </x:c>
    </x:row>
    <x:row r="2843">
      <x:c r="A2843" s="54" t="n">
        <x:v>45565</x:v>
      </x:c>
      <x:c r="B2843" t="n">
        <x:v>45565.624999988424</x:v>
      </x:c>
      <x:c r="C2843" t="str">
        <x:v>002030</x:v>
      </x:c>
      <x:c r="D2843" t="str">
        <x:v>아세아</x:v>
      </x:c>
      <x:c r="E2843" t="str">
        <x:v>KOSPI</x:v>
      </x:c>
      <x:c r="F2843" t="str">
        <x:v>LARGE</x:v>
      </x:c>
      <x:c r="G2843" t="str">
        <x:v>ELIGIBLE</x:v>
      </x:c>
      <x:c r="H2843"/>
      <x:c r="I2843" s="54" t="n">
        <x:v>45565</x:v>
      </x:c>
      <x:c r="J2843" s="55" t="n">
        <x:v>255000</x:v>
      </x:c>
      <x:c r="K2843" s="55" t="n">
        <x:v>539490240000</x:v>
      </x:c>
      <x:c r="L2843" s="55" t="n">
        <x:v>2115648</x:v>
      </x:c>
      <x:c r="M2843" t="str">
        <x:v>20240313001757</x:v>
      </x:c>
      <x:c r="N2843" t="n">
        <x:v>45364.624999988424</x:v>
      </x:c>
      <x:c r="O2843" s="54" t="n">
        <x:v>45291</x:v>
      </x:c>
      <x:c r="P2843" t="str">
        <x:v>False</x:v>
      </x:c>
      <x:c r="Q2843" t="str">
        <x:v>a680d904a9b9d506cad43e9759b24df2b4b20291b41c26df7759b19bcbce1fef</x:v>
      </x:c>
      <x:c r="R2843" t="str">
        <x:v>4f17ce090378c0538c7d299dc843941d9d3a128bc9867e044058fa92c4eadcd4</x:v>
      </x:c>
      <x:c r="S2843" t="n">
        <x:v>6</x:v>
      </x:c>
      <x:c r="T2843" t="str">
        <x:v>2018-12-31|2019-12-31|2020-12-31|2021-12-31|2022-12-31|2023-12-31</x:v>
      </x:c>
      <x:c r="U2843" s="57" t="n">
        <x:v>842347.758469561</x:v>
      </x:c>
      <x:c r="V2843" s="57" t="n">
        <x:v>2.3033245430178866</x:v>
      </x:c>
      <x:c r="W2843" t="n">
        <x:v>6</x:v>
      </x:c>
      <x:c r="X2843" t="n">
        <x:v>1</x:v>
      </x:c>
      <x:c r="Y2843" s="38" t="n">
        <x:v>0.6409090909090909</x:v>
      </x:c>
      <x:c r="Z2843" s="38" t="n">
        <x:v>0.7000897107068127</x:v>
      </x:c>
      <x:c r="AA2843"/>
    </x:row>
    <x:row r="2844">
      <x:c r="A2844" s="54" t="n">
        <x:v>45565</x:v>
      </x:c>
      <x:c r="B2844" t="n">
        <x:v>45565.624999988424</x:v>
      </x:c>
      <x:c r="C2844" t="str">
        <x:v>009410</x:v>
      </x:c>
      <x:c r="D2844" t="str">
        <x:v>태영건설</x:v>
      </x:c>
      <x:c r="E2844" t="str">
        <x:v>KOSPI</x:v>
      </x:c>
      <x:c r="F2844" t="str">
        <x:v>LARGE</x:v>
      </x:c>
      <x:c r="G2844" t="str">
        <x:v>DCF_SCREENING_EXCLUSION</x:v>
      </x:c>
      <x:c r="H2844" t="str">
        <x:v>NON_POSITIVE_EQUITY_VALUE|UNRELIABLE_TERMINAL_VALUE_SHARE</x:v>
      </x:c>
      <x:c r="I2844" s="54" t="n">
        <x:v>45565</x:v>
      </x:c>
      <x:c r="J2844" s="55" t="n">
        <x:v>4620</x:v>
      </x:c>
      <x:c r="K2844" s="55" t="n">
        <x:v>1330122656940</x:v>
      </x:c>
      <x:c r="L2844" s="55" t="n">
        <x:v>287905337</x:v>
      </x:c>
      <x:c r="M2844" t="str">
        <x:v>20240927000935</x:v>
      </x:c>
      <x:c r="N2844" t="n">
        <x:v>45562.624999988424</x:v>
      </x:c>
      <x:c r="O2844" s="54" t="n">
        <x:v>45291</x:v>
      </x:c>
      <x:c r="P2844" t="str">
        <x:v>True</x:v>
      </x:c>
      <x:c r="Q2844" t="str">
        <x:v>870729c2e89e0bd25cd7681d06f93601567887dc25c7be5fce66aeb459f21cc6</x:v>
      </x:c>
      <x:c r="R2844" t="str">
        <x:v>33232fc4730b021d3ed3184ad977e115b477a9869e72e398a24abdec7b8b8277</x:v>
      </x:c>
      <x:c r="S2844" t="n">
        <x:v>7</x:v>
      </x:c>
      <x:c r="T2844" t="str">
        <x:v>2018-12-31|2019-12-31|2020-12-31|2021-12-31|2022-12-31|2023-12-31</x:v>
      </x:c>
      <x:c r="U2844" s="57" t="n">
        <x:v>-4863.0598518508195</x:v>
      </x:c>
      <x:c r="V2844" s="57" t="n">
        <x:v>-2.0526103575434673</x:v>
      </x:c>
      <x:c r="W2844"/>
      <x:c r="X2844"/>
      <x:c r="Y2844" s="38" t="n">
        <x:v>0.6409090909090909</x:v>
      </x:c>
      <x:c r="Z2844" s="38" t="n">
        <x:v>1.4362175676776963</x:v>
      </x:c>
      <x:c r="AA2844" t="str">
        <x:v>NON_POSITIVE_EQUITY_VALUE|UNRELIABLE_TERMINAL_VALUE_SHARE</x:v>
      </x:c>
    </x:row>
    <x:row r="2845">
      <x:c r="A2845" s="54" t="n">
        <x:v>45565</x:v>
      </x:c>
      <x:c r="B2845" t="n">
        <x:v>45565.624999988424</x:v>
      </x:c>
      <x:c r="C2845" t="str">
        <x:v>010780</x:v>
      </x:c>
      <x:c r="D2845" t="str">
        <x:v>아이에스동서</x:v>
      </x:c>
      <x:c r="E2845" t="str">
        <x:v>KOSPI</x:v>
      </x:c>
      <x:c r="F2845" t="str">
        <x:v>LARGE</x:v>
      </x:c>
      <x:c r="G2845" t="str">
        <x:v>ELIGIBLE</x:v>
      </x:c>
      <x:c r="H2845"/>
      <x:c r="I2845" s="54" t="n">
        <x:v>45565</x:v>
      </x:c>
      <x:c r="J2845" s="55" t="n">
        <x:v>22400</x:v>
      </x:c>
      <x:c r="K2845" s="55" t="n">
        <x:v>676188262400</x:v>
      </x:c>
      <x:c r="L2845" s="55" t="n">
        <x:v>30186976</x:v>
      </x:c>
      <x:c r="M2845" t="str">
        <x:v>20240321001950</x:v>
      </x:c>
      <x:c r="N2845" t="n">
        <x:v>45372.624999988424</x:v>
      </x:c>
      <x:c r="O2845" s="54" t="n">
        <x:v>45291</x:v>
      </x:c>
      <x:c r="P2845" t="str">
        <x:v>False</x:v>
      </x:c>
      <x:c r="Q2845" t="str">
        <x:v>fbea4927e5b6cb734c186be848c447c8eefa8c7f06ba5c3cebd66f496b1378b9</x:v>
      </x:c>
      <x:c r="R2845" t="str">
        <x:v>8b112f82f6db1542c1f3c393bdc93a6a8f0d0c88670321d84b28ced0f894d285</x:v>
      </x:c>
      <x:c r="S2845" t="n">
        <x:v>7</x:v>
      </x:c>
      <x:c r="T2845" t="str">
        <x:v>2018-12-31|2019-12-31|2020-12-31|2021-12-31|2022-12-31|2023-12-31</x:v>
      </x:c>
      <x:c r="U2845" s="57" t="n">
        <x:v>100474.68258026625</x:v>
      </x:c>
      <x:c r="V2845" s="57" t="n">
        <x:v>3.4854769009047435</x:v>
      </x:c>
      <x:c r="W2845" t="n">
        <x:v>5</x:v>
      </x:c>
      <x:c r="X2845" t="n">
        <x:v>1</x:v>
      </x:c>
      <x:c r="Y2845" s="38" t="n">
        <x:v>0.6409090909090909</x:v>
      </x:c>
      <x:c r="Z2845" s="38" t="n">
        <x:v>0.7562607547073226</x:v>
      </x:c>
      <x:c r="AA2845"/>
    </x:row>
    <x:row r="2846">
      <x:c r="A2846" s="54" t="n">
        <x:v>45565</x:v>
      </x:c>
      <x:c r="B2846" t="n">
        <x:v>45565.624999988424</x:v>
      </x:c>
      <x:c r="C2846" t="str">
        <x:v>453340</x:v>
      </x:c>
      <x:c r="D2846" t="str">
        <x:v>현대그린푸드</x:v>
      </x:c>
      <x:c r="E2846" t="str">
        <x:v>KOSPI</x:v>
      </x:c>
      <x:c r="F2846" t="str">
        <x:v>LARGE</x:v>
      </x:c>
      <x:c r="G2846" t="str">
        <x:v>NO_PIT_FINANCIALS</x:v>
      </x:c>
      <x:c r="H2846"/>
      <x:c r="I2846" s="54" t="n">
        <x:v>45565</x:v>
      </x:c>
      <x:c r="J2846" s="55" t="n">
        <x:v>11860</x:v>
      </x:c>
      <x:c r="K2846" s="55" t="n">
        <x:v>401827640040</x:v>
      </x:c>
      <x:c r="L2846" s="55" t="n">
        <x:v>33880914</x:v>
      </x:c>
      <x:c r="M2846"/>
      <x:c r="N2846"/>
      <x:c r="O2846" s="54"/>
      <x:c r="P2846"/>
      <x:c r="Q2846"/>
      <x:c r="R2846"/>
      <x:c r="S2846"/>
      <x:c r="T2846"/>
      <x:c r="U2846" s="57"/>
      <x:c r="V2846" s="57"/>
      <x:c r="W2846"/>
      <x:c r="X2846"/>
      <x:c r="Y2846" s="38"/>
      <x:c r="Z2846" s="38"/>
      <x:c r="AA2846"/>
    </x:row>
    <x:row r="2847">
      <x:c r="A2847" s="54" t="n">
        <x:v>45565</x:v>
      </x:c>
      <x:c r="B2847" t="n">
        <x:v>45565.624999988424</x:v>
      </x:c>
      <x:c r="C2847" t="str">
        <x:v>006220</x:v>
      </x:c>
      <x:c r="D2847" t="str">
        <x:v>제주은행</x:v>
      </x:c>
      <x:c r="E2847" t="str">
        <x:v>KOSPI</x:v>
      </x:c>
      <x:c r="F2847" t="str">
        <x:v>LARGE</x:v>
      </x:c>
      <x:c r="G2847" t="str">
        <x:v>EXCLUDED_ARCHETYPE</x:v>
      </x:c>
      <x:c r="H2847" t="str">
        <x:v>FCFF_NOT_COMPARABLE_FOR_FINANCE_OR_HOLDING_HINT</x:v>
      </x:c>
      <x:c r="I2847" s="54"/>
      <x:c r="J2847" s="55"/>
      <x:c r="K2847" s="55"/>
      <x:c r="L2847" s="55"/>
      <x:c r="M2847"/>
      <x:c r="N2847"/>
      <x:c r="O2847" s="54"/>
      <x:c r="P2847"/>
      <x:c r="Q2847"/>
      <x:c r="R2847"/>
      <x:c r="S2847"/>
      <x:c r="T2847"/>
      <x:c r="U2847" s="57"/>
      <x:c r="V2847" s="57"/>
      <x:c r="W2847"/>
      <x:c r="X2847"/>
      <x:c r="Y2847" s="38"/>
      <x:c r="Z2847" s="38"/>
      <x:c r="AA2847"/>
    </x:row>
    <x:row r="2848">
      <x:c r="A2848" s="54" t="n">
        <x:v>45565</x:v>
      </x:c>
      <x:c r="B2848" t="n">
        <x:v>45565.624999988424</x:v>
      </x:c>
      <x:c r="C2848" t="str">
        <x:v>094800</x:v>
      </x:c>
      <x:c r="D2848" t="str">
        <x:v>맵스리얼티1</x:v>
      </x:c>
      <x:c r="E2848" t="str">
        <x:v>KOSPI</x:v>
      </x:c>
      <x:c r="F2848" t="str">
        <x:v>LARGE</x:v>
      </x:c>
      <x:c r="G2848" t="str">
        <x:v>NO_PIT_FINANCIALS</x:v>
      </x:c>
      <x:c r="H2848"/>
      <x:c r="I2848" s="54" t="n">
        <x:v>45565</x:v>
      </x:c>
      <x:c r="J2848" s="55" t="n">
        <x:v>4545</x:v>
      </x:c>
      <x:c r="K2848" s="55" t="n">
        <x:v>421932034395</x:v>
      </x:c>
      <x:c r="L2848" s="55" t="n">
        <x:v>92834331</x:v>
      </x:c>
      <x:c r="M2848"/>
      <x:c r="N2848"/>
      <x:c r="O2848" s="54"/>
      <x:c r="P2848"/>
      <x:c r="Q2848"/>
      <x:c r="R2848"/>
      <x:c r="S2848"/>
      <x:c r="T2848"/>
      <x:c r="U2848" s="57"/>
      <x:c r="V2848" s="57"/>
      <x:c r="W2848"/>
      <x:c r="X2848"/>
      <x:c r="Y2848" s="38"/>
      <x:c r="Z2848" s="38"/>
      <x:c r="AA2848"/>
    </x:row>
    <x:row r="2849">
      <x:c r="A2849" s="54" t="n">
        <x:v>45565</x:v>
      </x:c>
      <x:c r="B2849" t="n">
        <x:v>45565.624999988424</x:v>
      </x:c>
      <x:c r="C2849" t="str">
        <x:v>003160</x:v>
      </x:c>
      <x:c r="D2849" t="str">
        <x:v>디아이</x:v>
      </x:c>
      <x:c r="E2849" t="str">
        <x:v>KOSPI</x:v>
      </x:c>
      <x:c r="F2849" t="str">
        <x:v>LARGE</x:v>
      </x:c>
      <x:c r="G2849" t="str">
        <x:v>DCF_SCREENING_EXCLUSION</x:v>
      </x:c>
      <x:c r="H2849" t="str">
        <x:v>UNRELIABLE_TERMINAL_VALUE_SHARE</x:v>
      </x:c>
      <x:c r="I2849" s="54" t="n">
        <x:v>45565</x:v>
      </x:c>
      <x:c r="J2849" s="55" t="n">
        <x:v>14820</x:v>
      </x:c>
      <x:c r="K2849" s="55" t="n">
        <x:v>419406000000</x:v>
      </x:c>
      <x:c r="L2849" s="55" t="n">
        <x:v>28300000</x:v>
      </x:c>
      <x:c r="M2849" t="str">
        <x:v>20240314001500</x:v>
      </x:c>
      <x:c r="N2849" t="n">
        <x:v>45365.624999988424</x:v>
      </x:c>
      <x:c r="O2849" s="54" t="n">
        <x:v>45291</x:v>
      </x:c>
      <x:c r="P2849" t="str">
        <x:v>False</x:v>
      </x:c>
      <x:c r="Q2849" t="str">
        <x:v>dac2e3ac15f544bbda785aa8eb802639cd592ddc9e7a28cdec0dd3b4739c8a6b</x:v>
      </x:c>
      <x:c r="R2849" t="str">
        <x:v>db36b92c2651e031285906040eb2a80ad276d6f76bc0778f25411e230780a42c</x:v>
      </x:c>
      <x:c r="S2849" t="n">
        <x:v>6</x:v>
      </x:c>
      <x:c r="T2849" t="str">
        <x:v>2013-12-31|2014-12-31|2015-12-31|2016-12-31|2017-12-31|2018-12-31|2019-12-31|2020-12-31|2021-12-31|2022-12-31|2023-12-31</x:v>
      </x:c>
      <x:c r="U2849" s="57" t="n">
        <x:v>1722.8460865310212</x:v>
      </x:c>
      <x:c r="V2849" s="57" t="n">
        <x:v>-0.883748577157151</x:v>
      </x:c>
      <x:c r="W2849"/>
      <x:c r="X2849"/>
      <x:c r="Y2849" s="38" t="n">
        <x:v>0.6409090909090909</x:v>
      </x:c>
      <x:c r="Z2849" s="38" t="n">
        <x:v>1.0528919898805427</x:v>
      </x:c>
      <x:c r="AA2849" t="str">
        <x:v>UNRELIABLE_TERMINAL_VALUE_SHARE</x:v>
      </x:c>
    </x:row>
    <x:row r="2850">
      <x:c r="A2850" s="54" t="n">
        <x:v>45565</x:v>
      </x:c>
      <x:c r="B2850" t="n">
        <x:v>45565.624999988424</x:v>
      </x:c>
      <x:c r="C2850" t="str">
        <x:v>001940</x:v>
      </x:c>
      <x:c r="D2850" t="str">
        <x:v>KISCO홀딩스</x:v>
      </x:c>
      <x:c r="E2850" t="str">
        <x:v>KOSPI</x:v>
      </x:c>
      <x:c r="F2850" t="str">
        <x:v>LARGE</x:v>
      </x:c>
      <x:c r="G2850" t="str">
        <x:v>EXCLUDED_ARCHETYPE</x:v>
      </x:c>
      <x:c r="H2850" t="str">
        <x:v>FCFF_NOT_COMPARABLE_FOR_FINANCE_OR_HOLDING_HINT</x:v>
      </x:c>
      <x:c r="I2850" s="54"/>
      <x:c r="J2850" s="55"/>
      <x:c r="K2850" s="55"/>
      <x:c r="L2850" s="55"/>
      <x:c r="M2850"/>
      <x:c r="N2850"/>
      <x:c r="O2850" s="54"/>
      <x:c r="P2850"/>
      <x:c r="Q2850"/>
      <x:c r="R2850"/>
      <x:c r="S2850"/>
      <x:c r="T2850"/>
      <x:c r="U2850" s="57"/>
      <x:c r="V2850" s="57"/>
      <x:c r="W2850"/>
      <x:c r="X2850"/>
      <x:c r="Y2850" s="38"/>
      <x:c r="Z2850" s="38"/>
      <x:c r="AA2850"/>
    </x:row>
    <x:row r="2851">
      <x:c r="A2851" s="54" t="n">
        <x:v>45565</x:v>
      </x:c>
      <x:c r="B2851" t="n">
        <x:v>45565.624999988424</x:v>
      </x:c>
      <x:c r="C2851" t="str">
        <x:v>009290</x:v>
      </x:c>
      <x:c r="D2851" t="str">
        <x:v>광동제약</x:v>
      </x:c>
      <x:c r="E2851" t="str">
        <x:v>KOSPI</x:v>
      </x:c>
      <x:c r="F2851" t="str">
        <x:v>LARGE</x:v>
      </x:c>
      <x:c r="G2851" t="str">
        <x:v>ELIGIBLE</x:v>
      </x:c>
      <x:c r="H2851"/>
      <x:c r="I2851" s="54" t="n">
        <x:v>45565</x:v>
      </x:c>
      <x:c r="J2851" s="55" t="n">
        <x:v>5820</x:v>
      </x:c>
      <x:c r="K2851" s="55" t="n">
        <x:v>305089352820</x:v>
      </x:c>
      <x:c r="L2851" s="55" t="n">
        <x:v>52420851</x:v>
      </x:c>
      <x:c r="M2851" t="str">
        <x:v>20240322001015</x:v>
      </x:c>
      <x:c r="N2851" t="n">
        <x:v>45373.624999988424</x:v>
      </x:c>
      <x:c r="O2851" s="54" t="n">
        <x:v>45291</x:v>
      </x:c>
      <x:c r="P2851" t="str">
        <x:v>True</x:v>
      </x:c>
      <x:c r="Q2851" t="str">
        <x:v>87b75add28c49abcf3770810120379fb304a6fd40cb56b9b7895bce718024b62</x:v>
      </x:c>
      <x:c r="R2851" t="str">
        <x:v>37698f7b518c5d2f77a2dc63dda3f15fbe7f6a11f5b09e52f0501e56895fcc80</x:v>
      </x:c>
      <x:c r="S2851" t="n">
        <x:v>5</x:v>
      </x:c>
      <x:c r="T2851" t="str">
        <x:v>2018-12-31|2019-12-31|2020-12-31|2021-12-31|2022-12-31|2023-12-31</x:v>
      </x:c>
      <x:c r="U2851" s="57" t="n">
        <x:v>7580.073710058031</x:v>
      </x:c>
      <x:c r="V2851" s="57" t="n">
        <x:v>0.3024181632402114</x:v>
      </x:c>
      <x:c r="W2851" t="n">
        <x:v>21</x:v>
      </x:c>
      <x:c r="X2851" t="n">
        <x:v>2</x:v>
      </x:c>
      <x:c r="Y2851" s="38" t="n">
        <x:v>0.6409090909090909</x:v>
      </x:c>
      <x:c r="Z2851" s="38" t="n">
        <x:v>0.7674803896685938</x:v>
      </x:c>
      <x:c r="AA2851"/>
    </x:row>
    <x:row r="2852">
      <x:c r="A2852" s="54" t="n">
        <x:v>45657</x:v>
      </x:c>
      <x:c r="B2852" t="n">
        <x:v>45657.624999988424</x:v>
      </x:c>
      <x:c r="C2852" t="str">
        <x:v>168330</x:v>
      </x:c>
      <x:c r="D2852" t="str">
        <x:v>내츄럴엔도텍</x:v>
      </x:c>
      <x:c r="E2852" t="str">
        <x:v>KOSDAQ</x:v>
      </x:c>
      <x:c r="F2852" t="str">
        <x:v>SMALL</x:v>
      </x:c>
      <x:c r="G2852" t="str">
        <x:v>DCF_SCREENING_EXCLUSION</x:v>
      </x:c>
      <x:c r="H2852" t="str">
        <x:v>NON_POSITIVE_ENTERPRISE_VALUE|NON_POSITIVE_EQUITY_VALUE|NON_POSITIVE_TERMINAL_FCF</x:v>
      </x:c>
      <x:c r="I2852" s="54" t="n">
        <x:v>45656</x:v>
      </x:c>
      <x:c r="J2852" s="55" t="n">
        <x:v>1351</x:v>
      </x:c>
      <x:c r="K2852" s="55" t="n">
        <x:v>42900869900</x:v>
      </x:c>
      <x:c r="L2852" s="55" t="n">
        <x:v>31754900</x:v>
      </x:c>
      <x:c r="M2852" t="str">
        <x:v>20240318000599</x:v>
      </x:c>
      <x:c r="N2852" t="n">
        <x:v>45369.624999988424</x:v>
      </x:c>
      <x:c r="O2852" s="54" t="n">
        <x:v>45291</x:v>
      </x:c>
      <x:c r="P2852" t="str">
        <x:v>False</x:v>
      </x:c>
      <x:c r="Q2852" t="str">
        <x:v>4fa251164b0aacb3fc138a27a33d305fc7a3e3df064752a5be6864a931f6f06a</x:v>
      </x:c>
      <x:c r="R2852" t="str">
        <x:v>3d056916cdae476728a9ccbad0ec65ac80571ddbe3975d4bfa67d228e765d90f</x:v>
      </x:c>
      <x:c r="S2852" t="n">
        <x:v>6</x:v>
      </x:c>
      <x:c r="T2852" t="str">
        <x:v>2018-12-31|2019-12-31|2020-12-31|2021-12-31|2022-12-31|2023-12-31</x:v>
      </x:c>
      <x:c r="U2852" s="57" t="n">
        <x:v>-1387.4112702245939</x:v>
      </x:c>
      <x:c r="V2852" s="57" t="n">
        <x:v>-2.0269513473165017</x:v>
      </x:c>
      <x:c r="W2852"/>
      <x:c r="X2852"/>
      <x:c r="Y2852" s="38" t="n">
        <x:v>0.6409090909090909</x:v>
      </x:c>
      <x:c r="Z2852" s="38" t="n">
        <x:v>0.6259064640355957</x:v>
      </x:c>
      <x:c r="AA2852" t="str">
        <x:v>NON_POSITIVE_ENTERPRISE_VALUE|NON_POSITIVE_EQUITY_VALUE|NON_POSITIVE_TERMINAL_FCF</x:v>
      </x:c>
    </x:row>
    <x:row r="2853">
      <x:c r="A2853" s="54" t="n">
        <x:v>45657</x:v>
      </x:c>
      <x:c r="B2853" t="n">
        <x:v>45657.624999988424</x:v>
      </x:c>
      <x:c r="C2853" t="str">
        <x:v>120240</x:v>
      </x:c>
      <x:c r="D2853" t="str">
        <x:v>대정화금</x:v>
      </x:c>
      <x:c r="E2853" t="str">
        <x:v>KOSDAQ</x:v>
      </x:c>
      <x:c r="F2853" t="str">
        <x:v>SMALL</x:v>
      </x:c>
      <x:c r="G2853" t="str">
        <x:v>ELIGIBLE</x:v>
      </x:c>
      <x:c r="H2853"/>
      <x:c r="I2853" s="54" t="n">
        <x:v>45656</x:v>
      </x:c>
      <x:c r="J2853" s="55" t="n">
        <x:v>12880</x:v>
      </x:c>
      <x:c r="K2853" s="55" t="n">
        <x:v>92612236080</x:v>
      </x:c>
      <x:c r="L2853" s="55" t="n">
        <x:v>7190391</x:v>
      </x:c>
      <x:c r="M2853" t="str">
        <x:v>20240318000183</x:v>
      </x:c>
      <x:c r="N2853" t="n">
        <x:v>45369.624999988424</x:v>
      </x:c>
      <x:c r="O2853" s="54" t="n">
        <x:v>45291</x:v>
      </x:c>
      <x:c r="P2853" t="str">
        <x:v>False</x:v>
      </x:c>
      <x:c r="Q2853" t="str">
        <x:v>ee9061ecc2184f5ffa9cafeb8d547bb939e07dc322d5305bb23d27935b0654ee</x:v>
      </x:c>
      <x:c r="R2853" t="str">
        <x:v>bdfaca464dabd525f3c40b0c3fb6656d68a1a62fc56ed1dffef99ad9bb103bd5</x:v>
      </x:c>
      <x:c r="S2853" t="n">
        <x:v>6</x:v>
      </x:c>
      <x:c r="T2853" t="str">
        <x:v>2018-12-31|2019-12-31|2020-12-31|2021-12-31|2022-12-31|2023-12-31</x:v>
      </x:c>
      <x:c r="U2853" s="57" t="n">
        <x:v>11081.692681164559</x:v>
      </x:c>
      <x:c r="V2853" s="57" t="n">
        <x:v>-0.13962013344995666</x:v>
      </x:c>
      <x:c r="W2853" t="n">
        <x:v>32</x:v>
      </x:c>
      <x:c r="X2853" t="n">
        <x:v>3</x:v>
      </x:c>
      <x:c r="Y2853" s="38" t="n">
        <x:v>0.6409090909090909</x:v>
      </x:c>
      <x:c r="Z2853" s="38" t="n">
        <x:v>0.6416160125335774</x:v>
      </x:c>
      <x:c r="AA2853"/>
    </x:row>
    <x:row r="2854">
      <x:c r="A2854" s="54" t="n">
        <x:v>45657</x:v>
      </x:c>
      <x:c r="B2854" t="n">
        <x:v>45657.624999988424</x:v>
      </x:c>
      <x:c r="C2854" t="str">
        <x:v>348350</x:v>
      </x:c>
      <x:c r="D2854" t="str">
        <x:v>위드텍</x:v>
      </x:c>
      <x:c r="E2854" t="str">
        <x:v>KOSDAQ</x:v>
      </x:c>
      <x:c r="F2854" t="str">
        <x:v>SMALL</x:v>
      </x:c>
      <x:c r="G2854" t="str">
        <x:v>ELIGIBLE</x:v>
      </x:c>
      <x:c r="H2854"/>
      <x:c r="I2854" s="54" t="n">
        <x:v>45656</x:v>
      </x:c>
      <x:c r="J2854" s="55" t="n">
        <x:v>6910</x:v>
      </x:c>
      <x:c r="K2854" s="55" t="n">
        <x:v>70368676000</x:v>
      </x:c>
      <x:c r="L2854" s="55" t="n">
        <x:v>10183600</x:v>
      </x:c>
      <x:c r="M2854" t="str">
        <x:v>20240314001010</x:v>
      </x:c>
      <x:c r="N2854" t="n">
        <x:v>45365.624999988424</x:v>
      </x:c>
      <x:c r="O2854" s="54" t="n">
        <x:v>45291</x:v>
      </x:c>
      <x:c r="P2854" t="str">
        <x:v>False</x:v>
      </x:c>
      <x:c r="Q2854" t="str">
        <x:v>18669b64ffa0979069db23e52067c3a7cec7305f801c019c5022b42744ac1249</x:v>
      </x:c>
      <x:c r="R2854" t="str">
        <x:v>deb0d39bcc7fe95a30a375a9c85f7623be7001aed43e4375ed555448ec31f069</x:v>
      </x:c>
      <x:c r="S2854" t="n">
        <x:v>5</x:v>
      </x:c>
      <x:c r="T2854" t="str">
        <x:v>2020-12-31|2021-12-31|2022-12-31|2023-12-31</x:v>
      </x:c>
      <x:c r="U2854" s="57" t="n">
        <x:v>6954.599618410492</x:v>
      </x:c>
      <x:c r="V2854" s="57" t="n">
        <x:v>0.0064543586701147045</x:v>
      </x:c>
      <x:c r="W2854" t="n">
        <x:v>29</x:v>
      </x:c>
      <x:c r="X2854" t="n">
        <x:v>3</x:v>
      </x:c>
      <x:c r="Y2854" s="38" t="n">
        <x:v>0.6409090909090909</x:v>
      </x:c>
      <x:c r="Z2854" s="38" t="n">
        <x:v>0.7452893246512734</x:v>
      </x:c>
      <x:c r="AA2854"/>
    </x:row>
    <x:row r="2855">
      <x:c r="A2855" s="54" t="n">
        <x:v>45657</x:v>
      </x:c>
      <x:c r="B2855" t="n">
        <x:v>45657.624999988424</x:v>
      </x:c>
      <x:c r="C2855" t="str">
        <x:v>226330</x:v>
      </x:c>
      <x:c r="D2855" t="str">
        <x:v>신테카바이오</x:v>
      </x:c>
      <x:c r="E2855" t="str">
        <x:v>KOSDAQ</x:v>
      </x:c>
      <x:c r="F2855" t="str">
        <x:v>SMALL</x:v>
      </x:c>
      <x:c r="G2855" t="str">
        <x:v>DCF_SCREENING_EXCLUSION</x:v>
      </x:c>
      <x:c r="H2855" t="str">
        <x:v>NON_POSITIVE_ENTERPRISE_VALUE|NON_POSITIVE_TERMINAL_FCF</x:v>
      </x:c>
      <x:c r="I2855" s="54" t="n">
        <x:v>45656</x:v>
      </x:c>
      <x:c r="J2855" s="55" t="n">
        <x:v>5250</x:v>
      </x:c>
      <x:c r="K2855" s="55" t="n">
        <x:v>80106993750</x:v>
      </x:c>
      <x:c r="L2855" s="55" t="n">
        <x:v>15258475</x:v>
      </x:c>
      <x:c r="M2855" t="str">
        <x:v>20240321001041</x:v>
      </x:c>
      <x:c r="N2855" t="n">
        <x:v>45372.624999988424</x:v>
      </x:c>
      <x:c r="O2855" s="54" t="n">
        <x:v>45291</x:v>
      </x:c>
      <x:c r="P2855" t="str">
        <x:v>False</x:v>
      </x:c>
      <x:c r="Q2855" t="str">
        <x:v>bad5efd00c111df6ccebb801c0139cfe5244469ee254a76e5a773141efd9e1c4</x:v>
      </x:c>
      <x:c r="R2855" t="str">
        <x:v>5a79528793ce802284921caf55f02253c99bd70fb35ae04a2ffceeb9ac047c9b</x:v>
      </x:c>
      <x:c r="S2855" t="n">
        <x:v>5</x:v>
      </x:c>
      <x:c r="T2855" t="str">
        <x:v>2019-12-31|2020-12-31|2021-12-31|2022-12-31|2023-12-31</x:v>
      </x:c>
      <x:c r="U2855" s="57" t="n">
        <x:v>1158.4997809916385</x:v>
      </x:c>
      <x:c r="V2855" s="57" t="n">
        <x:v>-0.7793333750492117</x:v>
      </x:c>
      <x:c r="W2855"/>
      <x:c r="X2855"/>
      <x:c r="Y2855" s="38" t="n">
        <x:v>0.6409090909090909</x:v>
      </x:c>
      <x:c r="Z2855" s="38" t="n">
        <x:v>0.6095054406520231</x:v>
      </x:c>
      <x:c r="AA2855" t="str">
        <x:v>NON_POSITIVE_ENTERPRISE_VALUE|NON_POSITIVE_TERMINAL_FCF</x:v>
      </x:c>
    </x:row>
    <x:row r="2856">
      <x:c r="A2856" s="54" t="n">
        <x:v>45657</x:v>
      </x:c>
      <x:c r="B2856" t="n">
        <x:v>45657.624999988424</x:v>
      </x:c>
      <x:c r="C2856" t="str">
        <x:v>215090</x:v>
      </x:c>
      <x:c r="D2856" t="str">
        <x:v>솔디펜스</x:v>
      </x:c>
      <x:c r="E2856" t="str">
        <x:v>KOSDAQ</x:v>
      </x:c>
      <x:c r="F2856" t="str">
        <x:v>SMALL</x:v>
      </x:c>
      <x:c r="G2856" t="str">
        <x:v>DCF_SCREENING_EXCLUSION</x:v>
      </x:c>
      <x:c r="H2856" t="str">
        <x:v>NON_POSITIVE_ENTERPRISE_VALUE|NON_POSITIVE_EQUITY_VALUE|NON_POSITIVE_TERMINAL_FCF</x:v>
      </x:c>
      <x:c r="I2856" s="54" t="n">
        <x:v>45656</x:v>
      </x:c>
      <x:c r="J2856" s="55" t="n">
        <x:v>1505</x:v>
      </x:c>
      <x:c r="K2856" s="55" t="n">
        <x:v>149972154360</x:v>
      </x:c>
      <x:c r="L2856" s="55" t="n">
        <x:v>99649272</x:v>
      </x:c>
      <x:c r="M2856" t="str">
        <x:v>20240415000714</x:v>
      </x:c>
      <x:c r="N2856" t="n">
        <x:v>45397.624999988424</x:v>
      </x:c>
      <x:c r="O2856" s="54" t="n">
        <x:v>45291</x:v>
      </x:c>
      <x:c r="P2856" t="str">
        <x:v>True</x:v>
      </x:c>
      <x:c r="Q2856" t="str">
        <x:v>ed79e881fee897009f2ed9da23aa8dd0c2ea239877c01cbb78058f538dde6e9e</x:v>
      </x:c>
      <x:c r="R2856" t="str">
        <x:v>bcbdbd3f81006b3a8ecbf155a4ec7fef79f37f037c2bb6f28794749afef0f3de</x:v>
      </x:c>
      <x:c r="S2856" t="n">
        <x:v>5</x:v>
      </x:c>
      <x:c r="T2856" t="str">
        <x:v>2018-12-31|2019-12-31|2020-12-31|2021-12-31|2022-12-31|2023-12-31</x:v>
      </x:c>
      <x:c r="U2856" s="57" t="n">
        <x:v>-189.47004696869993</x:v>
      </x:c>
      <x:c r="V2856" s="57" t="n">
        <x:v>-1.1258937189160796</x:v>
      </x:c>
      <x:c r="W2856"/>
      <x:c r="X2856"/>
      <x:c r="Y2856" s="38" t="n">
        <x:v>0.6409090909090909</x:v>
      </x:c>
      <x:c r="Z2856" s="38" t="n">
        <x:v>0.6364349226079365</x:v>
      </x:c>
      <x:c r="AA2856" t="str">
        <x:v>NON_POSITIVE_ENTERPRISE_VALUE|NON_POSITIVE_EQUITY_VALUE|NON_POSITIVE_TERMINAL_FCF</x:v>
      </x:c>
    </x:row>
    <x:row r="2857">
      <x:c r="A2857" s="54" t="n">
        <x:v>45657</x:v>
      </x:c>
      <x:c r="B2857" t="n">
        <x:v>45657.624999988424</x:v>
      </x:c>
      <x:c r="C2857" t="str">
        <x:v>185490</x:v>
      </x:c>
      <x:c r="D2857" t="str">
        <x:v>아이진</x:v>
      </x:c>
      <x:c r="E2857" t="str">
        <x:v>KOSDAQ</x:v>
      </x:c>
      <x:c r="F2857" t="str">
        <x:v>SMALL</x:v>
      </x:c>
      <x:c r="G2857" t="str">
        <x:v>DCF_SCREENING_EXCLUSION</x:v>
      </x:c>
      <x:c r="H2857" t="str">
        <x:v>NON_POSITIVE_ENTERPRISE_VALUE|NON_POSITIVE_EQUITY_VALUE|NON_POSITIVE_TERMINAL_FCF</x:v>
      </x:c>
      <x:c r="I2857" s="54" t="n">
        <x:v>45656</x:v>
      </x:c>
      <x:c r="J2857" s="55" t="n">
        <x:v>2560</x:v>
      </x:c>
      <x:c r="K2857" s="55" t="n">
        <x:v>69196247040</x:v>
      </x:c>
      <x:c r="L2857" s="55" t="n">
        <x:v>27029784</x:v>
      </x:c>
      <x:c r="M2857" t="str">
        <x:v>20240318000944</x:v>
      </x:c>
      <x:c r="N2857" t="n">
        <x:v>45369.624999988424</x:v>
      </x:c>
      <x:c r="O2857" s="54" t="n">
        <x:v>45291</x:v>
      </x:c>
      <x:c r="P2857" t="str">
        <x:v>False</x:v>
      </x:c>
      <x:c r="Q2857" t="str">
        <x:v>5dca0e159137a1ac9a2f0a40e7309a2e20da80f93d5226b700daae33e4d494ea</x:v>
      </x:c>
      <x:c r="R2857" t="str">
        <x:v>6ce2626bb378618bfd19c458143e9c9b3b6c0fdd98e43c3f8dfe384a387d1d3b</x:v>
      </x:c>
      <x:c r="S2857" t="n">
        <x:v>6</x:v>
      </x:c>
      <x:c r="T2857" t="str">
        <x:v>2018-12-31|2019-12-31|2020-12-31|2021-12-31|2022-12-31|2023-12-31</x:v>
      </x:c>
      <x:c r="U2857" s="57" t="n">
        <x:v>-25.227797738886608</x:v>
      </x:c>
      <x:c r="V2857" s="57" t="n">
        <x:v>-1.0098546084917526</x:v>
      </x:c>
      <x:c r="W2857"/>
      <x:c r="X2857"/>
      <x:c r="Y2857" s="38" t="n">
        <x:v>0.6409090909090909</x:v>
      </x:c>
      <x:c r="Z2857" s="38" t="n">
        <x:v>0.6188730723228777</x:v>
      </x:c>
      <x:c r="AA2857" t="str">
        <x:v>NON_POSITIVE_ENTERPRISE_VALUE|NON_POSITIVE_EQUITY_VALUE|NON_POSITIVE_TERMINAL_FCF</x:v>
      </x:c>
    </x:row>
    <x:row r="2858">
      <x:c r="A2858" s="54" t="n">
        <x:v>45657</x:v>
      </x:c>
      <x:c r="B2858" t="n">
        <x:v>45657.624999988424</x:v>
      </x:c>
      <x:c r="C2858" t="str">
        <x:v>333620</x:v>
      </x:c>
      <x:c r="D2858" t="str">
        <x:v>엔시스</x:v>
      </x:c>
      <x:c r="E2858" t="str">
        <x:v>KOSDAQ</x:v>
      </x:c>
      <x:c r="F2858" t="str">
        <x:v>SMALL</x:v>
      </x:c>
      <x:c r="G2858" t="str">
        <x:v>DCF_SCREENING_EXCLUSION</x:v>
      </x:c>
      <x:c r="H2858" t="str">
        <x:v>UNRELIABLE_TERMINAL_VALUE_SHARE</x:v>
      </x:c>
      <x:c r="I2858" s="54" t="n">
        <x:v>45656</x:v>
      </x:c>
      <x:c r="J2858" s="55" t="n">
        <x:v>7650</x:v>
      </x:c>
      <x:c r="K2858" s="55" t="n">
        <x:v>80756031600</x:v>
      </x:c>
      <x:c r="L2858" s="55" t="n">
        <x:v>10556344</x:v>
      </x:c>
      <x:c r="M2858" t="str">
        <x:v>20240321000028</x:v>
      </x:c>
      <x:c r="N2858" t="n">
        <x:v>45372.624999988424</x:v>
      </x:c>
      <x:c r="O2858" s="54" t="n">
        <x:v>45291</x:v>
      </x:c>
      <x:c r="P2858" t="str">
        <x:v>False</x:v>
      </x:c>
      <x:c r="Q2858" t="str">
        <x:v>59d5b29754935c3efa537406fd81fc9a2ed98a0101392eff91ccbcf4ae3b0d31</x:v>
      </x:c>
      <x:c r="R2858" t="str">
        <x:v>f3a169c6ea830e9174ff2297360aaaac8653e943617c473506eba3f52cabd37a</x:v>
      </x:c>
      <x:c r="S2858" t="n">
        <x:v>6</x:v>
      </x:c>
      <x:c r="T2858" t="str">
        <x:v>2020-12-31|2021-12-31|2022-12-31|2023-12-31</x:v>
      </x:c>
      <x:c r="U2858" s="57" t="n">
        <x:v>3436.8721938846274</x:v>
      </x:c>
      <x:c r="V2858" s="57" t="n">
        <x:v>-0.5507356609301141</x:v>
      </x:c>
      <x:c r="W2858"/>
      <x:c r="X2858"/>
      <x:c r="Y2858" s="38" t="n">
        <x:v>0.6409090909090909</x:v>
      </x:c>
      <x:c r="Z2858" s="38" t="n">
        <x:v>0.8985172886190933</x:v>
      </x:c>
      <x:c r="AA2858" t="str">
        <x:v>UNRELIABLE_TERMINAL_VALUE_SHARE</x:v>
      </x:c>
    </x:row>
    <x:row r="2859">
      <x:c r="A2859" s="54" t="n">
        <x:v>45657</x:v>
      </x:c>
      <x:c r="B2859" t="n">
        <x:v>45657.624999988424</x:v>
      </x:c>
      <x:c r="C2859" t="str">
        <x:v>036710</x:v>
      </x:c>
      <x:c r="D2859" t="str">
        <x:v>심텍홀딩스</x:v>
      </x:c>
      <x:c r="E2859" t="str">
        <x:v>KOSDAQ</x:v>
      </x:c>
      <x:c r="F2859" t="str">
        <x:v>SMALL</x:v>
      </x:c>
      <x:c r="G2859" t="str">
        <x:v>EXCLUDED_ARCHETYPE</x:v>
      </x:c>
      <x:c r="H2859" t="str">
        <x:v>FCFF_NOT_COMPARABLE_FOR_FINANCE_OR_HOLDING_HINT</x:v>
      </x:c>
      <x:c r="I2859" s="54"/>
      <x:c r="J2859" s="55"/>
      <x:c r="K2859" s="55"/>
      <x:c r="L2859" s="55"/>
      <x:c r="M2859"/>
      <x:c r="N2859"/>
      <x:c r="O2859" s="54"/>
      <x:c r="P2859"/>
      <x:c r="Q2859"/>
      <x:c r="R2859"/>
      <x:c r="S2859"/>
      <x:c r="T2859"/>
      <x:c r="U2859" s="57"/>
      <x:c r="V2859" s="57"/>
      <x:c r="W2859"/>
      <x:c r="X2859"/>
      <x:c r="Y2859" s="38"/>
      <x:c r="Z2859" s="38"/>
      <x:c r="AA2859"/>
    </x:row>
    <x:row r="2860">
      <x:c r="A2860" s="54" t="n">
        <x:v>45657</x:v>
      </x:c>
      <x:c r="B2860" t="n">
        <x:v>45657.624999988424</x:v>
      </x:c>
      <x:c r="C2860" t="str">
        <x:v>049480</x:v>
      </x:c>
      <x:c r="D2860" t="str">
        <x:v>오픈베이스</x:v>
      </x:c>
      <x:c r="E2860" t="str">
        <x:v>KOSDAQ</x:v>
      </x:c>
      <x:c r="F2860" t="str">
        <x:v>SMALL</x:v>
      </x:c>
      <x:c r="G2860" t="str">
        <x:v>ELIGIBLE</x:v>
      </x:c>
      <x:c r="H2860"/>
      <x:c r="I2860" s="54" t="n">
        <x:v>45656</x:v>
      </x:c>
      <x:c r="J2860" s="55" t="n">
        <x:v>2400</x:v>
      </x:c>
      <x:c r="K2860" s="55" t="n">
        <x:v>75413719200</x:v>
      </x:c>
      <x:c r="L2860" s="55" t="n">
        <x:v>31422383</x:v>
      </x:c>
      <x:c r="M2860" t="str">
        <x:v>20240314001586</x:v>
      </x:c>
      <x:c r="N2860" t="n">
        <x:v>45365.624999988424</x:v>
      </x:c>
      <x:c r="O2860" s="54" t="n">
        <x:v>45291</x:v>
      </x:c>
      <x:c r="P2860" t="str">
        <x:v>False</x:v>
      </x:c>
      <x:c r="Q2860" t="str">
        <x:v>7c465215c77c780bcfac72de57b0d0786225878c1b042a05fa1731330cf39f32</x:v>
      </x:c>
      <x:c r="R2860" t="str">
        <x:v>88657441795cabc4b73e20f6f210f2d10fb456db0228c3846373e4e8abeaad42</x:v>
      </x:c>
      <x:c r="S2860" t="n">
        <x:v>6</x:v>
      </x:c>
      <x:c r="T2860" t="str">
        <x:v>2018-12-31|2019-12-31|2020-12-31|2021-12-31|2022-12-31|2023-12-31</x:v>
      </x:c>
      <x:c r="U2860" s="57" t="n">
        <x:v>1890.3967455429677</x:v>
      </x:c>
      <x:c r="V2860" s="57" t="n">
        <x:v>-0.2123346893570968</x:v>
      </x:c>
      <x:c r="W2860" t="n">
        <x:v>34</x:v>
      </x:c>
      <x:c r="X2860" t="n">
        <x:v>3</x:v>
      </x:c>
      <x:c r="Y2860" s="38" t="n">
        <x:v>0.6409090909090909</x:v>
      </x:c>
      <x:c r="Z2860" s="38" t="n">
        <x:v>0.6040784164110028</x:v>
      </x:c>
      <x:c r="AA2860"/>
    </x:row>
    <x:row r="2861">
      <x:c r="A2861" s="54" t="n">
        <x:v>45657</x:v>
      </x:c>
      <x:c r="B2861" t="n">
        <x:v>45657.624999988424</x:v>
      </x:c>
      <x:c r="C2861" t="str">
        <x:v>302430</x:v>
      </x:c>
      <x:c r="D2861" t="str">
        <x:v>이노메트리</x:v>
      </x:c>
      <x:c r="E2861" t="str">
        <x:v>KOSDAQ</x:v>
      </x:c>
      <x:c r="F2861" t="str">
        <x:v>SMALL</x:v>
      </x:c>
      <x:c r="G2861" t="str">
        <x:v>ELIGIBLE</x:v>
      </x:c>
      <x:c r="H2861"/>
      <x:c r="I2861" s="54" t="n">
        <x:v>45656</x:v>
      </x:c>
      <x:c r="J2861" s="55" t="n">
        <x:v>7170</x:v>
      </x:c>
      <x:c r="K2861" s="55" t="n">
        <x:v>70504101360</x:v>
      </x:c>
      <x:c r="L2861" s="55" t="n">
        <x:v>9833208</x:v>
      </x:c>
      <x:c r="M2861" t="str">
        <x:v>20240320000351</x:v>
      </x:c>
      <x:c r="N2861" t="n">
        <x:v>45371.624999988424</x:v>
      </x:c>
      <x:c r="O2861" s="54" t="n">
        <x:v>45291</x:v>
      </x:c>
      <x:c r="P2861" t="str">
        <x:v>False</x:v>
      </x:c>
      <x:c r="Q2861" t="str">
        <x:v>3d073284ffe5f19052504d111461eb4d55b92d01aba61975376c9ba020694952</x:v>
      </x:c>
      <x:c r="R2861" t="str">
        <x:v>23206e8ecaed341831a36804ce06dec70cfc5088ba25697fd87828cd889d48dc</x:v>
      </x:c>
      <x:c r="S2861" t="n">
        <x:v>6</x:v>
      </x:c>
      <x:c r="T2861" t="str">
        <x:v>2018-12-31|2019-12-31|2020-12-31|2021-12-31|2022-12-31|2023-12-31</x:v>
      </x:c>
      <x:c r="U2861" s="57" t="n">
        <x:v>5350.0573635192295</x:v>
      </x:c>
      <x:c r="V2861" s="57" t="n">
        <x:v>-0.2538274248927156</x:v>
      </x:c>
      <x:c r="W2861" t="n">
        <x:v>36</x:v>
      </x:c>
      <x:c r="X2861" t="n">
        <x:v>3</x:v>
      </x:c>
      <x:c r="Y2861" s="38" t="n">
        <x:v>0.6409090909090909</x:v>
      </x:c>
      <x:c r="Z2861" s="38" t="n">
        <x:v>0.5867649671582864</x:v>
      </x:c>
      <x:c r="AA2861"/>
    </x:row>
    <x:row r="2862">
      <x:c r="A2862" s="54" t="n">
        <x:v>45657</x:v>
      </x:c>
      <x:c r="B2862" t="n">
        <x:v>45657.624999988424</x:v>
      </x:c>
      <x:c r="C2862" t="str">
        <x:v>288620</x:v>
      </x:c>
      <x:c r="D2862" t="str">
        <x:v>에스퓨얼셀</x:v>
      </x:c>
      <x:c r="E2862" t="str">
        <x:v>KOSDAQ</x:v>
      </x:c>
      <x:c r="F2862" t="str">
        <x:v>SMALL</x:v>
      </x:c>
      <x:c r="G2862" t="str">
        <x:v>DCF_SCREENING_EXCLUSION</x:v>
      </x:c>
      <x:c r="H2862" t="str">
        <x:v>NON_POSITIVE_ENTERPRISE_VALUE|NON_POSITIVE_EQUITY_VALUE|UNRELIABLE_TERMINAL_VALUE_SHARE</x:v>
      </x:c>
      <x:c r="I2862" s="54" t="n">
        <x:v>45656</x:v>
      </x:c>
      <x:c r="J2862" s="55" t="n">
        <x:v>8930</x:v>
      </x:c>
      <x:c r="K2862" s="55" t="n">
        <x:v>62325291880</x:v>
      </x:c>
      <x:c r="L2862" s="55" t="n">
        <x:v>6979316</x:v>
      </x:c>
      <x:c r="M2862" t="str">
        <x:v>20240314001281</x:v>
      </x:c>
      <x:c r="N2862" t="n">
        <x:v>45365.624999988424</x:v>
      </x:c>
      <x:c r="O2862" s="54" t="n">
        <x:v>45291</x:v>
      </x:c>
      <x:c r="P2862" t="str">
        <x:v>False</x:v>
      </x:c>
      <x:c r="Q2862" t="str">
        <x:v>2d9469f5ad05e376cb8bd2ba443aa19537cb1c0730a9932abcfb316261474580</x:v>
      </x:c>
      <x:c r="R2862" t="str">
        <x:v>88ee9206ffacc6c5d4a5b7f7ce030562931dd8ec03073ee298f2c6ff7904c954</x:v>
      </x:c>
      <x:c r="S2862" t="n">
        <x:v>6</x:v>
      </x:c>
      <x:c r="T2862" t="str">
        <x:v>2018-12-31|2019-12-31|2020-12-31|2021-12-31|2022-12-31|2023-12-31</x:v>
      </x:c>
      <x:c r="U2862" s="57" t="n">
        <x:v>-4893.456812150588</x:v>
      </x:c>
      <x:c r="V2862" s="57" t="n">
        <x:v>-1.547979486243067</x:v>
      </x:c>
      <x:c r="W2862"/>
      <x:c r="X2862"/>
      <x:c r="Y2862" s="38" t="n">
        <x:v>0.6409090909090909</x:v>
      </x:c>
      <x:c r="Z2862" s="38" t="n">
        <x:v>-10.353414340518622</x:v>
      </x:c>
      <x:c r="AA2862" t="str">
        <x:v>NON_POSITIVE_ENTERPRISE_VALUE|NON_POSITIVE_EQUITY_VALUE|UNRELIABLE_TERMINAL_VALUE_SHARE</x:v>
      </x:c>
    </x:row>
    <x:row r="2863">
      <x:c r="A2863" s="54" t="n">
        <x:v>45657</x:v>
      </x:c>
      <x:c r="B2863" t="n">
        <x:v>45657.624999988424</x:v>
      </x:c>
      <x:c r="C2863" t="str">
        <x:v>094840</x:v>
      </x:c>
      <x:c r="D2863" t="str">
        <x:v>슈프리마에이치큐</x:v>
      </x:c>
      <x:c r="E2863" t="str">
        <x:v>KOSDAQ</x:v>
      </x:c>
      <x:c r="F2863" t="str">
        <x:v>SMALL</x:v>
      </x:c>
      <x:c r="G2863" t="str">
        <x:v>DCF_SCREENING_EXCLUSION</x:v>
      </x:c>
      <x:c r="H2863" t="str">
        <x:v>UNRELIABLE_TERMINAL_VALUE_SHARE</x:v>
      </x:c>
      <x:c r="I2863" s="54" t="n">
        <x:v>45656</x:v>
      </x:c>
      <x:c r="J2863" s="55" t="n">
        <x:v>6600</x:v>
      </x:c>
      <x:c r="K2863" s="55" t="n">
        <x:v>69114144000</x:v>
      </x:c>
      <x:c r="L2863" s="55" t="n">
        <x:v>10471840</x:v>
      </x:c>
      <x:c r="M2863" t="str">
        <x:v>20240318000708</x:v>
      </x:c>
      <x:c r="N2863" t="n">
        <x:v>45369.624999988424</x:v>
      </x:c>
      <x:c r="O2863" s="54" t="n">
        <x:v>45291</x:v>
      </x:c>
      <x:c r="P2863" t="str">
        <x:v>False</x:v>
      </x:c>
      <x:c r="Q2863" t="str">
        <x:v>e5f523177c415af344f13546f5a1f5ffadf000a1059276f7fd11b0e755af39df</x:v>
      </x:c>
      <x:c r="R2863" t="str">
        <x:v>9c9f4500e74103a8961495af3e444ab49dc7d6f3990fabd6cff27fea7ce91ed1</x:v>
      </x:c>
      <x:c r="S2863" t="n">
        <x:v>6</x:v>
      </x:c>
      <x:c r="T2863" t="str">
        <x:v>2018-12-31|2019-12-31|2020-12-31|2021-12-31|2022-12-31|2023-12-31</x:v>
      </x:c>
      <x:c r="U2863" s="57" t="n">
        <x:v>3395.867702926231</x:v>
      </x:c>
      <x:c r="V2863" s="57" t="n">
        <x:v>-0.4854745904657226</x:v>
      </x:c>
      <x:c r="W2863"/>
      <x:c r="X2863"/>
      <x:c r="Y2863" s="38" t="n">
        <x:v>0.6409090909090909</x:v>
      </x:c>
      <x:c r="Z2863" s="38" t="n">
        <x:v>1.0239514067639839</x:v>
      </x:c>
      <x:c r="AA2863" t="str">
        <x:v>UNRELIABLE_TERMINAL_VALUE_SHARE</x:v>
      </x:c>
    </x:row>
    <x:row r="2864">
      <x:c r="A2864" s="54" t="n">
        <x:v>45657</x:v>
      </x:c>
      <x:c r="B2864" t="n">
        <x:v>45657.624999988424</x:v>
      </x:c>
      <x:c r="C2864" t="str">
        <x:v>019990</x:v>
      </x:c>
      <x:c r="D2864" t="str">
        <x:v>에너토크</x:v>
      </x:c>
      <x:c r="E2864" t="str">
        <x:v>KOSDAQ</x:v>
      </x:c>
      <x:c r="F2864" t="str">
        <x:v>SMALL</x:v>
      </x:c>
      <x:c r="G2864" t="str">
        <x:v>DCF_SCREENING_EXCLUSION</x:v>
      </x:c>
      <x:c r="H2864" t="str">
        <x:v>NON_POSITIVE_ENTERPRISE_VALUE|NON_POSITIVE_TERMINAL_FCF</x:v>
      </x:c>
      <x:c r="I2864" s="54" t="n">
        <x:v>45656</x:v>
      </x:c>
      <x:c r="J2864" s="55" t="n">
        <x:v>4890</x:v>
      </x:c>
      <x:c r="K2864" s="55" t="n">
        <x:v>47707270320</x:v>
      </x:c>
      <x:c r="L2864" s="55" t="n">
        <x:v>9756088</x:v>
      </x:c>
      <x:c r="M2864" t="str">
        <x:v>20240321000627</x:v>
      </x:c>
      <x:c r="N2864" t="n">
        <x:v>45372.624999988424</x:v>
      </x:c>
      <x:c r="O2864" s="54" t="n">
        <x:v>45291</x:v>
      </x:c>
      <x:c r="P2864" t="str">
        <x:v>False</x:v>
      </x:c>
      <x:c r="Q2864" t="str">
        <x:v>5acac5a331b342db9901d2784b2bee6fd1c9f8c46b5d641c1d73d1e72c01d923</x:v>
      </x:c>
      <x:c r="R2864" t="str">
        <x:v>85eae463fc3f2386067cd4632f9fefbcf873ac3c43379cf42ad3558029c0ee0c</x:v>
      </x:c>
      <x:c r="S2864" t="n">
        <x:v>6</x:v>
      </x:c>
      <x:c r="T2864" t="str">
        <x:v>2018-12-31|2019-12-31|2020-12-31|2021-12-31|2022-12-31|2023-12-31</x:v>
      </x:c>
      <x:c r="U2864" s="57" t="n">
        <x:v>137.57773993768473</x:v>
      </x:c>
      <x:c r="V2864" s="57" t="n">
        <x:v>-0.9718654928552792</x:v>
      </x:c>
      <x:c r="W2864"/>
      <x:c r="X2864"/>
      <x:c r="Y2864" s="38" t="n">
        <x:v>0.6409090909090909</x:v>
      </x:c>
      <x:c r="Z2864" s="38" t="n">
        <x:v>0.176221162582711</x:v>
      </x:c>
      <x:c r="AA2864" t="str">
        <x:v>NON_POSITIVE_ENTERPRISE_VALUE|NON_POSITIVE_TERMINAL_FCF</x:v>
      </x:c>
    </x:row>
    <x:row r="2865">
      <x:c r="A2865" s="54" t="n">
        <x:v>45657</x:v>
      </x:c>
      <x:c r="B2865" t="n">
        <x:v>45657.624999988424</x:v>
      </x:c>
      <x:c r="C2865" t="str">
        <x:v>024740</x:v>
      </x:c>
      <x:c r="D2865" t="str">
        <x:v>한일단조</x:v>
      </x:c>
      <x:c r="E2865" t="str">
        <x:v>KOSDAQ</x:v>
      </x:c>
      <x:c r="F2865" t="str">
        <x:v>SMALL</x:v>
      </x:c>
      <x:c r="G2865" t="str">
        <x:v>DCF_SCREENING_EXCLUSION</x:v>
      </x:c>
      <x:c r="H2865" t="str">
        <x:v>NON_POSITIVE_EQUITY_VALUE</x:v>
      </x:c>
      <x:c r="I2865" s="54" t="n">
        <x:v>45656</x:v>
      </x:c>
      <x:c r="J2865" s="55" t="n">
        <x:v>1993</x:v>
      </x:c>
      <x:c r="K2865" s="55" t="n">
        <x:v>65563818657</x:v>
      </x:c>
      <x:c r="L2865" s="55" t="n">
        <x:v>32897049</x:v>
      </x:c>
      <x:c r="M2865" t="str">
        <x:v>20240320000786</x:v>
      </x:c>
      <x:c r="N2865" t="n">
        <x:v>45371.624999988424</x:v>
      </x:c>
      <x:c r="O2865" s="54" t="n">
        <x:v>45291</x:v>
      </x:c>
      <x:c r="P2865" t="str">
        <x:v>False</x:v>
      </x:c>
      <x:c r="Q2865" t="str">
        <x:v>abf92710b391b70a6847627e0266a7b119d3df48dde6e252b34a1123f881e9ff</x:v>
      </x:c>
      <x:c r="R2865" t="str">
        <x:v>43b0009358c6931fa9d33fd957a192eb10c4b18055d193c0d4ab367152e3ac27</x:v>
      </x:c>
      <x:c r="S2865" t="n">
        <x:v>7</x:v>
      </x:c>
      <x:c r="T2865" t="str">
        <x:v>2018-12-31|2019-12-31|2020-12-31|2021-12-31|2022-12-31|2023-12-31</x:v>
      </x:c>
      <x:c r="U2865" s="57" t="n">
        <x:v>-330.2350229986404</x:v>
      </x:c>
      <x:c r="V2865" s="57" t="n">
        <x:v>-1.1656974525833619</x:v>
      </x:c>
      <x:c r="W2865"/>
      <x:c r="X2865"/>
      <x:c r="Y2865" s="38" t="n">
        <x:v>0.6409090909090909</x:v>
      </x:c>
      <x:c r="Z2865" s="38" t="n">
        <x:v>0.3525412604122592</x:v>
      </x:c>
      <x:c r="AA2865" t="str">
        <x:v>NON_POSITIVE_EQUITY_VALUE</x:v>
      </x:c>
    </x:row>
    <x:row r="2866">
      <x:c r="A2866" s="54" t="n">
        <x:v>45657</x:v>
      </x:c>
      <x:c r="B2866" t="n">
        <x:v>45657.624999988424</x:v>
      </x:c>
      <x:c r="C2866" t="str">
        <x:v>340930</x:v>
      </x:c>
      <x:c r="D2866" t="str">
        <x:v>유일에너테크</x:v>
      </x:c>
      <x:c r="E2866" t="str">
        <x:v>KOSDAQ</x:v>
      </x:c>
      <x:c r="F2866" t="str">
        <x:v>SMALL</x:v>
      </x:c>
      <x:c r="G2866" t="str">
        <x:v>DCF_SCREENING_EXCLUSION</x:v>
      </x:c>
      <x:c r="H2866" t="str">
        <x:v>NON_POSITIVE_ENTERPRISE_VALUE|NON_POSITIVE_EQUITY_VALUE|NON_POSITIVE_TERMINAL_FCF</x:v>
      </x:c>
      <x:c r="I2866" s="54" t="n">
        <x:v>45656</x:v>
      </x:c>
      <x:c r="J2866" s="55" t="n">
        <x:v>1309</x:v>
      </x:c>
      <x:c r="K2866" s="55" t="n">
        <x:v>44773625050</x:v>
      </x:c>
      <x:c r="L2866" s="55" t="n">
        <x:v>34204450</x:v>
      </x:c>
      <x:c r="M2866" t="str">
        <x:v>20240719000309</x:v>
      </x:c>
      <x:c r="N2866" t="n">
        <x:v>45492.624999988424</x:v>
      </x:c>
      <x:c r="O2866" s="54" t="n">
        <x:v>45291</x:v>
      </x:c>
      <x:c r="P2866" t="str">
        <x:v>True</x:v>
      </x:c>
      <x:c r="Q2866" t="str">
        <x:v>aa441a8882c96d75239ee20ac0b738870189c535466b18772f43339fc6d97e72</x:v>
      </x:c>
      <x:c r="R2866" t="str">
        <x:v>55e445810a074380aa8e361195e17e535af4aba86958dc9d25889fb6683efb92</x:v>
      </x:c>
      <x:c r="S2866" t="n">
        <x:v>7</x:v>
      </x:c>
      <x:c r="T2866" t="str">
        <x:v>2020-12-31|2021-12-31|2022-12-31|2023-12-31</x:v>
      </x:c>
      <x:c r="U2866" s="57" t="n">
        <x:v>-3054.871582697284</x:v>
      </x:c>
      <x:c r="V2866" s="57" t="n">
        <x:v>-3.3337445245968556</x:v>
      </x:c>
      <x:c r="W2866"/>
      <x:c r="X2866"/>
      <x:c r="Y2866" s="38" t="n">
        <x:v>0.6409090909090909</x:v>
      </x:c>
      <x:c r="Z2866" s="38" t="n">
        <x:v>0.6320982637210726</x:v>
      </x:c>
      <x:c r="AA2866" t="str">
        <x:v>NON_POSITIVE_ENTERPRISE_VALUE|NON_POSITIVE_EQUITY_VALUE|NON_POSITIVE_TERMINAL_FCF</x:v>
      </x:c>
    </x:row>
    <x:row r="2867">
      <x:c r="A2867" s="54" t="n">
        <x:v>45657</x:v>
      </x:c>
      <x:c r="B2867" t="n">
        <x:v>45657.624999988424</x:v>
      </x:c>
      <x:c r="C2867" t="str">
        <x:v>057030</x:v>
      </x:c>
      <x:c r="D2867" t="str">
        <x:v>YBM넷</x:v>
      </x:c>
      <x:c r="E2867" t="str">
        <x:v>KOSDAQ</x:v>
      </x:c>
      <x:c r="F2867" t="str">
        <x:v>SMALL</x:v>
      </x:c>
      <x:c r="G2867" t="str">
        <x:v>ELIGIBLE</x:v>
      </x:c>
      <x:c r="H2867"/>
      <x:c r="I2867" s="54" t="n">
        <x:v>45656</x:v>
      </x:c>
      <x:c r="J2867" s="55" t="n">
        <x:v>4410</x:v>
      </x:c>
      <x:c r="K2867" s="55" t="n">
        <x:v>71938993770</x:v>
      </x:c>
      <x:c r="L2867" s="55" t="n">
        <x:v>16312697</x:v>
      </x:c>
      <x:c r="M2867" t="str">
        <x:v>20240321001738</x:v>
      </x:c>
      <x:c r="N2867" t="n">
        <x:v>45372.624999988424</x:v>
      </x:c>
      <x:c r="O2867" s="54" t="n">
        <x:v>45291</x:v>
      </x:c>
      <x:c r="P2867" t="str">
        <x:v>False</x:v>
      </x:c>
      <x:c r="Q2867" t="str">
        <x:v>8147d8f24082e8860082882319e3c620bc56cbc015545fbdf694727bc4b16c0d</x:v>
      </x:c>
      <x:c r="R2867" t="str">
        <x:v>69e0556f12206fbecd7d25ad321a7ee918a3653aaab923ed13c8686e2704463f</x:v>
      </x:c>
      <x:c r="S2867" t="n">
        <x:v>6</x:v>
      </x:c>
      <x:c r="T2867" t="str">
        <x:v>2018-12-31|2019-12-31|2020-12-31|2021-12-31|2022-12-31|2023-12-31</x:v>
      </x:c>
      <x:c r="U2867" s="57" t="n">
        <x:v>1994.9348267885857</x:v>
      </x:c>
      <x:c r="V2867" s="57" t="n">
        <x:v>-0.5476338261250372</x:v>
      </x:c>
      <x:c r="W2867" t="n">
        <x:v>45</x:v>
      </x:c>
      <x:c r="X2867" t="n">
        <x:v>4</x:v>
      </x:c>
      <x:c r="Y2867" s="38" t="n">
        <x:v>0.6409090909090909</x:v>
      </x:c>
      <x:c r="Z2867" s="38" t="n">
        <x:v>0.5369789741982043</x:v>
      </x:c>
      <x:c r="AA2867"/>
    </x:row>
    <x:row r="2868">
      <x:c r="A2868" s="54" t="n">
        <x:v>45657</x:v>
      </x:c>
      <x:c r="B2868" t="n">
        <x:v>45657.624999988424</x:v>
      </x:c>
      <x:c r="C2868" t="str">
        <x:v>053160</x:v>
      </x:c>
      <x:c r="D2868" t="str">
        <x:v>프리엠스</x:v>
      </x:c>
      <x:c r="E2868" t="str">
        <x:v>KOSDAQ</x:v>
      </x:c>
      <x:c r="F2868" t="str">
        <x:v>SMALL</x:v>
      </x:c>
      <x:c r="G2868" t="str">
        <x:v>ELIGIBLE</x:v>
      </x:c>
      <x:c r="H2868"/>
      <x:c r="I2868" s="54" t="n">
        <x:v>45656</x:v>
      </x:c>
      <x:c r="J2868" s="55" t="n">
        <x:v>13610</x:v>
      </x:c>
      <x:c r="K2868" s="55" t="n">
        <x:v>81660000000</x:v>
      </x:c>
      <x:c r="L2868" s="55" t="n">
        <x:v>6000000</x:v>
      </x:c>
      <x:c r="M2868" t="str">
        <x:v>20240318000760</x:v>
      </x:c>
      <x:c r="N2868" t="n">
        <x:v>45369.624999988424</x:v>
      </x:c>
      <x:c r="O2868" s="54" t="n">
        <x:v>45291</x:v>
      </x:c>
      <x:c r="P2868" t="str">
        <x:v>False</x:v>
      </x:c>
      <x:c r="Q2868" t="str">
        <x:v>2857aa5920fe847db222f777826b59d57097213d3f796faa767f453fc53f1e57</x:v>
      </x:c>
      <x:c r="R2868" t="str">
        <x:v>1112bb16686f089f6e921fe155e2e6ac56290cfb085da3d42ea24c8347739b21</x:v>
      </x:c>
      <x:c r="S2868" t="n">
        <x:v>7</x:v>
      </x:c>
      <x:c r="T2868" t="str">
        <x:v>2018-12-31|2019-12-31|2020-12-31|2021-12-31|2022-12-31|2023-12-31</x:v>
      </x:c>
      <x:c r="U2868" s="57" t="n">
        <x:v>2643.8845167910263</x:v>
      </x:c>
      <x:c r="V2868" s="57" t="n">
        <x:v>-0.8057395652614969</x:v>
      </x:c>
      <x:c r="W2868" t="n">
        <x:v>60</x:v>
      </x:c>
      <x:c r="X2868" t="n">
        <x:v>5</x:v>
      </x:c>
      <x:c r="Y2868" s="38" t="n">
        <x:v>0.6409090909090909</x:v>
      </x:c>
      <x:c r="Z2868" s="38" t="n">
        <x:v>0.8102580611813543</x:v>
      </x:c>
      <x:c r="AA2868"/>
    </x:row>
    <x:row r="2869">
      <x:c r="A2869" s="54" t="n">
        <x:v>45657</x:v>
      </x:c>
      <x:c r="B2869" t="n">
        <x:v>45657.624999988424</x:v>
      </x:c>
      <x:c r="C2869" t="str">
        <x:v>038620</x:v>
      </x:c>
      <x:c r="D2869" t="str">
        <x:v>위즈코프</x:v>
      </x:c>
      <x:c r="E2869" t="str">
        <x:v>KOSDAQ</x:v>
      </x:c>
      <x:c r="F2869" t="str">
        <x:v>SMALL</x:v>
      </x:c>
      <x:c r="G2869" t="str">
        <x:v>ELIGIBLE</x:v>
      </x:c>
      <x:c r="H2869"/>
      <x:c r="I2869" s="54" t="n">
        <x:v>45656</x:v>
      </x:c>
      <x:c r="J2869" s="55" t="n">
        <x:v>749</x:v>
      </x:c>
      <x:c r="K2869" s="55" t="n">
        <x:v>53294574445</x:v>
      </x:c>
      <x:c r="L2869" s="55" t="n">
        <x:v>71154305</x:v>
      </x:c>
      <x:c r="M2869" t="str">
        <x:v>20240320001532</x:v>
      </x:c>
      <x:c r="N2869" t="n">
        <x:v>45371.624999988424</x:v>
      </x:c>
      <x:c r="O2869" s="54" t="n">
        <x:v>45291</x:v>
      </x:c>
      <x:c r="P2869" t="str">
        <x:v>False</x:v>
      </x:c>
      <x:c r="Q2869" t="str">
        <x:v>272208ce5ebb5ff32e6d296ee870a448df4644666eb5b0b296ba31699f25ae35</x:v>
      </x:c>
      <x:c r="R2869" t="str">
        <x:v>91bdf7c084de96b2ec1fa33532af52d7e3525dc0207004b14802c08b3171213a</x:v>
      </x:c>
      <x:c r="S2869" t="n">
        <x:v>6</x:v>
      </x:c>
      <x:c r="T2869" t="str">
        <x:v>2018-12-31|2019-12-31|2020-12-31|2021-12-31|2022-12-31|2023-12-31</x:v>
      </x:c>
      <x:c r="U2869" s="57" t="n">
        <x:v>290.31092857467127</x:v>
      </x:c>
      <x:c r="V2869" s="57" t="n">
        <x:v>-0.612401964519798</x:v>
      </x:c>
      <x:c r="W2869" t="n">
        <x:v>50</x:v>
      </x:c>
      <x:c r="X2869" t="n">
        <x:v>4</x:v>
      </x:c>
      <x:c r="Y2869" s="38" t="n">
        <x:v>0.6409090909090909</x:v>
      </x:c>
      <x:c r="Z2869" s="38" t="n">
        <x:v>0.7544106526876061</x:v>
      </x:c>
      <x:c r="AA2869"/>
    </x:row>
    <x:row r="2870">
      <x:c r="A2870" s="54" t="n">
        <x:v>45657</x:v>
      </x:c>
      <x:c r="B2870" t="n">
        <x:v>45657.624999988424</x:v>
      </x:c>
      <x:c r="C2870" t="str">
        <x:v>313760</x:v>
      </x:c>
      <x:c r="D2870" t="str">
        <x:v>캐리</x:v>
      </x:c>
      <x:c r="E2870" t="str">
        <x:v>KOSDAQ</x:v>
      </x:c>
      <x:c r="F2870" t="str">
        <x:v>SMALL</x:v>
      </x:c>
      <x:c r="G2870" t="str">
        <x:v>DCF_SCREENING_EXCLUSION</x:v>
      </x:c>
      <x:c r="H2870" t="str">
        <x:v>NON_POSITIVE_ENTERPRISE_VALUE|NON_POSITIVE_EQUITY_VALUE|NON_POSITIVE_TERMINAL_FCF</x:v>
      </x:c>
      <x:c r="I2870" s="54" t="n">
        <x:v>45656</x:v>
      </x:c>
      <x:c r="J2870" s="55" t="n">
        <x:v>3935</x:v>
      </x:c>
      <x:c r="K2870" s="55" t="n">
        <x:v>30966580875</x:v>
      </x:c>
      <x:c r="L2870" s="55" t="n">
        <x:v>7869525</x:v>
      </x:c>
      <x:c r="M2870" t="str">
        <x:v>20240321001989</x:v>
      </x:c>
      <x:c r="N2870" t="n">
        <x:v>45372.624999988424</x:v>
      </x:c>
      <x:c r="O2870" s="54" t="n">
        <x:v>45291</x:v>
      </x:c>
      <x:c r="P2870" t="str">
        <x:v>False</x:v>
      </x:c>
      <x:c r="Q2870" t="str">
        <x:v>0bd7d04c0e0aefca490f9f7e586ebbb3a0eaaa331be2633cad42cc56ead868d7</x:v>
      </x:c>
      <x:c r="R2870" t="str">
        <x:v>a26b9199ee23d76d0c1c62eb187fc56048af16cace3c582c8dff5b6ebbb377eb</x:v>
      </x:c>
      <x:c r="S2870" t="n">
        <x:v>6</x:v>
      </x:c>
      <x:c r="T2870" t="str">
        <x:v>2019-12-31|2020-12-31|2021-12-31|2022-12-31|2023-12-31</x:v>
      </x:c>
      <x:c r="U2870" s="57" t="n">
        <x:v>-2297.5767423916527</x:v>
      </x:c>
      <x:c r="V2870" s="57" t="n">
        <x:v>-1.5838822725264683</x:v>
      </x:c>
      <x:c r="W2870"/>
      <x:c r="X2870"/>
      <x:c r="Y2870" s="38" t="n">
        <x:v>0.6409090909090909</x:v>
      </x:c>
      <x:c r="Z2870" s="38" t="n">
        <x:v>0.37057902973359175</x:v>
      </x:c>
      <x:c r="AA2870" t="str">
        <x:v>NON_POSITIVE_ENTERPRISE_VALUE|NON_POSITIVE_EQUITY_VALUE|NON_POSITIVE_TERMINAL_FCF</x:v>
      </x:c>
    </x:row>
    <x:row r="2871">
      <x:c r="A2871" s="54" t="n">
        <x:v>45657</x:v>
      </x:c>
      <x:c r="B2871" t="n">
        <x:v>45657.624999988424</x:v>
      </x:c>
      <x:c r="C2871" t="str">
        <x:v>372800</x:v>
      </x:c>
      <x:c r="D2871" t="str">
        <x:v>아이티아이즈</x:v>
      </x:c>
      <x:c r="E2871" t="str">
        <x:v>KOSDAQ</x:v>
      </x:c>
      <x:c r="F2871" t="str">
        <x:v>SMALL</x:v>
      </x:c>
      <x:c r="G2871" t="str">
        <x:v>DCF_SCREENING_EXCLUSION</x:v>
      </x:c>
      <x:c r="H2871" t="str">
        <x:v>NON_POSITIVE_ENTERPRISE_VALUE|NON_POSITIVE_EQUITY_VALUE|NON_POSITIVE_TERMINAL_FCF</x:v>
      </x:c>
      <x:c r="I2871" s="54" t="n">
        <x:v>45656</x:v>
      </x:c>
      <x:c r="J2871" s="55" t="n">
        <x:v>4670</x:v>
      </x:c>
      <x:c r="K2871" s="55" t="n">
        <x:v>28146043300</x:v>
      </x:c>
      <x:c r="L2871" s="55" t="n">
        <x:v>6026990</x:v>
      </x:c>
      <x:c r="M2871" t="str">
        <x:v>20240320000934</x:v>
      </x:c>
      <x:c r="N2871" t="n">
        <x:v>45371.624999988424</x:v>
      </x:c>
      <x:c r="O2871" s="54" t="n">
        <x:v>45291</x:v>
      </x:c>
      <x:c r="P2871" t="str">
        <x:v>False</x:v>
      </x:c>
      <x:c r="Q2871" t="str">
        <x:v>914d149f88b12fc4a464092978e0ee083b9040a890a137adf5971d85f8f45f80</x:v>
      </x:c>
      <x:c r="R2871" t="str">
        <x:v>186741dd3cd6e9e0251882e11e7c262fa8ba822aaad5de6aab48bcd9ef45bfb4</x:v>
      </x:c>
      <x:c r="S2871" t="n">
        <x:v>7</x:v>
      </x:c>
      <x:c r="T2871" t="str">
        <x:v>2021-12-31|2022-12-31|2023-12-31</x:v>
      </x:c>
      <x:c r="U2871" s="57" t="n">
        <x:v>-11187.477178495124</x:v>
      </x:c>
      <x:c r="V2871" s="57" t="n">
        <x:v>-3.395605391540712</x:v>
      </x:c>
      <x:c r="W2871"/>
      <x:c r="X2871"/>
      <x:c r="Y2871" s="38" t="n">
        <x:v>0.6409090909090909</x:v>
      </x:c>
      <x:c r="Z2871" s="38" t="n">
        <x:v>0.635813030340686</x:v>
      </x:c>
      <x:c r="AA2871" t="str">
        <x:v>NON_POSITIVE_ENTERPRISE_VALUE|NON_POSITIVE_EQUITY_VALUE|NON_POSITIVE_TERMINAL_FCF</x:v>
      </x:c>
    </x:row>
    <x:row r="2872">
      <x:c r="A2872" s="54" t="n">
        <x:v>45657</x:v>
      </x:c>
      <x:c r="B2872" t="n">
        <x:v>45657.624999988424</x:v>
      </x:c>
      <x:c r="C2872" t="str">
        <x:v>332290</x:v>
      </x:c>
      <x:c r="D2872" t="str">
        <x:v>누보</x:v>
      </x:c>
      <x:c r="E2872" t="str">
        <x:v>KOSDAQ</x:v>
      </x:c>
      <x:c r="F2872" t="str">
        <x:v>SMALL</x:v>
      </x:c>
      <x:c r="G2872" t="str">
        <x:v>DCF_SCREENING_EXCLUSION</x:v>
      </x:c>
      <x:c r="H2872" t="str">
        <x:v>NON_POSITIVE_ENTERPRISE_VALUE|NON_POSITIVE_EQUITY_VALUE|NON_POSITIVE_TERMINAL_FCF</x:v>
      </x:c>
      <x:c r="I2872" s="54" t="n">
        <x:v>45656</x:v>
      </x:c>
      <x:c r="J2872" s="55" t="n">
        <x:v>993</x:v>
      </x:c>
      <x:c r="K2872" s="55" t="n">
        <x:v>33151109379</x:v>
      </x:c>
      <x:c r="L2872" s="55" t="n">
        <x:v>33384803</x:v>
      </x:c>
      <x:c r="M2872" t="str">
        <x:v>20240321001435</x:v>
      </x:c>
      <x:c r="N2872" t="n">
        <x:v>45372.624999988424</x:v>
      </x:c>
      <x:c r="O2872" s="54" t="n">
        <x:v>45291</x:v>
      </x:c>
      <x:c r="P2872" t="str">
        <x:v>False</x:v>
      </x:c>
      <x:c r="Q2872" t="str">
        <x:v>dc20de5e13288cb8f1f4cc4cb90edd3cdfdcd47054020425ace8241e22b4cbb1</x:v>
      </x:c>
      <x:c r="R2872" t="str">
        <x:v>992623ccf14a72026f02310e0de027405308a3b157e8c09aa903b601fd91883f</x:v>
      </x:c>
      <x:c r="S2872" t="n">
        <x:v>6</x:v>
      </x:c>
      <x:c r="T2872" t="str">
        <x:v>2022-12-31|2023-12-31</x:v>
      </x:c>
      <x:c r="U2872" s="57" t="n">
        <x:v>-2501.67071673091</x:v>
      </x:c>
      <x:c r="V2872" s="57" t="n">
        <x:v>-3.5193058577350556</x:v>
      </x:c>
      <x:c r="W2872"/>
      <x:c r="X2872"/>
      <x:c r="Y2872" s="38" t="n">
        <x:v>0.6409090909090909</x:v>
      </x:c>
      <x:c r="Z2872" s="38" t="n">
        <x:v>0.5782388693498399</x:v>
      </x:c>
      <x:c r="AA2872" t="str">
        <x:v>NON_POSITIVE_ENTERPRISE_VALUE|NON_POSITIVE_EQUITY_VALUE|NON_POSITIVE_TERMINAL_FCF</x:v>
      </x:c>
    </x:row>
    <x:row r="2873">
      <x:c r="A2873" s="54" t="n">
        <x:v>45657</x:v>
      </x:c>
      <x:c r="B2873" t="n">
        <x:v>45657.624999988424</x:v>
      </x:c>
      <x:c r="C2873" t="str">
        <x:v>059100</x:v>
      </x:c>
      <x:c r="D2873" t="str">
        <x:v>아이컴포넌트</x:v>
      </x:c>
      <x:c r="E2873" t="str">
        <x:v>KOSDAQ</x:v>
      </x:c>
      <x:c r="F2873" t="str">
        <x:v>SMALL</x:v>
      </x:c>
      <x:c r="G2873" t="str">
        <x:v>ELIGIBLE</x:v>
      </x:c>
      <x:c r="H2873"/>
      <x:c r="I2873" s="54" t="n">
        <x:v>45656</x:v>
      </x:c>
      <x:c r="J2873" s="55" t="n">
        <x:v>4890</x:v>
      </x:c>
      <x:c r="K2873" s="55" t="n">
        <x:v>34576505400</x:v>
      </x:c>
      <x:c r="L2873" s="55" t="n">
        <x:v>7070860</x:v>
      </x:c>
      <x:c r="M2873" t="str">
        <x:v>20240313000819</x:v>
      </x:c>
      <x:c r="N2873" t="n">
        <x:v>45364.624999988424</x:v>
      </x:c>
      <x:c r="O2873" s="54" t="n">
        <x:v>45291</x:v>
      </x:c>
      <x:c r="P2873" t="str">
        <x:v>False</x:v>
      </x:c>
      <x:c r="Q2873" t="str">
        <x:v>de44602b8531c88c57c436d45a3c15970778ae4a85492606d87188a14adbb222</x:v>
      </x:c>
      <x:c r="R2873" t="str">
        <x:v>8125346753fa442ed777a22a67b817367371619afdfc04cb77de1670c0ed2379</x:v>
      </x:c>
      <x:c r="S2873" t="n">
        <x:v>7</x:v>
      </x:c>
      <x:c r="T2873" t="str">
        <x:v>2018-12-31|2019-12-31|2020-12-31|2021-12-31|2022-12-31|2023-12-31</x:v>
      </x:c>
      <x:c r="U2873" s="57" t="n">
        <x:v>795.2291200624518</x:v>
      </x:c>
      <x:c r="V2873" s="57" t="n">
        <x:v>-0.8373764580649383</x:v>
      </x:c>
      <x:c r="W2873" t="n">
        <x:v>63</x:v>
      </x:c>
      <x:c r="X2873" t="n">
        <x:v>5</x:v>
      </x:c>
      <x:c r="Y2873" s="38" t="n">
        <x:v>0.6409090909090909</x:v>
      </x:c>
      <x:c r="Z2873" s="38" t="n">
        <x:v>0.7736031747531312</x:v>
      </x:c>
      <x:c r="AA2873"/>
    </x:row>
    <x:row r="2874">
      <x:c r="A2874" s="54" t="n">
        <x:v>45657</x:v>
      </x:c>
      <x:c r="B2874" t="n">
        <x:v>45657.624999988424</x:v>
      </x:c>
      <x:c r="C2874" t="str">
        <x:v>060900</x:v>
      </x:c>
      <x:c r="D2874" t="str">
        <x:v>DGP</x:v>
      </x:c>
      <x:c r="E2874" t="str">
        <x:v>KOSDAQ</x:v>
      </x:c>
      <x:c r="F2874" t="str">
        <x:v>SMALL</x:v>
      </x:c>
      <x:c r="G2874" t="str">
        <x:v>DCF_SCREENING_EXCLUSION</x:v>
      </x:c>
      <x:c r="H2874" t="str">
        <x:v>NON_POSITIVE_ENTERPRISE_VALUE|NON_POSITIVE_EQUITY_VALUE|NON_POSITIVE_TERMINAL_FCF</x:v>
      </x:c>
      <x:c r="I2874" s="54" t="n">
        <x:v>45656</x:v>
      </x:c>
      <x:c r="J2874" s="55" t="n">
        <x:v>994</x:v>
      </x:c>
      <x:c r="K2874" s="55" t="n">
        <x:v>25106679626</x:v>
      </x:c>
      <x:c r="L2874" s="55" t="n">
        <x:v>25258229</x:v>
      </x:c>
      <x:c r="M2874" t="str">
        <x:v>20240321001894</x:v>
      </x:c>
      <x:c r="N2874" t="n">
        <x:v>45372.624999988424</x:v>
      </x:c>
      <x:c r="O2874" s="54" t="n">
        <x:v>45291</x:v>
      </x:c>
      <x:c r="P2874" t="str">
        <x:v>True</x:v>
      </x:c>
      <x:c r="Q2874" t="str">
        <x:v>1474ada931eb98b57e14ab7ff50c791dc82e5b1d395e17eaf8f3027f0dcc9574</x:v>
      </x:c>
      <x:c r="R2874" t="str">
        <x:v>af32aa183884862091064b823e70b298662bea83ef667da6652d0713a03d64d3</x:v>
      </x:c>
      <x:c r="S2874" t="n">
        <x:v>5</x:v>
      </x:c>
      <x:c r="T2874" t="str">
        <x:v>2018-12-31|2019-12-31|2021-12-31|2022-12-31|2023-12-31</x:v>
      </x:c>
      <x:c r="U2874" s="57" t="n">
        <x:v>-1283.8058073904676</x:v>
      </x:c>
      <x:c r="V2874" s="57" t="n">
        <x:v>-2.2915551382197865</x:v>
      </x:c>
      <x:c r="W2874"/>
      <x:c r="X2874"/>
      <x:c r="Y2874" s="38" t="n">
        <x:v>0.6409090909090909</x:v>
      </x:c>
      <x:c r="Z2874" s="38" t="n">
        <x:v>0.621144036130219</x:v>
      </x:c>
      <x:c r="AA2874" t="str">
        <x:v>NON_POSITIVE_ENTERPRISE_VALUE|NON_POSITIVE_EQUITY_VALUE|NON_POSITIVE_TERMINAL_FCF</x:v>
      </x:c>
    </x:row>
    <x:row r="2875">
      <x:c r="A2875" s="54" t="n">
        <x:v>45657</x:v>
      </x:c>
      <x:c r="B2875" t="n">
        <x:v>45657.624999988424</x:v>
      </x:c>
      <x:c r="C2875" t="str">
        <x:v>232830</x:v>
      </x:c>
      <x:c r="D2875" t="str">
        <x:v>아이티센피엔에스</x:v>
      </x:c>
      <x:c r="E2875" t="str">
        <x:v>KOSDAQ</x:v>
      </x:c>
      <x:c r="F2875" t="str">
        <x:v>SMALL</x:v>
      </x:c>
      <x:c r="G2875" t="str">
        <x:v>DCF_SCREENING_EXCLUSION</x:v>
      </x:c>
      <x:c r="H2875" t="str">
        <x:v>NON_POSITIVE_ENTERPRISE_VALUE|NON_POSITIVE_EQUITY_VALUE|NON_POSITIVE_TERMINAL_FCF</x:v>
      </x:c>
      <x:c r="I2875" s="54" t="n">
        <x:v>45656</x:v>
      </x:c>
      <x:c r="J2875" s="55" t="n">
        <x:v>2900</x:v>
      </x:c>
      <x:c r="K2875" s="55" t="n">
        <x:v>33951668800</x:v>
      </x:c>
      <x:c r="L2875" s="55" t="n">
        <x:v>11707472</x:v>
      </x:c>
      <x:c r="M2875" t="str">
        <x:v>20240318000711</x:v>
      </x:c>
      <x:c r="N2875" t="n">
        <x:v>45369.624999988424</x:v>
      </x:c>
      <x:c r="O2875" s="54" t="n">
        <x:v>45291</x:v>
      </x:c>
      <x:c r="P2875" t="str">
        <x:v>False</x:v>
      </x:c>
      <x:c r="Q2875" t="str">
        <x:v>2ef9f4621e5d771c469b1b6c7fdc4cd88bef1e6298a76a757c5b3c158fc41901</x:v>
      </x:c>
      <x:c r="R2875" t="str">
        <x:v>676c3589c1b25fc921096fefbc5c14cae7e63b0412aea817f9e7fe7d395cd937</x:v>
      </x:c>
      <x:c r="S2875" t="n">
        <x:v>6</x:v>
      </x:c>
      <x:c r="T2875" t="str">
        <x:v>2023-12-31</x:v>
      </x:c>
      <x:c r="U2875" s="57" t="n">
        <x:v>-882.1328119703383</x:v>
      </x:c>
      <x:c r="V2875" s="57" t="n">
        <x:v>-1.304183728265634</x:v>
      </x:c>
      <x:c r="W2875"/>
      <x:c r="X2875"/>
      <x:c r="Y2875" s="38" t="n">
        <x:v>0.6409090909090909</x:v>
      </x:c>
      <x:c r="Z2875" s="38" t="n">
        <x:v>0.6264850986190418</x:v>
      </x:c>
      <x:c r="AA2875" t="str">
        <x:v>NON_POSITIVE_ENTERPRISE_VALUE|NON_POSITIVE_EQUITY_VALUE|NON_POSITIVE_TERMINAL_FCF</x:v>
      </x:c>
    </x:row>
    <x:row r="2876">
      <x:c r="A2876" s="54" t="n">
        <x:v>45657</x:v>
      </x:c>
      <x:c r="B2876" t="n">
        <x:v>45657.624999988424</x:v>
      </x:c>
      <x:c r="C2876" t="str">
        <x:v>070590</x:v>
      </x:c>
      <x:c r="D2876" t="str">
        <x:v>한솔인티큐브</x:v>
      </x:c>
      <x:c r="E2876" t="str">
        <x:v>KOSDAQ</x:v>
      </x:c>
      <x:c r="F2876" t="str">
        <x:v>SMALL</x:v>
      </x:c>
      <x:c r="G2876" t="str">
        <x:v>DCF_SCREENING_EXCLUSION</x:v>
      </x:c>
      <x:c r="H2876" t="str">
        <x:v>NON_POSITIVE_ENTERPRISE_VALUE|NON_POSITIVE_EQUITY_VALUE|NON_POSITIVE_TERMINAL_FCF</x:v>
      </x:c>
      <x:c r="I2876" s="54" t="n">
        <x:v>45656</x:v>
      </x:c>
      <x:c r="J2876" s="55" t="n">
        <x:v>977</x:v>
      </x:c>
      <x:c r="K2876" s="55" t="n">
        <x:v>13560292017</x:v>
      </x:c>
      <x:c r="L2876" s="55" t="n">
        <x:v>13879521</x:v>
      </x:c>
      <x:c r="M2876" t="str">
        <x:v>20240312000981</x:v>
      </x:c>
      <x:c r="N2876" t="n">
        <x:v>45363.624999988424</x:v>
      </x:c>
      <x:c r="O2876" s="54" t="n">
        <x:v>45291</x:v>
      </x:c>
      <x:c r="P2876" t="str">
        <x:v>False</x:v>
      </x:c>
      <x:c r="Q2876" t="str">
        <x:v>1dcf4f95e11520238d31fe55d66a361893d88863002eb93ccfa11d774ad77ecd</x:v>
      </x:c>
      <x:c r="R2876" t="str">
        <x:v>0a25ac283323a913ae282d5b4fa9d812e4daf6e8b8fde04a6d83b338fee07dc1</x:v>
      </x:c>
      <x:c r="S2876" t="n">
        <x:v>6</x:v>
      </x:c>
      <x:c r="T2876" t="str">
        <x:v>2018-12-31|2019-12-31|2020-12-31|2021-12-31|2022-12-31|2023-12-31</x:v>
      </x:c>
      <x:c r="U2876" s="57" t="n">
        <x:v>-727.1708574239069</x:v>
      </x:c>
      <x:c r="V2876" s="57" t="n">
        <x:v>-1.7442895162987788</x:v>
      </x:c>
      <x:c r="W2876"/>
      <x:c r="X2876"/>
      <x:c r="Y2876" s="38" t="n">
        <x:v>0.6409090909090909</x:v>
      </x:c>
      <x:c r="Z2876" s="38" t="n">
        <x:v>0.39168294997409436</x:v>
      </x:c>
      <x:c r="AA2876" t="str">
        <x:v>NON_POSITIVE_ENTERPRISE_VALUE|NON_POSITIVE_EQUITY_VALUE|NON_POSITIVE_TERMINAL_FCF</x:v>
      </x:c>
    </x:row>
    <x:row r="2877">
      <x:c r="A2877" s="54" t="n">
        <x:v>45657</x:v>
      </x:c>
      <x:c r="B2877" t="n">
        <x:v>45657.624999988424</x:v>
      </x:c>
      <x:c r="C2877" t="str">
        <x:v>163560</x:v>
      </x:c>
      <x:c r="D2877" t="str">
        <x:v>동일고무벨트</x:v>
      </x:c>
      <x:c r="E2877" t="str">
        <x:v>KOSPI</x:v>
      </x:c>
      <x:c r="F2877" t="str">
        <x:v>SMALL</x:v>
      </x:c>
      <x:c r="G2877" t="str">
        <x:v>ELIGIBLE</x:v>
      </x:c>
      <x:c r="H2877"/>
      <x:c r="I2877" s="54" t="n">
        <x:v>45656</x:v>
      </x:c>
      <x:c r="J2877" s="55" t="n">
        <x:v>6780</x:v>
      </x:c>
      <x:c r="K2877" s="55" t="n">
        <x:v>94242000000</x:v>
      </x:c>
      <x:c r="L2877" s="55" t="n">
        <x:v>13900000</x:v>
      </x:c>
      <x:c r="M2877" t="str">
        <x:v>20240312000727</x:v>
      </x:c>
      <x:c r="N2877" t="n">
        <x:v>45363.624999988424</x:v>
      </x:c>
      <x:c r="O2877" s="54" t="n">
        <x:v>45291</x:v>
      </x:c>
      <x:c r="P2877" t="str">
        <x:v>False</x:v>
      </x:c>
      <x:c r="Q2877" t="str">
        <x:v>8300d6b1875715c243030f671f2aaf02f96d54e1068e1a551b702430cd374885</x:v>
      </x:c>
      <x:c r="R2877" t="str">
        <x:v>219a543a521b843095fcaa2f4cf5a286d564452ada755581ce03daced7cab1f4</x:v>
      </x:c>
      <x:c r="S2877" t="n">
        <x:v>5</x:v>
      </x:c>
      <x:c r="T2877" t="str">
        <x:v>2018-12-31|2019-12-31|2020-12-31|2021-12-31|2022-12-31|2023-12-31</x:v>
      </x:c>
      <x:c r="U2877" s="57" t="n">
        <x:v>3794.8274011621584</x:v>
      </x:c>
      <x:c r="V2877" s="57" t="n">
        <x:v>-0.4402909437813926</x:v>
      </x:c>
      <x:c r="W2877" t="n">
        <x:v>43</x:v>
      </x:c>
      <x:c r="X2877" t="n">
        <x:v>4</x:v>
      </x:c>
      <x:c r="Y2877" s="38" t="n">
        <x:v>0.6409090909090909</x:v>
      </x:c>
      <x:c r="Z2877" s="38" t="n">
        <x:v>0.63760841552032</x:v>
      </x:c>
      <x:c r="AA2877"/>
    </x:row>
    <x:row r="2878">
      <x:c r="A2878" s="54" t="n">
        <x:v>45657</x:v>
      </x:c>
      <x:c r="B2878" t="n">
        <x:v>45657.624999988424</x:v>
      </x:c>
      <x:c r="C2878" t="str">
        <x:v>004830</x:v>
      </x:c>
      <x:c r="D2878" t="str">
        <x:v>덕성</x:v>
      </x:c>
      <x:c r="E2878" t="str">
        <x:v>KOSPI</x:v>
      </x:c>
      <x:c r="F2878" t="str">
        <x:v>SMALL</x:v>
      </x:c>
      <x:c r="G2878" t="str">
        <x:v>ELIGIBLE</x:v>
      </x:c>
      <x:c r="H2878"/>
      <x:c r="I2878" s="54" t="n">
        <x:v>45656</x:v>
      </x:c>
      <x:c r="J2878" s="55" t="n">
        <x:v>6720</x:v>
      </x:c>
      <x:c r="K2878" s="55" t="n">
        <x:v>105369600000</x:v>
      </x:c>
      <x:c r="L2878" s="55" t="n">
        <x:v>15680000</x:v>
      </x:c>
      <x:c r="M2878" t="str">
        <x:v>20240318000444</x:v>
      </x:c>
      <x:c r="N2878" t="n">
        <x:v>45369.624999988424</x:v>
      </x:c>
      <x:c r="O2878" s="54" t="n">
        <x:v>45291</x:v>
      </x:c>
      <x:c r="P2878" t="str">
        <x:v>False</x:v>
      </x:c>
      <x:c r="Q2878" t="str">
        <x:v>5c791e9d7c4baa9765c24340c5b47bda11989d0310430c6cc33cf087e7d59d93</x:v>
      </x:c>
      <x:c r="R2878" t="str">
        <x:v>d7fd13e4080789861d787a14face42a4b7821446f86335eeac9fa652e97eec43</x:v>
      </x:c>
      <x:c r="S2878" t="n">
        <x:v>7</x:v>
      </x:c>
      <x:c r="T2878" t="str">
        <x:v>2018-12-31|2019-12-31|2020-12-31|2021-12-31|2022-12-31|2023-12-31</x:v>
      </x:c>
      <x:c r="U2878" s="57" t="n">
        <x:v>2363.208087404123</x:v>
      </x:c>
      <x:c r="V2878" s="57" t="n">
        <x:v>-0.6483321298505769</x:v>
      </x:c>
      <x:c r="W2878" t="n">
        <x:v>52</x:v>
      </x:c>
      <x:c r="X2878" t="n">
        <x:v>4</x:v>
      </x:c>
      <x:c r="Y2878" s="38" t="n">
        <x:v>0.6409090909090909</x:v>
      </x:c>
      <x:c r="Z2878" s="38" t="n">
        <x:v>0.6091383391219799</x:v>
      </x:c>
      <x:c r="AA2878"/>
    </x:row>
    <x:row r="2879">
      <x:c r="A2879" s="54" t="n">
        <x:v>45657</x:v>
      </x:c>
      <x:c r="B2879" t="n">
        <x:v>45657.624999988424</x:v>
      </x:c>
      <x:c r="C2879" t="str">
        <x:v>014440</x:v>
      </x:c>
      <x:c r="D2879" t="str">
        <x:v>영보화학</x:v>
      </x:c>
      <x:c r="E2879" t="str">
        <x:v>KOSPI</x:v>
      </x:c>
      <x:c r="F2879" t="str">
        <x:v>SMALL</x:v>
      </x:c>
      <x:c r="G2879" t="str">
        <x:v>ELIGIBLE</x:v>
      </x:c>
      <x:c r="H2879"/>
      <x:c r="I2879" s="54" t="n">
        <x:v>45656</x:v>
      </x:c>
      <x:c r="J2879" s="55" t="n">
        <x:v>3560</x:v>
      </x:c>
      <x:c r="K2879" s="55" t="n">
        <x:v>71200000000</x:v>
      </x:c>
      <x:c r="L2879" s="55" t="n">
        <x:v>20000000</x:v>
      </x:c>
      <x:c r="M2879" t="str">
        <x:v>20240313001248</x:v>
      </x:c>
      <x:c r="N2879" t="n">
        <x:v>45364.624999988424</x:v>
      </x:c>
      <x:c r="O2879" s="54" t="n">
        <x:v>45291</x:v>
      </x:c>
      <x:c r="P2879" t="str">
        <x:v>False</x:v>
      </x:c>
      <x:c r="Q2879" t="str">
        <x:v>906f6477c652f0506d6357d210e56a5f26efb08af099195d43ebe66ddb3a9a16</x:v>
      </x:c>
      <x:c r="R2879" t="str">
        <x:v>6cfa4e5d2a857dac7b466b3d3e6f158247567fd453702755355a023a17654a90</x:v>
      </x:c>
      <x:c r="S2879" t="n">
        <x:v>6</x:v>
      </x:c>
      <x:c r="T2879" t="str">
        <x:v>2018-12-31|2019-12-31|2020-12-31|2021-12-31|2022-12-31|2023-12-31</x:v>
      </x:c>
      <x:c r="U2879" s="57" t="n">
        <x:v>2627.709734330535</x:v>
      </x:c>
      <x:c r="V2879" s="57" t="n">
        <x:v>-0.26187928810940025</x:v>
      </x:c>
      <x:c r="W2879" t="n">
        <x:v>37</x:v>
      </x:c>
      <x:c r="X2879" t="n">
        <x:v>3</x:v>
      </x:c>
      <x:c r="Y2879" s="38" t="n">
        <x:v>0.6409090909090909</x:v>
      </x:c>
      <x:c r="Z2879" s="38" t="n">
        <x:v>0.3830129280904156</x:v>
      </x:c>
      <x:c r="AA2879"/>
    </x:row>
    <x:row r="2880">
      <x:c r="A2880" s="54" t="n">
        <x:v>45657</x:v>
      </x:c>
      <x:c r="B2880" t="n">
        <x:v>45657.624999988424</x:v>
      </x:c>
      <x:c r="C2880" t="str">
        <x:v>009180</x:v>
      </x:c>
      <x:c r="D2880" t="str">
        <x:v>한솔로지스틱스</x:v>
      </x:c>
      <x:c r="E2880" t="str">
        <x:v>KOSPI</x:v>
      </x:c>
      <x:c r="F2880" t="str">
        <x:v>SMALL</x:v>
      </x:c>
      <x:c r="G2880" t="str">
        <x:v>ELIGIBLE</x:v>
      </x:c>
      <x:c r="H2880"/>
      <x:c r="I2880" s="54" t="n">
        <x:v>45656</x:v>
      </x:c>
      <x:c r="J2880" s="55" t="n">
        <x:v>2080</x:v>
      </x:c>
      <x:c r="K2880" s="55" t="n">
        <x:v>58564116000</x:v>
      </x:c>
      <x:c r="L2880" s="55" t="n">
        <x:v>28155825</x:v>
      </x:c>
      <x:c r="M2880" t="str">
        <x:v>20240312000456</x:v>
      </x:c>
      <x:c r="N2880" t="n">
        <x:v>45363.624999988424</x:v>
      </x:c>
      <x:c r="O2880" s="54" t="n">
        <x:v>45291</x:v>
      </x:c>
      <x:c r="P2880" t="str">
        <x:v>False</x:v>
      </x:c>
      <x:c r="Q2880" t="str">
        <x:v>e3e86eda83e12a1cdfafba8607f3d06217ed3703a0d0654f09efaa4b44fe752a</x:v>
      </x:c>
      <x:c r="R2880" t="str">
        <x:v>bf9d76ef0c6161455304be5f656f5022db39256267de7ec786e18b5457e5cfd2</x:v>
      </x:c>
      <x:c r="S2880" t="n">
        <x:v>6</x:v>
      </x:c>
      <x:c r="T2880" t="str">
        <x:v>2018-12-31|2019-12-31|2020-12-31|2021-12-31|2022-12-31|2023-12-31</x:v>
      </x:c>
      <x:c r="U2880" s="57" t="n">
        <x:v>6441.535162781796</x:v>
      </x:c>
      <x:c r="V2880" s="57" t="n">
        <x:v>2.096891905183556</x:v>
      </x:c>
      <x:c r="W2880" t="n">
        <x:v>7</x:v>
      </x:c>
      <x:c r="X2880" t="n">
        <x:v>1</x:v>
      </x:c>
      <x:c r="Y2880" s="38" t="n">
        <x:v>0.6409090909090909</x:v>
      </x:c>
      <x:c r="Z2880" s="38" t="n">
        <x:v>0.6327524850142684</x:v>
      </x:c>
      <x:c r="AA2880"/>
    </x:row>
    <x:row r="2881">
      <x:c r="A2881" s="54" t="n">
        <x:v>45657</x:v>
      </x:c>
      <x:c r="B2881" t="n">
        <x:v>45657.624999988424</x:v>
      </x:c>
      <x:c r="C2881" t="str">
        <x:v>004910</x:v>
      </x:c>
      <x:c r="D2881" t="str">
        <x:v>조광페인트</x:v>
      </x:c>
      <x:c r="E2881" t="str">
        <x:v>KOSPI</x:v>
      </x:c>
      <x:c r="F2881" t="str">
        <x:v>SMALL</x:v>
      </x:c>
      <x:c r="G2881" t="str">
        <x:v>DCF_SCREENING_EXCLUSION</x:v>
      </x:c>
      <x:c r="H2881" t="str">
        <x:v>NON_POSITIVE_ENTERPRISE_VALUE|NON_POSITIVE_EQUITY_VALUE|NON_POSITIVE_TERMINAL_FCF</x:v>
      </x:c>
      <x:c r="I2881" s="54" t="n">
        <x:v>45656</x:v>
      </x:c>
      <x:c r="J2881" s="55" t="n">
        <x:v>5960</x:v>
      </x:c>
      <x:c r="K2881" s="55" t="n">
        <x:v>76288000000</x:v>
      </x:c>
      <x:c r="L2881" s="55" t="n">
        <x:v>12800000</x:v>
      </x:c>
      <x:c r="M2881" t="str">
        <x:v>20240320000988</x:v>
      </x:c>
      <x:c r="N2881" t="n">
        <x:v>45371.624999988424</x:v>
      </x:c>
      <x:c r="O2881" s="54" t="n">
        <x:v>45291</x:v>
      </x:c>
      <x:c r="P2881" t="str">
        <x:v>False</x:v>
      </x:c>
      <x:c r="Q2881" t="str">
        <x:v>011166dc06a77bd72caf4b4c520c6c3d496b4d62095b3f9f3304a8a9c15b76e8</x:v>
      </x:c>
      <x:c r="R2881" t="str">
        <x:v>38f0a80f49dd016085e3272f83dedfb09ff2e263674bbb598f8d3e74fda0d5a1</x:v>
      </x:c>
      <x:c r="S2881" t="n">
        <x:v>6</x:v>
      </x:c>
      <x:c r="T2881" t="str">
        <x:v>2018-12-31|2019-12-31|2020-12-31|2021-12-31|2022-12-31|2023-12-31</x:v>
      </x:c>
      <x:c r="U2881" s="57" t="n">
        <x:v>-7916.655886505957</x:v>
      </x:c>
      <x:c r="V2881" s="57" t="n">
        <x:v>-2.3282979675345565</x:v>
      </x:c>
      <x:c r="W2881"/>
      <x:c r="X2881"/>
      <x:c r="Y2881" s="38" t="n">
        <x:v>0.6409090909090909</x:v>
      </x:c>
      <x:c r="Z2881" s="38" t="n">
        <x:v>0.7035350926583852</x:v>
      </x:c>
      <x:c r="AA2881" t="str">
        <x:v>NON_POSITIVE_ENTERPRISE_VALUE|NON_POSITIVE_EQUITY_VALUE|NON_POSITIVE_TERMINAL_FCF</x:v>
      </x:c>
    </x:row>
    <x:row r="2882">
      <x:c r="A2882" s="54" t="n">
        <x:v>45657</x:v>
      </x:c>
      <x:c r="B2882" t="n">
        <x:v>45657.624999988424</x:v>
      </x:c>
      <x:c r="C2882" t="str">
        <x:v>004870</x:v>
      </x:c>
      <x:c r="D2882" t="str">
        <x:v>티웨이홀딩스</x:v>
      </x:c>
      <x:c r="E2882" t="str">
        <x:v>KOSPI</x:v>
      </x:c>
      <x:c r="F2882" t="str">
        <x:v>SMALL</x:v>
      </x:c>
      <x:c r="G2882" t="str">
        <x:v>EXCLUDED_ARCHETYPE</x:v>
      </x:c>
      <x:c r="H2882" t="str">
        <x:v>FCFF_NOT_COMPARABLE_FOR_FINANCE_OR_HOLDING_HINT</x:v>
      </x:c>
      <x:c r="I2882" s="54"/>
      <x:c r="J2882" s="55"/>
      <x:c r="K2882" s="55"/>
      <x:c r="L2882" s="55"/>
      <x:c r="M2882"/>
      <x:c r="N2882"/>
      <x:c r="O2882" s="54"/>
      <x:c r="P2882"/>
      <x:c r="Q2882"/>
      <x:c r="R2882"/>
      <x:c r="S2882"/>
      <x:c r="T2882"/>
      <x:c r="U2882" s="57"/>
      <x:c r="V2882" s="57"/>
      <x:c r="W2882"/>
      <x:c r="X2882"/>
      <x:c r="Y2882" s="38"/>
      <x:c r="Z2882" s="38"/>
      <x:c r="AA2882"/>
    </x:row>
    <x:row r="2883">
      <x:c r="A2883" s="54" t="n">
        <x:v>45657</x:v>
      </x:c>
      <x:c r="B2883" t="n">
        <x:v>45657.624999988424</x:v>
      </x:c>
      <x:c r="C2883" t="str">
        <x:v>010770</x:v>
      </x:c>
      <x:c r="D2883" t="str">
        <x:v>평화홀딩스</x:v>
      </x:c>
      <x:c r="E2883" t="str">
        <x:v>KOSPI</x:v>
      </x:c>
      <x:c r="F2883" t="str">
        <x:v>SMALL</x:v>
      </x:c>
      <x:c r="G2883" t="str">
        <x:v>EXCLUDED_ARCHETYPE</x:v>
      </x:c>
      <x:c r="H2883" t="str">
        <x:v>FCFF_NOT_COMPARABLE_FOR_FINANCE_OR_HOLDING_HINT</x:v>
      </x:c>
      <x:c r="I2883" s="54"/>
      <x:c r="J2883" s="55"/>
      <x:c r="K2883" s="55"/>
      <x:c r="L2883" s="55"/>
      <x:c r="M2883"/>
      <x:c r="N2883"/>
      <x:c r="O2883" s="54"/>
      <x:c r="P2883"/>
      <x:c r="Q2883"/>
      <x:c r="R2883"/>
      <x:c r="S2883"/>
      <x:c r="T2883"/>
      <x:c r="U2883" s="57"/>
      <x:c r="V2883" s="57"/>
      <x:c r="W2883"/>
      <x:c r="X2883"/>
      <x:c r="Y2883" s="38"/>
      <x:c r="Z2883" s="38"/>
      <x:c r="AA2883"/>
    </x:row>
    <x:row r="2884">
      <x:c r="A2884" s="54" t="n">
        <x:v>45657</x:v>
      </x:c>
      <x:c r="B2884" t="n">
        <x:v>45657.624999988424</x:v>
      </x:c>
      <x:c r="C2884" t="str">
        <x:v>001290</x:v>
      </x:c>
      <x:c r="D2884" t="str">
        <x:v>상상인증권</x:v>
      </x:c>
      <x:c r="E2884" t="str">
        <x:v>KOSPI</x:v>
      </x:c>
      <x:c r="F2884" t="str">
        <x:v>SMALL</x:v>
      </x:c>
      <x:c r="G2884" t="str">
        <x:v>EXCLUDED_ARCHETYPE</x:v>
      </x:c>
      <x:c r="H2884" t="str">
        <x:v>FCFF_NOT_COMPARABLE_FOR_FINANCE_OR_HOLDING_HINT</x:v>
      </x:c>
      <x:c r="I2884" s="54"/>
      <x:c r="J2884" s="55"/>
      <x:c r="K2884" s="55"/>
      <x:c r="L2884" s="55"/>
      <x:c r="M2884"/>
      <x:c r="N2884"/>
      <x:c r="O2884" s="54"/>
      <x:c r="P2884"/>
      <x:c r="Q2884"/>
      <x:c r="R2884"/>
      <x:c r="S2884"/>
      <x:c r="T2884"/>
      <x:c r="U2884" s="57"/>
      <x:c r="V2884" s="57"/>
      <x:c r="W2884"/>
      <x:c r="X2884"/>
      <x:c r="Y2884" s="38"/>
      <x:c r="Z2884" s="38"/>
      <x:c r="AA2884"/>
    </x:row>
    <x:row r="2885">
      <x:c r="A2885" s="54" t="n">
        <x:v>45657</x:v>
      </x:c>
      <x:c r="B2885" t="n">
        <x:v>45657.624999988424</x:v>
      </x:c>
      <x:c r="C2885" t="str">
        <x:v>047400</x:v>
      </x:c>
      <x:c r="D2885" t="str">
        <x:v>유니온머티리얼</x:v>
      </x:c>
      <x:c r="E2885" t="str">
        <x:v>KOSPI</x:v>
      </x:c>
      <x:c r="F2885" t="str">
        <x:v>SMALL</x:v>
      </x:c>
      <x:c r="G2885" t="str">
        <x:v>DCF_SCREENING_EXCLUSION</x:v>
      </x:c>
      <x:c r="H2885" t="str">
        <x:v>NON_POSITIVE_ENTERPRISE_VALUE|NON_POSITIVE_EQUITY_VALUE|NON_POSITIVE_TERMINAL_FCF</x:v>
      </x:c>
      <x:c r="I2885" s="54" t="n">
        <x:v>45656</x:v>
      </x:c>
      <x:c r="J2885" s="55" t="n">
        <x:v>2170</x:v>
      </x:c>
      <x:c r="K2885" s="55" t="n">
        <x:v>91140000000</x:v>
      </x:c>
      <x:c r="L2885" s="55" t="n">
        <x:v>42000000</x:v>
      </x:c>
      <x:c r="M2885" t="str">
        <x:v>20240320001765</x:v>
      </x:c>
      <x:c r="N2885" t="n">
        <x:v>45371.624999988424</x:v>
      </x:c>
      <x:c r="O2885" s="54" t="n">
        <x:v>45291</x:v>
      </x:c>
      <x:c r="P2885" t="str">
        <x:v>False</x:v>
      </x:c>
      <x:c r="Q2885" t="str">
        <x:v>5388f7e4d62e738917bcb25445a6393239daafedd04b6510c6b284bc33bd94b9</x:v>
      </x:c>
      <x:c r="R2885" t="str">
        <x:v>7e8bbc2b129cefc9496566cc6cc894fd4e78a2be493d05699d922af91a39b2b1</x:v>
      </x:c>
      <x:c r="S2885" t="n">
        <x:v>7</x:v>
      </x:c>
      <x:c r="T2885" t="str">
        <x:v>2018-12-31|2019-12-31|2020-12-31|2021-12-31|2022-12-31|2023-12-31</x:v>
      </x:c>
      <x:c r="U2885" s="57" t="n">
        <x:v>-2955.842766905707</x:v>
      </x:c>
      <x:c r="V2885" s="57" t="n">
        <x:v>-2.3621395239196805</x:v>
      </x:c>
      <x:c r="W2885"/>
      <x:c r="X2885"/>
      <x:c r="Y2885" s="38" t="n">
        <x:v>0.6409090909090909</x:v>
      </x:c>
      <x:c r="Z2885" s="38" t="n">
        <x:v>0.5638612783643214</x:v>
      </x:c>
      <x:c r="AA2885" t="str">
        <x:v>NON_POSITIVE_ENTERPRISE_VALUE|NON_POSITIVE_EQUITY_VALUE|NON_POSITIVE_TERMINAL_FCF</x:v>
      </x:c>
    </x:row>
    <x:row r="2886">
      <x:c r="A2886" s="54" t="n">
        <x:v>45657</x:v>
      </x:c>
      <x:c r="B2886" t="n">
        <x:v>45657.624999988424</x:v>
      </x:c>
      <x:c r="C2886" t="str">
        <x:v>011300</x:v>
      </x:c>
      <x:c r="D2886" t="str">
        <x:v>성안머티리얼스</x:v>
      </x:c>
      <x:c r="E2886" t="str">
        <x:v>KOSPI</x:v>
      </x:c>
      <x:c r="F2886" t="str">
        <x:v>SMALL</x:v>
      </x:c>
      <x:c r="G2886" t="str">
        <x:v>DCF_SCREENING_EXCLUSION</x:v>
      </x:c>
      <x:c r="H2886" t="str">
        <x:v>NON_POSITIVE_ENTERPRISE_VALUE|NON_POSITIVE_EQUITY_VALUE|NON_POSITIVE_TERMINAL_FCF</x:v>
      </x:c>
      <x:c r="I2886" s="54" t="n">
        <x:v>45656</x:v>
      </x:c>
      <x:c r="J2886" s="55" t="n">
        <x:v>702</x:v>
      </x:c>
      <x:c r="K2886" s="55" t="n">
        <x:v>57621983796</x:v>
      </x:c>
      <x:c r="L2886" s="55" t="n">
        <x:v>82082598</x:v>
      </x:c>
      <x:c r="M2886" t="str">
        <x:v>20240321001113</x:v>
      </x:c>
      <x:c r="N2886" t="n">
        <x:v>45372.624999988424</x:v>
      </x:c>
      <x:c r="O2886" s="54" t="n">
        <x:v>45291</x:v>
      </x:c>
      <x:c r="P2886" t="str">
        <x:v>False</x:v>
      </x:c>
      <x:c r="Q2886" t="str">
        <x:v>e6e54bed3ead79b641dcaa9bf885e9e250dabc02777af1069689273f4df3cb72</x:v>
      </x:c>
      <x:c r="R2886" t="str">
        <x:v>79d7dbebfb369b6a4f104b9f12e2ef3dd5e57ae35ac5295fc565aca4497da4b0</x:v>
      </x:c>
      <x:c r="S2886" t="n">
        <x:v>7</x:v>
      </x:c>
      <x:c r="T2886" t="str">
        <x:v>2018-12-31|2019-12-31|2020-12-31|2021-12-31|2022-12-31|2023-12-31</x:v>
      </x:c>
      <x:c r="U2886" s="57" t="n">
        <x:v>-487.4090237759583</x:v>
      </x:c>
      <x:c r="V2886" s="57" t="n">
        <x:v>-1.6943148486837014</x:v>
      </x:c>
      <x:c r="W2886"/>
      <x:c r="X2886"/>
      <x:c r="Y2886" s="38" t="n">
        <x:v>0.6409090909090909</x:v>
      </x:c>
      <x:c r="Z2886" s="38" t="n">
        <x:v>0.35474198726081796</x:v>
      </x:c>
      <x:c r="AA2886" t="str">
        <x:v>NON_POSITIVE_ENTERPRISE_VALUE|NON_POSITIVE_EQUITY_VALUE|NON_POSITIVE_TERMINAL_FCF</x:v>
      </x:c>
    </x:row>
    <x:row r="2887">
      <x:c r="A2887" s="54" t="n">
        <x:v>45657</x:v>
      </x:c>
      <x:c r="B2887" t="n">
        <x:v>45657.624999988424</x:v>
      </x:c>
      <x:c r="C2887" t="str">
        <x:v>018500</x:v>
      </x:c>
      <x:c r="D2887" t="str">
        <x:v>동원금속</x:v>
      </x:c>
      <x:c r="E2887" t="str">
        <x:v>KOSPI</x:v>
      </x:c>
      <x:c r="F2887" t="str">
        <x:v>SMALL</x:v>
      </x:c>
      <x:c r="G2887" t="str">
        <x:v>DCF_SCREENING_EXCLUSION</x:v>
      </x:c>
      <x:c r="H2887" t="str">
        <x:v>NON_POSITIVE_EQUITY_VALUE|NON_POSITIVE_TERMINAL_FCF|UNRELIABLE_TERMINAL_VALUE_SHARE</x:v>
      </x:c>
      <x:c r="I2887" s="54" t="n">
        <x:v>45656</x:v>
      </x:c>
      <x:c r="J2887" s="55" t="n">
        <x:v>1905</x:v>
      </x:c>
      <x:c r="K2887" s="55" t="n">
        <x:v>89068147365</x:v>
      </x:c>
      <x:c r="L2887" s="55" t="n">
        <x:v>46754933</x:v>
      </x:c>
      <x:c r="M2887" t="str">
        <x:v>20240619000177</x:v>
      </x:c>
      <x:c r="N2887" t="n">
        <x:v>45462.624999988424</x:v>
      </x:c>
      <x:c r="O2887" s="54" t="n">
        <x:v>45382</x:v>
      </x:c>
      <x:c r="P2887" t="str">
        <x:v>False</x:v>
      </x:c>
      <x:c r="Q2887" t="str">
        <x:v>8a03c200412751313e60676f690eeaccfa94e6e2d3d5c91635efb46b2b4c556a</x:v>
      </x:c>
      <x:c r="R2887" t="str">
        <x:v>221c2a022065bc5e4b98f0ad26e589d1263a832088a1015b66150b62c26290ba</x:v>
      </x:c>
      <x:c r="S2887" t="n">
        <x:v>6</x:v>
      </x:c>
      <x:c r="T2887" t="str">
        <x:v>2019-03-31|2020-03-31|2021-03-31|2022-03-31|2023-03-31|2024-03-31</x:v>
      </x:c>
      <x:c r="U2887" s="57" t="n">
        <x:v>-2219.933760496447</x:v>
      </x:c>
      <x:c r="V2887" s="57" t="n">
        <x:v>-2.16531955931572</x:v>
      </x:c>
      <x:c r="W2887"/>
      <x:c r="X2887"/>
      <x:c r="Y2887" s="38" t="n">
        <x:v>0.6409090909090909</x:v>
      </x:c>
      <x:c r="Z2887" s="38" t="n">
        <x:v>-3.12237275670015</x:v>
      </x:c>
      <x:c r="AA2887" t="str">
        <x:v>NON_POSITIVE_EQUITY_VALUE|NON_POSITIVE_TERMINAL_FCF|UNRELIABLE_TERMINAL_VALUE_SHARE</x:v>
      </x:c>
    </x:row>
    <x:row r="2888">
      <x:c r="A2888" s="54" t="n">
        <x:v>45657</x:v>
      </x:c>
      <x:c r="B2888" t="n">
        <x:v>45657.624999988424</x:v>
      </x:c>
      <x:c r="C2888" t="str">
        <x:v>004770</x:v>
      </x:c>
      <x:c r="D2888" t="str">
        <x:v>써니전자</x:v>
      </x:c>
      <x:c r="E2888" t="str">
        <x:v>KOSPI</x:v>
      </x:c>
      <x:c r="F2888" t="str">
        <x:v>SMALL</x:v>
      </x:c>
      <x:c r="G2888" t="str">
        <x:v>ELIGIBLE</x:v>
      </x:c>
      <x:c r="H2888"/>
      <x:c r="I2888" s="54" t="n">
        <x:v>45656</x:v>
      </x:c>
      <x:c r="J2888" s="55" t="n">
        <x:v>2075</x:v>
      </x:c>
      <x:c r="K2888" s="55" t="n">
        <x:v>76158484300</x:v>
      </x:c>
      <x:c r="L2888" s="55" t="n">
        <x:v>36702884</x:v>
      </x:c>
      <x:c r="M2888" t="str">
        <x:v>20240315000788</x:v>
      </x:c>
      <x:c r="N2888" t="n">
        <x:v>45366.624999988424</x:v>
      </x:c>
      <x:c r="O2888" s="54" t="n">
        <x:v>45291</x:v>
      </x:c>
      <x:c r="P2888" t="str">
        <x:v>False</x:v>
      </x:c>
      <x:c r="Q2888" t="str">
        <x:v>0544811db3a63a737bc4d70e35346fc713260dec75bbb31fcb5f31956b594c3b</x:v>
      </x:c>
      <x:c r="R2888" t="str">
        <x:v>a1c9a750bde13ec833ca5635cea9dbd013b7b5019f5834642dee0c44fba92da7</x:v>
      </x:c>
      <x:c r="S2888" t="n">
        <x:v>7</x:v>
      </x:c>
      <x:c r="T2888" t="str">
        <x:v>2018-12-31|2019-12-31|2020-12-31|2021-12-31|2022-12-31|2023-12-31</x:v>
      </x:c>
      <x:c r="U2888" s="57" t="n">
        <x:v>316.3274961914687</x:v>
      </x:c>
      <x:c r="V2888" s="57" t="n">
        <x:v>-0.8475530138836296</x:v>
      </x:c>
      <x:c r="W2888" t="n">
        <x:v>64</x:v>
      </x:c>
      <x:c r="X2888" t="n">
        <x:v>5</x:v>
      </x:c>
      <x:c r="Y2888" s="38" t="n">
        <x:v>0.6409090909090909</x:v>
      </x:c>
      <x:c r="Z2888" s="38" t="n">
        <x:v>0.6338544069218005</x:v>
      </x:c>
      <x:c r="AA2888"/>
    </x:row>
    <x:row r="2889">
      <x:c r="A2889" s="54" t="n">
        <x:v>45657</x:v>
      </x:c>
      <x:c r="B2889" t="n">
        <x:v>45657.624999988424</x:v>
      </x:c>
      <x:c r="C2889" t="str">
        <x:v>000890</x:v>
      </x:c>
      <x:c r="D2889" t="str">
        <x:v>보해양조</x:v>
      </x:c>
      <x:c r="E2889" t="str">
        <x:v>KOSPI</x:v>
      </x:c>
      <x:c r="F2889" t="str">
        <x:v>SMALL</x:v>
      </x:c>
      <x:c r="G2889" t="str">
        <x:v>DCF_SCREENING_EXCLUSION</x:v>
      </x:c>
      <x:c r="H2889" t="str">
        <x:v>NON_POSITIVE_ENTERPRISE_VALUE|NON_POSITIVE_EQUITY_VALUE|NON_POSITIVE_TERMINAL_FCF</x:v>
      </x:c>
      <x:c r="I2889" s="54" t="n">
        <x:v>45656</x:v>
      </x:c>
      <x:c r="J2889" s="55" t="n">
        <x:v>488</x:v>
      </x:c>
      <x:c r="K2889" s="55" t="n">
        <x:v>67890622952</x:v>
      </x:c>
      <x:c r="L2889" s="55" t="n">
        <x:v>139120129</x:v>
      </x:c>
      <x:c r="M2889" t="str">
        <x:v>20240318000717</x:v>
      </x:c>
      <x:c r="N2889" t="n">
        <x:v>45369.624999988424</x:v>
      </x:c>
      <x:c r="O2889" s="54" t="n">
        <x:v>45291</x:v>
      </x:c>
      <x:c r="P2889" t="str">
        <x:v>False</x:v>
      </x:c>
      <x:c r="Q2889" t="str">
        <x:v>b3c53e350bf9c01281e3b16751eaf662806bd4057ff6ed366c302b963d5d04e6</x:v>
      </x:c>
      <x:c r="R2889" t="str">
        <x:v>d0bad0e1706d964a5181b87f8d24979625906c140d943a25500018c037301fa0</x:v>
      </x:c>
      <x:c r="S2889" t="n">
        <x:v>6</x:v>
      </x:c>
      <x:c r="T2889" t="str">
        <x:v>2018-12-31|2019-12-31|2020-12-31|2021-12-31|2022-12-31|2023-12-31</x:v>
      </x:c>
      <x:c r="U2889" s="57" t="n">
        <x:v>-394.1806390797659</x:v>
      </x:c>
      <x:c r="V2889" s="57" t="n">
        <x:v>-1.8077472112290285</x:v>
      </x:c>
      <x:c r="W2889"/>
      <x:c r="X2889"/>
      <x:c r="Y2889" s="38" t="n">
        <x:v>0.6409090909090909</x:v>
      </x:c>
      <x:c r="Z2889" s="38" t="n">
        <x:v>0.5713667037677271</x:v>
      </x:c>
      <x:c r="AA2889" t="str">
        <x:v>NON_POSITIVE_ENTERPRISE_VALUE|NON_POSITIVE_EQUITY_VALUE|NON_POSITIVE_TERMINAL_FCF</x:v>
      </x:c>
    </x:row>
    <x:row r="2890">
      <x:c r="A2890" s="54" t="n">
        <x:v>45657</x:v>
      </x:c>
      <x:c r="B2890" t="n">
        <x:v>45657.624999988424</x:v>
      </x:c>
      <x:c r="C2890" t="str">
        <x:v>021050</x:v>
      </x:c>
      <x:c r="D2890" t="str">
        <x:v>서원</x:v>
      </x:c>
      <x:c r="E2890" t="str">
        <x:v>KOSPI</x:v>
      </x:c>
      <x:c r="F2890" t="str">
        <x:v>SMALL</x:v>
      </x:c>
      <x:c r="G2890" t="str">
        <x:v>DCF_SCREENING_EXCLUSION</x:v>
      </x:c>
      <x:c r="H2890" t="str">
        <x:v>NON_POSITIVE_EQUITY_VALUE</x:v>
      </x:c>
      <x:c r="I2890" s="54" t="n">
        <x:v>45656</x:v>
      </x:c>
      <x:c r="J2890" s="55" t="n">
        <x:v>1152</x:v>
      </x:c>
      <x:c r="K2890" s="55" t="n">
        <x:v>54690727680</x:v>
      </x:c>
      <x:c r="L2890" s="55" t="n">
        <x:v>47474590</x:v>
      </x:c>
      <x:c r="M2890" t="str">
        <x:v>20240320000669</x:v>
      </x:c>
      <x:c r="N2890" t="n">
        <x:v>45371.624999988424</x:v>
      </x:c>
      <x:c r="O2890" s="54" t="n">
        <x:v>45291</x:v>
      </x:c>
      <x:c r="P2890" t="str">
        <x:v>False</x:v>
      </x:c>
      <x:c r="Q2890" t="str">
        <x:v>13707779d33111bbbaa4b1cda7b65a9d917cfde93d6321bdaf18f2aa8c3fbf7d</x:v>
      </x:c>
      <x:c r="R2890" t="str">
        <x:v>0d3dc2f27a1014934f6fa3b2a755f1a6003dcd24254b2aa3015fc492d5b2bc72</x:v>
      </x:c>
      <x:c r="S2890" t="n">
        <x:v>6</x:v>
      </x:c>
      <x:c r="T2890" t="str">
        <x:v>2018-12-31|2019-12-31|2020-12-31|2021-12-31|2022-12-31|2023-12-31</x:v>
      </x:c>
      <x:c r="U2890" s="57" t="n">
        <x:v>-1207.9812308175005</x:v>
      </x:c>
      <x:c r="V2890" s="57" t="n">
        <x:v>-2.048594818417969</x:v>
      </x:c>
      <x:c r="W2890"/>
      <x:c r="X2890"/>
      <x:c r="Y2890" s="38" t="n">
        <x:v>0.6409090909090909</x:v>
      </x:c>
      <x:c r="Z2890" s="38" t="n">
        <x:v>0.8019023146303658</x:v>
      </x:c>
      <x:c r="AA2890" t="str">
        <x:v>NON_POSITIVE_EQUITY_VALUE</x:v>
      </x:c>
    </x:row>
    <x:row r="2891">
      <x:c r="A2891" s="54" t="n">
        <x:v>45657</x:v>
      </x:c>
      <x:c r="B2891" t="n">
        <x:v>45657.624999988424</x:v>
      </x:c>
      <x:c r="C2891" t="str">
        <x:v>134790</x:v>
      </x:c>
      <x:c r="D2891" t="str">
        <x:v>시디즈</x:v>
      </x:c>
      <x:c r="E2891" t="str">
        <x:v>KOSPI</x:v>
      </x:c>
      <x:c r="F2891" t="str">
        <x:v>SMALL</x:v>
      </x:c>
      <x:c r="G2891" t="str">
        <x:v>DCF_SCREENING_EXCLUSION</x:v>
      </x:c>
      <x:c r="H2891" t="str">
        <x:v>UNRELIABLE_TERMINAL_VALUE_SHARE</x:v>
      </x:c>
      <x:c r="I2891" s="54" t="n">
        <x:v>45656</x:v>
      </x:c>
      <x:c r="J2891" s="55" t="n">
        <x:v>22200</x:v>
      </x:c>
      <x:c r="K2891" s="55" t="n">
        <x:v>44400000000</x:v>
      </x:c>
      <x:c r="L2891" s="55" t="n">
        <x:v>2000000</x:v>
      </x:c>
      <x:c r="M2891" t="str">
        <x:v>20240321001589</x:v>
      </x:c>
      <x:c r="N2891" t="n">
        <x:v>45372.624999988424</x:v>
      </x:c>
      <x:c r="O2891" s="54" t="n">
        <x:v>45291</x:v>
      </x:c>
      <x:c r="P2891" t="str">
        <x:v>False</x:v>
      </x:c>
      <x:c r="Q2891" t="str">
        <x:v>71fd6eaec2fa751df2f680d2a9892f3a2c6083cce0eda5a28afa1df0f798582f</x:v>
      </x:c>
      <x:c r="R2891" t="str">
        <x:v>c0df1fe29e63e10e52d6d574ce4d4a6fec7a8e932a7232f34910265e23beab7d</x:v>
      </x:c>
      <x:c r="S2891" t="n">
        <x:v>6</x:v>
      </x:c>
      <x:c r="T2891" t="str">
        <x:v>2018-12-31|2019-12-31|2020-12-31|2021-12-31|2022-12-31|2023-12-31</x:v>
      </x:c>
      <x:c r="U2891" s="57" t="n">
        <x:v>20770.659888979455</x:v>
      </x:c>
      <x:c r="V2891" s="57" t="n">
        <x:v>-0.06438468968561017</x:v>
      </x:c>
      <x:c r="W2891"/>
      <x:c r="X2891"/>
      <x:c r="Y2891" s="38" t="n">
        <x:v>0.6409090909090909</x:v>
      </x:c>
      <x:c r="Z2891" s="38" t="n">
        <x:v>0.982914719870955</x:v>
      </x:c>
      <x:c r="AA2891" t="str">
        <x:v>UNRELIABLE_TERMINAL_VALUE_SHARE</x:v>
      </x:c>
    </x:row>
    <x:row r="2892">
      <x:c r="A2892" s="54" t="n">
        <x:v>45657</x:v>
      </x:c>
      <x:c r="B2892" t="n">
        <x:v>45657.624999988424</x:v>
      </x:c>
      <x:c r="C2892" t="str">
        <x:v>004920</x:v>
      </x:c>
      <x:c r="D2892" t="str">
        <x:v>씨아이테크</x:v>
      </x:c>
      <x:c r="E2892" t="str">
        <x:v>KOSPI</x:v>
      </x:c>
      <x:c r="F2892" t="str">
        <x:v>SMALL</x:v>
      </x:c>
      <x:c r="G2892" t="str">
        <x:v>DCF_SCREENING_EXCLUSION</x:v>
      </x:c>
      <x:c r="H2892" t="str">
        <x:v>NON_POSITIVE_ENTERPRISE_VALUE|NON_POSITIVE_EQUITY_VALUE|NON_POSITIVE_TERMINAL_FCF</x:v>
      </x:c>
      <x:c r="I2892" s="54" t="n">
        <x:v>45656</x:v>
      </x:c>
      <x:c r="J2892" s="55" t="n">
        <x:v>1130</x:v>
      </x:c>
      <x:c r="K2892" s="55" t="n">
        <x:v>56574346090</x:v>
      </x:c>
      <x:c r="L2892" s="55" t="n">
        <x:v>50065793</x:v>
      </x:c>
      <x:c r="M2892" t="str">
        <x:v>20230320000388</x:v>
      </x:c>
      <x:c r="N2892" t="n">
        <x:v>45005.624999988424</x:v>
      </x:c>
      <x:c r="O2892" s="54" t="n">
        <x:v>44926</x:v>
      </x:c>
      <x:c r="P2892" t="str">
        <x:v>False</x:v>
      </x:c>
      <x:c r="Q2892" t="str">
        <x:v>9d171d492d7f298cc2edf609b66dec5acde94c9a7fd778fd9b9fdec668887cd8</x:v>
      </x:c>
      <x:c r="R2892" t="str">
        <x:v>9302036e2699fc3141df99cf16ef66f975b5f1d676b5bebd06e6278c021f59d3</x:v>
      </x:c>
      <x:c r="S2892" t="n">
        <x:v>6</x:v>
      </x:c>
      <x:c r="T2892" t="str">
        <x:v>2018-12-31|2019-12-31|2020-12-31|2021-12-31|2022-12-31</x:v>
      </x:c>
      <x:c r="U2892" s="57" t="n">
        <x:v>-1040.053216400551</x:v>
      </x:c>
      <x:c r="V2892" s="57" t="n">
        <x:v>-1.9204010764606647</x:v>
      </x:c>
      <x:c r="W2892"/>
      <x:c r="X2892"/>
      <x:c r="Y2892" s="38" t="n">
        <x:v>0.6409090909090909</x:v>
      </x:c>
      <x:c r="Z2892" s="38" t="n">
        <x:v>0.6703860416593708</x:v>
      </x:c>
      <x:c r="AA2892" t="str">
        <x:v>NON_POSITIVE_ENTERPRISE_VALUE|NON_POSITIVE_EQUITY_VALUE|NON_POSITIVE_TERMINAL_FCF</x:v>
      </x:c>
    </x:row>
    <x:row r="2893">
      <x:c r="A2893" s="54" t="n">
        <x:v>45657</x:v>
      </x:c>
      <x:c r="B2893" t="n">
        <x:v>45657.624999988424</x:v>
      </x:c>
      <x:c r="C2893" t="str">
        <x:v>058730</x:v>
      </x:c>
      <x:c r="D2893" t="str">
        <x:v>다스코</x:v>
      </x:c>
      <x:c r="E2893" t="str">
        <x:v>KOSPI</x:v>
      </x:c>
      <x:c r="F2893" t="str">
        <x:v>SMALL</x:v>
      </x:c>
      <x:c r="G2893" t="str">
        <x:v>ELIGIBLE</x:v>
      </x:c>
      <x:c r="H2893"/>
      <x:c r="I2893" s="54" t="n">
        <x:v>45656</x:v>
      </x:c>
      <x:c r="J2893" s="55" t="n">
        <x:v>2855</x:v>
      </x:c>
      <x:c r="K2893" s="55" t="n">
        <x:v>53665266555</x:v>
      </x:c>
      <x:c r="L2893" s="55" t="n">
        <x:v>18796941</x:v>
      </x:c>
      <x:c r="M2893" t="str">
        <x:v>20240318000513</x:v>
      </x:c>
      <x:c r="N2893" t="n">
        <x:v>45369.624999988424</x:v>
      </x:c>
      <x:c r="O2893" s="54" t="n">
        <x:v>45291</x:v>
      </x:c>
      <x:c r="P2893" t="str">
        <x:v>False</x:v>
      </x:c>
      <x:c r="Q2893" t="str">
        <x:v>b1799d56761d7ad862919dc211fd8cc6521f964950ecb3c50cc9a511ff9d9af9</x:v>
      </x:c>
      <x:c r="R2893" t="str">
        <x:v>87b0088345015d392662a0f86392f19a7771af40288322e29d996059398d1793</x:v>
      </x:c>
      <x:c r="S2893" t="n">
        <x:v>7</x:v>
      </x:c>
      <x:c r="T2893" t="str">
        <x:v>2019-12-31|2020-12-31|2021-12-31|2022-12-31|2023-12-31</x:v>
      </x:c>
      <x:c r="U2893" s="57" t="n">
        <x:v>570.9145913299562</x:v>
      </x:c>
      <x:c r="V2893" s="57" t="n">
        <x:v>-0.8000299154711187</x:v>
      </x:c>
      <x:c r="W2893" t="n">
        <x:v>59</x:v>
      </x:c>
      <x:c r="X2893" t="n">
        <x:v>5</x:v>
      </x:c>
      <x:c r="Y2893" s="38" t="n">
        <x:v>0.6409090909090909</x:v>
      </x:c>
      <x:c r="Z2893" s="38" t="n">
        <x:v>0.144991969908655</x:v>
      </x:c>
      <x:c r="AA2893"/>
    </x:row>
    <x:row r="2894">
      <x:c r="A2894" s="54" t="n">
        <x:v>45657</x:v>
      </x:c>
      <x:c r="B2894" t="n">
        <x:v>45657.624999988424</x:v>
      </x:c>
      <x:c r="C2894" t="str">
        <x:v>465770</x:v>
      </x:c>
      <x:c r="D2894" t="str">
        <x:v>STX그린로지스</x:v>
      </x:c>
      <x:c r="E2894" t="str">
        <x:v>KOSPI</x:v>
      </x:c>
      <x:c r="F2894" t="str">
        <x:v>SMALL</x:v>
      </x:c>
      <x:c r="G2894" t="str">
        <x:v>NO_PIT_FINANCIALS</x:v>
      </x:c>
      <x:c r="H2894"/>
      <x:c r="I2894" s="54" t="n">
        <x:v>45656</x:v>
      </x:c>
      <x:c r="J2894" s="55" t="n">
        <x:v>7930</x:v>
      </x:c>
      <x:c r="K2894" s="55" t="n">
        <x:v>56866283760</x:v>
      </x:c>
      <x:c r="L2894" s="55" t="n">
        <x:v>7171032</x:v>
      </x:c>
      <x:c r="M2894"/>
      <x:c r="N2894"/>
      <x:c r="O2894" s="54"/>
      <x:c r="P2894"/>
      <x:c r="Q2894"/>
      <x:c r="R2894"/>
      <x:c r="S2894"/>
      <x:c r="T2894"/>
      <x:c r="U2894" s="57"/>
      <x:c r="V2894" s="57"/>
      <x:c r="W2894"/>
      <x:c r="X2894"/>
      <x:c r="Y2894" s="38"/>
      <x:c r="Z2894" s="38"/>
      <x:c r="AA2894"/>
    </x:row>
    <x:row r="2895">
      <x:c r="A2895" s="54" t="n">
        <x:v>45657</x:v>
      </x:c>
      <x:c r="B2895" t="n">
        <x:v>45657.624999988424</x:v>
      </x:c>
      <x:c r="C2895" t="str">
        <x:v>000950</x:v>
      </x:c>
      <x:c r="D2895" t="str">
        <x:v>전방</x:v>
      </x:c>
      <x:c r="E2895" t="str">
        <x:v>KOSPI</x:v>
      </x:c>
      <x:c r="F2895" t="str">
        <x:v>SMALL</x:v>
      </x:c>
      <x:c r="G2895" t="str">
        <x:v>DCF_SCREENING_EXCLUSION</x:v>
      </x:c>
      <x:c r="H2895" t="str">
        <x:v>NON_POSITIVE_ENTERPRISE_VALUE|NON_POSITIVE_EQUITY_VALUE|NON_POSITIVE_TERMINAL_FCF</x:v>
      </x:c>
      <x:c r="I2895" s="54" t="n">
        <x:v>45656</x:v>
      </x:c>
      <x:c r="J2895" s="55" t="n">
        <x:v>18440</x:v>
      </x:c>
      <x:c r="K2895" s="55" t="n">
        <x:v>30979200000</x:v>
      </x:c>
      <x:c r="L2895" s="55" t="n">
        <x:v>1680000</x:v>
      </x:c>
      <x:c r="M2895" t="str">
        <x:v>20240314001271</x:v>
      </x:c>
      <x:c r="N2895" t="n">
        <x:v>45365.624999988424</x:v>
      </x:c>
      <x:c r="O2895" s="54" t="n">
        <x:v>45291</x:v>
      </x:c>
      <x:c r="P2895" t="str">
        <x:v>False</x:v>
      </x:c>
      <x:c r="Q2895" t="str">
        <x:v>58dd3829eabf7b7557a79f6277780d6fea8d93e254fedd7f7680ba0df8f4675c</x:v>
      </x:c>
      <x:c r="R2895" t="str">
        <x:v>1b68ef9c2f30834bc0f16435717c9a7b7df2117d2d5a38b8e79c1ffa58a0745e</x:v>
      </x:c>
      <x:c r="S2895" t="n">
        <x:v>6</x:v>
      </x:c>
      <x:c r="T2895" t="str">
        <x:v>2018-12-31|2019-12-31|2020-12-31|2021-12-31|2022-12-31|2023-12-31</x:v>
      </x:c>
      <x:c r="U2895" s="57" t="n">
        <x:v>-85707.24367455572</x:v>
      </x:c>
      <x:c r="V2895" s="57" t="n">
        <x:v>-5.64789824699326</x:v>
      </x:c>
      <x:c r="W2895"/>
      <x:c r="X2895"/>
      <x:c r="Y2895" s="38" t="n">
        <x:v>0.6409090909090909</x:v>
      </x:c>
      <x:c r="Z2895" s="38" t="n">
        <x:v>0.6421691932697219</x:v>
      </x:c>
      <x:c r="AA2895" t="str">
        <x:v>NON_POSITIVE_ENTERPRISE_VALUE|NON_POSITIVE_EQUITY_VALUE|NON_POSITIVE_TERMINAL_FCF</x:v>
      </x:c>
    </x:row>
    <x:row r="2896">
      <x:c r="A2896" s="54" t="n">
        <x:v>45657</x:v>
      </x:c>
      <x:c r="B2896" t="n">
        <x:v>45657.624999988424</x:v>
      </x:c>
      <x:c r="C2896" t="str">
        <x:v>019180</x:v>
      </x:c>
      <x:c r="D2896" t="str">
        <x:v>티에이치엔</x:v>
      </x:c>
      <x:c r="E2896" t="str">
        <x:v>KOSPI</x:v>
      </x:c>
      <x:c r="F2896" t="str">
        <x:v>SMALL</x:v>
      </x:c>
      <x:c r="G2896" t="str">
        <x:v>ELIGIBLE</x:v>
      </x:c>
      <x:c r="H2896"/>
      <x:c r="I2896" s="54" t="n">
        <x:v>45656</x:v>
      </x:c>
      <x:c r="J2896" s="55" t="n">
        <x:v>3160</x:v>
      </x:c>
      <x:c r="K2896" s="55" t="n">
        <x:v>56880000000</x:v>
      </x:c>
      <x:c r="L2896" s="55" t="n">
        <x:v>18000000</x:v>
      </x:c>
      <x:c r="M2896" t="str">
        <x:v>20240320001057</x:v>
      </x:c>
      <x:c r="N2896" t="n">
        <x:v>45371.624999988424</x:v>
      </x:c>
      <x:c r="O2896" s="54" t="n">
        <x:v>45291</x:v>
      </x:c>
      <x:c r="P2896" t="str">
        <x:v>False</x:v>
      </x:c>
      <x:c r="Q2896" t="str">
        <x:v>94d5fe5e3b01bada9704628e28b7efc42c3ba8cc94dbf7d4b5665bbc34322aad</x:v>
      </x:c>
      <x:c r="R2896" t="str">
        <x:v>f17a34203fcc300e5e982172224dc617873eefc397c933b83156654f242224d3</x:v>
      </x:c>
      <x:c r="S2896" t="n">
        <x:v>6</x:v>
      </x:c>
      <x:c r="T2896" t="str">
        <x:v>2018-12-31|2019-12-31|2020-12-31|2021-12-31|2022-12-31|2023-12-31</x:v>
      </x:c>
      <x:c r="U2896" s="57" t="n">
        <x:v>6739.232065289754</x:v>
      </x:c>
      <x:c r="V2896" s="57" t="n">
        <x:v>1.1326683750916944</x:v>
      </x:c>
      <x:c r="W2896" t="n">
        <x:v>13</x:v>
      </x:c>
      <x:c r="X2896" t="n">
        <x:v>1</x:v>
      </x:c>
      <x:c r="Y2896" s="38" t="n">
        <x:v>0.6409090909090909</x:v>
      </x:c>
      <x:c r="Z2896" s="38" t="n">
        <x:v>0.5164052084034038</x:v>
      </x:c>
      <x:c r="AA2896"/>
    </x:row>
    <x:row r="2897">
      <x:c r="A2897" s="54" t="n">
        <x:v>45657</x:v>
      </x:c>
      <x:c r="B2897" t="n">
        <x:v>45657.624999988424</x:v>
      </x:c>
      <x:c r="C2897" t="str">
        <x:v>020760</x:v>
      </x:c>
      <x:c r="D2897" t="str">
        <x:v>일진디스플</x:v>
      </x:c>
      <x:c r="E2897" t="str">
        <x:v>KOSPI</x:v>
      </x:c>
      <x:c r="F2897" t="str">
        <x:v>SMALL</x:v>
      </x:c>
      <x:c r="G2897" t="str">
        <x:v>DCF_SCREENING_EXCLUSION</x:v>
      </x:c>
      <x:c r="H2897" t="str">
        <x:v>NON_POSITIVE_ENTERPRISE_VALUE|NON_POSITIVE_EQUITY_VALUE|NON_POSITIVE_TERMINAL_FCF</x:v>
      </x:c>
      <x:c r="I2897" s="54" t="n">
        <x:v>45656</x:v>
      </x:c>
      <x:c r="J2897" s="55" t="n">
        <x:v>830</x:v>
      </x:c>
      <x:c r="K2897" s="55" t="n">
        <x:v>42756405030</x:v>
      </x:c>
      <x:c r="L2897" s="55" t="n">
        <x:v>51513741</x:v>
      </x:c>
      <x:c r="M2897" t="str">
        <x:v>20240321001473</x:v>
      </x:c>
      <x:c r="N2897" t="n">
        <x:v>45372.624999988424</x:v>
      </x:c>
      <x:c r="O2897" s="54" t="n">
        <x:v>45291</x:v>
      </x:c>
      <x:c r="P2897" t="str">
        <x:v>False</x:v>
      </x:c>
      <x:c r="Q2897" t="str">
        <x:v>9c995e89352a2b5cdf57277db2a8c3ca65806474ba5d0affbd8494974407d338</x:v>
      </x:c>
      <x:c r="R2897" t="str">
        <x:v>879cec65b290be0c02ae6330fa19167fcbdbc44efbecfea1dfd7cc79f1597e76</x:v>
      </x:c>
      <x:c r="S2897" t="n">
        <x:v>6</x:v>
      </x:c>
      <x:c r="T2897" t="str">
        <x:v>2018-12-31|2019-12-31|2020-12-31|2021-12-31|2022-12-31|2023-12-31</x:v>
      </x:c>
      <x:c r="U2897" s="57" t="n">
        <x:v>-2349.731108985517</x:v>
      </x:c>
      <x:c r="V2897" s="57" t="n">
        <x:v>-3.831001336127129</x:v>
      </x:c>
      <x:c r="W2897"/>
      <x:c r="X2897"/>
      <x:c r="Y2897" s="38" t="n">
        <x:v>0.6409090909090909</x:v>
      </x:c>
      <x:c r="Z2897" s="38" t="n">
        <x:v>0.6581502733436171</x:v>
      </x:c>
      <x:c r="AA2897" t="str">
        <x:v>NON_POSITIVE_ENTERPRISE_VALUE|NON_POSITIVE_EQUITY_VALUE|NON_POSITIVE_TERMINAL_FCF</x:v>
      </x:c>
    </x:row>
    <x:row r="2898">
      <x:c r="A2898" s="54" t="n">
        <x:v>45657</x:v>
      </x:c>
      <x:c r="B2898" t="n">
        <x:v>45657.624999988424</x:v>
      </x:c>
      <x:c r="C2898" t="str">
        <x:v>069640</x:v>
      </x:c>
      <x:c r="D2898" t="str">
        <x:v>한세엠케이</x:v>
      </x:c>
      <x:c r="E2898" t="str">
        <x:v>KOSPI</x:v>
      </x:c>
      <x:c r="F2898" t="str">
        <x:v>SMALL</x:v>
      </x:c>
      <x:c r="G2898" t="str">
        <x:v>DCF_SCREENING_EXCLUSION</x:v>
      </x:c>
      <x:c r="H2898" t="str">
        <x:v>NON_POSITIVE_ENTERPRISE_VALUE|NON_POSITIVE_EQUITY_VALUE|NON_POSITIVE_TERMINAL_FCF</x:v>
      </x:c>
      <x:c r="I2898" s="54" t="n">
        <x:v>45656</x:v>
      </x:c>
      <x:c r="J2898" s="55" t="n">
        <x:v>1182</x:v>
      </x:c>
      <x:c r="K2898" s="55" t="n">
        <x:v>35585885364</x:v>
      </x:c>
      <x:c r="L2898" s="55" t="n">
        <x:v>30106502</x:v>
      </x:c>
      <x:c r="M2898" t="str">
        <x:v>20240321000107</x:v>
      </x:c>
      <x:c r="N2898" t="n">
        <x:v>45372.624999988424</x:v>
      </x:c>
      <x:c r="O2898" s="54" t="n">
        <x:v>45291</x:v>
      </x:c>
      <x:c r="P2898" t="str">
        <x:v>True</x:v>
      </x:c>
      <x:c r="Q2898" t="str">
        <x:v>c6c624ecad0caf29ef149a109a8c52a53ae799047eaff9c1c4473581418c8825</x:v>
      </x:c>
      <x:c r="R2898" t="str">
        <x:v>171f558e1151da07ffa10f911a581cd7b1da5c947fc9be89af3d7c8100a922cf</x:v>
      </x:c>
      <x:c r="S2898" t="n">
        <x:v>6</x:v>
      </x:c>
      <x:c r="T2898" t="str">
        <x:v>2018-12-31|2019-12-31|2020-12-31|2021-12-31|2022-12-31|2023-12-31</x:v>
      </x:c>
      <x:c r="U2898" s="57" t="n">
        <x:v>-8034.13585691119</x:v>
      </x:c>
      <x:c r="V2898" s="57" t="n">
        <x:v>-7.797069252885947</x:v>
      </x:c>
      <x:c r="W2898"/>
      <x:c r="X2898"/>
      <x:c r="Y2898" s="38" t="n">
        <x:v>0.6409090909090909</x:v>
      </x:c>
      <x:c r="Z2898" s="38" t="n">
        <x:v>0.7685873680556787</x:v>
      </x:c>
      <x:c r="AA2898" t="str">
        <x:v>NON_POSITIVE_ENTERPRISE_VALUE|NON_POSITIVE_EQUITY_VALUE|NON_POSITIVE_TERMINAL_FCF</x:v>
      </x:c>
    </x:row>
    <x:row r="2899">
      <x:c r="A2899" s="54" t="n">
        <x:v>45657</x:v>
      </x:c>
      <x:c r="B2899" t="n">
        <x:v>45657.624999988424</x:v>
      </x:c>
      <x:c r="C2899" t="str">
        <x:v>000040</x:v>
      </x:c>
      <x:c r="D2899" t="str">
        <x:v>KR모터스</x:v>
      </x:c>
      <x:c r="E2899" t="str">
        <x:v>KOSPI</x:v>
      </x:c>
      <x:c r="F2899" t="str">
        <x:v>SMALL</x:v>
      </x:c>
      <x:c r="G2899" t="str">
        <x:v>DCF_SCREENING_EXCLUSION</x:v>
      </x:c>
      <x:c r="H2899" t="str">
        <x:v>NON_POSITIVE_ENTERPRISE_VALUE|NON_POSITIVE_EQUITY_VALUE|NON_POSITIVE_TERMINAL_FCF</x:v>
      </x:c>
      <x:c r="I2899" s="54" t="n">
        <x:v>45656</x:v>
      </x:c>
      <x:c r="J2899" s="55" t="n">
        <x:v>454</x:v>
      </x:c>
      <x:c r="K2899" s="55" t="n">
        <x:v>27300322072</x:v>
      </x:c>
      <x:c r="L2899" s="55" t="n">
        <x:v>60132868</x:v>
      </x:c>
      <x:c r="M2899" t="str">
        <x:v>20240321002062</x:v>
      </x:c>
      <x:c r="N2899" t="n">
        <x:v>45372.624999988424</x:v>
      </x:c>
      <x:c r="O2899" s="54" t="n">
        <x:v>45291</x:v>
      </x:c>
      <x:c r="P2899" t="str">
        <x:v>False</x:v>
      </x:c>
      <x:c r="Q2899" t="str">
        <x:v>2f9eded2ace2c621de3e5bda4d271b017b34b655a8cd7d03d373060803c53315</x:v>
      </x:c>
      <x:c r="R2899" t="str">
        <x:v>98f936772d8238d60c680cae69992200bef04cf3236dda197953f9312090cded</x:v>
      </x:c>
      <x:c r="S2899" t="n">
        <x:v>6</x:v>
      </x:c>
      <x:c r="T2899" t="str">
        <x:v>2018-12-31|2019-12-31|2020-12-31|2021-12-31|2022-12-31|2023-12-31</x:v>
      </x:c>
      <x:c r="U2899" s="57" t="n">
        <x:v>-1538.3670603283913</x:v>
      </x:c>
      <x:c r="V2899" s="57" t="n">
        <x:v>-4.388473701163857</x:v>
      </x:c>
      <x:c r="W2899"/>
      <x:c r="X2899"/>
      <x:c r="Y2899" s="38" t="n">
        <x:v>0.6409090909090909</x:v>
      </x:c>
      <x:c r="Z2899" s="38" t="n">
        <x:v>0.5333062008682303</x:v>
      </x:c>
      <x:c r="AA2899" t="str">
        <x:v>NON_POSITIVE_ENTERPRISE_VALUE|NON_POSITIVE_EQUITY_VALUE|NON_POSITIVE_TERMINAL_FCF</x:v>
      </x:c>
    </x:row>
    <x:row r="2900">
      <x:c r="A2900" s="54" t="n">
        <x:v>45657</x:v>
      </x:c>
      <x:c r="B2900" t="n">
        <x:v>45657.624999988424</x:v>
      </x:c>
      <x:c r="C2900" t="str">
        <x:v>003680</x:v>
      </x:c>
      <x:c r="D2900" t="str">
        <x:v>한성기업</x:v>
      </x:c>
      <x:c r="E2900" t="str">
        <x:v>KOSPI</x:v>
      </x:c>
      <x:c r="F2900" t="str">
        <x:v>SMALL</x:v>
      </x:c>
      <x:c r="G2900" t="str">
        <x:v>DCF_SCREENING_EXCLUSION</x:v>
      </x:c>
      <x:c r="H2900" t="str">
        <x:v>NON_POSITIVE_EQUITY_VALUE</x:v>
      </x:c>
      <x:c r="I2900" s="54" t="n">
        <x:v>45656</x:v>
      </x:c>
      <x:c r="J2900" s="55" t="n">
        <x:v>5040</x:v>
      </x:c>
      <x:c r="K2900" s="55" t="n">
        <x:v>31295955600</x:v>
      </x:c>
      <x:c r="L2900" s="55" t="n">
        <x:v>6209515</x:v>
      </x:c>
      <x:c r="M2900" t="str">
        <x:v>20240320000851</x:v>
      </x:c>
      <x:c r="N2900" t="n">
        <x:v>45371.624999988424</x:v>
      </x:c>
      <x:c r="O2900" s="54" t="n">
        <x:v>45291</x:v>
      </x:c>
      <x:c r="P2900" t="str">
        <x:v>False</x:v>
      </x:c>
      <x:c r="Q2900" t="str">
        <x:v>4d3b13cc19e66ba4c11683b19dd4a9fff06cc03287eb96eb808fa9bb53525127</x:v>
      </x:c>
      <x:c r="R2900" t="str">
        <x:v>aeaeb4eafcf7e2169330bef04f4ceffb70a69df8703cb76add8d5c06c50c55f2</x:v>
      </x:c>
      <x:c r="S2900" t="n">
        <x:v>7</x:v>
      </x:c>
      <x:c r="T2900" t="str">
        <x:v>2018-12-31|2019-12-31|2020-12-31|2021-12-31|2022-12-31|2023-12-31</x:v>
      </x:c>
      <x:c r="U2900" s="57" t="n">
        <x:v>-251.2292333481937</x:v>
      </x:c>
      <x:c r="V2900" s="57" t="n">
        <x:v>-1.0498470701087685</x:v>
      </x:c>
      <x:c r="W2900"/>
      <x:c r="X2900"/>
      <x:c r="Y2900" s="38" t="n">
        <x:v>0.6409090909090909</x:v>
      </x:c>
      <x:c r="Z2900" s="38" t="n">
        <x:v>0.41485910212059907</x:v>
      </x:c>
      <x:c r="AA2900" t="str">
        <x:v>NON_POSITIVE_EQUITY_VALUE</x:v>
      </x:c>
    </x:row>
    <x:row r="2901">
      <x:c r="A2901" s="54" t="n">
        <x:v>45657</x:v>
      </x:c>
      <x:c r="B2901" t="n">
        <x:v>45657.624999988424</x:v>
      </x:c>
      <x:c r="C2901" t="str">
        <x:v>008600</x:v>
      </x:c>
      <x:c r="D2901" t="str">
        <x:v>윌비스</x:v>
      </x:c>
      <x:c r="E2901" t="str">
        <x:v>KOSPI</x:v>
      </x:c>
      <x:c r="F2901" t="str">
        <x:v>SMALL</x:v>
      </x:c>
      <x:c r="G2901" t="str">
        <x:v>DCF_SCREENING_EXCLUSION</x:v>
      </x:c>
      <x:c r="H2901" t="str">
        <x:v>NON_POSITIVE_ENTERPRISE_VALUE|NON_POSITIVE_EQUITY_VALUE|NON_POSITIVE_TERMINAL_FCF|UNRELIABLE_TERMINAL_VALUE_SHARE</x:v>
      </x:c>
      <x:c r="I2901" s="54" t="n">
        <x:v>45656</x:v>
      </x:c>
      <x:c r="J2901" s="55" t="n">
        <x:v>700</x:v>
      </x:c>
      <x:c r="K2901" s="55" t="n">
        <x:v>47065227300</x:v>
      </x:c>
      <x:c r="L2901" s="55" t="n">
        <x:v>67236039</x:v>
      </x:c>
      <x:c r="M2901" t="str">
        <x:v>20240321001447</x:v>
      </x:c>
      <x:c r="N2901" t="n">
        <x:v>45372.624999988424</x:v>
      </x:c>
      <x:c r="O2901" s="54" t="n">
        <x:v>45291</x:v>
      </x:c>
      <x:c r="P2901" t="str">
        <x:v>False</x:v>
      </x:c>
      <x:c r="Q2901" t="str">
        <x:v>2b2bcbc75dccb36df46b9b9baf8736ac46a111885d7844e74bc39e18d97f56e8</x:v>
      </x:c>
      <x:c r="R2901" t="str">
        <x:v>3a1540abc77616d8d510e3e9d5cd1867bc6d8a51975437ce72c1ff35b4d019d2</x:v>
      </x:c>
      <x:c r="S2901" t="n">
        <x:v>6</x:v>
      </x:c>
      <x:c r="T2901" t="str">
        <x:v>2018-12-31|2019-12-31|2020-12-31|2021-12-31|2022-12-31|2023-12-31</x:v>
      </x:c>
      <x:c r="U2901" s="57" t="n">
        <x:v>-2244.048633515764</x:v>
      </x:c>
      <x:c r="V2901" s="57" t="n">
        <x:v>-4.205783762165377</x:v>
      </x:c>
      <x:c r="W2901"/>
      <x:c r="X2901"/>
      <x:c r="Y2901" s="38" t="n">
        <x:v>0.6409090909090909</x:v>
      </x:c>
      <x:c r="Z2901" s="38" t="n">
        <x:v>1.0651186144863742</x:v>
      </x:c>
      <x:c r="AA2901" t="str">
        <x:v>NON_POSITIVE_ENTERPRISE_VALUE|NON_POSITIVE_EQUITY_VALUE|NON_POSITIVE_TERMINAL_FCF|UNRELIABLE_TERMINAL_VALUE_SHARE</x:v>
      </x:c>
    </x:row>
    <x:row r="2902">
      <x:c r="A2902" s="54" t="n">
        <x:v>45657</x:v>
      </x:c>
      <x:c r="B2902" t="n">
        <x:v>45657.624999988424</x:v>
      </x:c>
      <x:c r="C2902" t="str">
        <x:v>018310</x:v>
      </x:c>
      <x:c r="D2902" t="str">
        <x:v>삼목에스폼</x:v>
      </x:c>
      <x:c r="E2902" t="str">
        <x:v>KOSDAQ</x:v>
      </x:c>
      <x:c r="F2902" t="str">
        <x:v>MID</x:v>
      </x:c>
      <x:c r="G2902" t="str">
        <x:v>ELIGIBLE</x:v>
      </x:c>
      <x:c r="H2902"/>
      <x:c r="I2902" s="54" t="n">
        <x:v>45656</x:v>
      </x:c>
      <x:c r="J2902" s="55" t="n">
        <x:v>21000</x:v>
      </x:c>
      <x:c r="K2902" s="55" t="n">
        <x:v>308700000000</x:v>
      </x:c>
      <x:c r="L2902" s="55" t="n">
        <x:v>14700000</x:v>
      </x:c>
      <x:c r="M2902" t="str">
        <x:v>20240321001591</x:v>
      </x:c>
      <x:c r="N2902" t="n">
        <x:v>45372.624999988424</x:v>
      </x:c>
      <x:c r="O2902" s="54" t="n">
        <x:v>45291</x:v>
      </x:c>
      <x:c r="P2902" t="str">
        <x:v>False</x:v>
      </x:c>
      <x:c r="Q2902" t="str">
        <x:v>b642c65f29eeb6af33c837fb4f87024ed3698ab7140eb33f5c98e1bf48137c08</x:v>
      </x:c>
      <x:c r="R2902" t="str">
        <x:v>274d7ac112ebedf4e991cbf1ea1b36c68be73c87a7c18528e3d2597bdb5a6953</x:v>
      </x:c>
      <x:c r="S2902" t="n">
        <x:v>6</x:v>
      </x:c>
      <x:c r="T2902" t="str">
        <x:v>2018-12-31|2019-12-31|2020-12-31|2021-12-31|2022-12-31|2023-12-31</x:v>
      </x:c>
      <x:c r="U2902" s="57" t="n">
        <x:v>47359.36110143023</x:v>
      </x:c>
      <x:c r="V2902" s="57" t="n">
        <x:v>1.2552076714966778</x:v>
      </x:c>
      <x:c r="W2902" t="n">
        <x:v>12</x:v>
      </x:c>
      <x:c r="X2902" t="n">
        <x:v>1</x:v>
      </x:c>
      <x:c r="Y2902" s="38" t="n">
        <x:v>0.6409090909090909</x:v>
      </x:c>
      <x:c r="Z2902" s="38" t="n">
        <x:v>0.5795746440054866</x:v>
      </x:c>
      <x:c r="AA2902"/>
    </x:row>
    <x:row r="2903">
      <x:c r="A2903" s="54" t="n">
        <x:v>45657</x:v>
      </x:c>
      <x:c r="B2903" t="n">
        <x:v>45657.624999988424</x:v>
      </x:c>
      <x:c r="C2903" t="str">
        <x:v>090360</x:v>
      </x:c>
      <x:c r="D2903" t="str">
        <x:v>로보스타</x:v>
      </x:c>
      <x:c r="E2903" t="str">
        <x:v>KOSDAQ</x:v>
      </x:c>
      <x:c r="F2903" t="str">
        <x:v>MID</x:v>
      </x:c>
      <x:c r="G2903" t="str">
        <x:v>DCF_SCREENING_EXCLUSION</x:v>
      </x:c>
      <x:c r="H2903" t="str">
        <x:v>NON_POSITIVE_ENTERPRISE_VALUE|NON_POSITIVE_TERMINAL_FCF|UNRELIABLE_TERMINAL_VALUE_SHARE</x:v>
      </x:c>
      <x:c r="I2903" s="54" t="n">
        <x:v>45656</x:v>
      </x:c>
      <x:c r="J2903" s="55" t="n">
        <x:v>21900</x:v>
      </x:c>
      <x:c r="K2903" s="55" t="n">
        <x:v>213525000000</x:v>
      </x:c>
      <x:c r="L2903" s="55" t="n">
        <x:v>9750000</x:v>
      </x:c>
      <x:c r="M2903" t="str">
        <x:v>20240314001416</x:v>
      </x:c>
      <x:c r="N2903" t="n">
        <x:v>45365.624999988424</x:v>
      </x:c>
      <x:c r="O2903" s="54" t="n">
        <x:v>45291</x:v>
      </x:c>
      <x:c r="P2903" t="str">
        <x:v>False</x:v>
      </x:c>
      <x:c r="Q2903" t="str">
        <x:v>37ee07bfb8d061c135df8bd2eb69253a734b8f52886d8cce2f024a20d1cc237e</x:v>
      </x:c>
      <x:c r="R2903" t="str">
        <x:v>aa3db28f0145e23dff5dbed4d487e72ea79203422a04851f738cb41708fc7da8</x:v>
      </x:c>
      <x:c r="S2903" t="n">
        <x:v>5</x:v>
      </x:c>
      <x:c r="T2903" t="str">
        <x:v>2018-12-31|2019-12-31|2020-12-31|2021-12-31|2022-12-31|2023-12-31</x:v>
      </x:c>
      <x:c r="U2903" s="57" t="n">
        <x:v>2043.0268994379805</x:v>
      </x:c>
      <x:c r="V2903" s="57" t="n">
        <x:v>-0.906711100482284</x:v>
      </x:c>
      <x:c r="W2903"/>
      <x:c r="X2903"/>
      <x:c r="Y2903" s="38" t="n">
        <x:v>0.6409090909090909</x:v>
      </x:c>
      <x:c r="Z2903" s="38" t="n">
        <x:v>1.1319150275221614</x:v>
      </x:c>
      <x:c r="AA2903" t="str">
        <x:v>NON_POSITIVE_ENTERPRISE_VALUE|NON_POSITIVE_TERMINAL_FCF|UNRELIABLE_TERMINAL_VALUE_SHARE</x:v>
      </x:c>
    </x:row>
    <x:row r="2904">
      <x:c r="A2904" s="54" t="n">
        <x:v>45657</x:v>
      </x:c>
      <x:c r="B2904" t="n">
        <x:v>45657.624999988424</x:v>
      </x:c>
      <x:c r="C2904" t="str">
        <x:v>144960</x:v>
      </x:c>
      <x:c r="D2904" t="str">
        <x:v>뉴파워프라즈마</x:v>
      </x:c>
      <x:c r="E2904" t="str">
        <x:v>KOSDAQ</x:v>
      </x:c>
      <x:c r="F2904" t="str">
        <x:v>MID</x:v>
      </x:c>
      <x:c r="G2904" t="str">
        <x:v>DCF_SCREENING_EXCLUSION</x:v>
      </x:c>
      <x:c r="H2904" t="str">
        <x:v>UNRELIABLE_TERMINAL_VALUE_SHARE</x:v>
      </x:c>
      <x:c r="I2904" s="54" t="n">
        <x:v>45656</x:v>
      </x:c>
      <x:c r="J2904" s="55" t="n">
        <x:v>4420</x:v>
      </x:c>
      <x:c r="K2904" s="55" t="n">
        <x:v>193121398080</x:v>
      </x:c>
      <x:c r="L2904" s="55" t="n">
        <x:v>43692624</x:v>
      </x:c>
      <x:c r="M2904" t="str">
        <x:v>20240321000704</x:v>
      </x:c>
      <x:c r="N2904" t="n">
        <x:v>45372.624999988424</x:v>
      </x:c>
      <x:c r="O2904" s="54" t="n">
        <x:v>45291</x:v>
      </x:c>
      <x:c r="P2904" t="str">
        <x:v>False</x:v>
      </x:c>
      <x:c r="Q2904" t="str">
        <x:v>b5e89db27ae39318ccb2673d5a114f48c2d3177720aeef0fb3ebdc01f3fcc69c</x:v>
      </x:c>
      <x:c r="R2904" t="str">
        <x:v>ff46cc8323fdf10cd2f64b2bb4c57f836a1a61d98b17a6bcd0bf337779d7591f</x:v>
      </x:c>
      <x:c r="S2904" t="n">
        <x:v>6</x:v>
      </x:c>
      <x:c r="T2904" t="str">
        <x:v>2018-12-31|2019-12-31|2020-12-31|2021-12-31|2022-12-31|2023-12-31</x:v>
      </x:c>
      <x:c r="U2904" s="57" t="n">
        <x:v>387.1672566268894</x:v>
      </x:c>
      <x:c r="V2904" s="57" t="n">
        <x:v>-0.9124055980482151</x:v>
      </x:c>
      <x:c r="W2904"/>
      <x:c r="X2904"/>
      <x:c r="Y2904" s="38" t="n">
        <x:v>0.6409090909090909</x:v>
      </x:c>
      <x:c r="Z2904" s="38" t="n">
        <x:v>1.0088078840844468</x:v>
      </x:c>
      <x:c r="AA2904" t="str">
        <x:v>UNRELIABLE_TERMINAL_VALUE_SHARE</x:v>
      </x:c>
    </x:row>
    <x:row r="2905">
      <x:c r="A2905" s="54" t="n">
        <x:v>45657</x:v>
      </x:c>
      <x:c r="B2905" t="n">
        <x:v>45657.624999988424</x:v>
      </x:c>
      <x:c r="C2905" t="str">
        <x:v>065660</x:v>
      </x:c>
      <x:c r="D2905" t="str">
        <x:v>안트로젠</x:v>
      </x:c>
      <x:c r="E2905" t="str">
        <x:v>KOSDAQ</x:v>
      </x:c>
      <x:c r="F2905" t="str">
        <x:v>MID</x:v>
      </x:c>
      <x:c r="G2905" t="str">
        <x:v>DCF_SCREENING_EXCLUSION</x:v>
      </x:c>
      <x:c r="H2905" t="str">
        <x:v>NON_POSITIVE_ENTERPRISE_VALUE|NON_POSITIVE_EQUITY_VALUE|NON_POSITIVE_TERMINAL_FCF</x:v>
      </x:c>
      <x:c r="I2905" s="54" t="n">
        <x:v>45656</x:v>
      </x:c>
      <x:c r="J2905" s="55" t="n">
        <x:v>18890</x:v>
      </x:c>
      <x:c r="K2905" s="55" t="n">
        <x:v>183825635970</x:v>
      </x:c>
      <x:c r="L2905" s="55" t="n">
        <x:v>9731373</x:v>
      </x:c>
      <x:c r="M2905" t="str">
        <x:v>20240318000493</x:v>
      </x:c>
      <x:c r="N2905" t="n">
        <x:v>45369.624999988424</x:v>
      </x:c>
      <x:c r="O2905" s="54" t="n">
        <x:v>45291</x:v>
      </x:c>
      <x:c r="P2905" t="str">
        <x:v>False</x:v>
      </x:c>
      <x:c r="Q2905" t="str">
        <x:v>ef60674049d682351099faa34e3eb62d977003f9a33daf57158b2ec3042418b6</x:v>
      </x:c>
      <x:c r="R2905" t="str">
        <x:v>355c77e90835ddf6571455999b69129084341fcdd9472c5729fb0d907b43ba6e</x:v>
      </x:c>
      <x:c r="S2905" t="n">
        <x:v>6</x:v>
      </x:c>
      <x:c r="T2905" t="str">
        <x:v>2018-12-31|2019-12-31|2020-12-31|2021-12-31|2023-12-31</x:v>
      </x:c>
      <x:c r="U2905" s="57" t="n">
        <x:v>-2734.5691435966323</x:v>
      </x:c>
      <x:c r="V2905" s="57" t="n">
        <x:v>-1.1447627921438133</x:v>
      </x:c>
      <x:c r="W2905"/>
      <x:c r="X2905"/>
      <x:c r="Y2905" s="38" t="n">
        <x:v>0.6409090909090909</x:v>
      </x:c>
      <x:c r="Z2905" s="38" t="n">
        <x:v>0.6666592455022953</x:v>
      </x:c>
      <x:c r="AA2905" t="str">
        <x:v>NON_POSITIVE_ENTERPRISE_VALUE|NON_POSITIVE_EQUITY_VALUE|NON_POSITIVE_TERMINAL_FCF</x:v>
      </x:c>
    </x:row>
    <x:row r="2906">
      <x:c r="A2906" s="54" t="n">
        <x:v>45657</x:v>
      </x:c>
      <x:c r="B2906" t="n">
        <x:v>45657.624999988424</x:v>
      </x:c>
      <x:c r="C2906" t="str">
        <x:v>255220</x:v>
      </x:c>
      <x:c r="D2906" t="str">
        <x:v>SG</x:v>
      </x:c>
      <x:c r="E2906" t="str">
        <x:v>KOSDAQ</x:v>
      </x:c>
      <x:c r="F2906" t="str">
        <x:v>MID</x:v>
      </x:c>
      <x:c r="G2906" t="str">
        <x:v>DCF_SCREENING_EXCLUSION</x:v>
      </x:c>
      <x:c r="H2906" t="str">
        <x:v>NON_POSITIVE_ENTERPRISE_VALUE|NON_POSITIVE_EQUITY_VALUE|NON_POSITIVE_TERMINAL_FCF</x:v>
      </x:c>
      <x:c r="I2906" s="54" t="n">
        <x:v>45656</x:v>
      </x:c>
      <x:c r="J2906" s="55" t="n">
        <x:v>2860</x:v>
      </x:c>
      <x:c r="K2906" s="55" t="n">
        <x:v>277299548240</x:v>
      </x:c>
      <x:c r="L2906" s="55" t="n">
        <x:v>96957884</x:v>
      </x:c>
      <x:c r="M2906" t="str">
        <x:v>20240320001577</x:v>
      </x:c>
      <x:c r="N2906" t="n">
        <x:v>45371.624999988424</x:v>
      </x:c>
      <x:c r="O2906" s="54" t="n">
        <x:v>45291</x:v>
      </x:c>
      <x:c r="P2906" t="str">
        <x:v>False</x:v>
      </x:c>
      <x:c r="Q2906" t="str">
        <x:v>802033ebe05b476b11a5cd33571e1b1340c0db3ce02c2d235192981aee1f89bd</x:v>
      </x:c>
      <x:c r="R2906" t="str">
        <x:v>8b0a222bea654a5f7372b265555038bdf285365448e48f99856645c6bb017357</x:v>
      </x:c>
      <x:c r="S2906" t="n">
        <x:v>6</x:v>
      </x:c>
      <x:c r="T2906" t="str">
        <x:v>2018-12-31|2019-12-31|2020-12-31|2021-12-31|2022-12-31|2023-12-31</x:v>
      </x:c>
      <x:c r="U2906" s="57" t="n">
        <x:v>-768.7369866991171</x:v>
      </x:c>
      <x:c r="V2906" s="57" t="n">
        <x:v>-1.2687891561885025</x:v>
      </x:c>
      <x:c r="W2906"/>
      <x:c r="X2906"/>
      <x:c r="Y2906" s="38" t="n">
        <x:v>0.6409090909090909</x:v>
      </x:c>
      <x:c r="Z2906" s="38" t="n">
        <x:v>0.07725377279525597</x:v>
      </x:c>
      <x:c r="AA2906" t="str">
        <x:v>NON_POSITIVE_ENTERPRISE_VALUE|NON_POSITIVE_EQUITY_VALUE|NON_POSITIVE_TERMINAL_FCF</x:v>
      </x:c>
    </x:row>
    <x:row r="2907">
      <x:c r="A2907" s="54" t="n">
        <x:v>45657</x:v>
      </x:c>
      <x:c r="B2907" t="n">
        <x:v>45657.624999988424</x:v>
      </x:c>
      <x:c r="C2907" t="str">
        <x:v>356680</x:v>
      </x:c>
      <x:c r="D2907" t="str">
        <x:v>엑스게이트</x:v>
      </x:c>
      <x:c r="E2907" t="str">
        <x:v>KOSDAQ</x:v>
      </x:c>
      <x:c r="F2907" t="str">
        <x:v>MID</x:v>
      </x:c>
      <x:c r="G2907" t="str">
        <x:v>ELIGIBLE</x:v>
      </x:c>
      <x:c r="H2907"/>
      <x:c r="I2907" s="54" t="n">
        <x:v>45656</x:v>
      </x:c>
      <x:c r="J2907" s="55" t="n">
        <x:v>10390</x:v>
      </x:c>
      <x:c r="K2907" s="55" t="n">
        <x:v>296566881880</x:v>
      </x:c>
      <x:c r="L2907" s="55" t="n">
        <x:v>28543492</x:v>
      </x:c>
      <x:c r="M2907" t="str">
        <x:v>20240320000741</x:v>
      </x:c>
      <x:c r="N2907" t="n">
        <x:v>45371.624999988424</x:v>
      </x:c>
      <x:c r="O2907" s="54" t="n">
        <x:v>45291</x:v>
      </x:c>
      <x:c r="P2907" t="str">
        <x:v>False</x:v>
      </x:c>
      <x:c r="Q2907" t="str">
        <x:v>411dba391a5618a47e342cff6469dfec93ffa310f1426596899b9268827e4688</x:v>
      </x:c>
      <x:c r="R2907" t="str">
        <x:v>91c28fca4bd93ccfc833effbc7172fbbb98fdc8d3de43e888c92a2b75ddc7b35</x:v>
      </x:c>
      <x:c r="S2907" t="n">
        <x:v>7</x:v>
      </x:c>
      <x:c r="T2907" t="str">
        <x:v>2022-12-31|2023-12-31</x:v>
      </x:c>
      <x:c r="U2907" s="57" t="n">
        <x:v>1527.357058793884</x:v>
      </x:c>
      <x:c r="V2907" s="57" t="n">
        <x:v>-0.8529973956887503</x:v>
      </x:c>
      <x:c r="W2907" t="n">
        <x:v>65</x:v>
      </x:c>
      <x:c r="X2907" t="n">
        <x:v>5</x:v>
      </x:c>
      <x:c r="Y2907" s="38" t="n">
        <x:v>0.6409090909090909</x:v>
      </x:c>
      <x:c r="Z2907" s="38" t="n">
        <x:v>0.8118552005286007</x:v>
      </x:c>
      <x:c r="AA2907"/>
    </x:row>
    <x:row r="2908">
      <x:c r="A2908" s="54" t="n">
        <x:v>45657</x:v>
      </x:c>
      <x:c r="B2908" t="n">
        <x:v>45657.624999988424</x:v>
      </x:c>
      <x:c r="C2908" t="str">
        <x:v>038390</x:v>
      </x:c>
      <x:c r="D2908" t="str">
        <x:v>레드캡투어</x:v>
      </x:c>
      <x:c r="E2908" t="str">
        <x:v>KOSDAQ</x:v>
      </x:c>
      <x:c r="F2908" t="str">
        <x:v>MID</x:v>
      </x:c>
      <x:c r="G2908" t="str">
        <x:v>ELIGIBLE</x:v>
      </x:c>
      <x:c r="H2908"/>
      <x:c r="I2908" s="54" t="n">
        <x:v>45656</x:v>
      </x:c>
      <x:c r="J2908" s="55" t="n">
        <x:v>8590</x:v>
      </x:c>
      <x:c r="K2908" s="55" t="n">
        <x:v>143631860980</x:v>
      </x:c>
      <x:c r="L2908" s="55" t="n">
        <x:v>16720822</x:v>
      </x:c>
      <x:c r="M2908" t="str">
        <x:v>20240314001063</x:v>
      </x:c>
      <x:c r="N2908" t="n">
        <x:v>45365.624999988424</x:v>
      </x:c>
      <x:c r="O2908" s="54" t="n">
        <x:v>45291</x:v>
      </x:c>
      <x:c r="P2908" t="str">
        <x:v>False</x:v>
      </x:c>
      <x:c r="Q2908" t="str">
        <x:v>fd36d793118950285fee662f10fac7fcdc129f8f3143b98ce551f6ce54038473</x:v>
      </x:c>
      <x:c r="R2908" t="str">
        <x:v>568919094dea73f6d3a242c07a8b08042db0121da9db32409f91e94da6d96886</x:v>
      </x:c>
      <x:c r="S2908" t="n">
        <x:v>6</x:v>
      </x:c>
      <x:c r="T2908" t="str">
        <x:v>2018-12-31|2019-12-31|2020-12-31|2021-12-31|2022-12-31|2023-12-31</x:v>
      </x:c>
      <x:c r="U2908" s="57" t="n">
        <x:v>11121.418573564975</x:v>
      </x:c>
      <x:c r="V2908" s="57" t="n">
        <x:v>0.2946936639772964</x:v>
      </x:c>
      <x:c r="W2908" t="n">
        <x:v>23</x:v>
      </x:c>
      <x:c r="X2908" t="n">
        <x:v>2</x:v>
      </x:c>
      <x:c r="Y2908" s="38" t="n">
        <x:v>0.6409090909090909</x:v>
      </x:c>
      <x:c r="Z2908" s="38" t="n">
        <x:v>0.6611393478171571</x:v>
      </x:c>
      <x:c r="AA2908"/>
    </x:row>
    <x:row r="2909">
      <x:c r="A2909" s="54" t="n">
        <x:v>45657</x:v>
      </x:c>
      <x:c r="B2909" t="n">
        <x:v>45657.624999988424</x:v>
      </x:c>
      <x:c r="C2909" t="str">
        <x:v>083930</x:v>
      </x:c>
      <x:c r="D2909" t="str">
        <x:v>아바코</x:v>
      </x:c>
      <x:c r="E2909" t="str">
        <x:v>KOSDAQ</x:v>
      </x:c>
      <x:c r="F2909" t="str">
        <x:v>MID</x:v>
      </x:c>
      <x:c r="G2909" t="str">
        <x:v>ELIGIBLE</x:v>
      </x:c>
      <x:c r="H2909"/>
      <x:c r="I2909" s="54" t="n">
        <x:v>45656</x:v>
      </x:c>
      <x:c r="J2909" s="55" t="n">
        <x:v>12020</x:v>
      </x:c>
      <x:c r="K2909" s="55" t="n">
        <x:v>179251831960</x:v>
      </x:c>
      <x:c r="L2909" s="55" t="n">
        <x:v>14912798</x:v>
      </x:c>
      <x:c r="M2909" t="str">
        <x:v>20240318000914</x:v>
      </x:c>
      <x:c r="N2909" t="n">
        <x:v>45369.624999988424</x:v>
      </x:c>
      <x:c r="O2909" s="54" t="n">
        <x:v>45291</x:v>
      </x:c>
      <x:c r="P2909" t="str">
        <x:v>False</x:v>
      </x:c>
      <x:c r="Q2909" t="str">
        <x:v>eac8cc9607a0566e093b43e10cd0248e654a9f6f02ed08872c70bffceefc109e</x:v>
      </x:c>
      <x:c r="R2909" t="str">
        <x:v>b9cbe3e6660c5aa662f945e617e327022628d74035681c27e70835169136833f</x:v>
      </x:c>
      <x:c r="S2909" t="n">
        <x:v>7</x:v>
      </x:c>
      <x:c r="T2909" t="str">
        <x:v>2018-12-31|2019-12-31|2020-12-31|2021-12-31|2022-12-31|2023-12-31</x:v>
      </x:c>
      <x:c r="U2909" s="57" t="n">
        <x:v>8624.32589713317</x:v>
      </x:c>
      <x:c r="V2909" s="57" t="n">
        <x:v>-0.28250200523018554</x:v>
      </x:c>
      <x:c r="W2909" t="n">
        <x:v>38</x:v>
      </x:c>
      <x:c r="X2909" t="n">
        <x:v>3</x:v>
      </x:c>
      <x:c r="Y2909" s="38" t="n">
        <x:v>0.6409090909090909</x:v>
      </x:c>
      <x:c r="Z2909" s="38" t="n">
        <x:v>0.6466073177770937</x:v>
      </x:c>
      <x:c r="AA2909"/>
    </x:row>
    <x:row r="2910">
      <x:c r="A2910" s="54" t="n">
        <x:v>45657</x:v>
      </x:c>
      <x:c r="B2910" t="n">
        <x:v>45657.624999988424</x:v>
      </x:c>
      <x:c r="C2910" t="str">
        <x:v>089600</x:v>
      </x:c>
      <x:c r="D2910" t="str">
        <x:v>KT나스미디어</x:v>
      </x:c>
      <x:c r="E2910" t="str">
        <x:v>KOSDAQ</x:v>
      </x:c>
      <x:c r="F2910" t="str">
        <x:v>MID</x:v>
      </x:c>
      <x:c r="G2910" t="str">
        <x:v>ELIGIBLE</x:v>
      </x:c>
      <x:c r="H2910"/>
      <x:c r="I2910" s="54" t="n">
        <x:v>45656</x:v>
      </x:c>
      <x:c r="J2910" s="55" t="n">
        <x:v>13900</x:v>
      </x:c>
      <x:c r="K2910" s="55" t="n">
        <x:v>160797465700</x:v>
      </x:c>
      <x:c r="L2910" s="55" t="n">
        <x:v>11568163</x:v>
      </x:c>
      <x:c r="M2910" t="str">
        <x:v>20240321000363</x:v>
      </x:c>
      <x:c r="N2910" t="n">
        <x:v>45372.624999988424</x:v>
      </x:c>
      <x:c r="O2910" s="54" t="n">
        <x:v>45291</x:v>
      </x:c>
      <x:c r="P2910" t="str">
        <x:v>False</x:v>
      </x:c>
      <x:c r="Q2910" t="str">
        <x:v>b7f1a5437ad92e7e9513650155787e077663f0826124db50bc5289e11593d832</x:v>
      </x:c>
      <x:c r="R2910" t="str">
        <x:v>bfef28c66cd78518c4a6de78e6be33333001fa056bbf8f8aa7f33a26a359f112</x:v>
      </x:c>
      <x:c r="S2910" t="n">
        <x:v>6</x:v>
      </x:c>
      <x:c r="T2910" t="str">
        <x:v>2019-12-31|2020-12-31|2021-12-31|2022-12-31|2023-12-31</x:v>
      </x:c>
      <x:c r="U2910" s="57" t="n">
        <x:v>28670.885048986216</x:v>
      </x:c>
      <x:c r="V2910" s="57" t="n">
        <x:v>1.0626536006464904</x:v>
      </x:c>
      <x:c r="W2910" t="n">
        <x:v>15</x:v>
      </x:c>
      <x:c r="X2910" t="n">
        <x:v>2</x:v>
      </x:c>
      <x:c r="Y2910" s="38" t="n">
        <x:v>0.6409090909090909</x:v>
      </x:c>
      <x:c r="Z2910" s="38" t="n">
        <x:v>0.7341956370746694</x:v>
      </x:c>
      <x:c r="AA2910"/>
    </x:row>
    <x:row r="2911">
      <x:c r="A2911" s="54" t="n">
        <x:v>45657</x:v>
      </x:c>
      <x:c r="B2911" t="n">
        <x:v>45657.624999988424</x:v>
      </x:c>
      <x:c r="C2911" t="str">
        <x:v>091120</x:v>
      </x:c>
      <x:c r="D2911" t="str">
        <x:v>이엠텍</x:v>
      </x:c>
      <x:c r="E2911" t="str">
        <x:v>KOSDAQ</x:v>
      </x:c>
      <x:c r="F2911" t="str">
        <x:v>MID</x:v>
      </x:c>
      <x:c r="G2911" t="str">
        <x:v>DCF_SCREENING_EXCLUSION</x:v>
      </x:c>
      <x:c r="H2911" t="str">
        <x:v>NON_POSITIVE_ENTERPRISE_VALUE|UNRELIABLE_TERMINAL_VALUE_SHARE</x:v>
      </x:c>
      <x:c r="I2911" s="54" t="n">
        <x:v>45656</x:v>
      </x:c>
      <x:c r="J2911" s="55" t="n">
        <x:v>28800</x:v>
      </x:c>
      <x:c r="K2911" s="55" t="n">
        <x:v>493428556800</x:v>
      </x:c>
      <x:c r="L2911" s="55" t="n">
        <x:v>17132936</x:v>
      </x:c>
      <x:c r="M2911" t="str">
        <x:v>20240412003916</x:v>
      </x:c>
      <x:c r="N2911" t="n">
        <x:v>45394.624999988424</x:v>
      </x:c>
      <x:c r="O2911" s="54" t="n">
        <x:v>45291</x:v>
      </x:c>
      <x:c r="P2911" t="str">
        <x:v>True</x:v>
      </x:c>
      <x:c r="Q2911" t="str">
        <x:v>0d6eac9f85a900bbc1f1a30799c161ef96d83e8d4b8afd8acc742753be01c75e</x:v>
      </x:c>
      <x:c r="R2911" t="str">
        <x:v>7a19f5c1536360dbe0bd6246ea9ed04ec3ad10e2f9ebcba4775252cf1017c665</x:v>
      </x:c>
      <x:c r="S2911" t="n">
        <x:v>6</x:v>
      </x:c>
      <x:c r="T2911" t="str">
        <x:v>2018-12-31|2019-12-31|2020-12-31|2021-12-31|2022-12-31|2023-12-31</x:v>
      </x:c>
      <x:c r="U2911" s="57" t="n">
        <x:v>144.63258920150412</x:v>
      </x:c>
      <x:c r="V2911" s="57" t="n">
        <x:v>-0.99497803509717</x:v>
      </x:c>
      <x:c r="W2911"/>
      <x:c r="X2911"/>
      <x:c r="Y2911" s="38" t="n">
        <x:v>0.6409090909090909</x:v>
      </x:c>
      <x:c r="Z2911" s="38" t="n">
        <x:v>-0.0027763268057279674</x:v>
      </x:c>
      <x:c r="AA2911" t="str">
        <x:v>NON_POSITIVE_ENTERPRISE_VALUE|UNRELIABLE_TERMINAL_VALUE_SHARE</x:v>
      </x:c>
    </x:row>
    <x:row r="2912">
      <x:c r="A2912" s="54" t="n">
        <x:v>45657</x:v>
      </x:c>
      <x:c r="B2912" t="n">
        <x:v>45657.624999988424</x:v>
      </x:c>
      <x:c r="C2912" t="str">
        <x:v>353810</x:v>
      </x:c>
      <x:c r="D2912" t="str">
        <x:v>이지바이오</x:v>
      </x:c>
      <x:c r="E2912" t="str">
        <x:v>KOSDAQ</x:v>
      </x:c>
      <x:c r="F2912" t="str">
        <x:v>MID</x:v>
      </x:c>
      <x:c r="G2912" t="str">
        <x:v>ELIGIBLE</x:v>
      </x:c>
      <x:c r="H2912"/>
      <x:c r="I2912" s="54" t="n">
        <x:v>45656</x:v>
      </x:c>
      <x:c r="J2912" s="55" t="n">
        <x:v>4210</x:v>
      </x:c>
      <x:c r="K2912" s="55" t="n">
        <x:v>143947141200</x:v>
      </x:c>
      <x:c r="L2912" s="55" t="n">
        <x:v>34191720</x:v>
      </x:c>
      <x:c r="M2912" t="str">
        <x:v>20240321001360</x:v>
      </x:c>
      <x:c r="N2912" t="n">
        <x:v>45372.624999988424</x:v>
      </x:c>
      <x:c r="O2912" s="54" t="n">
        <x:v>45291</x:v>
      </x:c>
      <x:c r="P2912" t="str">
        <x:v>False</x:v>
      </x:c>
      <x:c r="Q2912" t="str">
        <x:v>0c595a4289176d26f4bb211a8777e3552707069c69111b627265c5a9988199b2</x:v>
      </x:c>
      <x:c r="R2912" t="str">
        <x:v>abd6bec6d7dbfa84737cf0be785800c3f2ef5a1062ea4dac1b0cc07e2e0ea7fe</x:v>
      </x:c>
      <x:c r="S2912" t="n">
        <x:v>6</x:v>
      </x:c>
      <x:c r="T2912" t="str">
        <x:v>2021-12-31|2022-12-31|2023-12-31</x:v>
      </x:c>
      <x:c r="U2912" s="57" t="n">
        <x:v>5566.0717405511205</x:v>
      </x:c>
      <x:c r="V2912" s="57" t="n">
        <x:v>0.3221073017936153</x:v>
      </x:c>
      <x:c r="W2912" t="n">
        <x:v>22</x:v>
      </x:c>
      <x:c r="X2912" t="n">
        <x:v>2</x:v>
      </x:c>
      <x:c r="Y2912" s="38" t="n">
        <x:v>0.6409090909090909</x:v>
      </x:c>
      <x:c r="Z2912" s="38" t="n">
        <x:v>0.7093808942265634</x:v>
      </x:c>
      <x:c r="AA2912"/>
    </x:row>
    <x:row r="2913">
      <x:c r="A2913" s="54" t="n">
        <x:v>45657</x:v>
      </x:c>
      <x:c r="B2913" t="n">
        <x:v>45657.624999988424</x:v>
      </x:c>
      <x:c r="C2913" t="str">
        <x:v>203650</x:v>
      </x:c>
      <x:c r="D2913" t="str">
        <x:v>드림시큐리티</x:v>
      </x:c>
      <x:c r="E2913" t="str">
        <x:v>KOSDAQ</x:v>
      </x:c>
      <x:c r="F2913" t="str">
        <x:v>MID</x:v>
      </x:c>
      <x:c r="G2913" t="str">
        <x:v>ELIGIBLE</x:v>
      </x:c>
      <x:c r="H2913"/>
      <x:c r="I2913" s="54" t="n">
        <x:v>45656</x:v>
      </x:c>
      <x:c r="J2913" s="55" t="n">
        <x:v>3850</x:v>
      </x:c>
      <x:c r="K2913" s="55" t="n">
        <x:v>194832152900</x:v>
      </x:c>
      <x:c r="L2913" s="55" t="n">
        <x:v>50605754</x:v>
      </x:c>
      <x:c r="M2913" t="str">
        <x:v>20240320001616</x:v>
      </x:c>
      <x:c r="N2913" t="n">
        <x:v>45371.624999988424</x:v>
      </x:c>
      <x:c r="O2913" s="54" t="n">
        <x:v>45291</x:v>
      </x:c>
      <x:c r="P2913" t="str">
        <x:v>False</x:v>
      </x:c>
      <x:c r="Q2913" t="str">
        <x:v>59557a89bd1d47b720b80a53a15be6f50c0d82bf0b9f2520c87a5022cb4045a6</x:v>
      </x:c>
      <x:c r="R2913" t="str">
        <x:v>59a24d7af35dd416ea554fb005afe1310718f8bdadef140cad50d43e02d4f4ed</x:v>
      </x:c>
      <x:c r="S2913" t="n">
        <x:v>6</x:v>
      </x:c>
      <x:c r="T2913" t="str">
        <x:v>2018-12-31|2019-12-31|2020-12-31|2021-12-31|2022-12-31|2023-12-31</x:v>
      </x:c>
      <x:c r="U2913" s="57" t="n">
        <x:v>2552.939432679765</x:v>
      </x:c>
      <x:c r="V2913" s="57" t="n">
        <x:v>-0.3368988486546065</x:v>
      </x:c>
      <x:c r="W2913" t="n">
        <x:v>41</x:v>
      </x:c>
      <x:c r="X2913" t="n">
        <x:v>3</x:v>
      </x:c>
      <x:c r="Y2913" s="38" t="n">
        <x:v>0.6409090909090909</x:v>
      </x:c>
      <x:c r="Z2913" s="38" t="n">
        <x:v>0.6404933526297818</x:v>
      </x:c>
      <x:c r="AA2913"/>
    </x:row>
    <x:row r="2914">
      <x:c r="A2914" s="54" t="n">
        <x:v>45657</x:v>
      </x:c>
      <x:c r="B2914" t="n">
        <x:v>45657.624999988424</x:v>
      </x:c>
      <x:c r="C2914" t="str">
        <x:v>251120</x:v>
      </x:c>
      <x:c r="D2914" t="str">
        <x:v>바이오에프디엔씨</x:v>
      </x:c>
      <x:c r="E2914" t="str">
        <x:v>KOSDAQ</x:v>
      </x:c>
      <x:c r="F2914" t="str">
        <x:v>MID</x:v>
      </x:c>
      <x:c r="G2914" t="str">
        <x:v>ELIGIBLE</x:v>
      </x:c>
      <x:c r="H2914"/>
      <x:c r="I2914" s="54" t="n">
        <x:v>45656</x:v>
      </x:c>
      <x:c r="J2914" s="55" t="n">
        <x:v>13820</x:v>
      </x:c>
      <x:c r="K2914" s="55" t="n">
        <x:v>120174574000</x:v>
      </x:c>
      <x:c r="L2914" s="55" t="n">
        <x:v>8695700</x:v>
      </x:c>
      <x:c r="M2914" t="str">
        <x:v>20240321000249</x:v>
      </x:c>
      <x:c r="N2914" t="n">
        <x:v>45372.624999988424</x:v>
      </x:c>
      <x:c r="O2914" s="54" t="n">
        <x:v>45291</x:v>
      </x:c>
      <x:c r="P2914" t="str">
        <x:v>False</x:v>
      </x:c>
      <x:c r="Q2914" t="str">
        <x:v>c894555c5fdfdb9baf6bf268f5640c81148c59946a1eafa8da5b49d314396693</x:v>
      </x:c>
      <x:c r="R2914" t="str">
        <x:v>35019dcd4d45a807ec26f115e7a76ad156ed28697c042def8718bf6a0cc77e88</x:v>
      </x:c>
      <x:c r="S2914" t="n">
        <x:v>5</x:v>
      </x:c>
      <x:c r="T2914" t="str">
        <x:v>2021-12-31|2022-12-31|2023-12-31</x:v>
      </x:c>
      <x:c r="U2914" s="57" t="n">
        <x:v>7712.335656881882</x:v>
      </x:c>
      <x:c r="V2914" s="57" t="n">
        <x:v>-0.44194387432113735</x:v>
      </x:c>
      <x:c r="W2914" t="n">
        <x:v>44</x:v>
      </x:c>
      <x:c r="X2914" t="n">
        <x:v>4</x:v>
      </x:c>
      <x:c r="Y2914" s="38" t="n">
        <x:v>0.6409090909090909</x:v>
      </x:c>
      <x:c r="Z2914" s="38" t="n">
        <x:v>0.6857096411955244</x:v>
      </x:c>
      <x:c r="AA2914"/>
    </x:row>
    <x:row r="2915">
      <x:c r="A2915" s="54" t="n">
        <x:v>45657</x:v>
      </x:c>
      <x:c r="B2915" t="n">
        <x:v>45657.624999988424</x:v>
      </x:c>
      <x:c r="C2915" t="str">
        <x:v>094820</x:v>
      </x:c>
      <x:c r="D2915" t="str">
        <x:v>일진파워</x:v>
      </x:c>
      <x:c r="E2915" t="str">
        <x:v>KOSDAQ</x:v>
      </x:c>
      <x:c r="F2915" t="str">
        <x:v>MID</x:v>
      </x:c>
      <x:c r="G2915" t="str">
        <x:v>ELIGIBLE</x:v>
      </x:c>
      <x:c r="H2915"/>
      <x:c r="I2915" s="54" t="n">
        <x:v>45656</x:v>
      </x:c>
      <x:c r="J2915" s="55" t="n">
        <x:v>7970</x:v>
      </x:c>
      <x:c r="K2915" s="55" t="n">
        <x:v>120177310730</x:v>
      </x:c>
      <x:c r="L2915" s="55" t="n">
        <x:v>15078709</x:v>
      </x:c>
      <x:c r="M2915" t="str">
        <x:v>20240321001764</x:v>
      </x:c>
      <x:c r="N2915" t="n">
        <x:v>45372.624999988424</x:v>
      </x:c>
      <x:c r="O2915" s="54" t="n">
        <x:v>45291</x:v>
      </x:c>
      <x:c r="P2915" t="str">
        <x:v>False</x:v>
      </x:c>
      <x:c r="Q2915" t="str">
        <x:v>8c5fa5ba08df3c46a6c9cb3b32b03d2c7c85ac50aa13ff9446297e85309caec8</x:v>
      </x:c>
      <x:c r="R2915" t="str">
        <x:v>b2a2fceaaef99e188f7034d4081d0b975740594c9da3f86d04ce5e260695d90f</x:v>
      </x:c>
      <x:c r="S2915" t="n">
        <x:v>6</x:v>
      </x:c>
      <x:c r="T2915" t="str">
        <x:v>2018-12-31|2019-12-31|2020-12-31|2021-12-31|2022-12-31|2023-12-31</x:v>
      </x:c>
      <x:c r="U2915" s="57" t="n">
        <x:v>11601.18410293352</x:v>
      </x:c>
      <x:c r="V2915" s="57" t="n">
        <x:v>0.455606537381872</x:v>
      </x:c>
      <x:c r="W2915" t="n">
        <x:v>19</x:v>
      </x:c>
      <x:c r="X2915" t="n">
        <x:v>2</x:v>
      </x:c>
      <x:c r="Y2915" s="38" t="n">
        <x:v>0.6409090909090909</x:v>
      </x:c>
      <x:c r="Z2915" s="38" t="n">
        <x:v>0.7050890831920046</x:v>
      </x:c>
      <x:c r="AA2915"/>
    </x:row>
    <x:row r="2916">
      <x:c r="A2916" s="54" t="n">
        <x:v>45657</x:v>
      </x:c>
      <x:c r="B2916" t="n">
        <x:v>45657.624999988424</x:v>
      </x:c>
      <x:c r="C2916" t="str">
        <x:v>333430</x:v>
      </x:c>
      <x:c r="D2916" t="str">
        <x:v>일승</x:v>
      </x:c>
      <x:c r="E2916" t="str">
        <x:v>KOSDAQ</x:v>
      </x:c>
      <x:c r="F2916" t="str">
        <x:v>MID</x:v>
      </x:c>
      <x:c r="G2916" t="str">
        <x:v>ELIGIBLE</x:v>
      </x:c>
      <x:c r="H2916"/>
      <x:c r="I2916" s="54" t="n">
        <x:v>45656</x:v>
      </x:c>
      <x:c r="J2916" s="55" t="n">
        <x:v>4280</x:v>
      </x:c>
      <x:c r="K2916" s="55" t="n">
        <x:v>131510477160</x:v>
      </x:c>
      <x:c r="L2916" s="55" t="n">
        <x:v>30726747</x:v>
      </x:c>
      <x:c r="M2916" t="str">
        <x:v>20240320001390</x:v>
      </x:c>
      <x:c r="N2916" t="n">
        <x:v>45371.624999988424</x:v>
      </x:c>
      <x:c r="O2916" s="54" t="n">
        <x:v>45291</x:v>
      </x:c>
      <x:c r="P2916" t="str">
        <x:v>False</x:v>
      </x:c>
      <x:c r="Q2916" t="str">
        <x:v>05cf1e22aafc5d920c8c81b418025835d5932b5c50d9228145fa25d47cd4ef22</x:v>
      </x:c>
      <x:c r="R2916" t="str">
        <x:v>3369e7e64e23442f481936057f32ca618633ffe3c990fb52bad4734b6afb620f</x:v>
      </x:c>
      <x:c r="S2916" t="n">
        <x:v>6</x:v>
      </x:c>
      <x:c r="T2916" t="str">
        <x:v>2021-12-31|2022-12-31|2023-12-31</x:v>
      </x:c>
      <x:c r="U2916" s="57" t="n">
        <x:v>1044.0587971328735</x:v>
      </x:c>
      <x:c r="V2916" s="57" t="n">
        <x:v>-0.7560610287072725</x:v>
      </x:c>
      <x:c r="W2916" t="n">
        <x:v>57</x:v>
      </x:c>
      <x:c r="X2916" t="n">
        <x:v>5</x:v>
      </x:c>
      <x:c r="Y2916" s="38" t="n">
        <x:v>0.6409090909090909</x:v>
      </x:c>
      <x:c r="Z2916" s="38" t="n">
        <x:v>0.678303173070809</x:v>
      </x:c>
      <x:c r="AA2916"/>
    </x:row>
    <x:row r="2917">
      <x:c r="A2917" s="54" t="n">
        <x:v>45657</x:v>
      </x:c>
      <x:c r="B2917" t="n">
        <x:v>45657.624999988424</x:v>
      </x:c>
      <x:c r="C2917" t="str">
        <x:v>041440</x:v>
      </x:c>
      <x:c r="D2917" t="str">
        <x:v>현대에버다임</x:v>
      </x:c>
      <x:c r="E2917" t="str">
        <x:v>KOSDAQ</x:v>
      </x:c>
      <x:c r="F2917" t="str">
        <x:v>MID</x:v>
      </x:c>
      <x:c r="G2917" t="str">
        <x:v>DCF_SCREENING_EXCLUSION</x:v>
      </x:c>
      <x:c r="H2917" t="str">
        <x:v>NON_POSITIVE_ENTERPRISE_VALUE|NON_POSITIVE_EQUITY_VALUE|NON_POSITIVE_TERMINAL_FCF</x:v>
      </x:c>
      <x:c r="I2917" s="54" t="n">
        <x:v>45656</x:v>
      </x:c>
      <x:c r="J2917" s="55" t="n">
        <x:v>8250</x:v>
      </x:c>
      <x:c r="K2917" s="55" t="n">
        <x:v>147806538000</x:v>
      </x:c>
      <x:c r="L2917" s="55" t="n">
        <x:v>17915944</x:v>
      </x:c>
      <x:c r="M2917" t="str">
        <x:v>20240312001027</x:v>
      </x:c>
      <x:c r="N2917" t="n">
        <x:v>45363.624999988424</x:v>
      </x:c>
      <x:c r="O2917" s="54" t="n">
        <x:v>45291</x:v>
      </x:c>
      <x:c r="P2917" t="str">
        <x:v>False</x:v>
      </x:c>
      <x:c r="Q2917" t="str">
        <x:v>7e46271a69192a51a876226fc710db6e424a950de4b5ef8ae1bcf70976ae6352</x:v>
      </x:c>
      <x:c r="R2917" t="str">
        <x:v>c986d76643fde8ddb48387593a879a224b39986131f53a2e70a46324061690f4</x:v>
      </x:c>
      <x:c r="S2917" t="n">
        <x:v>7</x:v>
      </x:c>
      <x:c r="T2917" t="str">
        <x:v>2018-12-31|2019-12-31|2020-12-31|2021-12-31|2022-12-31|2023-12-31</x:v>
      </x:c>
      <x:c r="U2917" s="57" t="n">
        <x:v>-2012.5319738242547</x:v>
      </x:c>
      <x:c r="V2917" s="57" t="n">
        <x:v>-1.243943269554455</x:v>
      </x:c>
      <x:c r="W2917"/>
      <x:c r="X2917"/>
      <x:c r="Y2917" s="38" t="n">
        <x:v>0.6409090909090909</x:v>
      </x:c>
      <x:c r="Z2917" s="38" t="n">
        <x:v>0.3466080451041223</x:v>
      </x:c>
      <x:c r="AA2917" t="str">
        <x:v>NON_POSITIVE_ENTERPRISE_VALUE|NON_POSITIVE_EQUITY_VALUE|NON_POSITIVE_TERMINAL_FCF</x:v>
      </x:c>
    </x:row>
    <x:row r="2918">
      <x:c r="A2918" s="54" t="n">
        <x:v>45657</x:v>
      </x:c>
      <x:c r="B2918" t="n">
        <x:v>45657.624999988424</x:v>
      </x:c>
      <x:c r="C2918" t="str">
        <x:v>067990</x:v>
      </x:c>
      <x:c r="D2918" t="str">
        <x:v>도이치모터스</x:v>
      </x:c>
      <x:c r="E2918" t="str">
        <x:v>KOSDAQ</x:v>
      </x:c>
      <x:c r="F2918" t="str">
        <x:v>MID</x:v>
      </x:c>
      <x:c r="G2918" t="str">
        <x:v>DCF_SCREENING_EXCLUSION</x:v>
      </x:c>
      <x:c r="H2918" t="str">
        <x:v>NON_POSITIVE_EQUITY_VALUE</x:v>
      </x:c>
      <x:c r="I2918" s="54" t="n">
        <x:v>45656</x:v>
      </x:c>
      <x:c r="J2918" s="55" t="n">
        <x:v>4540</x:v>
      </x:c>
      <x:c r="K2918" s="55" t="n">
        <x:v>132484237000</x:v>
      </x:c>
      <x:c r="L2918" s="55" t="n">
        <x:v>29181550</x:v>
      </x:c>
      <x:c r="M2918" t="str">
        <x:v>20240320001811</x:v>
      </x:c>
      <x:c r="N2918" t="n">
        <x:v>45371.624999988424</x:v>
      </x:c>
      <x:c r="O2918" s="54" t="n">
        <x:v>45291</x:v>
      </x:c>
      <x:c r="P2918" t="str">
        <x:v>False</x:v>
      </x:c>
      <x:c r="Q2918" t="str">
        <x:v>0bc7f3d8d46eeca98074f004bde11ebaceccb4d0727220416c04f6ece769a38b</x:v>
      </x:c>
      <x:c r="R2918" t="str">
        <x:v>2fe0dc46726ebab2714b5d5a488616fe5159fc6c4dd7b3039c7bcb1783cdbe0a</x:v>
      </x:c>
      <x:c r="S2918" t="n">
        <x:v>6</x:v>
      </x:c>
      <x:c r="T2918" t="str">
        <x:v>2016-12-31|2018-12-31|2019-12-31|2020-12-31|2021-12-31|2022-12-31|2023-12-31</x:v>
      </x:c>
      <x:c r="U2918" s="57" t="n">
        <x:v>-4320.421723778558</x:v>
      </x:c>
      <x:c r="V2918" s="57" t="n">
        <x:v>-1.9516347409203871</x:v>
      </x:c>
      <x:c r="W2918"/>
      <x:c r="X2918"/>
      <x:c r="Y2918" s="38" t="n">
        <x:v>0.6409090909090909</x:v>
      </x:c>
      <x:c r="Z2918" s="38" t="n">
        <x:v>0.8283303031315056</x:v>
      </x:c>
      <x:c r="AA2918" t="str">
        <x:v>NON_POSITIVE_EQUITY_VALUE</x:v>
      </x:c>
    </x:row>
    <x:row r="2919">
      <x:c r="A2919" s="54" t="n">
        <x:v>45657</x:v>
      </x:c>
      <x:c r="B2919" t="n">
        <x:v>45657.624999988424</x:v>
      </x:c>
      <x:c r="C2919" t="str">
        <x:v>037070</x:v>
      </x:c>
      <x:c r="D2919" t="str">
        <x:v>파세코</x:v>
      </x:c>
      <x:c r="E2919" t="str">
        <x:v>KOSDAQ</x:v>
      </x:c>
      <x:c r="F2919" t="str">
        <x:v>MID</x:v>
      </x:c>
      <x:c r="G2919" t="str">
        <x:v>DCF_SCREENING_EXCLUSION</x:v>
      </x:c>
      <x:c r="H2919" t="str">
        <x:v>UNRELIABLE_TERMINAL_VALUE_SHARE</x:v>
      </x:c>
      <x:c r="I2919" s="54" t="n">
        <x:v>45656</x:v>
      </x:c>
      <x:c r="J2919" s="55" t="n">
        <x:v>4765</x:v>
      </x:c>
      <x:c r="K2919" s="55" t="n">
        <x:v>95300000000</x:v>
      </x:c>
      <x:c r="L2919" s="55" t="n">
        <x:v>20000000</x:v>
      </x:c>
      <x:c r="M2919" t="str">
        <x:v>20240321000783</x:v>
      </x:c>
      <x:c r="N2919" t="n">
        <x:v>45372.624999988424</x:v>
      </x:c>
      <x:c r="O2919" s="54" t="n">
        <x:v>45291</x:v>
      </x:c>
      <x:c r="P2919" t="str">
        <x:v>False</x:v>
      </x:c>
      <x:c r="Q2919" t="str">
        <x:v>784393044605cd99f115f12712e4d213e1008d38343a2c7f9152ad39cdd13c7d</x:v>
      </x:c>
      <x:c r="R2919" t="str">
        <x:v>e993a3ec31febcb41e3bc61f6c681f23684150b0414f372f5f522aaf1908f978</x:v>
      </x:c>
      <x:c r="S2919" t="n">
        <x:v>7</x:v>
      </x:c>
      <x:c r="T2919" t="str">
        <x:v>2018-12-31|2019-12-31|2020-12-31|2021-12-31|2022-12-31|2023-12-31</x:v>
      </x:c>
      <x:c r="U2919" s="57" t="n">
        <x:v>4248.1881586291975</x:v>
      </x:c>
      <x:c r="V2919" s="57" t="n">
        <x:v>-0.1084599876958663</x:v>
      </x:c>
      <x:c r="W2919"/>
      <x:c r="X2919"/>
      <x:c r="Y2919" s="38" t="n">
        <x:v>0.6409090909090909</x:v>
      </x:c>
      <x:c r="Z2919" s="38" t="n">
        <x:v>0.9240520239327586</x:v>
      </x:c>
      <x:c r="AA2919" t="str">
        <x:v>UNRELIABLE_TERMINAL_VALUE_SHARE</x:v>
      </x:c>
    </x:row>
    <x:row r="2920">
      <x:c r="A2920" s="54" t="n">
        <x:v>45657</x:v>
      </x:c>
      <x:c r="B2920" t="n">
        <x:v>45657.624999988424</x:v>
      </x:c>
      <x:c r="C2920" t="str">
        <x:v>365330</x:v>
      </x:c>
      <x:c r="D2920" t="str">
        <x:v>에스와이스틸텍</x:v>
      </x:c>
      <x:c r="E2920" t="str">
        <x:v>KOSDAQ</x:v>
      </x:c>
      <x:c r="F2920" t="str">
        <x:v>MID</x:v>
      </x:c>
      <x:c r="G2920" t="str">
        <x:v>ELIGIBLE</x:v>
      </x:c>
      <x:c r="H2920"/>
      <x:c r="I2920" s="54" t="n">
        <x:v>45656</x:v>
      </x:c>
      <x:c r="J2920" s="55" t="n">
        <x:v>7660</x:v>
      </x:c>
      <x:c r="K2920" s="55" t="n">
        <x:v>234472600000</x:v>
      </x:c>
      <x:c r="L2920" s="55" t="n">
        <x:v>30610000</x:v>
      </x:c>
      <x:c r="M2920" t="str">
        <x:v>20240320000887</x:v>
      </x:c>
      <x:c r="N2920" t="n">
        <x:v>45371.624999988424</x:v>
      </x:c>
      <x:c r="O2920" s="54" t="n">
        <x:v>45291</x:v>
      </x:c>
      <x:c r="P2920" t="str">
        <x:v>False</x:v>
      </x:c>
      <x:c r="Q2920" t="str">
        <x:v>24573bfdcd10bad4ce40d7dee1546ba30c331c97bb0d8f9057b6fa4ab0f1cc87</x:v>
      </x:c>
      <x:c r="R2920" t="str">
        <x:v>0d3f2e5727184a349b90ab2537360e91a99b544acbb94997ce0b227032ecba06</x:v>
      </x:c>
      <x:c r="S2920" t="n">
        <x:v>4</x:v>
      </x:c>
      <x:c r="T2920" t="str">
        <x:v>2023-12-31</x:v>
      </x:c>
      <x:c r="U2920" s="57" t="n">
        <x:v>4523.773780380267</x:v>
      </x:c>
      <x:c r="V2920" s="57" t="n">
        <x:v>-0.4094290103942209</x:v>
      </x:c>
      <x:c r="W2920" t="n">
        <x:v>42</x:v>
      </x:c>
      <x:c r="X2920" t="n">
        <x:v>4</x:v>
      </x:c>
      <x:c r="Y2920" s="38" t="n">
        <x:v>0.6409090909090909</x:v>
      </x:c>
      <x:c r="Z2920" s="38" t="n">
        <x:v>0.6701769222689359</x:v>
      </x:c>
      <x:c r="AA2920"/>
    </x:row>
    <x:row r="2921">
      <x:c r="A2921" s="54" t="n">
        <x:v>45657</x:v>
      </x:c>
      <x:c r="B2921" t="n">
        <x:v>45657.624999988424</x:v>
      </x:c>
      <x:c r="C2921" t="str">
        <x:v>086960</x:v>
      </x:c>
      <x:c r="D2921" t="str">
        <x:v>MDS테크</x:v>
      </x:c>
      <x:c r="E2921" t="str">
        <x:v>KOSDAQ</x:v>
      </x:c>
      <x:c r="F2921" t="str">
        <x:v>MID</x:v>
      </x:c>
      <x:c r="G2921" t="str">
        <x:v>ELIGIBLE</x:v>
      </x:c>
      <x:c r="H2921"/>
      <x:c r="I2921" s="54" t="n">
        <x:v>45656</x:v>
      </x:c>
      <x:c r="J2921" s="55" t="n">
        <x:v>990</x:v>
      </x:c>
      <x:c r="K2921" s="55" t="n">
        <x:v>91893570120</x:v>
      </x:c>
      <x:c r="L2921" s="55" t="n">
        <x:v>92821788</x:v>
      </x:c>
      <x:c r="M2921" t="str">
        <x:v>20240320001272</x:v>
      </x:c>
      <x:c r="N2921" t="n">
        <x:v>45371.624999988424</x:v>
      </x:c>
      <x:c r="O2921" s="54" t="n">
        <x:v>45291</x:v>
      </x:c>
      <x:c r="P2921" t="str">
        <x:v>False</x:v>
      </x:c>
      <x:c r="Q2921" t="str">
        <x:v>84de4515ca1119a24d9147eddc788440aecaaee691f2865c90aa8ed59fc89a1d</x:v>
      </x:c>
      <x:c r="R2921" t="str">
        <x:v>3e08d93b2f163c2e15943a2607b75a5534844c24473dd034ace6e16e0edd5ab7</x:v>
      </x:c>
      <x:c r="S2921" t="n">
        <x:v>6</x:v>
      </x:c>
      <x:c r="T2921" t="str">
        <x:v>2018-12-31|2019-12-31|2020-12-31|2021-12-31|2022-12-31|2023-12-31</x:v>
      </x:c>
      <x:c r="U2921" s="57" t="n">
        <x:v>1191.600691175317</x:v>
      </x:c>
      <x:c r="V2921" s="57" t="n">
        <x:v>0.20363706179324956</x:v>
      </x:c>
      <x:c r="W2921" t="n">
        <x:v>25</x:v>
      </x:c>
      <x:c r="X2921" t="n">
        <x:v>2</x:v>
      </x:c>
      <x:c r="Y2921" s="38" t="n">
        <x:v>0.6409090909090909</x:v>
      </x:c>
      <x:c r="Z2921" s="38" t="n">
        <x:v>0.6113041702507156</x:v>
      </x:c>
      <x:c r="AA2921"/>
    </x:row>
    <x:row r="2922">
      <x:c r="A2922" s="54" t="n">
        <x:v>45657</x:v>
      </x:c>
      <x:c r="B2922" t="n">
        <x:v>45657.624999988424</x:v>
      </x:c>
      <x:c r="C2922" t="str">
        <x:v>014970</x:v>
      </x:c>
      <x:c r="D2922" t="str">
        <x:v>삼륭물산</x:v>
      </x:c>
      <x:c r="E2922" t="str">
        <x:v>KOSDAQ</x:v>
      </x:c>
      <x:c r="F2922" t="str">
        <x:v>MID</x:v>
      </x:c>
      <x:c r="G2922" t="str">
        <x:v>DCF_SCREENING_EXCLUSION</x:v>
      </x:c>
      <x:c r="H2922" t="str">
        <x:v>NON_POSITIVE_ENTERPRISE_VALUE|NON_POSITIVE_EQUITY_VALUE|NON_POSITIVE_TERMINAL_FCF</x:v>
      </x:c>
      <x:c r="I2922" s="54" t="n">
        <x:v>45656</x:v>
      </x:c>
      <x:c r="J2922" s="55" t="n">
        <x:v>3345</x:v>
      </x:c>
      <x:c r="K2922" s="55" t="n">
        <x:v>50593125000</x:v>
      </x:c>
      <x:c r="L2922" s="55" t="n">
        <x:v>15125000</x:v>
      </x:c>
      <x:c r="M2922" t="str">
        <x:v>20240320000719</x:v>
      </x:c>
      <x:c r="N2922" t="n">
        <x:v>45371.624999988424</x:v>
      </x:c>
      <x:c r="O2922" s="54" t="n">
        <x:v>45291</x:v>
      </x:c>
      <x:c r="P2922" t="str">
        <x:v>False</x:v>
      </x:c>
      <x:c r="Q2922" t="str">
        <x:v>2cadfc6d7219ebba9d011695e07f4b6314ecd5df7ec1ae231e8cf6b97f5bef45</x:v>
      </x:c>
      <x:c r="R2922" t="str">
        <x:v>8e030fcab7ea2a0ed13b3f3fd4694f1f7256ca3970f5581f149752a285031d6d</x:v>
      </x:c>
      <x:c r="S2922" t="n">
        <x:v>6</x:v>
      </x:c>
      <x:c r="T2922" t="str">
        <x:v>2018-12-31|2019-12-31|2020-12-31|2021-12-31|2022-12-31|2023-12-31</x:v>
      </x:c>
      <x:c r="U2922" s="57" t="n">
        <x:v>-1515.1892678884392</x:v>
      </x:c>
      <x:c r="V2922" s="57" t="n">
        <x:v>-1.4529713805346605</x:v>
      </x:c>
      <x:c r="W2922"/>
      <x:c r="X2922"/>
      <x:c r="Y2922" s="38" t="n">
        <x:v>0.6409090909090909</x:v>
      </x:c>
      <x:c r="Z2922" s="38" t="n">
        <x:v>0.6814610306368521</x:v>
      </x:c>
      <x:c r="AA2922" t="str">
        <x:v>NON_POSITIVE_ENTERPRISE_VALUE|NON_POSITIVE_EQUITY_VALUE|NON_POSITIVE_TERMINAL_FCF</x:v>
      </x:c>
    </x:row>
    <x:row r="2923">
      <x:c r="A2923" s="54" t="n">
        <x:v>45657</x:v>
      </x:c>
      <x:c r="B2923" t="n">
        <x:v>45657.624999988424</x:v>
      </x:c>
      <x:c r="C2923" t="str">
        <x:v>088390</x:v>
      </x:c>
      <x:c r="D2923" t="str">
        <x:v>이녹스</x:v>
      </x:c>
      <x:c r="E2923" t="str">
        <x:v>KOSDAQ</x:v>
      </x:c>
      <x:c r="F2923" t="str">
        <x:v>MID</x:v>
      </x:c>
      <x:c r="G2923" t="str">
        <x:v>ELIGIBLE</x:v>
      </x:c>
      <x:c r="H2923"/>
      <x:c r="I2923" s="54" t="n">
        <x:v>45656</x:v>
      </x:c>
      <x:c r="J2923" s="55" t="n">
        <x:v>7790</x:v>
      </x:c>
      <x:c r="K2923" s="55" t="n">
        <x:v>73115724760</x:v>
      </x:c>
      <x:c r="L2923" s="55" t="n">
        <x:v>9385844</x:v>
      </x:c>
      <x:c r="M2923" t="str">
        <x:v>20240320001657</x:v>
      </x:c>
      <x:c r="N2923" t="n">
        <x:v>45371.624999988424</x:v>
      </x:c>
      <x:c r="O2923" s="54" t="n">
        <x:v>45291</x:v>
      </x:c>
      <x:c r="P2923" t="str">
        <x:v>False</x:v>
      </x:c>
      <x:c r="Q2923" t="str">
        <x:v>8dc6d17d648284619088b51a47683a39d7c9ed1736f616904b02e68189eceadb</x:v>
      </x:c>
      <x:c r="R2923" t="str">
        <x:v>f2b8c39a537bef7a34bd1d926810f6f2272c3e414fb936e3f96940d36f9a1331</x:v>
      </x:c>
      <x:c r="S2923" t="n">
        <x:v>6</x:v>
      </x:c>
      <x:c r="T2923" t="str">
        <x:v>2018-12-31|2019-12-31|2020-12-31|2021-12-31|2022-12-31|2023-12-31</x:v>
      </x:c>
      <x:c r="U2923" s="57" t="n">
        <x:v>8672.755239064714</x:v>
      </x:c>
      <x:c r="V2923" s="57" t="n">
        <x:v>0.1133190294049698</x:v>
      </x:c>
      <x:c r="W2923" t="n">
        <x:v>26</x:v>
      </x:c>
      <x:c r="X2923" t="n">
        <x:v>2</x:v>
      </x:c>
      <x:c r="Y2923" s="38" t="n">
        <x:v>0.6409090909090909</x:v>
      </x:c>
      <x:c r="Z2923" s="38" t="n">
        <x:v>0.7494179855138948</x:v>
      </x:c>
      <x:c r="AA2923"/>
    </x:row>
    <x:row r="2924">
      <x:c r="A2924" s="54" t="n">
        <x:v>45657</x:v>
      </x:c>
      <x:c r="B2924" t="n">
        <x:v>45657.624999988424</x:v>
      </x:c>
      <x:c r="C2924" t="str">
        <x:v>170920</x:v>
      </x:c>
      <x:c r="D2924" t="str">
        <x:v>엘티씨</x:v>
      </x:c>
      <x:c r="E2924" t="str">
        <x:v>KOSDAQ</x:v>
      </x:c>
      <x:c r="F2924" t="str">
        <x:v>MID</x:v>
      </x:c>
      <x:c r="G2924" t="str">
        <x:v>DCF_SCREENING_EXCLUSION</x:v>
      </x:c>
      <x:c r="H2924" t="str">
        <x:v>NON_POSITIVE_ENTERPRISE_VALUE|NON_POSITIVE_EQUITY_VALUE|UNRELIABLE_TERMINAL_VALUE_SHARE</x:v>
      </x:c>
      <x:c r="I2924" s="54" t="n">
        <x:v>45656</x:v>
      </x:c>
      <x:c r="J2924" s="55" t="n">
        <x:v>8790</x:v>
      </x:c>
      <x:c r="K2924" s="55" t="n">
        <x:v>86191399800</x:v>
      </x:c>
      <x:c r="L2924" s="55" t="n">
        <x:v>9805620</x:v>
      </x:c>
      <x:c r="M2924" t="str">
        <x:v>20240321001742</x:v>
      </x:c>
      <x:c r="N2924" t="n">
        <x:v>45372.624999988424</x:v>
      </x:c>
      <x:c r="O2924" s="54" t="n">
        <x:v>45291</x:v>
      </x:c>
      <x:c r="P2924" t="str">
        <x:v>False</x:v>
      </x:c>
      <x:c r="Q2924" t="str">
        <x:v>e0fb18466957ab0f83d20a2f4e800266152f0cbe424990d422a2254e9053e290</x:v>
      </x:c>
      <x:c r="R2924" t="str">
        <x:v>c96edd30d1785443fbfc98210e3ff88ce203af94559a254a9db7253a722dc9b0</x:v>
      </x:c>
      <x:c r="S2924" t="n">
        <x:v>6</x:v>
      </x:c>
      <x:c r="T2924" t="str">
        <x:v>2018-12-31|2019-12-31|2020-12-31|2021-12-31|2022-12-31|2023-12-31</x:v>
      </x:c>
      <x:c r="U2924" s="57" t="n">
        <x:v>-7442.29652600761</x:v>
      </x:c>
      <x:c r="V2924" s="57" t="n">
        <x:v>-1.846677648009967</x:v>
      </x:c>
      <x:c r="W2924"/>
      <x:c r="X2924"/>
      <x:c r="Y2924" s="38" t="n">
        <x:v>0.6409090909090909</x:v>
      </x:c>
      <x:c r="Z2924" s="38" t="n">
        <x:v>-0.5601716319008023</x:v>
      </x:c>
      <x:c r="AA2924" t="str">
        <x:v>NON_POSITIVE_ENTERPRISE_VALUE|NON_POSITIVE_EQUITY_VALUE|UNRELIABLE_TERMINAL_VALUE_SHARE</x:v>
      </x:c>
    </x:row>
    <x:row r="2925">
      <x:c r="A2925" s="54" t="n">
        <x:v>45657</x:v>
      </x:c>
      <x:c r="B2925" t="n">
        <x:v>45657.624999988424</x:v>
      </x:c>
      <x:c r="C2925" t="str">
        <x:v>021080</x:v>
      </x:c>
      <x:c r="D2925" t="str">
        <x:v>에이티넘인베스트</x:v>
      </x:c>
      <x:c r="E2925" t="str">
        <x:v>KOSDAQ</x:v>
      </x:c>
      <x:c r="F2925" t="str">
        <x:v>MID</x:v>
      </x:c>
      <x:c r="G2925" t="str">
        <x:v>ELIGIBLE</x:v>
      </x:c>
      <x:c r="H2925"/>
      <x:c r="I2925" s="54" t="n">
        <x:v>45656</x:v>
      </x:c>
      <x:c r="J2925" s="55" t="n">
        <x:v>2160</x:v>
      </x:c>
      <x:c r="K2925" s="55" t="n">
        <x:v>103680000000</x:v>
      </x:c>
      <x:c r="L2925" s="55" t="n">
        <x:v>48000000</x:v>
      </x:c>
      <x:c r="M2925" t="str">
        <x:v>20240312000765</x:v>
      </x:c>
      <x:c r="N2925" t="n">
        <x:v>45363.624999988424</x:v>
      </x:c>
      <x:c r="O2925" s="54" t="n">
        <x:v>45291</x:v>
      </x:c>
      <x:c r="P2925" t="str">
        <x:v>False</x:v>
      </x:c>
      <x:c r="Q2925" t="str">
        <x:v>585e092b523d9f6610c602b3553f86e82bb9685ce00a429285a4a5e44a1b69ad</x:v>
      </x:c>
      <x:c r="R2925" t="str">
        <x:v>d63c9082395f6f464c3496fb0527874d7a68bea07199380a9ea6a3a2ff1a2912</x:v>
      </x:c>
      <x:c r="S2925" t="n">
        <x:v>4</x:v>
      </x:c>
      <x:c r="T2925" t="str">
        <x:v>2018-12-31|2019-12-31|2020-12-31|2021-12-31|2022-12-31|2023-12-31</x:v>
      </x:c>
      <x:c r="U2925" s="57" t="n">
        <x:v>11357.071815195002</x:v>
      </x:c>
      <x:c r="V2925" s="57" t="n">
        <x:v>4.257903618145835</x:v>
      </x:c>
      <x:c r="W2925" t="n">
        <x:v>3</x:v>
      </x:c>
      <x:c r="X2925" t="n">
        <x:v>1</x:v>
      </x:c>
      <x:c r="Y2925" s="38" t="n">
        <x:v>0.6409090909090909</x:v>
      </x:c>
      <x:c r="Z2925" s="38" t="n">
        <x:v>0.7437819354512628</x:v>
      </x:c>
      <x:c r="AA2925"/>
    </x:row>
    <x:row r="2926">
      <x:c r="A2926" s="54" t="n">
        <x:v>45657</x:v>
      </x:c>
      <x:c r="B2926" t="n">
        <x:v>45657.624999988424</x:v>
      </x:c>
      <x:c r="C2926" t="str">
        <x:v>302550</x:v>
      </x:c>
      <x:c r="D2926" t="str">
        <x:v>리메드</x:v>
      </x:c>
      <x:c r="E2926" t="str">
        <x:v>KOSDAQ</x:v>
      </x:c>
      <x:c r="F2926" t="str">
        <x:v>MID</x:v>
      </x:c>
      <x:c r="G2926" t="str">
        <x:v>ELIGIBLE</x:v>
      </x:c>
      <x:c r="H2926"/>
      <x:c r="I2926" s="54" t="n">
        <x:v>45656</x:v>
      </x:c>
      <x:c r="J2926" s="55" t="n">
        <x:v>3600</x:v>
      </x:c>
      <x:c r="K2926" s="55" t="n">
        <x:v>110297088000</x:v>
      </x:c>
      <x:c r="L2926" s="55" t="n">
        <x:v>30638080</x:v>
      </x:c>
      <x:c r="M2926" t="str">
        <x:v>20230712000076</x:v>
      </x:c>
      <x:c r="N2926" t="n">
        <x:v>45119.624999988424</x:v>
      </x:c>
      <x:c r="O2926" s="54" t="n">
        <x:v>44926</x:v>
      </x:c>
      <x:c r="P2926" t="str">
        <x:v>True</x:v>
      </x:c>
      <x:c r="Q2926" t="str">
        <x:v>2696cb4a23bf61a69eae1203094ad6ef054f124c385ab3ed7cb3badc732e56ea</x:v>
      </x:c>
      <x:c r="R2926" t="str">
        <x:v>e324af1e445581034711bdcbf297ec383f60b2407cd91b67ee5229b470556ea0</x:v>
      </x:c>
      <x:c r="S2926" t="n">
        <x:v>5</x:v>
      </x:c>
      <x:c r="T2926" t="str">
        <x:v>2019-12-31|2020-12-31|2021-12-31|2022-12-31</x:v>
      </x:c>
      <x:c r="U2926" s="57" t="n">
        <x:v>786.7567809151806</x:v>
      </x:c>
      <x:c r="V2926" s="57" t="n">
        <x:v>-0.7814564497457832</x:v>
      </x:c>
      <x:c r="W2926" t="n">
        <x:v>58</x:v>
      </x:c>
      <x:c r="X2926" t="n">
        <x:v>5</x:v>
      </x:c>
      <x:c r="Y2926" s="38" t="n">
        <x:v>0.6409090909090909</x:v>
      </x:c>
      <x:c r="Z2926" s="38" t="n">
        <x:v>0.6901126110971331</x:v>
      </x:c>
      <x:c r="AA2926"/>
    </x:row>
    <x:row r="2927">
      <x:c r="A2927" s="54" t="n">
        <x:v>45657</x:v>
      </x:c>
      <x:c r="B2927" t="n">
        <x:v>45657.624999988424</x:v>
      </x:c>
      <x:c r="C2927" t="str">
        <x:v>011760</x:v>
      </x:c>
      <x:c r="D2927" t="str">
        <x:v>현대코퍼레이션</x:v>
      </x:c>
      <x:c r="E2927" t="str">
        <x:v>KOSPI</x:v>
      </x:c>
      <x:c r="F2927" t="str">
        <x:v>MID</x:v>
      </x:c>
      <x:c r="G2927" t="str">
        <x:v>ELIGIBLE</x:v>
      </x:c>
      <x:c r="H2927"/>
      <x:c r="I2927" s="54" t="n">
        <x:v>45656</x:v>
      </x:c>
      <x:c r="J2927" s="55" t="n">
        <x:v>19110</x:v>
      </x:c>
      <x:c r="K2927" s="55" t="n">
        <x:v>252805540260</x:v>
      </x:c>
      <x:c r="L2927" s="55" t="n">
        <x:v>13228966</x:v>
      </x:c>
      <x:c r="M2927" t="str">
        <x:v>20240318000785</x:v>
      </x:c>
      <x:c r="N2927" t="n">
        <x:v>45369.624999988424</x:v>
      </x:c>
      <x:c r="O2927" s="54" t="n">
        <x:v>45291</x:v>
      </x:c>
      <x:c r="P2927" t="str">
        <x:v>False</x:v>
      </x:c>
      <x:c r="Q2927" t="str">
        <x:v>bd05e601957c225260fa17bce33245bbeb5087b300ec05c3078d2af44b23856f</x:v>
      </x:c>
      <x:c r="R2927" t="str">
        <x:v>1c4e9c8420b26b511d1e44e0285bfb973453d5b57b84484050f2da19059bf4b0</x:v>
      </x:c>
      <x:c r="S2927" t="n">
        <x:v>6</x:v>
      </x:c>
      <x:c r="T2927" t="str">
        <x:v>2018-12-31|2019-12-31|2020-12-31|2021-12-31|2022-12-31|2023-12-31</x:v>
      </x:c>
      <x:c r="U2927" s="57" t="n">
        <x:v>5583.9450786115685</x:v>
      </x:c>
      <x:c r="V2927" s="57" t="n">
        <x:v>-0.7077998389004936</x:v>
      </x:c>
      <x:c r="W2927" t="n">
        <x:v>56</x:v>
      </x:c>
      <x:c r="X2927" t="n">
        <x:v>5</x:v>
      </x:c>
      <x:c r="Y2927" s="38" t="n">
        <x:v>0.6409090909090909</x:v>
      </x:c>
      <x:c r="Z2927" s="38" t="n">
        <x:v>0.6111192753275378</x:v>
      </x:c>
      <x:c r="AA2927"/>
    </x:row>
    <x:row r="2928">
      <x:c r="A2928" s="54" t="n">
        <x:v>45657</x:v>
      </x:c>
      <x:c r="B2928" t="n">
        <x:v>45657.624999988424</x:v>
      </x:c>
      <x:c r="C2928" t="str">
        <x:v>010690</x:v>
      </x:c>
      <x:c r="D2928" t="str">
        <x:v>화신</x:v>
      </x:c>
      <x:c r="E2928" t="str">
        <x:v>KOSPI</x:v>
      </x:c>
      <x:c r="F2928" t="str">
        <x:v>MID</x:v>
      </x:c>
      <x:c r="G2928" t="str">
        <x:v>DCF_SCREENING_EXCLUSION</x:v>
      </x:c>
      <x:c r="H2928" t="str">
        <x:v>NON_POSITIVE_ENTERPRISE_VALUE|NON_POSITIVE_EQUITY_VALUE|NON_POSITIVE_TERMINAL_FCF|UNRELIABLE_TERMINAL_VALUE_SHARE</x:v>
      </x:c>
      <x:c r="I2928" s="54" t="n">
        <x:v>45656</x:v>
      </x:c>
      <x:c r="J2928" s="55" t="n">
        <x:v>6830</x:v>
      </x:c>
      <x:c r="K2928" s="55" t="n">
        <x:v>238506400300</x:v>
      </x:c>
      <x:c r="L2928" s="55" t="n">
        <x:v>34920410</x:v>
      </x:c>
      <x:c r="M2928" t="str">
        <x:v>20240320000628</x:v>
      </x:c>
      <x:c r="N2928" t="n">
        <x:v>45371.624999988424</x:v>
      </x:c>
      <x:c r="O2928" s="54" t="n">
        <x:v>45291</x:v>
      </x:c>
      <x:c r="P2928" t="str">
        <x:v>False</x:v>
      </x:c>
      <x:c r="Q2928" t="str">
        <x:v>e81705d8d6ba1afc0afef48e6b5e8812525711e6cd1c45d6819869d7b9b99be1</x:v>
      </x:c>
      <x:c r="R2928" t="str">
        <x:v>1cfc709ce29738cc466feeb517f518e423ab5954b30269b72d371bf06ee4533a</x:v>
      </x:c>
      <x:c r="S2928" t="n">
        <x:v>6</x:v>
      </x:c>
      <x:c r="T2928" t="str">
        <x:v>2018-12-31|2019-12-31|2020-12-31|2021-12-31|2022-12-31|2023-12-31</x:v>
      </x:c>
      <x:c r="U2928" s="57" t="n">
        <x:v>-10980.749844779888</x:v>
      </x:c>
      <x:c r="V2928" s="57" t="n">
        <x:v>-2.6077232569223847</x:v>
      </x:c>
      <x:c r="W2928"/>
      <x:c r="X2928"/>
      <x:c r="Y2928" s="38" t="n">
        <x:v>0.6409090909090909</x:v>
      </x:c>
      <x:c r="Z2928" s="38" t="n">
        <x:v>0.9229095949043173</x:v>
      </x:c>
      <x:c r="AA2928" t="str">
        <x:v>NON_POSITIVE_ENTERPRISE_VALUE|NON_POSITIVE_EQUITY_VALUE|NON_POSITIVE_TERMINAL_FCF|UNRELIABLE_TERMINAL_VALUE_SHARE</x:v>
      </x:c>
    </x:row>
    <x:row r="2929">
      <x:c r="A2929" s="54" t="n">
        <x:v>45657</x:v>
      </x:c>
      <x:c r="B2929" t="n">
        <x:v>45657.624999988424</x:v>
      </x:c>
      <x:c r="C2929" t="str">
        <x:v>029460</x:v>
      </x:c>
      <x:c r="D2929" t="str">
        <x:v>케이씨</x:v>
      </x:c>
      <x:c r="E2929" t="str">
        <x:v>KOSPI</x:v>
      </x:c>
      <x:c r="F2929" t="str">
        <x:v>MID</x:v>
      </x:c>
      <x:c r="G2929" t="str">
        <x:v>ELIGIBLE</x:v>
      </x:c>
      <x:c r="H2929"/>
      <x:c r="I2929" s="54" t="n">
        <x:v>45656</x:v>
      </x:c>
      <x:c r="J2929" s="55" t="n">
        <x:v>16590</x:v>
      </x:c>
      <x:c r="K2929" s="55" t="n">
        <x:v>224861589960</x:v>
      </x:c>
      <x:c r="L2929" s="55" t="n">
        <x:v>13554044</x:v>
      </x:c>
      <x:c r="M2929" t="str">
        <x:v>20240320001938</x:v>
      </x:c>
      <x:c r="N2929" t="n">
        <x:v>45371.624999988424</x:v>
      </x:c>
      <x:c r="O2929" s="54" t="n">
        <x:v>45291</x:v>
      </x:c>
      <x:c r="P2929" t="str">
        <x:v>False</x:v>
      </x:c>
      <x:c r="Q2929" t="str">
        <x:v>c14886d85c95ef98f0cb4a19df3b598ddb2981a5a15fc88ae7c3335125c0f27e</x:v>
      </x:c>
      <x:c r="R2929" t="str">
        <x:v>22a13afaea6021ee4bf693c4026f93fafaa7a8fba704d505a71c242704fcc3e8</x:v>
      </x:c>
      <x:c r="S2929" t="n">
        <x:v>7</x:v>
      </x:c>
      <x:c r="T2929" t="str">
        <x:v>2018-12-31|2019-12-31|2020-12-31|2021-12-31|2022-12-31|2023-12-31</x:v>
      </x:c>
      <x:c r="U2929" s="57" t="n">
        <x:v>45130.92374360341</x:v>
      </x:c>
      <x:c r="V2929" s="57" t="n">
        <x:v>1.720369122580073</x:v>
      </x:c>
      <x:c r="W2929" t="n">
        <x:v>11</x:v>
      </x:c>
      <x:c r="X2929" t="n">
        <x:v>1</x:v>
      </x:c>
      <x:c r="Y2929" s="38" t="n">
        <x:v>0.6409090909090909</x:v>
      </x:c>
      <x:c r="Z2929" s="38" t="n">
        <x:v>0.7089059046499804</x:v>
      </x:c>
      <x:c r="AA2929"/>
    </x:row>
    <x:row r="2930">
      <x:c r="A2930" s="54" t="n">
        <x:v>45657</x:v>
      </x:c>
      <x:c r="B2930" t="n">
        <x:v>45657.624999988424</x:v>
      </x:c>
      <x:c r="C2930" t="str">
        <x:v>122900</x:v>
      </x:c>
      <x:c r="D2930" t="str">
        <x:v>아이마켓코리아</x:v>
      </x:c>
      <x:c r="E2930" t="str">
        <x:v>KOSPI</x:v>
      </x:c>
      <x:c r="F2930" t="str">
        <x:v>MID</x:v>
      </x:c>
      <x:c r="G2930" t="str">
        <x:v>ELIGIBLE</x:v>
      </x:c>
      <x:c r="H2930"/>
      <x:c r="I2930" s="54" t="n">
        <x:v>45656</x:v>
      </x:c>
      <x:c r="J2930" s="55" t="n">
        <x:v>8000</x:v>
      </x:c>
      <x:c r="K2930" s="55" t="n">
        <x:v>267430720000</x:v>
      </x:c>
      <x:c r="L2930" s="55" t="n">
        <x:v>33428840</x:v>
      </x:c>
      <x:c r="M2930" t="str">
        <x:v>20240320001539</x:v>
      </x:c>
      <x:c r="N2930" t="n">
        <x:v>45371.624999988424</x:v>
      </x:c>
      <x:c r="O2930" s="54" t="n">
        <x:v>45291</x:v>
      </x:c>
      <x:c r="P2930" t="str">
        <x:v>False</x:v>
      </x:c>
      <x:c r="Q2930" t="str">
        <x:v>d1503789c50ef811d0de22a09dbf8dc2d39a26a93f95f814ae38fa4dd228ed72</x:v>
      </x:c>
      <x:c r="R2930" t="str">
        <x:v>e28ed1210e03ccf7a9f73952a8150699e698367f047dd509b998036ce69b2f89</x:v>
      </x:c>
      <x:c r="S2930" t="n">
        <x:v>7</x:v>
      </x:c>
      <x:c r="T2930" t="str">
        <x:v>2018-12-31|2019-12-31|2020-12-31|2021-12-31|2022-12-31|2023-12-31</x:v>
      </x:c>
      <x:c r="U2930" s="57" t="n">
        <x:v>8276.257238095726</x:v>
      </x:c>
      <x:c r="V2930" s="57" t="n">
        <x:v>0.03453215476196582</x:v>
      </x:c>
      <x:c r="W2930" t="n">
        <x:v>28</x:v>
      </x:c>
      <x:c r="X2930" t="n">
        <x:v>2</x:v>
      </x:c>
      <x:c r="Y2930" s="38" t="n">
        <x:v>0.6409090909090909</x:v>
      </x:c>
      <x:c r="Z2930" s="38" t="n">
        <x:v>0.6641229820729971</x:v>
      </x:c>
      <x:c r="AA2930"/>
    </x:row>
    <x:row r="2931">
      <x:c r="A2931" s="54" t="n">
        <x:v>45657</x:v>
      </x:c>
      <x:c r="B2931" t="n">
        <x:v>45657.624999988424</x:v>
      </x:c>
      <x:c r="C2931" t="str">
        <x:v>001820</x:v>
      </x:c>
      <x:c r="D2931" t="str">
        <x:v>삼화콘덴서</x:v>
      </x:c>
      <x:c r="E2931" t="str">
        <x:v>KOSPI</x:v>
      </x:c>
      <x:c r="F2931" t="str">
        <x:v>MID</x:v>
      </x:c>
      <x:c r="G2931" t="str">
        <x:v>ELIGIBLE</x:v>
      </x:c>
      <x:c r="H2931"/>
      <x:c r="I2931" s="54" t="n">
        <x:v>45656</x:v>
      </x:c>
      <x:c r="J2931" s="55" t="n">
        <x:v>27550</x:v>
      </x:c>
      <x:c r="K2931" s="55" t="n">
        <x:v>286382250000</x:v>
      </x:c>
      <x:c r="L2931" s="55" t="n">
        <x:v>10395000</x:v>
      </x:c>
      <x:c r="M2931" t="str">
        <x:v>20240314001464</x:v>
      </x:c>
      <x:c r="N2931" t="n">
        <x:v>45365.624999988424</x:v>
      </x:c>
      <x:c r="O2931" s="54" t="n">
        <x:v>45291</x:v>
      </x:c>
      <x:c r="P2931" t="str">
        <x:v>False</x:v>
      </x:c>
      <x:c r="Q2931" t="str">
        <x:v>274a5347b9dabbb2482dfee0910723d6566dfabab115cb38d8e94d1bd1edface</x:v>
      </x:c>
      <x:c r="R2931" t="str">
        <x:v>cf569ee3978138fde2695bac84c5bc8c63f354d09fc34a554225e8d2005758d2</x:v>
      </x:c>
      <x:c r="S2931" t="n">
        <x:v>6</x:v>
      </x:c>
      <x:c r="T2931" t="str">
        <x:v>2018-12-31|2019-12-31|2020-12-31|2021-12-31|2022-12-31|2023-12-31</x:v>
      </x:c>
      <x:c r="U2931" s="57" t="n">
        <x:v>20806.516685187282</x:v>
      </x:c>
      <x:c r="V2931" s="57" t="n">
        <x:v>-0.24477253411298439</x:v>
      </x:c>
      <x:c r="W2931" t="n">
        <x:v>35</x:v>
      </x:c>
      <x:c r="X2931" t="n">
        <x:v>3</x:v>
      </x:c>
      <x:c r="Y2931" s="38" t="n">
        <x:v>0.6409090909090909</x:v>
      </x:c>
      <x:c r="Z2931" s="38" t="n">
        <x:v>0.7219471498277276</x:v>
      </x:c>
      <x:c r="AA2931"/>
    </x:row>
    <x:row r="2932">
      <x:c r="A2932" s="54" t="n">
        <x:v>45657</x:v>
      </x:c>
      <x:c r="B2932" t="n">
        <x:v>45657.624999988424</x:v>
      </x:c>
      <x:c r="C2932" t="str">
        <x:v>001790</x:v>
      </x:c>
      <x:c r="D2932" t="str">
        <x:v>대한제당</x:v>
      </x:c>
      <x:c r="E2932" t="str">
        <x:v>KOSPI</x:v>
      </x:c>
      <x:c r="F2932" t="str">
        <x:v>MID</x:v>
      </x:c>
      <x:c r="G2932" t="str">
        <x:v>ELIGIBLE</x:v>
      </x:c>
      <x:c r="H2932"/>
      <x:c r="I2932" s="54" t="n">
        <x:v>45656</x:v>
      </x:c>
      <x:c r="J2932" s="55" t="n">
        <x:v>2670</x:v>
      </x:c>
      <x:c r="K2932" s="55" t="n">
        <x:v>239489868600</x:v>
      </x:c>
      <x:c r="L2932" s="55" t="n">
        <x:v>89696580</x:v>
      </x:c>
      <x:c r="M2932" t="str">
        <x:v>20240314001234</x:v>
      </x:c>
      <x:c r="N2932" t="n">
        <x:v>45365.624999988424</x:v>
      </x:c>
      <x:c r="O2932" s="54" t="n">
        <x:v>45291</x:v>
      </x:c>
      <x:c r="P2932" t="str">
        <x:v>False</x:v>
      </x:c>
      <x:c r="Q2932" t="str">
        <x:v>df56a246a05df0b3fabb54db375323623b0235bb5736b3320cf8ef71f3e0dca7</x:v>
      </x:c>
      <x:c r="R2932" t="str">
        <x:v>95750ec16fad2e2d24c3b44296bd94ca5da4245c47d0c3845aa3b1a4c61c7771</x:v>
      </x:c>
      <x:c r="S2932" t="n">
        <x:v>6</x:v>
      </x:c>
      <x:c r="T2932" t="str">
        <x:v>2018-12-31|2019-12-31|2020-12-31|2021-12-31|2022-12-31|2023-12-31</x:v>
      </x:c>
      <x:c r="U2932" s="57" t="n">
        <x:v>3415.658777254967</x:v>
      </x:c>
      <x:c r="V2932" s="57" t="n">
        <x:v>0.27927295028275906</x:v>
      </x:c>
      <x:c r="W2932" t="n">
        <x:v>24</x:v>
      </x:c>
      <x:c r="X2932" t="n">
        <x:v>2</x:v>
      </x:c>
      <x:c r="Y2932" s="38" t="n">
        <x:v>0.6409090909090909</x:v>
      </x:c>
      <x:c r="Z2932" s="38" t="n">
        <x:v>0.6282445060315464</x:v>
      </x:c>
      <x:c r="AA2932"/>
    </x:row>
    <x:row r="2933">
      <x:c r="A2933" s="54" t="n">
        <x:v>45657</x:v>
      </x:c>
      <x:c r="B2933" t="n">
        <x:v>45657.624999988424</x:v>
      </x:c>
      <x:c r="C2933" t="str">
        <x:v>001340</x:v>
      </x:c>
      <x:c r="D2933" t="str">
        <x:v>PKC</x:v>
      </x:c>
      <x:c r="E2933" t="str">
        <x:v>KOSPI</x:v>
      </x:c>
      <x:c r="F2933" t="str">
        <x:v>MID</x:v>
      </x:c>
      <x:c r="G2933" t="str">
        <x:v>DCF_SCREENING_EXCLUSION</x:v>
      </x:c>
      <x:c r="H2933" t="str">
        <x:v>NON_POSITIVE_EQUITY_VALUE</x:v>
      </x:c>
      <x:c r="I2933" s="54" t="n">
        <x:v>45656</x:v>
      </x:c>
      <x:c r="J2933" s="55" t="n">
        <x:v>7130</x:v>
      </x:c>
      <x:c r="K2933" s="55" t="n">
        <x:v>320268241910</x:v>
      </x:c>
      <x:c r="L2933" s="55" t="n">
        <x:v>44918407</x:v>
      </x:c>
      <x:c r="M2933" t="str">
        <x:v>20240320001979</x:v>
      </x:c>
      <x:c r="N2933" t="n">
        <x:v>45371.624999988424</x:v>
      </x:c>
      <x:c r="O2933" s="54" t="n">
        <x:v>45291</x:v>
      </x:c>
      <x:c r="P2933" t="str">
        <x:v>False</x:v>
      </x:c>
      <x:c r="Q2933" t="str">
        <x:v>3c6ac6dfee2c7c5af21ff44265a33e23602bb7d3184a696b2b272cd587a4e2f8</x:v>
      </x:c>
      <x:c r="R2933" t="str">
        <x:v>37c0fe6d2ee64845eaf70afcce40d9a39f2a58d7f9bf1537b18fbf2299467f70</x:v>
      </x:c>
      <x:c r="S2933" t="n">
        <x:v>6</x:v>
      </x:c>
      <x:c r="T2933" t="str">
        <x:v>2016-12-31|2017-12-31|2018-12-31|2019-12-31|2020-12-31|2021-12-31|2022-12-31|2023-12-31</x:v>
      </x:c>
      <x:c r="U2933" s="57" t="n">
        <x:v>-680.2452659586256</x:v>
      </x:c>
      <x:c r="V2933" s="57" t="n">
        <x:v>-1.09540606815689</x:v>
      </x:c>
      <x:c r="W2933"/>
      <x:c r="X2933"/>
      <x:c r="Y2933" s="38" t="n">
        <x:v>0.6409090909090909</x:v>
      </x:c>
      <x:c r="Z2933" s="38" t="n">
        <x:v>0.719630078039282</x:v>
      </x:c>
      <x:c r="AA2933" t="str">
        <x:v>NON_POSITIVE_EQUITY_VALUE</x:v>
      </x:c>
    </x:row>
    <x:row r="2934">
      <x:c r="A2934" s="54" t="n">
        <x:v>45657</x:v>
      </x:c>
      <x:c r="B2934" t="n">
        <x:v>45657.624999988424</x:v>
      </x:c>
      <x:c r="C2934" t="str">
        <x:v>096760</x:v>
      </x:c>
      <x:c r="D2934" t="str">
        <x:v>JW홀딩스</x:v>
      </x:c>
      <x:c r="E2934" t="str">
        <x:v>KOSPI</x:v>
      </x:c>
      <x:c r="F2934" t="str">
        <x:v>MID</x:v>
      </x:c>
      <x:c r="G2934" t="str">
        <x:v>EXCLUDED_ARCHETYPE</x:v>
      </x:c>
      <x:c r="H2934" t="str">
        <x:v>FCFF_NOT_COMPARABLE_FOR_FINANCE_OR_HOLDING_HINT</x:v>
      </x:c>
      <x:c r="I2934" s="54"/>
      <x:c r="J2934" s="55"/>
      <x:c r="K2934" s="55"/>
      <x:c r="L2934" s="55"/>
      <x:c r="M2934"/>
      <x:c r="N2934"/>
      <x:c r="O2934" s="54"/>
      <x:c r="P2934"/>
      <x:c r="Q2934"/>
      <x:c r="R2934"/>
      <x:c r="S2934"/>
      <x:c r="T2934"/>
      <x:c r="U2934" s="57"/>
      <x:c r="V2934" s="57"/>
      <x:c r="W2934"/>
      <x:c r="X2934"/>
      <x:c r="Y2934" s="38"/>
      <x:c r="Z2934" s="38"/>
      <x:c r="AA2934"/>
    </x:row>
    <x:row r="2935">
      <x:c r="A2935" s="54" t="n">
        <x:v>45657</x:v>
      </x:c>
      <x:c r="B2935" t="n">
        <x:v>45657.624999988424</x:v>
      </x:c>
      <x:c r="C2935" t="str">
        <x:v>005010</x:v>
      </x:c>
      <x:c r="D2935" t="str">
        <x:v>휴스틸</x:v>
      </x:c>
      <x:c r="E2935" t="str">
        <x:v>KOSPI</x:v>
      </x:c>
      <x:c r="F2935" t="str">
        <x:v>MID</x:v>
      </x:c>
      <x:c r="G2935" t="str">
        <x:v>ELIGIBLE</x:v>
      </x:c>
      <x:c r="H2935"/>
      <x:c r="I2935" s="54" t="n">
        <x:v>45656</x:v>
      </x:c>
      <x:c r="J2935" s="55" t="n">
        <x:v>3780</x:v>
      </x:c>
      <x:c r="K2935" s="55" t="n">
        <x:v>212390923500</x:v>
      </x:c>
      <x:c r="L2935" s="55" t="n">
        <x:v>56188075</x:v>
      </x:c>
      <x:c r="M2935" t="str">
        <x:v>20240320001603</x:v>
      </x:c>
      <x:c r="N2935" t="n">
        <x:v>45371.624999988424</x:v>
      </x:c>
      <x:c r="O2935" s="54" t="n">
        <x:v>45291</x:v>
      </x:c>
      <x:c r="P2935" t="str">
        <x:v>False</x:v>
      </x:c>
      <x:c r="Q2935" t="str">
        <x:v>35aae45fefebaf10aa2c86741eb7509a2cff890309dfeb292b0a34398125d0ed</x:v>
      </x:c>
      <x:c r="R2935" t="str">
        <x:v>55c6ff67c8f62cec78e5b4d1a25f40746047d70c48fcc8b9976e04ef6ee101d9</x:v>
      </x:c>
      <x:c r="S2935" t="n">
        <x:v>7</x:v>
      </x:c>
      <x:c r="T2935" t="str">
        <x:v>2018-12-31|2019-12-31|2020-12-31|2021-12-31|2022-12-31|2023-12-31</x:v>
      </x:c>
      <x:c r="U2935" s="57" t="n">
        <x:v>10468.317900691738</x:v>
      </x:c>
      <x:c r="V2935" s="57" t="n">
        <x:v>1.7693962700242696</x:v>
      </x:c>
      <x:c r="W2935" t="n">
        <x:v>10</x:v>
      </x:c>
      <x:c r="X2935" t="n">
        <x:v>1</x:v>
      </x:c>
      <x:c r="Y2935" s="38" t="n">
        <x:v>0.6409090909090909</x:v>
      </x:c>
      <x:c r="Z2935" s="38" t="n">
        <x:v>0.447207451895078</x:v>
      </x:c>
      <x:c r="AA2935"/>
    </x:row>
    <x:row r="2936">
      <x:c r="A2936" s="54" t="n">
        <x:v>45657</x:v>
      </x:c>
      <x:c r="B2936" t="n">
        <x:v>45657.624999988424</x:v>
      </x:c>
      <x:c r="C2936" t="str">
        <x:v>001630</x:v>
      </x:c>
      <x:c r="D2936" t="str">
        <x:v>종근당홀딩스</x:v>
      </x:c>
      <x:c r="E2936" t="str">
        <x:v>KOSPI</x:v>
      </x:c>
      <x:c r="F2936" t="str">
        <x:v>MID</x:v>
      </x:c>
      <x:c r="G2936" t="str">
        <x:v>EXCLUDED_ARCHETYPE</x:v>
      </x:c>
      <x:c r="H2936" t="str">
        <x:v>FCFF_NOT_COMPARABLE_FOR_FINANCE_OR_HOLDING_HINT</x:v>
      </x:c>
      <x:c r="I2936" s="54"/>
      <x:c r="J2936" s="55"/>
      <x:c r="K2936" s="55"/>
      <x:c r="L2936" s="55"/>
      <x:c r="M2936"/>
      <x:c r="N2936"/>
      <x:c r="O2936" s="54"/>
      <x:c r="P2936"/>
      <x:c r="Q2936"/>
      <x:c r="R2936"/>
      <x:c r="S2936"/>
      <x:c r="T2936"/>
      <x:c r="U2936" s="57"/>
      <x:c r="V2936" s="57"/>
      <x:c r="W2936"/>
      <x:c r="X2936"/>
      <x:c r="Y2936" s="38"/>
      <x:c r="Z2936" s="38"/>
      <x:c r="AA2936"/>
    </x:row>
    <x:row r="2937">
      <x:c r="A2937" s="54" t="n">
        <x:v>45657</x:v>
      </x:c>
      <x:c r="B2937" t="n">
        <x:v>45657.624999988424</x:v>
      </x:c>
      <x:c r="C2937" t="str">
        <x:v>005680</x:v>
      </x:c>
      <x:c r="D2937" t="str">
        <x:v>삼영전자</x:v>
      </x:c>
      <x:c r="E2937" t="str">
        <x:v>KOSPI</x:v>
      </x:c>
      <x:c r="F2937" t="str">
        <x:v>MID</x:v>
      </x:c>
      <x:c r="G2937" t="str">
        <x:v>ELIGIBLE</x:v>
      </x:c>
      <x:c r="H2937"/>
      <x:c r="I2937" s="54" t="n">
        <x:v>45656</x:v>
      </x:c>
      <x:c r="J2937" s="55" t="n">
        <x:v>9850</x:v>
      </x:c>
      <x:c r="K2937" s="55" t="n">
        <x:v>197000000000</x:v>
      </x:c>
      <x:c r="L2937" s="55" t="n">
        <x:v>20000000</x:v>
      </x:c>
      <x:c r="M2937" t="str">
        <x:v>20240326000917</x:v>
      </x:c>
      <x:c r="N2937" t="n">
        <x:v>45377.624999988424</x:v>
      </x:c>
      <x:c r="O2937" s="54" t="n">
        <x:v>45291</x:v>
      </x:c>
      <x:c r="P2937" t="str">
        <x:v>False</x:v>
      </x:c>
      <x:c r="Q2937" t="str">
        <x:v>c9489600e923660150670cea88e10103608288ea56fadc66095a9aeeb1947124</x:v>
      </x:c>
      <x:c r="R2937" t="str">
        <x:v>f302bc68e8759b0aa0925fdb1b06b3e93b20fe5c27a5437c64873a5ca5bd9f85</x:v>
      </x:c>
      <x:c r="S2937" t="n">
        <x:v>6</x:v>
      </x:c>
      <x:c r="T2937" t="str">
        <x:v>2018-12-31|2019-12-31|2020-12-31|2021-12-31|2022-12-31|2023-12-31</x:v>
      </x:c>
      <x:c r="U2937" s="57" t="n">
        <x:v>4030.562647874543</x:v>
      </x:c>
      <x:c r="V2937" s="57" t="n">
        <x:v>-0.5908058225508078</x:v>
      </x:c>
      <x:c r="W2937" t="n">
        <x:v>48</x:v>
      </x:c>
      <x:c r="X2937" t="n">
        <x:v>4</x:v>
      </x:c>
      <x:c r="Y2937" s="38" t="n">
        <x:v>0.6409090909090909</x:v>
      </x:c>
      <x:c r="Z2937" s="38" t="n">
        <x:v>0.5975463439034572</x:v>
      </x:c>
      <x:c r="AA2937"/>
    </x:row>
    <x:row r="2938">
      <x:c r="A2938" s="54" t="n">
        <x:v>45657</x:v>
      </x:c>
      <x:c r="B2938" t="n">
        <x:v>45657.624999988424</x:v>
      </x:c>
      <x:c r="C2938" t="str">
        <x:v>028100</x:v>
      </x:c>
      <x:c r="D2938" t="str">
        <x:v>동아지질</x:v>
      </x:c>
      <x:c r="E2938" t="str">
        <x:v>KOSPI</x:v>
      </x:c>
      <x:c r="F2938" t="str">
        <x:v>MID</x:v>
      </x:c>
      <x:c r="G2938" t="str">
        <x:v>ELIGIBLE</x:v>
      </x:c>
      <x:c r="H2938"/>
      <x:c r="I2938" s="54" t="n">
        <x:v>45656</x:v>
      </x:c>
      <x:c r="J2938" s="55" t="n">
        <x:v>13560</x:v>
      </x:c>
      <x:c r="K2938" s="55" t="n">
        <x:v>181561647120</x:v>
      </x:c>
      <x:c r="L2938" s="55" t="n">
        <x:v>13389502</x:v>
      </x:c>
      <x:c r="M2938" t="str">
        <x:v>20240320001574</x:v>
      </x:c>
      <x:c r="N2938" t="n">
        <x:v>45371.624999988424</x:v>
      </x:c>
      <x:c r="O2938" s="54" t="n">
        <x:v>45291</x:v>
      </x:c>
      <x:c r="P2938" t="str">
        <x:v>False</x:v>
      </x:c>
      <x:c r="Q2938" t="str">
        <x:v>ee52a2e3e477bd9e8cfb8f2ba62b81403571f1861c743963d4d6485d911c75be</x:v>
      </x:c>
      <x:c r="R2938" t="str">
        <x:v>4d06e68b268047c2158644a358ddec39196c4ce7f8c0bd01059dd2aaef3abcdd</x:v>
      </x:c>
      <x:c r="S2938" t="n">
        <x:v>7</x:v>
      </x:c>
      <x:c r="T2938" t="str">
        <x:v>2018-12-31|2019-12-31|2020-12-31|2021-12-31|2022-12-31|2023-12-31</x:v>
      </x:c>
      <x:c r="U2938" s="57" t="n">
        <x:v>9199.218554978639</x:v>
      </x:c>
      <x:c r="V2938" s="57" t="n">
        <x:v>-0.3215915519927258</x:v>
      </x:c>
      <x:c r="W2938" t="n">
        <x:v>40</x:v>
      </x:c>
      <x:c r="X2938" t="n">
        <x:v>3</x:v>
      </x:c>
      <x:c r="Y2938" s="38" t="n">
        <x:v>0.6409090909090909</x:v>
      </x:c>
      <x:c r="Z2938" s="38" t="n">
        <x:v>0.49011150122882485</x:v>
      </x:c>
      <x:c r="AA2938"/>
    </x:row>
    <x:row r="2939">
      <x:c r="A2939" s="54" t="n">
        <x:v>45657</x:v>
      </x:c>
      <x:c r="B2939" t="n">
        <x:v>45657.624999988424</x:v>
      </x:c>
      <x:c r="C2939" t="str">
        <x:v>001750</x:v>
      </x:c>
      <x:c r="D2939" t="str">
        <x:v>한양증권</x:v>
      </x:c>
      <x:c r="E2939" t="str">
        <x:v>KOSPI</x:v>
      </x:c>
      <x:c r="F2939" t="str">
        <x:v>MID</x:v>
      </x:c>
      <x:c r="G2939" t="str">
        <x:v>EXCLUDED_ARCHETYPE</x:v>
      </x:c>
      <x:c r="H2939" t="str">
        <x:v>FCFF_NOT_COMPARABLE_FOR_FINANCE_OR_HOLDING_HINT</x:v>
      </x:c>
      <x:c r="I2939" s="54"/>
      <x:c r="J2939" s="55"/>
      <x:c r="K2939" s="55"/>
      <x:c r="L2939" s="55"/>
      <x:c r="M2939"/>
      <x:c r="N2939"/>
      <x:c r="O2939" s="54"/>
      <x:c r="P2939"/>
      <x:c r="Q2939"/>
      <x:c r="R2939"/>
      <x:c r="S2939"/>
      <x:c r="T2939"/>
      <x:c r="U2939" s="57"/>
      <x:c r="V2939" s="57"/>
      <x:c r="W2939"/>
      <x:c r="X2939"/>
      <x:c r="Y2939" s="38"/>
      <x:c r="Z2939" s="38"/>
      <x:c r="AA2939"/>
    </x:row>
    <x:row r="2940">
      <x:c r="A2940" s="54" t="n">
        <x:v>45657</x:v>
      </x:c>
      <x:c r="B2940" t="n">
        <x:v>45657.624999988424</x:v>
      </x:c>
      <x:c r="C2940" t="str">
        <x:v>102460</x:v>
      </x:c>
      <x:c r="D2940" t="str">
        <x:v>이연제약</x:v>
      </x:c>
      <x:c r="E2940" t="str">
        <x:v>KOSPI</x:v>
      </x:c>
      <x:c r="F2940" t="str">
        <x:v>MID</x:v>
      </x:c>
      <x:c r="G2940" t="str">
        <x:v>ELIGIBLE</x:v>
      </x:c>
      <x:c r="H2940"/>
      <x:c r="I2940" s="54" t="n">
        <x:v>45656</x:v>
      </x:c>
      <x:c r="J2940" s="55" t="n">
        <x:v>12840</x:v>
      </x:c>
      <x:c r="K2940" s="55" t="n">
        <x:v>238654653240</x:v>
      </x:c>
      <x:c r="L2940" s="55" t="n">
        <x:v>18586811</x:v>
      </x:c>
      <x:c r="M2940" t="str">
        <x:v>20240321001807</x:v>
      </x:c>
      <x:c r="N2940" t="n">
        <x:v>45372.624999988424</x:v>
      </x:c>
      <x:c r="O2940" s="54" t="n">
        <x:v>45291</x:v>
      </x:c>
      <x:c r="P2940" t="str">
        <x:v>False</x:v>
      </x:c>
      <x:c r="Q2940" t="str">
        <x:v>80d21ff9a7e0cc91512ce41db0823ff69fde89fde7aa4df36154d1bf9cf32883</x:v>
      </x:c>
      <x:c r="R2940" t="str">
        <x:v>5abe4fd2790dc39b5a5e6080a797e3d1f134ad081f87807db896d3642047e82d</x:v>
      </x:c>
      <x:c r="S2940" t="n">
        <x:v>4</x:v>
      </x:c>
      <x:c r="T2940" t="str">
        <x:v>2018-12-31|2019-12-31|2020-12-31|2021-12-31|2022-12-31|2023-12-31</x:v>
      </x:c>
      <x:c r="U2940" s="57" t="n">
        <x:v>2170.4219230363597</x:v>
      </x:c>
      <x:c r="V2940" s="57" t="n">
        <x:v>-0.8309640246856418</x:v>
      </x:c>
      <x:c r="W2940" t="n">
        <x:v>62</x:v>
      </x:c>
      <x:c r="X2940" t="n">
        <x:v>5</x:v>
      </x:c>
      <x:c r="Y2940" s="38" t="n">
        <x:v>0.6409090909090909</x:v>
      </x:c>
      <x:c r="Z2940" s="38" t="n">
        <x:v>0.8239939514401352</x:v>
      </x:c>
      <x:c r="AA2940"/>
    </x:row>
    <x:row r="2941">
      <x:c r="A2941" s="54" t="n">
        <x:v>45657</x:v>
      </x:c>
      <x:c r="B2941" t="n">
        <x:v>45657.624999988424</x:v>
      </x:c>
      <x:c r="C2941" t="str">
        <x:v>053690</x:v>
      </x:c>
      <x:c r="D2941" t="str">
        <x:v>한미글로벌</x:v>
      </x:c>
      <x:c r="E2941" t="str">
        <x:v>KOSPI</x:v>
      </x:c>
      <x:c r="F2941" t="str">
        <x:v>MID</x:v>
      </x:c>
      <x:c r="G2941" t="str">
        <x:v>ELIGIBLE</x:v>
      </x:c>
      <x:c r="H2941"/>
      <x:c r="I2941" s="54" t="n">
        <x:v>45656</x:v>
      </x:c>
      <x:c r="J2941" s="55" t="n">
        <x:v>16630</x:v>
      </x:c>
      <x:c r="K2941" s="55" t="n">
        <x:v>182224056500</x:v>
      </x:c>
      <x:c r="L2941" s="55" t="n">
        <x:v>10957550</x:v>
      </x:c>
      <x:c r="M2941" t="str">
        <x:v>20240313000849</x:v>
      </x:c>
      <x:c r="N2941" t="n">
        <x:v>45364.624999988424</x:v>
      </x:c>
      <x:c r="O2941" s="54" t="n">
        <x:v>45291</x:v>
      </x:c>
      <x:c r="P2941" t="str">
        <x:v>False</x:v>
      </x:c>
      <x:c r="Q2941" t="str">
        <x:v>600ede85d8fc76ab530b9b07c7cb77f2a7e9a31bbf1c2792ce98764725fae529</x:v>
      </x:c>
      <x:c r="R2941" t="str">
        <x:v>b62dda95c5ba2018a83c44b538c7f4363dc397a14cafc5bec0d3704c830014df</x:v>
      </x:c>
      <x:c r="S2941" t="n">
        <x:v>6</x:v>
      </x:c>
      <x:c r="T2941" t="str">
        <x:v>2018-12-31|2019-12-31|2020-12-31|2021-12-31|2022-12-31|2023-12-31</x:v>
      </x:c>
      <x:c r="U2941" s="57" t="n">
        <x:v>28120.708258603623</x:v>
      </x:c>
      <x:c r="V2941" s="57" t="n">
        <x:v>0.6909626132654013</x:v>
      </x:c>
      <x:c r="W2941" t="n">
        <x:v>17</x:v>
      </x:c>
      <x:c r="X2941" t="n">
        <x:v>2</x:v>
      </x:c>
      <x:c r="Y2941" s="38" t="n">
        <x:v>0.6409090909090909</x:v>
      </x:c>
      <x:c r="Z2941" s="38" t="n">
        <x:v>0.7211920712773437</x:v>
      </x:c>
      <x:c r="AA2941"/>
    </x:row>
    <x:row r="2942">
      <x:c r="A2942" s="54" t="n">
        <x:v>45657</x:v>
      </x:c>
      <x:c r="B2942" t="n">
        <x:v>45657.624999988424</x:v>
      </x:c>
      <x:c r="C2942" t="str">
        <x:v>213500</x:v>
      </x:c>
      <x:c r="D2942" t="str">
        <x:v>한솔제지</x:v>
      </x:c>
      <x:c r="E2942" t="str">
        <x:v>KOSPI</x:v>
      </x:c>
      <x:c r="F2942" t="str">
        <x:v>MID</x:v>
      </x:c>
      <x:c r="G2942" t="str">
        <x:v>ELIGIBLE</x:v>
      </x:c>
      <x:c r="H2942"/>
      <x:c r="I2942" s="54" t="n">
        <x:v>45656</x:v>
      </x:c>
      <x:c r="J2942" s="55" t="n">
        <x:v>8610</x:v>
      </x:c>
      <x:c r="K2942" s="55" t="n">
        <x:v>204922959360</x:v>
      </x:c>
      <x:c r="L2942" s="55" t="n">
        <x:v>23800576</x:v>
      </x:c>
      <x:c r="M2942" t="str">
        <x:v>20240312000971</x:v>
      </x:c>
      <x:c r="N2942" t="n">
        <x:v>45363.624999988424</x:v>
      </x:c>
      <x:c r="O2942" s="54" t="n">
        <x:v>45291</x:v>
      </x:c>
      <x:c r="P2942" t="str">
        <x:v>False</x:v>
      </x:c>
      <x:c r="Q2942" t="str">
        <x:v>19dff331e8b1c6ee5277754cd0302ed39450af4fcdb182c178e95c0d536d86c3</x:v>
      </x:c>
      <x:c r="R2942" t="str">
        <x:v>ee2ea9fea7706535f462605c9bbd31b8c46a23812968bbcab329a050fc29d719</x:v>
      </x:c>
      <x:c r="S2942" t="n">
        <x:v>7</x:v>
      </x:c>
      <x:c r="T2942" t="str">
        <x:v>2018-12-31|2019-12-31|2020-12-31|2021-12-31|2022-12-31|2023-12-31</x:v>
      </x:c>
      <x:c r="U2942" s="57" t="n">
        <x:v>25881.732116932646</x:v>
      </x:c>
      <x:c r="V2942" s="57" t="n">
        <x:v>2.0060083759503655</x:v>
      </x:c>
      <x:c r="W2942" t="n">
        <x:v>9</x:v>
      </x:c>
      <x:c r="X2942" t="n">
        <x:v>1</x:v>
      </x:c>
      <x:c r="Y2942" s="38" t="n">
        <x:v>0.6409090909090909</x:v>
      </x:c>
      <x:c r="Z2942" s="38" t="n">
        <x:v>0.7969868076380493</x:v>
      </x:c>
      <x:c r="AA2942"/>
    </x:row>
    <x:row r="2943">
      <x:c r="A2943" s="54" t="n">
        <x:v>45657</x:v>
      </x:c>
      <x:c r="B2943" t="n">
        <x:v>45657.624999988424</x:v>
      </x:c>
      <x:c r="C2943" t="str">
        <x:v>005430</x:v>
      </x:c>
      <x:c r="D2943" t="str">
        <x:v>한국공항</x:v>
      </x:c>
      <x:c r="E2943" t="str">
        <x:v>KOSPI</x:v>
      </x:c>
      <x:c r="F2943" t="str">
        <x:v>MID</x:v>
      </x:c>
      <x:c r="G2943" t="str">
        <x:v>ELIGIBLE</x:v>
      </x:c>
      <x:c r="H2943"/>
      <x:c r="I2943" s="54" t="n">
        <x:v>45656</x:v>
      </x:c>
      <x:c r="J2943" s="55" t="n">
        <x:v>56800</x:v>
      </x:c>
      <x:c r="K2943" s="55" t="n">
        <x:v>179848964000</x:v>
      </x:c>
      <x:c r="L2943" s="55" t="n">
        <x:v>3166355</x:v>
      </x:c>
      <x:c r="M2943" t="str">
        <x:v>20240313001250</x:v>
      </x:c>
      <x:c r="N2943" t="n">
        <x:v>45364.624999988424</x:v>
      </x:c>
      <x:c r="O2943" s="54" t="n">
        <x:v>45291</x:v>
      </x:c>
      <x:c r="P2943" t="str">
        <x:v>False</x:v>
      </x:c>
      <x:c r="Q2943" t="str">
        <x:v>91288d905d329bc748c57e4da2087a6810ead9e2eb7289cf7df63e0f6be160d7</x:v>
      </x:c>
      <x:c r="R2943" t="str">
        <x:v>29f2c59495d30dcc25005b2cbc9d508ccbe1c6e25677cf3fa2fbbf9a8e4b05b1</x:v>
      </x:c>
      <x:c r="S2943" t="n">
        <x:v>7</x:v>
      </x:c>
      <x:c r="T2943" t="str">
        <x:v>2018-12-31|2019-12-31|2020-12-31|2021-12-31|2022-12-31|2023-12-31</x:v>
      </x:c>
      <x:c r="U2943" s="57" t="n">
        <x:v>61944.748552711986</x:v>
      </x:c>
      <x:c r="V2943" s="57" t="n">
        <x:v>0.09057655902661943</x:v>
      </x:c>
      <x:c r="W2943" t="n">
        <x:v>27</x:v>
      </x:c>
      <x:c r="X2943" t="n">
        <x:v>2</x:v>
      </x:c>
      <x:c r="Y2943" s="38" t="n">
        <x:v>0.6409090909090909</x:v>
      </x:c>
      <x:c r="Z2943" s="38" t="n">
        <x:v>0.5315329476545686</x:v>
      </x:c>
      <x:c r="AA2943"/>
    </x:row>
    <x:row r="2944">
      <x:c r="A2944" s="54" t="n">
        <x:v>45657</x:v>
      </x:c>
      <x:c r="B2944" t="n">
        <x:v>45657.624999988424</x:v>
      </x:c>
      <x:c r="C2944" t="str">
        <x:v>003460</x:v>
      </x:c>
      <x:c r="D2944" t="str">
        <x:v>유화증권</x:v>
      </x:c>
      <x:c r="E2944" t="str">
        <x:v>KOSPI</x:v>
      </x:c>
      <x:c r="F2944" t="str">
        <x:v>MID</x:v>
      </x:c>
      <x:c r="G2944" t="str">
        <x:v>EXCLUDED_ARCHETYPE</x:v>
      </x:c>
      <x:c r="H2944" t="str">
        <x:v>FCFF_NOT_COMPARABLE_FOR_FINANCE_OR_HOLDING_HINT</x:v>
      </x:c>
      <x:c r="I2944" s="54"/>
      <x:c r="J2944" s="55"/>
      <x:c r="K2944" s="55"/>
      <x:c r="L2944" s="55"/>
      <x:c r="M2944"/>
      <x:c r="N2944"/>
      <x:c r="O2944" s="54"/>
      <x:c r="P2944"/>
      <x:c r="Q2944"/>
      <x:c r="R2944"/>
      <x:c r="S2944"/>
      <x:c r="T2944"/>
      <x:c r="U2944" s="57"/>
      <x:c r="V2944" s="57"/>
      <x:c r="W2944"/>
      <x:c r="X2944"/>
      <x:c r="Y2944" s="38"/>
      <x:c r="Z2944" s="38"/>
      <x:c r="AA2944"/>
    </x:row>
    <x:row r="2945">
      <x:c r="A2945" s="54" t="n">
        <x:v>45657</x:v>
      </x:c>
      <x:c r="B2945" t="n">
        <x:v>45657.624999988424</x:v>
      </x:c>
      <x:c r="C2945" t="str">
        <x:v>004140</x:v>
      </x:c>
      <x:c r="D2945" t="str">
        <x:v>동방</x:v>
      </x:c>
      <x:c r="E2945" t="str">
        <x:v>KOSPI</x:v>
      </x:c>
      <x:c r="F2945" t="str">
        <x:v>MID</x:v>
      </x:c>
      <x:c r="G2945" t="str">
        <x:v>ELIGIBLE</x:v>
      </x:c>
      <x:c r="H2945"/>
      <x:c r="I2945" s="54" t="n">
        <x:v>45656</x:v>
      </x:c>
      <x:c r="J2945" s="55" t="n">
        <x:v>2165</x:v>
      </x:c>
      <x:c r="K2945" s="55" t="n">
        <x:v>103858873390</x:v>
      </x:c>
      <x:c r="L2945" s="55" t="n">
        <x:v>47971766</x:v>
      </x:c>
      <x:c r="M2945" t="str">
        <x:v>20240321001580</x:v>
      </x:c>
      <x:c r="N2945" t="n">
        <x:v>45372.624999988424</x:v>
      </x:c>
      <x:c r="O2945" s="54" t="n">
        <x:v>45291</x:v>
      </x:c>
      <x:c r="P2945" t="str">
        <x:v>False</x:v>
      </x:c>
      <x:c r="Q2945" t="str">
        <x:v>cb972dcae33b5fe915c126c95898fd6f6f7e4564cf7e930abea935125474e09c</x:v>
      </x:c>
      <x:c r="R2945" t="str">
        <x:v>de1f0d0bfea597d8482dadfeb4006a8840d2b9e5f343aa9e189c4f1287213fec</x:v>
      </x:c>
      <x:c r="S2945" t="n">
        <x:v>6</x:v>
      </x:c>
      <x:c r="T2945" t="str">
        <x:v>2013-12-31|2014-12-31|2015-12-31|2016-12-31|2018-12-31|2019-12-31|2020-12-31|2021-12-31|2022-12-31|2023-12-31</x:v>
      </x:c>
      <x:c r="U2945" s="57" t="n">
        <x:v>247.8871572399862</x:v>
      </x:c>
      <x:c r="V2945" s="57" t="n">
        <x:v>-0.8855024677875353</x:v>
      </x:c>
      <x:c r="W2945" t="n">
        <x:v>66</x:v>
      </x:c>
      <x:c r="X2945" t="n">
        <x:v>5</x:v>
      </x:c>
      <x:c r="Y2945" s="38" t="n">
        <x:v>0.6409090909090909</x:v>
      </x:c>
      <x:c r="Z2945" s="38" t="n">
        <x:v>0.6002060477668534</x:v>
      </x:c>
      <x:c r="AA2945"/>
    </x:row>
    <x:row r="2946">
      <x:c r="A2946" s="54" t="n">
        <x:v>45657</x:v>
      </x:c>
      <x:c r="B2946" t="n">
        <x:v>45657.624999988424</x:v>
      </x:c>
      <x:c r="C2946" t="str">
        <x:v>317400</x:v>
      </x:c>
      <x:c r="D2946" t="str">
        <x:v>자이에스앤디</x:v>
      </x:c>
      <x:c r="E2946" t="str">
        <x:v>KOSPI</x:v>
      </x:c>
      <x:c r="F2946" t="str">
        <x:v>MID</x:v>
      </x:c>
      <x:c r="G2946" t="str">
        <x:v>ELIGIBLE</x:v>
      </x:c>
      <x:c r="H2946"/>
      <x:c r="I2946" s="54" t="n">
        <x:v>45656</x:v>
      </x:c>
      <x:c r="J2946" s="55" t="n">
        <x:v>3205</x:v>
      </x:c>
      <x:c r="K2946" s="55" t="n">
        <x:v>124297976600</x:v>
      </x:c>
      <x:c r="L2946" s="55" t="n">
        <x:v>38782520</x:v>
      </x:c>
      <x:c r="M2946" t="str">
        <x:v>20240326000881</x:v>
      </x:c>
      <x:c r="N2946" t="n">
        <x:v>45377.624999988424</x:v>
      </x:c>
      <x:c r="O2946" s="54" t="n">
        <x:v>45291</x:v>
      </x:c>
      <x:c r="P2946" t="str">
        <x:v>True</x:v>
      </x:c>
      <x:c r="Q2946" t="str">
        <x:v>62243e72979fac9eb9c35ba9a1755566586ed81ff5034a5c1fe8b1feb2ed6895</x:v>
      </x:c>
      <x:c r="R2946" t="str">
        <x:v>aee106395813db3ab5be1dd79dac8df2df94d014e69795e3423a55111987f7a4</x:v>
      </x:c>
      <x:c r="S2946" t="n">
        <x:v>5</x:v>
      </x:c>
      <x:c r="T2946" t="str">
        <x:v>2019-12-31|2020-12-31|2021-12-31|2022-12-31|2023-12-31</x:v>
      </x:c>
      <x:c r="U2946" s="57" t="n">
        <x:v>55408.75127847823</x:v>
      </x:c>
      <x:c r="V2946" s="57" t="n">
        <x:v>16.28822192776232</x:v>
      </x:c>
      <x:c r="W2946" t="n">
        <x:v>2</x:v>
      </x:c>
      <x:c r="X2946" t="n">
        <x:v>1</x:v>
      </x:c>
      <x:c r="Y2946" s="38" t="n">
        <x:v>0.6409090909090909</x:v>
      </x:c>
      <x:c r="Z2946" s="38" t="n">
        <x:v>0.7436843944694342</x:v>
      </x:c>
      <x:c r="AA2946"/>
    </x:row>
    <x:row r="2947">
      <x:c r="A2947" s="54" t="n">
        <x:v>45657</x:v>
      </x:c>
      <x:c r="B2947" t="n">
        <x:v>45657.624999988424</x:v>
      </x:c>
      <x:c r="C2947" t="str">
        <x:v>077500</x:v>
      </x:c>
      <x:c r="D2947" t="str">
        <x:v>유니퀘스트</x:v>
      </x:c>
      <x:c r="E2947" t="str">
        <x:v>KOSPI</x:v>
      </x:c>
      <x:c r="F2947" t="str">
        <x:v>MID</x:v>
      </x:c>
      <x:c r="G2947" t="str">
        <x:v>ELIGIBLE</x:v>
      </x:c>
      <x:c r="H2947"/>
      <x:c r="I2947" s="54" t="n">
        <x:v>45656</x:v>
      </x:c>
      <x:c r="J2947" s="55" t="n">
        <x:v>6650</x:v>
      </x:c>
      <x:c r="K2947" s="55" t="n">
        <x:v>143640678300</x:v>
      </x:c>
      <x:c r="L2947" s="55" t="n">
        <x:v>21600102</x:v>
      </x:c>
      <x:c r="M2947" t="str">
        <x:v>20240321001571</x:v>
      </x:c>
      <x:c r="N2947" t="n">
        <x:v>45372.624999988424</x:v>
      </x:c>
      <x:c r="O2947" s="54" t="n">
        <x:v>45291</x:v>
      </x:c>
      <x:c r="P2947" t="str">
        <x:v>False</x:v>
      </x:c>
      <x:c r="Q2947" t="str">
        <x:v>73ab5a56c9611f1aa2b93c841dfc282fc89e2067fad0a1fb87019519be18c160</x:v>
      </x:c>
      <x:c r="R2947" t="str">
        <x:v>3b17a27842d2359136a23ce256ea6bc6152f38e08d27763ca467c67c613b99f1</x:v>
      </x:c>
      <x:c r="S2947" t="n">
        <x:v>6</x:v>
      </x:c>
      <x:c r="T2947" t="str">
        <x:v>2011-12-31|2012-12-31|2013-12-31|2014-12-31|2015-12-31|2016-12-31|2017-12-31|2018-12-31|2019-12-31|2020-12-31|2021-12-31|2022-12-31|2023-12-31</x:v>
      </x:c>
      <x:c r="U2947" s="57" t="n">
        <x:v>5363.665880731589</x:v>
      </x:c>
      <x:c r="V2947" s="57" t="n">
        <x:v>-0.1934337021456257</x:v>
      </x:c>
      <x:c r="W2947" t="n">
        <x:v>33</x:v>
      </x:c>
      <x:c r="X2947" t="n">
        <x:v>3</x:v>
      </x:c>
      <x:c r="Y2947" s="38" t="n">
        <x:v>0.6409090909090909</x:v>
      </x:c>
      <x:c r="Z2947" s="38" t="n">
        <x:v>0.6307992148694126</x:v>
      </x:c>
      <x:c r="AA2947"/>
    </x:row>
    <x:row r="2948">
      <x:c r="A2948" s="54" t="n">
        <x:v>45657</x:v>
      </x:c>
      <x:c r="B2948" t="n">
        <x:v>45657.624999988424</x:v>
      </x:c>
      <x:c r="C2948" t="str">
        <x:v>012800</x:v>
      </x:c>
      <x:c r="D2948" t="str">
        <x:v>대창</x:v>
      </x:c>
      <x:c r="E2948" t="str">
        <x:v>KOSPI</x:v>
      </x:c>
      <x:c r="F2948" t="str">
        <x:v>MID</x:v>
      </x:c>
      <x:c r="G2948" t="str">
        <x:v>DCF_SCREENING_EXCLUSION</x:v>
      </x:c>
      <x:c r="H2948" t="str">
        <x:v>NON_POSITIVE_EQUITY_VALUE|UNRELIABLE_TERMINAL_VALUE_SHARE</x:v>
      </x:c>
      <x:c r="I2948" s="54" t="n">
        <x:v>45656</x:v>
      </x:c>
      <x:c r="J2948" s="55" t="n">
        <x:v>1240</x:v>
      </x:c>
      <x:c r="K2948" s="55" t="n">
        <x:v>113014218760</x:v>
      </x:c>
      <x:c r="L2948" s="55" t="n">
        <x:v>91140499</x:v>
      </x:c>
      <x:c r="M2948" t="str">
        <x:v>20240319000397</x:v>
      </x:c>
      <x:c r="N2948" t="n">
        <x:v>45370.624999988424</x:v>
      </x:c>
      <x:c r="O2948" s="54" t="n">
        <x:v>45291</x:v>
      </x:c>
      <x:c r="P2948" t="str">
        <x:v>False</x:v>
      </x:c>
      <x:c r="Q2948" t="str">
        <x:v>c884aaf8bda599a6589039d2af0b7536bf2d9b85b3f7408b94d7249667032480</x:v>
      </x:c>
      <x:c r="R2948" t="str">
        <x:v>12825b7a99ca3f11e6a1c01b450f304f4b2a6cd864f55f76ed52ee51ae206687</x:v>
      </x:c>
      <x:c r="S2948" t="n">
        <x:v>6</x:v>
      </x:c>
      <x:c r="T2948" t="str">
        <x:v>2018-12-31|2019-12-31|2020-12-31|2021-12-31|2022-12-31|2023-12-31</x:v>
      </x:c>
      <x:c r="U2948" s="57" t="n">
        <x:v>-2835.27425876338</x:v>
      </x:c>
      <x:c r="V2948" s="57" t="n">
        <x:v>-3.2865114990027258</x:v>
      </x:c>
      <x:c r="W2948"/>
      <x:c r="X2948"/>
      <x:c r="Y2948" s="38" t="n">
        <x:v>0.6409090909090909</x:v>
      </x:c>
      <x:c r="Z2948" s="38" t="n">
        <x:v>1.2542393020244607</x:v>
      </x:c>
      <x:c r="AA2948" t="str">
        <x:v>NON_POSITIVE_EQUITY_VALUE|UNRELIABLE_TERMINAL_VALUE_SHARE</x:v>
      </x:c>
    </x:row>
    <x:row r="2949">
      <x:c r="A2949" s="54" t="n">
        <x:v>45657</x:v>
      </x:c>
      <x:c r="B2949" t="n">
        <x:v>45657.624999988424</x:v>
      </x:c>
      <x:c r="C2949" t="str">
        <x:v>063160</x:v>
      </x:c>
      <x:c r="D2949" t="str">
        <x:v>종근당바이오</x:v>
      </x:c>
      <x:c r="E2949" t="str">
        <x:v>KOSPI</x:v>
      </x:c>
      <x:c r="F2949" t="str">
        <x:v>MID</x:v>
      </x:c>
      <x:c r="G2949" t="str">
        <x:v>DCF_SCREENING_EXCLUSION</x:v>
      </x:c>
      <x:c r="H2949" t="str">
        <x:v>NON_POSITIVE_ENTERPRISE_VALUE|NON_POSITIVE_EQUITY_VALUE|NON_POSITIVE_TERMINAL_FCF</x:v>
      </x:c>
      <x:c r="I2949" s="54" t="n">
        <x:v>45656</x:v>
      </x:c>
      <x:c r="J2949" s="55" t="n">
        <x:v>22000</x:v>
      </x:c>
      <x:c r="K2949" s="55" t="n">
        <x:v>120691164000</x:v>
      </x:c>
      <x:c r="L2949" s="55" t="n">
        <x:v>5485962</x:v>
      </x:c>
      <x:c r="M2949" t="str">
        <x:v>20240320001689</x:v>
      </x:c>
      <x:c r="N2949" t="n">
        <x:v>45371.624999988424</x:v>
      </x:c>
      <x:c r="O2949" s="54" t="n">
        <x:v>45291</x:v>
      </x:c>
      <x:c r="P2949" t="str">
        <x:v>False</x:v>
      </x:c>
      <x:c r="Q2949" t="str">
        <x:v>93e252d7dcae6de697e231778352f4d313713c6c1fbe2146b14da4849e4fac5c</x:v>
      </x:c>
      <x:c r="R2949" t="str">
        <x:v>16da8cdf2ba55bf0d25ef8f0739d6b99254dd7661ecd7093de4281353ebda5e8</x:v>
      </x:c>
      <x:c r="S2949" t="n">
        <x:v>6</x:v>
      </x:c>
      <x:c r="T2949" t="str">
        <x:v>2018-12-31|2019-12-31|2020-12-31|2021-12-31|2022-12-31|2023-12-31</x:v>
      </x:c>
      <x:c r="U2949" s="57" t="n">
        <x:v>-45514.57621893075</x:v>
      </x:c>
      <x:c r="V2949" s="57" t="n">
        <x:v>-3.0688443735877615</x:v>
      </x:c>
      <x:c r="W2949"/>
      <x:c r="X2949"/>
      <x:c r="Y2949" s="38" t="n">
        <x:v>0.6409090909090909</x:v>
      </x:c>
      <x:c r="Z2949" s="38" t="n">
        <x:v>0.5142144965024156</x:v>
      </x:c>
      <x:c r="AA2949" t="str">
        <x:v>NON_POSITIVE_ENTERPRISE_VALUE|NON_POSITIVE_EQUITY_VALUE|NON_POSITIVE_TERMINAL_FCF</x:v>
      </x:c>
    </x:row>
    <x:row r="2950">
      <x:c r="A2950" s="54" t="n">
        <x:v>45657</x:v>
      </x:c>
      <x:c r="B2950" t="n">
        <x:v>45657.624999988424</x:v>
      </x:c>
      <x:c r="C2950" t="str">
        <x:v>013570</x:v>
      </x:c>
      <x:c r="D2950" t="str">
        <x:v>디와이</x:v>
      </x:c>
      <x:c r="E2950" t="str">
        <x:v>KOSPI</x:v>
      </x:c>
      <x:c r="F2950" t="str">
        <x:v>MID</x:v>
      </x:c>
      <x:c r="G2950" t="str">
        <x:v>ELIGIBLE</x:v>
      </x:c>
      <x:c r="H2950"/>
      <x:c r="I2950" s="54" t="n">
        <x:v>45656</x:v>
      </x:c>
      <x:c r="J2950" s="55" t="n">
        <x:v>3875</x:v>
      </x:c>
      <x:c r="K2950" s="55" t="n">
        <x:v>101988577875</x:v>
      </x:c>
      <x:c r="L2950" s="55" t="n">
        <x:v>26319633</x:v>
      </x:c>
      <x:c r="M2950" t="str">
        <x:v>20240313001243</x:v>
      </x:c>
      <x:c r="N2950" t="n">
        <x:v>45364.624999988424</x:v>
      </x:c>
      <x:c r="O2950" s="54" t="n">
        <x:v>45291</x:v>
      </x:c>
      <x:c r="P2950" t="str">
        <x:v>False</x:v>
      </x:c>
      <x:c r="Q2950" t="str">
        <x:v>5b93197c4315775238e13da809d27c345451f041c63c57432f379f3055212c04</x:v>
      </x:c>
      <x:c r="R2950" t="str">
        <x:v>c05e3809b025eb9c415a01ff07fab054469996c80b404b67909179775d4ea5e8</x:v>
      </x:c>
      <x:c r="S2950" t="n">
        <x:v>6</x:v>
      </x:c>
      <x:c r="T2950" t="str">
        <x:v>2018-12-31|2019-12-31|2020-12-31|2021-12-31|2022-12-31|2023-12-31</x:v>
      </x:c>
      <x:c r="U2950" s="57" t="n">
        <x:v>11956.0318836646</x:v>
      </x:c>
      <x:c r="V2950" s="57" t="n">
        <x:v>2.085427582881187</x:v>
      </x:c>
      <x:c r="W2950" t="n">
        <x:v>8</x:v>
      </x:c>
      <x:c r="X2950" t="n">
        <x:v>1</x:v>
      </x:c>
      <x:c r="Y2950" s="38" t="n">
        <x:v>0.6409090909090909</x:v>
      </x:c>
      <x:c r="Z2950" s="38" t="n">
        <x:v>0.8130986732652858</x:v>
      </x:c>
      <x:c r="AA2950"/>
    </x:row>
    <x:row r="2951">
      <x:c r="A2951" s="54" t="n">
        <x:v>45657</x:v>
      </x:c>
      <x:c r="B2951" t="n">
        <x:v>45657.624999988424</x:v>
      </x:c>
      <x:c r="C2951" t="str">
        <x:v>227840</x:v>
      </x:c>
      <x:c r="D2951" t="str">
        <x:v>현대코퍼레이션홀딩스</x:v>
      </x:c>
      <x:c r="E2951" t="str">
        <x:v>KOSPI</x:v>
      </x:c>
      <x:c r="F2951" t="str">
        <x:v>MID</x:v>
      </x:c>
      <x:c r="G2951" t="str">
        <x:v>EXCLUDED_ARCHETYPE</x:v>
      </x:c>
      <x:c r="H2951" t="str">
        <x:v>FCFF_NOT_COMPARABLE_FOR_FINANCE_OR_HOLDING_HINT</x:v>
      </x:c>
      <x:c r="I2951" s="54"/>
      <x:c r="J2951" s="55"/>
      <x:c r="K2951" s="55"/>
      <x:c r="L2951" s="55"/>
      <x:c r="M2951"/>
      <x:c r="N2951"/>
      <x:c r="O2951" s="54"/>
      <x:c r="P2951"/>
      <x:c r="Q2951"/>
      <x:c r="R2951"/>
      <x:c r="S2951"/>
      <x:c r="T2951"/>
      <x:c r="U2951" s="57"/>
      <x:c r="V2951" s="57"/>
      <x:c r="W2951"/>
      <x:c r="X2951"/>
      <x:c r="Y2951" s="38"/>
      <x:c r="Z2951" s="38"/>
      <x:c r="AA2951"/>
    </x:row>
    <x:row r="2952">
      <x:c r="A2952" s="54" t="n">
        <x:v>45657</x:v>
      </x:c>
      <x:c r="B2952" t="n">
        <x:v>45657.624999988424</x:v>
      </x:c>
      <x:c r="C2952" t="str">
        <x:v>247540</x:v>
      </x:c>
      <x:c r="D2952" t="str">
        <x:v>에코프로비엠</x:v>
      </x:c>
      <x:c r="E2952" t="str">
        <x:v>KOSDAQ</x:v>
      </x:c>
      <x:c r="F2952" t="str">
        <x:v>LARGE</x:v>
      </x:c>
      <x:c r="G2952" t="str">
        <x:v>DCF_SCREENING_EXCLUSION</x:v>
      </x:c>
      <x:c r="H2952" t="str">
        <x:v>NON_POSITIVE_ENTERPRISE_VALUE|NON_POSITIVE_EQUITY_VALUE|NON_POSITIVE_TERMINAL_FCF</x:v>
      </x:c>
      <x:c r="I2952" s="54" t="n">
        <x:v>45656</x:v>
      </x:c>
      <x:c r="J2952" s="55" t="n">
        <x:v>109900</x:v>
      </x:c>
      <x:c r="K2952" s="55" t="n">
        <x:v>10748367705600</x:v>
      </x:c>
      <x:c r="L2952" s="55" t="n">
        <x:v>97801344</x:v>
      </x:c>
      <x:c r="M2952" t="str">
        <x:v>20240417000540</x:v>
      </x:c>
      <x:c r="N2952" t="n">
        <x:v>45399.624999988424</x:v>
      </x:c>
      <x:c r="O2952" s="54" t="n">
        <x:v>45291</x:v>
      </x:c>
      <x:c r="P2952" t="str">
        <x:v>True</x:v>
      </x:c>
      <x:c r="Q2952" t="str">
        <x:v>0ddf8426cecdd8200af2dcd31ea963791bd56de3aa352493ef7d7c00b560bb17</x:v>
      </x:c>
      <x:c r="R2952" t="str">
        <x:v>ee4c7102cf3c459f29a9a97e98005bf737eba9fb990a03c7d9ba1901b6103a3c</x:v>
      </x:c>
      <x:c r="S2952" t="n">
        <x:v>7</x:v>
      </x:c>
      <x:c r="T2952" t="str">
        <x:v>2018-12-31|2019-12-31|2020-12-31|2021-12-31|2022-12-31|2023-12-31</x:v>
      </x:c>
      <x:c r="U2952" s="57" t="n">
        <x:v>-107538.59393692066</x:v>
      </x:c>
      <x:c r="V2952" s="57" t="n">
        <x:v>-1.9785131386435002</x:v>
      </x:c>
      <x:c r="W2952"/>
      <x:c r="X2952"/>
      <x:c r="Y2952" s="38" t="n">
        <x:v>0.6409090909090909</x:v>
      </x:c>
      <x:c r="Z2952" s="38" t="n">
        <x:v>0.6279002068373618</x:v>
      </x:c>
      <x:c r="AA2952" t="str">
        <x:v>NON_POSITIVE_ENTERPRISE_VALUE|NON_POSITIVE_EQUITY_VALUE|NON_POSITIVE_TERMINAL_FCF</x:v>
      </x:c>
    </x:row>
    <x:row r="2953">
      <x:c r="A2953" s="54" t="n">
        <x:v>45657</x:v>
      </x:c>
      <x:c r="B2953" t="n">
        <x:v>45657.624999988424</x:v>
      </x:c>
      <x:c r="C2953" t="str">
        <x:v>086520</x:v>
      </x:c>
      <x:c r="D2953" t="str">
        <x:v>에코프로</x:v>
      </x:c>
      <x:c r="E2953" t="str">
        <x:v>KOSDAQ</x:v>
      </x:c>
      <x:c r="F2953" t="str">
        <x:v>LARGE</x:v>
      </x:c>
      <x:c r="G2953" t="str">
        <x:v>DCF_SCREENING_EXCLUSION</x:v>
      </x:c>
      <x:c r="H2953" t="str">
        <x:v>NON_POSITIVE_EQUITY_VALUE|UNRELIABLE_TERMINAL_VALUE_SHARE</x:v>
      </x:c>
      <x:c r="I2953" s="54" t="n">
        <x:v>45656</x:v>
      </x:c>
      <x:c r="J2953" s="55" t="n">
        <x:v>57500</x:v>
      </x:c>
      <x:c r="K2953" s="55" t="n">
        <x:v>7655454550000</x:v>
      </x:c>
      <x:c r="L2953" s="55" t="n">
        <x:v>133138340</x:v>
      </x:c>
      <x:c r="M2953" t="str">
        <x:v>20240417000532</x:v>
      </x:c>
      <x:c r="N2953" t="n">
        <x:v>45399.624999988424</x:v>
      </x:c>
      <x:c r="O2953" s="54" t="n">
        <x:v>45291</x:v>
      </x:c>
      <x:c r="P2953" t="str">
        <x:v>True</x:v>
      </x:c>
      <x:c r="Q2953" t="str">
        <x:v>3845023c1030daabbda43f32b091ab008422bdaa538975661cce1cc85ccd3004</x:v>
      </x:c>
      <x:c r="R2953" t="str">
        <x:v>b46c72b6f96ba5092dee2d116bcc3587fd26e9283e9e2b35e4655ee6068ea9d3</x:v>
      </x:c>
      <x:c r="S2953" t="n">
        <x:v>6</x:v>
      </x:c>
      <x:c r="T2953" t="str">
        <x:v>2018-12-31|2019-12-31|2020-12-31|2021-12-31|2022-12-31|2023-12-31</x:v>
      </x:c>
      <x:c r="U2953" s="57" t="n">
        <x:v>-4014.195185505057</x:v>
      </x:c>
      <x:c r="V2953" s="57" t="n">
        <x:v>-1.0698120901826966</x:v>
      </x:c>
      <x:c r="W2953"/>
      <x:c r="X2953"/>
      <x:c r="Y2953" s="38" t="n">
        <x:v>0.6409090909090909</x:v>
      </x:c>
      <x:c r="Z2953" s="38" t="n">
        <x:v>5.583488695579711</x:v>
      </x:c>
      <x:c r="AA2953" t="str">
        <x:v>NON_POSITIVE_EQUITY_VALUE|UNRELIABLE_TERMINAL_VALUE_SHARE</x:v>
      </x:c>
    </x:row>
    <x:row r="2954">
      <x:c r="A2954" s="54" t="n">
        <x:v>45657</x:v>
      </x:c>
      <x:c r="B2954" t="n">
        <x:v>45657.624999988424</x:v>
      </x:c>
      <x:c r="C2954" t="str">
        <x:v>214450</x:v>
      </x:c>
      <x:c r="D2954" t="str">
        <x:v>파마리서치</x:v>
      </x:c>
      <x:c r="E2954" t="str">
        <x:v>KOSDAQ</x:v>
      </x:c>
      <x:c r="F2954" t="str">
        <x:v>LARGE</x:v>
      </x:c>
      <x:c r="G2954" t="str">
        <x:v>ELIGIBLE</x:v>
      </x:c>
      <x:c r="H2954"/>
      <x:c r="I2954" s="54" t="n">
        <x:v>45656</x:v>
      </x:c>
      <x:c r="J2954" s="55" t="n">
        <x:v>262500</x:v>
      </x:c>
      <x:c r="K2954" s="55" t="n">
        <x:v>2758770000000</x:v>
      </x:c>
      <x:c r="L2954" s="55" t="n">
        <x:v>10509600</x:v>
      </x:c>
      <x:c r="M2954" t="str">
        <x:v>20240315000795</x:v>
      </x:c>
      <x:c r="N2954" t="n">
        <x:v>45366.624999988424</x:v>
      </x:c>
      <x:c r="O2954" s="54" t="n">
        <x:v>45291</x:v>
      </x:c>
      <x:c r="P2954" t="str">
        <x:v>False</x:v>
      </x:c>
      <x:c r="Q2954" t="str">
        <x:v>1ca6653e737ac1ab4647915c3685d32c933a6338658bbc237f5442a5b8bd304c</x:v>
      </x:c>
      <x:c r="R2954" t="str">
        <x:v>586578e116185a501e396a08e037a1519b9bbd009d43388e5023f6b18bb210cb</x:v>
      </x:c>
      <x:c r="S2954" t="n">
        <x:v>6</x:v>
      </x:c>
      <x:c r="T2954" t="str">
        <x:v>2018-12-31|2019-12-31|2020-12-31|2021-12-31|2022-12-31|2023-12-31</x:v>
      </x:c>
      <x:c r="U2954" s="57" t="n">
        <x:v>97161.30317267335</x:v>
      </x:c>
      <x:c r="V2954" s="57" t="n">
        <x:v>-0.6298617021993397</x:v>
      </x:c>
      <x:c r="W2954" t="n">
        <x:v>51</x:v>
      </x:c>
      <x:c r="X2954" t="n">
        <x:v>4</x:v>
      </x:c>
      <x:c r="Y2954" s="38" t="n">
        <x:v>0.6409090909090909</x:v>
      </x:c>
      <x:c r="Z2954" s="38" t="n">
        <x:v>0.7131539854290058</x:v>
      </x:c>
      <x:c r="AA2954"/>
    </x:row>
    <x:row r="2955">
      <x:c r="A2955" s="54" t="n">
        <x:v>45657</x:v>
      </x:c>
      <x:c r="B2955" t="n">
        <x:v>45657.624999988424</x:v>
      </x:c>
      <x:c r="C2955" t="str">
        <x:v>277810</x:v>
      </x:c>
      <x:c r="D2955" t="str">
        <x:v>레인보우로보틱스</x:v>
      </x:c>
      <x:c r="E2955" t="str">
        <x:v>KOSDAQ</x:v>
      </x:c>
      <x:c r="F2955" t="str">
        <x:v>LARGE</x:v>
      </x:c>
      <x:c r="G2955" t="str">
        <x:v>DCF_SCREENING_EXCLUSION</x:v>
      </x:c>
      <x:c r="H2955" t="str">
        <x:v>NON_POSITIVE_ENTERPRISE_VALUE|NON_POSITIVE_TERMINAL_FCF</x:v>
      </x:c>
      <x:c r="I2955" s="54" t="n">
        <x:v>45656</x:v>
      </x:c>
      <x:c r="J2955" s="55" t="n">
        <x:v>162700</x:v>
      </x:c>
      <x:c r="K2955" s="55" t="n">
        <x:v>3156356896600</x:v>
      </x:c>
      <x:c r="L2955" s="55" t="n">
        <x:v>19399858</x:v>
      </x:c>
      <x:c r="M2955" t="str">
        <x:v>20240321001029</x:v>
      </x:c>
      <x:c r="N2955" t="n">
        <x:v>45372.624999988424</x:v>
      </x:c>
      <x:c r="O2955" s="54" t="n">
        <x:v>45291</x:v>
      </x:c>
      <x:c r="P2955" t="str">
        <x:v>False</x:v>
      </x:c>
      <x:c r="Q2955" t="str">
        <x:v>6faf0823956f1a0a084e90db4ad447ebe74845120ffac4a66fa07667e2bf8af4</x:v>
      </x:c>
      <x:c r="R2955" t="str">
        <x:v>31210a3857756860f0f1911cc01a9700fe3f215b91245e6200fa14ccb0b5ab40</x:v>
      </x:c>
      <x:c r="S2955" t="n">
        <x:v>6</x:v>
      </x:c>
      <x:c r="T2955" t="str">
        <x:v>2020-12-31|2021-12-31|2022-12-31|2023-12-31</x:v>
      </x:c>
      <x:c r="U2955" s="57" t="n">
        <x:v>2129.059522379487</x:v>
      </x:c>
      <x:c r="V2955" s="57" t="n">
        <x:v>-0.9869142008458545</x:v>
      </x:c>
      <x:c r="W2955"/>
      <x:c r="X2955"/>
      <x:c r="Y2955" s="38" t="n">
        <x:v>0.6409090909090909</x:v>
      </x:c>
      <x:c r="Z2955" s="38" t="n">
        <x:v>0.6832451360716333</x:v>
      </x:c>
      <x:c r="AA2955" t="str">
        <x:v>NON_POSITIVE_ENTERPRISE_VALUE|NON_POSITIVE_TERMINAL_FCF</x:v>
      </x:c>
    </x:row>
    <x:row r="2956">
      <x:c r="A2956" s="54" t="n">
        <x:v>45657</x:v>
      </x:c>
      <x:c r="B2956" t="n">
        <x:v>45657.624999988424</x:v>
      </x:c>
      <x:c r="C2956" t="str">
        <x:v>310210</x:v>
      </x:c>
      <x:c r="D2956" t="str">
        <x:v>보로노이</x:v>
      </x:c>
      <x:c r="E2956" t="str">
        <x:v>KOSDAQ</x:v>
      </x:c>
      <x:c r="F2956" t="str">
        <x:v>LARGE</x:v>
      </x:c>
      <x:c r="G2956" t="str">
        <x:v>DCF_SCREENING_EXCLUSION</x:v>
      </x:c>
      <x:c r="H2956" t="str">
        <x:v>NON_POSITIVE_ENTERPRISE_VALUE|NON_POSITIVE_EQUITY_VALUE|NON_POSITIVE_TERMINAL_FCF</x:v>
      </x:c>
      <x:c r="I2956" s="54" t="n">
        <x:v>45656</x:v>
      </x:c>
      <x:c r="J2956" s="55" t="n">
        <x:v>80000</x:v>
      </x:c>
      <x:c r="K2956" s="55" t="n">
        <x:v>1468527360000</x:v>
      </x:c>
      <x:c r="L2956" s="55" t="n">
        <x:v>18356592</x:v>
      </x:c>
      <x:c r="M2956" t="str">
        <x:v>20230323001447</x:v>
      </x:c>
      <x:c r="N2956" t="n">
        <x:v>45008.624999988424</x:v>
      </x:c>
      <x:c r="O2956" s="54" t="n">
        <x:v>44926</x:v>
      </x:c>
      <x:c r="P2956" t="str">
        <x:v>False</x:v>
      </x:c>
      <x:c r="Q2956" t="str">
        <x:v>38d2b1f5e9c968f4f6fa965d42cb2f1a325c069332624c3eed7a50315d302dcc</x:v>
      </x:c>
      <x:c r="R2956" t="str">
        <x:v>576c97c4daed21efafcbd8890e5b797da413a5a092541c93f1595fcf7c74e341</x:v>
      </x:c>
      <x:c r="S2956" t="n">
        <x:v>5</x:v>
      </x:c>
      <x:c r="T2956" t="str">
        <x:v>2022-12-31</x:v>
      </x:c>
      <x:c r="U2956" s="57" t="n">
        <x:v>-2023.5711628541942</x:v>
      </x:c>
      <x:c r="V2956" s="57" t="n">
        <x:v>-1.0252946395356775</x:v>
      </x:c>
      <x:c r="W2956"/>
      <x:c r="X2956"/>
      <x:c r="Y2956" s="38" t="n">
        <x:v>0.6409090909090909</x:v>
      </x:c>
      <x:c r="Z2956" s="38" t="n">
        <x:v>0.7013426708992583</x:v>
      </x:c>
      <x:c r="AA2956" t="str">
        <x:v>NON_POSITIVE_ENTERPRISE_VALUE|NON_POSITIVE_EQUITY_VALUE|NON_POSITIVE_TERMINAL_FCF</x:v>
      </x:c>
    </x:row>
    <x:row r="2957">
      <x:c r="A2957" s="54" t="n">
        <x:v>45657</x:v>
      </x:c>
      <x:c r="B2957" t="n">
        <x:v>45657.624999988424</x:v>
      </x:c>
      <x:c r="C2957" t="str">
        <x:v>195940</x:v>
      </x:c>
      <x:c r="D2957" t="str">
        <x:v>HK이노엔</x:v>
      </x:c>
      <x:c r="E2957" t="str">
        <x:v>KOSDAQ</x:v>
      </x:c>
      <x:c r="F2957" t="str">
        <x:v>LARGE</x:v>
      </x:c>
      <x:c r="G2957" t="str">
        <x:v>ELIGIBLE</x:v>
      </x:c>
      <x:c r="H2957"/>
      <x:c r="I2957" s="54" t="n">
        <x:v>45656</x:v>
      </x:c>
      <x:c r="J2957" s="55" t="n">
        <x:v>35850</x:v>
      </x:c>
      <x:c r="K2957" s="55" t="n">
        <x:v>1015626592350</x:v>
      </x:c>
      <x:c r="L2957" s="55" t="n">
        <x:v>28329891</x:v>
      </x:c>
      <x:c r="M2957" t="str">
        <x:v>20240320001555</x:v>
      </x:c>
      <x:c r="N2957" t="n">
        <x:v>45371.624999988424</x:v>
      </x:c>
      <x:c r="O2957" s="54" t="n">
        <x:v>45291</x:v>
      </x:c>
      <x:c r="P2957" t="str">
        <x:v>False</x:v>
      </x:c>
      <x:c r="Q2957" t="str">
        <x:v>bc835d0dc49a60e43618a45db225222ed10219260b1196a3404c984acf25a164</x:v>
      </x:c>
      <x:c r="R2957" t="str">
        <x:v>fe877cecd8b4c6f1f2ecfa519ee2c0dab312cbd9aff04d6aadad7f148db87b46</x:v>
      </x:c>
      <x:c r="S2957" t="n">
        <x:v>6</x:v>
      </x:c>
      <x:c r="T2957" t="str">
        <x:v>2021-12-31|2022-12-31|2023-12-31</x:v>
      </x:c>
      <x:c r="U2957" s="57" t="n">
        <x:v>4019.7724806511023</x:v>
      </x:c>
      <x:c r="V2957" s="57" t="n">
        <x:v>-0.8878724552119637</x:v>
      </x:c>
      <x:c r="W2957" t="n">
        <x:v>67</x:v>
      </x:c>
      <x:c r="X2957" t="n">
        <x:v>5</x:v>
      </x:c>
      <x:c r="Y2957" s="38" t="n">
        <x:v>0.6409090909090909</x:v>
      </x:c>
      <x:c r="Z2957" s="38" t="n">
        <x:v>0.6762156517019531</x:v>
      </x:c>
      <x:c r="AA2957"/>
    </x:row>
    <x:row r="2958">
      <x:c r="A2958" s="54" t="n">
        <x:v>45657</x:v>
      </x:c>
      <x:c r="B2958" t="n">
        <x:v>45657.624999988424</x:v>
      </x:c>
      <x:c r="C2958" t="str">
        <x:v>039200</x:v>
      </x:c>
      <x:c r="D2958" t="str">
        <x:v>오스코텍</x:v>
      </x:c>
      <x:c r="E2958" t="str">
        <x:v>KOSDAQ</x:v>
      </x:c>
      <x:c r="F2958" t="str">
        <x:v>LARGE</x:v>
      </x:c>
      <x:c r="G2958" t="str">
        <x:v>DCF_SCREENING_EXCLUSION</x:v>
      </x:c>
      <x:c r="H2958" t="str">
        <x:v>NON_POSITIVE_ENTERPRISE_VALUE|NON_POSITIVE_EQUITY_VALUE|NON_POSITIVE_TERMINAL_FCF</x:v>
      </x:c>
      <x:c r="I2958" s="54" t="n">
        <x:v>45656</x:v>
      </x:c>
      <x:c r="J2958" s="55" t="n">
        <x:v>24350</x:v>
      </x:c>
      <x:c r="K2958" s="55" t="n">
        <x:v>931330910600</x:v>
      </x:c>
      <x:c r="L2958" s="55" t="n">
        <x:v>38247676</x:v>
      </x:c>
      <x:c r="M2958" t="str">
        <x:v>20240318000560</x:v>
      </x:c>
      <x:c r="N2958" t="n">
        <x:v>45369.624999988424</x:v>
      </x:c>
      <x:c r="O2958" s="54" t="n">
        <x:v>45291</x:v>
      </x:c>
      <x:c r="P2958" t="str">
        <x:v>False</x:v>
      </x:c>
      <x:c r="Q2958" t="str">
        <x:v>fa78055b80d7f3cc41c605aa4835ac75b86d483e7455456b98769cca3d71a27e</x:v>
      </x:c>
      <x:c r="R2958" t="str">
        <x:v>77fbbdbf0aed21c0debf106a088ad9da9f83f8b18d6bf28b8e4a2df0137cf6f5</x:v>
      </x:c>
      <x:c r="S2958" t="n">
        <x:v>6</x:v>
      </x:c>
      <x:c r="T2958" t="str">
        <x:v>2018-12-31|2019-12-31|2020-12-31|2021-12-31|2022-12-31|2023-12-31</x:v>
      </x:c>
      <x:c r="U2958" s="57" t="n">
        <x:v>-54.82393793023245</x:v>
      </x:c>
      <x:c r="V2958" s="57" t="n">
        <x:v>-1.0022514964242395</x:v>
      </x:c>
      <x:c r="W2958"/>
      <x:c r="X2958"/>
      <x:c r="Y2958" s="38" t="n">
        <x:v>0.6409090909090909</x:v>
      </x:c>
      <x:c r="Z2958" s="38" t="n">
        <x:v>0.7058896170186482</x:v>
      </x:c>
      <x:c r="AA2958" t="str">
        <x:v>NON_POSITIVE_ENTERPRISE_VALUE|NON_POSITIVE_EQUITY_VALUE|NON_POSITIVE_TERMINAL_FCF</x:v>
      </x:c>
    </x:row>
    <x:row r="2959">
      <x:c r="A2959" s="54" t="n">
        <x:v>45657</x:v>
      </x:c>
      <x:c r="B2959" t="n">
        <x:v>45657.624999988424</x:v>
      </x:c>
      <x:c r="C2959" t="str">
        <x:v>084370</x:v>
      </x:c>
      <x:c r="D2959" t="str">
        <x:v>유진테크</x:v>
      </x:c>
      <x:c r="E2959" t="str">
        <x:v>KOSDAQ</x:v>
      </x:c>
      <x:c r="F2959" t="str">
        <x:v>LARGE</x:v>
      </x:c>
      <x:c r="G2959" t="str">
        <x:v>ELIGIBLE</x:v>
      </x:c>
      <x:c r="H2959"/>
      <x:c r="I2959" s="54" t="n">
        <x:v>45656</x:v>
      </x:c>
      <x:c r="J2959" s="55" t="n">
        <x:v>31300</x:v>
      </x:c>
      <x:c r="K2959" s="55" t="n">
        <x:v>717272114600</x:v>
      </x:c>
      <x:c r="L2959" s="55" t="n">
        <x:v>22916042</x:v>
      </x:c>
      <x:c r="M2959" t="str">
        <x:v>20240321001566</x:v>
      </x:c>
      <x:c r="N2959" t="n">
        <x:v>45372.624999988424</x:v>
      </x:c>
      <x:c r="O2959" s="54" t="n">
        <x:v>45291</x:v>
      </x:c>
      <x:c r="P2959" t="str">
        <x:v>False</x:v>
      </x:c>
      <x:c r="Q2959" t="str">
        <x:v>5231344ec0918c3914c3b36ef88b559c2ae8a4ee043536c010b4450f86fdd1a0</x:v>
      </x:c>
      <x:c r="R2959" t="str">
        <x:v>c2b7a3f2f581f0b2e2849c5115cb6f1cb06355e9fa6f7646697709eef5a1ba49</x:v>
      </x:c>
      <x:c r="S2959" t="n">
        <x:v>6</x:v>
      </x:c>
      <x:c r="T2959" t="str">
        <x:v>2018-12-31|2019-12-31|2020-12-31|2021-12-31|2022-12-31|2023-12-31</x:v>
      </x:c>
      <x:c r="U2959" s="57" t="n">
        <x:v>12476.303701351173</x:v>
      </x:c>
      <x:c r="V2959" s="57" t="n">
        <x:v>-0.6013960478801542</x:v>
      </x:c>
      <x:c r="W2959" t="n">
        <x:v>49</x:v>
      </x:c>
      <x:c r="X2959" t="n">
        <x:v>4</x:v>
      </x:c>
      <x:c r="Y2959" s="38" t="n">
        <x:v>0.6409090909090909</x:v>
      </x:c>
      <x:c r="Z2959" s="38" t="n">
        <x:v>0.7279301673798181</x:v>
      </x:c>
      <x:c r="AA2959"/>
    </x:row>
    <x:row r="2960">
      <x:c r="A2960" s="54" t="n">
        <x:v>45657</x:v>
      </x:c>
      <x:c r="B2960" t="n">
        <x:v>45657.624999988424</x:v>
      </x:c>
      <x:c r="C2960" t="str">
        <x:v>160190</x:v>
      </x:c>
      <x:c r="D2960" t="str">
        <x:v>하이젠알앤엠</x:v>
      </x:c>
      <x:c r="E2960" t="str">
        <x:v>KOSDAQ</x:v>
      </x:c>
      <x:c r="F2960" t="str">
        <x:v>LARGE</x:v>
      </x:c>
      <x:c r="G2960" t="str">
        <x:v>NO_PIT_FINANCIALS</x:v>
      </x:c>
      <x:c r="H2960"/>
      <x:c r="I2960" s="54" t="n">
        <x:v>45656</x:v>
      </x:c>
      <x:c r="J2960" s="55" t="n">
        <x:v>13400</x:v>
      </x:c>
      <x:c r="K2960" s="55" t="n">
        <x:v>413899200000</x:v>
      </x:c>
      <x:c r="L2960" s="55" t="n">
        <x:v>30888000</x:v>
      </x:c>
      <x:c r="M2960"/>
      <x:c r="N2960"/>
      <x:c r="O2960" s="54"/>
      <x:c r="P2960"/>
      <x:c r="Q2960"/>
      <x:c r="R2960"/>
      <x:c r="S2960"/>
      <x:c r="T2960"/>
      <x:c r="U2960" s="57"/>
      <x:c r="V2960" s="57"/>
      <x:c r="W2960"/>
      <x:c r="X2960"/>
      <x:c r="Y2960" s="38"/>
      <x:c r="Z2960" s="38"/>
      <x:c r="AA2960"/>
    </x:row>
    <x:row r="2961">
      <x:c r="A2961" s="54" t="n">
        <x:v>45657</x:v>
      </x:c>
      <x:c r="B2961" t="n">
        <x:v>45657.624999988424</x:v>
      </x:c>
      <x:c r="C2961" t="str">
        <x:v>281740</x:v>
      </x:c>
      <x:c r="D2961" t="str">
        <x:v>레이크머티리얼즈</x:v>
      </x:c>
      <x:c r="E2961" t="str">
        <x:v>KOSDAQ</x:v>
      </x:c>
      <x:c r="F2961" t="str">
        <x:v>LARGE</x:v>
      </x:c>
      <x:c r="G2961" t="str">
        <x:v>ELIGIBLE</x:v>
      </x:c>
      <x:c r="H2961"/>
      <x:c r="I2961" s="54" t="n">
        <x:v>45656</x:v>
      </x:c>
      <x:c r="J2961" s="55" t="n">
        <x:v>10960</x:v>
      </x:c>
      <x:c r="K2961" s="55" t="n">
        <x:v>720406806080</x:v>
      </x:c>
      <x:c r="L2961" s="55" t="n">
        <x:v>65730548</x:v>
      </x:c>
      <x:c r="M2961" t="str">
        <x:v>20240320000555</x:v>
      </x:c>
      <x:c r="N2961" t="n">
        <x:v>45371.624999988424</x:v>
      </x:c>
      <x:c r="O2961" s="54" t="n">
        <x:v>45291</x:v>
      </x:c>
      <x:c r="P2961" t="str">
        <x:v>False</x:v>
      </x:c>
      <x:c r="Q2961" t="str">
        <x:v>e48009a48bdc7d2f8f2c00276113fc227cdd6b48e967a314a504818c28300ca4</x:v>
      </x:c>
      <x:c r="R2961" t="str">
        <x:v>6f503c29bd608940742624a61507c77234fbfb7d232eab6267770926c04728de</x:v>
      </x:c>
      <x:c r="S2961" t="n">
        <x:v>6</x:v>
      </x:c>
      <x:c r="T2961" t="str">
        <x:v>2020-12-31|2021-12-31|2022-12-31|2023-12-31</x:v>
      </x:c>
      <x:c r="U2961" s="57" t="n">
        <x:v>3478.766264193427</x:v>
      </x:c>
      <x:c r="V2961" s="57" t="n">
        <x:v>-0.6825943189604537</x:v>
      </x:c>
      <x:c r="W2961" t="n">
        <x:v>54</x:v>
      </x:c>
      <x:c r="X2961" t="n">
        <x:v>4</x:v>
      </x:c>
      <x:c r="Y2961" s="38" t="n">
        <x:v>0.6409090909090909</x:v>
      </x:c>
      <x:c r="Z2961" s="38" t="n">
        <x:v>0.7468053248574974</x:v>
      </x:c>
      <x:c r="AA2961"/>
    </x:row>
    <x:row r="2962">
      <x:c r="A2962" s="54" t="n">
        <x:v>45657</x:v>
      </x:c>
      <x:c r="B2962" t="n">
        <x:v>45657.624999988424</x:v>
      </x:c>
      <x:c r="C2962" t="str">
        <x:v>078130</x:v>
      </x:c>
      <x:c r="D2962" t="str">
        <x:v>국일제지</x:v>
      </x:c>
      <x:c r="E2962" t="str">
        <x:v>KOSDAQ</x:v>
      </x:c>
      <x:c r="F2962" t="str">
        <x:v>LARGE</x:v>
      </x:c>
      <x:c r="G2962" t="str">
        <x:v>DCF_SCREENING_EXCLUSION</x:v>
      </x:c>
      <x:c r="H2962" t="str">
        <x:v>NON_POSITIVE_ENTERPRISE_VALUE|NON_POSITIVE_TERMINAL_FCF</x:v>
      </x:c>
      <x:c r="I2962" s="54" t="n">
        <x:v>45656</x:v>
      </x:c>
      <x:c r="J2962" s="55" t="n">
        <x:v>800</x:v>
      </x:c>
      <x:c r="K2962" s="55" t="n">
        <x:v>901924696800</x:v>
      </x:c>
      <x:c r="L2962" s="55" t="n">
        <x:v>1127405871</x:v>
      </x:c>
      <x:c r="M2962" t="str">
        <x:v>20240321001819</x:v>
      </x:c>
      <x:c r="N2962" t="n">
        <x:v>45372.624999988424</x:v>
      </x:c>
      <x:c r="O2962" s="54" t="n">
        <x:v>45291</x:v>
      </x:c>
      <x:c r="P2962" t="str">
        <x:v>False</x:v>
      </x:c>
      <x:c r="Q2962" t="str">
        <x:v>cac5fc1c6ff1a14dcf38476dd7409e9e086b5713e50cbb58359adb9134109ba9</x:v>
      </x:c>
      <x:c r="R2962" t="str">
        <x:v>a596ab6b40c4a26381c37c1e9d462e963486ede8040fbe78068010beed4d32ab</x:v>
      </x:c>
      <x:c r="S2962" t="n">
        <x:v>5</x:v>
      </x:c>
      <x:c r="T2962" t="str">
        <x:v>2018-12-31|2019-12-31|2020-12-31|2021-12-31|2022-12-31|2023-12-31</x:v>
      </x:c>
      <x:c r="U2962" s="57" t="n">
        <x:v>5.016268408445829</x:v>
      </x:c>
      <x:c r="V2962" s="57" t="n">
        <x:v>-0.9937296644894427</x:v>
      </x:c>
      <x:c r="W2962"/>
      <x:c r="X2962"/>
      <x:c r="Y2962" s="38" t="n">
        <x:v>0.6409090909090909</x:v>
      </x:c>
      <x:c r="Z2962" s="38" t="n">
        <x:v>0.5262628967257946</x:v>
      </x:c>
      <x:c r="AA2962" t="str">
        <x:v>NON_POSITIVE_ENTERPRISE_VALUE|NON_POSITIVE_TERMINAL_FCF</x:v>
      </x:c>
    </x:row>
    <x:row r="2963">
      <x:c r="A2963" s="54" t="n">
        <x:v>45657</x:v>
      </x:c>
      <x:c r="B2963" t="n">
        <x:v>45657.624999988424</x:v>
      </x:c>
      <x:c r="C2963" t="str">
        <x:v>131970</x:v>
      </x:c>
      <x:c r="D2963" t="str">
        <x:v>두산테스나</x:v>
      </x:c>
      <x:c r="E2963" t="str">
        <x:v>KOSDAQ</x:v>
      </x:c>
      <x:c r="F2963" t="str">
        <x:v>LARGE</x:v>
      </x:c>
      <x:c r="G2963" t="str">
        <x:v>ELIGIBLE</x:v>
      </x:c>
      <x:c r="H2963"/>
      <x:c r="I2963" s="54" t="n">
        <x:v>45656</x:v>
      </x:c>
      <x:c r="J2963" s="55" t="n">
        <x:v>25000</x:v>
      </x:c>
      <x:c r="K2963" s="55" t="n">
        <x:v>483180950000</x:v>
      </x:c>
      <x:c r="L2963" s="55" t="n">
        <x:v>19327238</x:v>
      </x:c>
      <x:c r="M2963" t="str">
        <x:v>20240320000768</x:v>
      </x:c>
      <x:c r="N2963" t="n">
        <x:v>45371.624999988424</x:v>
      </x:c>
      <x:c r="O2963" s="54" t="n">
        <x:v>45291</x:v>
      </x:c>
      <x:c r="P2963" t="str">
        <x:v>False</x:v>
      </x:c>
      <x:c r="Q2963" t="str">
        <x:v>40bad6e60031b403936d643f32613a1e9e21b7f03fd3114ef7c95a70bf1006f6</x:v>
      </x:c>
      <x:c r="R2963" t="str">
        <x:v>3d0ca6829b423ddba5543185c23cc15f13ce87ffbbdb4b6626a4ec7f73137ff1</x:v>
      </x:c>
      <x:c r="S2963" t="n">
        <x:v>6</x:v>
      </x:c>
      <x:c r="T2963" t="str">
        <x:v>2018-12-31|2019-12-31|2020-12-31|2021-12-31|2022-12-31|2023-12-31</x:v>
      </x:c>
      <x:c r="U2963" s="57" t="n">
        <x:v>38913.59868512464</x:v>
      </x:c>
      <x:c r="V2963" s="57" t="n">
        <x:v>0.5565439474049858</x:v>
      </x:c>
      <x:c r="W2963" t="n">
        <x:v>18</x:v>
      </x:c>
      <x:c r="X2963" t="n">
        <x:v>2</x:v>
      </x:c>
      <x:c r="Y2963" s="38" t="n">
        <x:v>0.6409090909090909</x:v>
      </x:c>
      <x:c r="Z2963" s="38" t="n">
        <x:v>0.7653441082853836</x:v>
      </x:c>
      <x:c r="AA2963"/>
    </x:row>
    <x:row r="2964">
      <x:c r="A2964" s="54" t="n">
        <x:v>45657</x:v>
      </x:c>
      <x:c r="B2964" t="n">
        <x:v>45657.624999988424</x:v>
      </x:c>
      <x:c r="C2964" t="str">
        <x:v>025320</x:v>
      </x:c>
      <x:c r="D2964" t="str">
        <x:v>시노펙스</x:v>
      </x:c>
      <x:c r="E2964" t="str">
        <x:v>KOSDAQ</x:v>
      </x:c>
      <x:c r="F2964" t="str">
        <x:v>LARGE</x:v>
      </x:c>
      <x:c r="G2964" t="str">
        <x:v>DCF_SCREENING_EXCLUSION</x:v>
      </x:c>
      <x:c r="H2964" t="str">
        <x:v>NON_POSITIVE_TERMINAL_FCF|UNRELIABLE_TERMINAL_VALUE_SHARE</x:v>
      </x:c>
      <x:c r="I2964" s="54" t="n">
        <x:v>45656</x:v>
      </x:c>
      <x:c r="J2964" s="55" t="n">
        <x:v>5930</x:v>
      </x:c>
      <x:c r="K2964" s="55" t="n">
        <x:v>497040360480</x:v>
      </x:c>
      <x:c r="L2964" s="55" t="n">
        <x:v>83817936</x:v>
      </x:c>
      <x:c r="M2964" t="str">
        <x:v>20240319000824</x:v>
      </x:c>
      <x:c r="N2964" t="n">
        <x:v>45370.624999988424</x:v>
      </x:c>
      <x:c r="O2964" s="54" t="n">
        <x:v>45291</x:v>
      </x:c>
      <x:c r="P2964" t="str">
        <x:v>False</x:v>
      </x:c>
      <x:c r="Q2964" t="str">
        <x:v>fc07d195fe498e8e68aedbf4db8f4f882567dd521ff667e04ba608362a05750b</x:v>
      </x:c>
      <x:c r="R2964" t="str">
        <x:v>2dd4c6603e35a0156e9a0cea29fb980ee3e8ed9d0390d27d2c878a187461202a</x:v>
      </x:c>
      <x:c r="S2964" t="n">
        <x:v>6</x:v>
      </x:c>
      <x:c r="T2964" t="str">
        <x:v>2018-12-31|2019-12-31|2020-12-31|2021-12-31|2022-12-31|2023-12-31</x:v>
      </x:c>
      <x:c r="U2964" s="57" t="n">
        <x:v>311.18425799108013</x:v>
      </x:c>
      <x:c r="V2964" s="57" t="n">
        <x:v>-0.9475237338969511</x:v>
      </x:c>
      <x:c r="W2964"/>
      <x:c r="X2964"/>
      <x:c r="Y2964" s="38" t="n">
        <x:v>0.6409090909090909</x:v>
      </x:c>
      <x:c r="Z2964" s="38" t="n">
        <x:v>-0.005765002764426046</x:v>
      </x:c>
      <x:c r="AA2964" t="str">
        <x:v>NON_POSITIVE_TERMINAL_FCF|UNRELIABLE_TERMINAL_VALUE_SHARE</x:v>
      </x:c>
    </x:row>
    <x:row r="2965">
      <x:c r="A2965" s="54" t="n">
        <x:v>45657</x:v>
      </x:c>
      <x:c r="B2965" t="n">
        <x:v>45657.624999988424</x:v>
      </x:c>
      <x:c r="C2965" t="str">
        <x:v>347700</x:v>
      </x:c>
      <x:c r="D2965" t="str">
        <x:v>스피어</x:v>
      </x:c>
      <x:c r="E2965" t="str">
        <x:v>KOSDAQ</x:v>
      </x:c>
      <x:c r="F2965" t="str">
        <x:v>LARGE</x:v>
      </x:c>
      <x:c r="G2965" t="str">
        <x:v>DCF_SCREENING_EXCLUSION</x:v>
      </x:c>
      <x:c r="H2965" t="str">
        <x:v>NON_POSITIVE_ENTERPRISE_VALUE|NON_POSITIVE_EQUITY_VALUE|NON_POSITIVE_TERMINAL_FCF</x:v>
      </x:c>
      <x:c r="I2965" s="54" t="n">
        <x:v>45656</x:v>
      </x:c>
      <x:c r="J2965" s="55" t="n">
        <x:v>3955</x:v>
      </x:c>
      <x:c r="K2965" s="55" t="n">
        <x:v>80610861415</x:v>
      </x:c>
      <x:c r="L2965" s="55" t="n">
        <x:v>20382013</x:v>
      </x:c>
      <x:c r="M2965" t="str">
        <x:v>20240321001584</x:v>
      </x:c>
      <x:c r="N2965" t="n">
        <x:v>45372.624999988424</x:v>
      </x:c>
      <x:c r="O2965" s="54" t="n">
        <x:v>45291</x:v>
      </x:c>
      <x:c r="P2965" t="str">
        <x:v>False</x:v>
      </x:c>
      <x:c r="Q2965" t="str">
        <x:v>c8db85bb879b3aca01865650c951a23a693799760087fa6122ff9d96f3ba2ca1</x:v>
      </x:c>
      <x:c r="R2965" t="str">
        <x:v>f18dddc557142c1619a97ea54e9197a2221e951ed4b86ff85e4b22d09f4bfa19</x:v>
      </x:c>
      <x:c r="S2965" t="n">
        <x:v>6</x:v>
      </x:c>
      <x:c r="T2965" t="str">
        <x:v>2020-12-31|2021-12-31|2022-12-31|2023-12-31</x:v>
      </x:c>
      <x:c r="U2965" s="57" t="n">
        <x:v>-341.5520190595198</x:v>
      </x:c>
      <x:c r="V2965" s="57" t="n">
        <x:v>-1.0863595496989937</x:v>
      </x:c>
      <x:c r="W2965"/>
      <x:c r="X2965"/>
      <x:c r="Y2965" s="38" t="n">
        <x:v>0.6409090909090909</x:v>
      </x:c>
      <x:c r="Z2965" s="38" t="n">
        <x:v>0.708015697222301</x:v>
      </x:c>
      <x:c r="AA2965" t="str">
        <x:v>NON_POSITIVE_ENTERPRISE_VALUE|NON_POSITIVE_EQUITY_VALUE|NON_POSITIVE_TERMINAL_FCF</x:v>
      </x:c>
    </x:row>
    <x:row r="2966">
      <x:c r="A2966" s="54" t="n">
        <x:v>45657</x:v>
      </x:c>
      <x:c r="B2966" t="n">
        <x:v>45657.624999988424</x:v>
      </x:c>
      <x:c r="C2966" t="str">
        <x:v>119850</x:v>
      </x:c>
      <x:c r="D2966" t="str">
        <x:v>지엔씨에너지</x:v>
      </x:c>
      <x:c r="E2966" t="str">
        <x:v>KOSDAQ</x:v>
      </x:c>
      <x:c r="F2966" t="str">
        <x:v>LARGE</x:v>
      </x:c>
      <x:c r="G2966" t="str">
        <x:v>ELIGIBLE</x:v>
      </x:c>
      <x:c r="H2966"/>
      <x:c r="I2966" s="54" t="n">
        <x:v>45656</x:v>
      </x:c>
      <x:c r="J2966" s="55" t="n">
        <x:v>8210</x:v>
      </x:c>
      <x:c r="K2966" s="55" t="n">
        <x:v>135045542890</x:v>
      </x:c>
      <x:c r="L2966" s="55" t="n">
        <x:v>16448909</x:v>
      </x:c>
      <x:c r="M2966" t="str">
        <x:v>20240319000205</x:v>
      </x:c>
      <x:c r="N2966" t="n">
        <x:v>45370.624999988424</x:v>
      </x:c>
      <x:c r="O2966" s="54" t="n">
        <x:v>45291</x:v>
      </x:c>
      <x:c r="P2966" t="str">
        <x:v>False</x:v>
      </x:c>
      <x:c r="Q2966" t="str">
        <x:v>3380204f5fcae5364c06e29c73eecafe1e6911e92f8f3b124ed75664c9267a06</x:v>
      </x:c>
      <x:c r="R2966" t="str">
        <x:v>3656c24a643e9a337a23adc52722d05405bb9505046c54d499dc35844579874a</x:v>
      </x:c>
      <x:c r="S2966" t="n">
        <x:v>6</x:v>
      </x:c>
      <x:c r="T2966" t="str">
        <x:v>2018-12-31|2019-12-31|2020-12-31|2021-12-31|2022-12-31|2023-12-31</x:v>
      </x:c>
      <x:c r="U2966" s="57" t="n">
        <x:v>5889.2035628156855</x:v>
      </x:c>
      <x:c r="V2966" s="57" t="n">
        <x:v>-0.2826792249919993</x:v>
      </x:c>
      <x:c r="W2966" t="n">
        <x:v>39</x:v>
      </x:c>
      <x:c r="X2966" t="n">
        <x:v>3</x:v>
      </x:c>
      <x:c r="Y2966" s="38" t="n">
        <x:v>0.6409090909090909</x:v>
      </x:c>
      <x:c r="Z2966" s="38" t="n">
        <x:v>0.6498777413726008</x:v>
      </x:c>
      <x:c r="AA2966"/>
    </x:row>
    <x:row r="2967">
      <x:c r="A2967" s="54" t="n">
        <x:v>45657</x:v>
      </x:c>
      <x:c r="B2967" t="n">
        <x:v>45657.624999988424</x:v>
      </x:c>
      <x:c r="C2967" t="str">
        <x:v>084110</x:v>
      </x:c>
      <x:c r="D2967" t="str">
        <x:v>휴온스글로벌</x:v>
      </x:c>
      <x:c r="E2967" t="str">
        <x:v>KOSDAQ</x:v>
      </x:c>
      <x:c r="F2967" t="str">
        <x:v>LARGE</x:v>
      </x:c>
      <x:c r="G2967" t="str">
        <x:v>ELIGIBLE</x:v>
      </x:c>
      <x:c r="H2967"/>
      <x:c r="I2967" s="54" t="n">
        <x:v>45656</x:v>
      </x:c>
      <x:c r="J2967" s="55" t="n">
        <x:v>43250</x:v>
      </x:c>
      <x:c r="K2967" s="55" t="n">
        <x:v>545879529000</x:v>
      </x:c>
      <x:c r="L2967" s="55" t="n">
        <x:v>12621492</x:v>
      </x:c>
      <x:c r="M2967" t="str">
        <x:v>20240321001484</x:v>
      </x:c>
      <x:c r="N2967" t="n">
        <x:v>45372.624999988424</x:v>
      </x:c>
      <x:c r="O2967" s="54" t="n">
        <x:v>45291</x:v>
      </x:c>
      <x:c r="P2967" t="str">
        <x:v>True</x:v>
      </x:c>
      <x:c r="Q2967" t="str">
        <x:v>68bda756301fe1b6a3ebf0355b558ed15edc835d74a3ebca20911d8b2dd4eb5c</x:v>
      </x:c>
      <x:c r="R2967" t="str">
        <x:v>c0abd5c9731931252a7557433816c5757272af750c6e9199150f71e6ca6ff48a</x:v>
      </x:c>
      <x:c r="S2967" t="n">
        <x:v>6</x:v>
      </x:c>
      <x:c r="T2967" t="str">
        <x:v>2018-12-31|2019-12-31|2020-12-31|2021-12-31|2022-12-31|2023-12-31</x:v>
      </x:c>
      <x:c r="U2967" s="57" t="n">
        <x:v>88399.3096107096</x:v>
      </x:c>
      <x:c r="V2967" s="57" t="n">
        <x:v>1.0439146730799909</x:v>
      </x:c>
      <x:c r="W2967" t="n">
        <x:v>16</x:v>
      </x:c>
      <x:c r="X2967" t="n">
        <x:v>2</x:v>
      </x:c>
      <x:c r="Y2967" s="38" t="n">
        <x:v>0.6409090909090909</x:v>
      </x:c>
      <x:c r="Z2967" s="38" t="n">
        <x:v>0.7414426298123072</x:v>
      </x:c>
      <x:c r="AA2967"/>
    </x:row>
    <x:row r="2968">
      <x:c r="A2968" s="54" t="n">
        <x:v>45657</x:v>
      </x:c>
      <x:c r="B2968" t="n">
        <x:v>45657.624999988424</x:v>
      </x:c>
      <x:c r="C2968" t="str">
        <x:v>206650</x:v>
      </x:c>
      <x:c r="D2968" t="str">
        <x:v>유바이오로직스</x:v>
      </x:c>
      <x:c r="E2968" t="str">
        <x:v>KOSDAQ</x:v>
      </x:c>
      <x:c r="F2968" t="str">
        <x:v>LARGE</x:v>
      </x:c>
      <x:c r="G2968" t="str">
        <x:v>ELIGIBLE</x:v>
      </x:c>
      <x:c r="H2968"/>
      <x:c r="I2968" s="54" t="n">
        <x:v>45656</x:v>
      </x:c>
      <x:c r="J2968" s="55" t="n">
        <x:v>12150</x:v>
      </x:c>
      <x:c r="K2968" s="55" t="n">
        <x:v>443891830050</x:v>
      </x:c>
      <x:c r="L2968" s="55" t="n">
        <x:v>36534307</x:v>
      </x:c>
      <x:c r="M2968" t="str">
        <x:v>20240319000532</x:v>
      </x:c>
      <x:c r="N2968" t="n">
        <x:v>45370.624999988424</x:v>
      </x:c>
      <x:c r="O2968" s="54" t="n">
        <x:v>45291</x:v>
      </x:c>
      <x:c r="P2968" t="str">
        <x:v>False</x:v>
      </x:c>
      <x:c r="Q2968" t="str">
        <x:v>c275c7dd12ee24ebe6fa42287990ee8e0fdfae41775f20a1e1fcb29570f277c9</x:v>
      </x:c>
      <x:c r="R2968" t="str">
        <x:v>7fc033611224efb7c803bf597ac87dfc5f9e64e7e31588f8eba7e4e94a0c831b</x:v>
      </x:c>
      <x:c r="S2968" t="n">
        <x:v>5</x:v>
      </x:c>
      <x:c r="T2968" t="str">
        <x:v>2018-12-31|2019-12-31|2020-12-31|2021-12-31|2022-12-31|2023-12-31</x:v>
      </x:c>
      <x:c r="U2968" s="57" t="n">
        <x:v>377.5014073258604</x:v>
      </x:c>
      <x:c r="V2968" s="57" t="n">
        <x:v>-0.9689299253229745</x:v>
      </x:c>
      <x:c r="W2968" t="n">
        <x:v>68</x:v>
      </x:c>
      <x:c r="X2968" t="n">
        <x:v>5</x:v>
      </x:c>
      <x:c r="Y2968" s="38" t="n">
        <x:v>0.6409090909090909</x:v>
      </x:c>
      <x:c r="Z2968" s="38" t="n">
        <x:v>0.2531187603046695</x:v>
      </x:c>
      <x:c r="AA2968"/>
    </x:row>
    <x:row r="2969">
      <x:c r="A2969" s="54" t="n">
        <x:v>45657</x:v>
      </x:c>
      <x:c r="B2969" t="n">
        <x:v>45657.624999988424</x:v>
      </x:c>
      <x:c r="C2969" t="str">
        <x:v>365340</x:v>
      </x:c>
      <x:c r="D2969" t="str">
        <x:v>성일하이텍</x:v>
      </x:c>
      <x:c r="E2969" t="str">
        <x:v>KOSDAQ</x:v>
      </x:c>
      <x:c r="F2969" t="str">
        <x:v>LARGE</x:v>
      </x:c>
      <x:c r="G2969" t="str">
        <x:v>DCF_SCREENING_EXCLUSION</x:v>
      </x:c>
      <x:c r="H2969" t="str">
        <x:v>NON_POSITIVE_ENTERPRISE_VALUE|NON_POSITIVE_EQUITY_VALUE|UNRELIABLE_TERMINAL_VALUE_SHARE</x:v>
      </x:c>
      <x:c r="I2969" s="54" t="n">
        <x:v>45656</x:v>
      </x:c>
      <x:c r="J2969" s="55" t="n">
        <x:v>35500</x:v>
      </x:c>
      <x:c r="K2969" s="55" t="n">
        <x:v>431254000000</x:v>
      </x:c>
      <x:c r="L2969" s="55" t="n">
        <x:v>12148000</x:v>
      </x:c>
      <x:c r="M2969" t="str">
        <x:v>20240320001734</x:v>
      </x:c>
      <x:c r="N2969" t="n">
        <x:v>45371.624999988424</x:v>
      </x:c>
      <x:c r="O2969" s="54" t="n">
        <x:v>45291</x:v>
      </x:c>
      <x:c r="P2969" t="str">
        <x:v>True</x:v>
      </x:c>
      <x:c r="Q2969" t="str">
        <x:v>d4ee4e9dd90905cf92f0a6849477c640efd013410a1ffdf823037d2d677a4793</x:v>
      </x:c>
      <x:c r="R2969" t="str">
        <x:v>c85952a24e7024b94d58b72ef170b9c9907751801bf9597f2d6450bd0a9f7cd1</x:v>
      </x:c>
      <x:c r="S2969" t="n">
        <x:v>6</x:v>
      </x:c>
      <x:c r="T2969" t="str">
        <x:v>2022-12-31|2023-12-31</x:v>
      </x:c>
      <x:c r="U2969" s="57" t="n">
        <x:v>-5553.177881044933</x:v>
      </x:c>
      <x:c r="V2969" s="57" t="n">
        <x:v>-1.1564275459449278</x:v>
      </x:c>
      <x:c r="W2969"/>
      <x:c r="X2969"/>
      <x:c r="Y2969" s="38" t="n">
        <x:v>0.6409090909090909</x:v>
      </x:c>
      <x:c r="Z2969" s="38" t="n">
        <x:v>-0.9336002145733966</x:v>
      </x:c>
      <x:c r="AA2969" t="str">
        <x:v>NON_POSITIVE_ENTERPRISE_VALUE|NON_POSITIVE_EQUITY_VALUE|UNRELIABLE_TERMINAL_VALUE_SHARE</x:v>
      </x:c>
    </x:row>
    <x:row r="2970">
      <x:c r="A2970" s="54" t="n">
        <x:v>45657</x:v>
      </x:c>
      <x:c r="B2970" t="n">
        <x:v>45657.624999988424</x:v>
      </x:c>
      <x:c r="C2970" t="str">
        <x:v>030530</x:v>
      </x:c>
      <x:c r="D2970" t="str">
        <x:v>원익홀딩스</x:v>
      </x:c>
      <x:c r="E2970" t="str">
        <x:v>KOSDAQ</x:v>
      </x:c>
      <x:c r="F2970" t="str">
        <x:v>LARGE</x:v>
      </x:c>
      <x:c r="G2970" t="str">
        <x:v>EXCLUDED_ARCHETYPE</x:v>
      </x:c>
      <x:c r="H2970" t="str">
        <x:v>FCFF_NOT_COMPARABLE_FOR_FINANCE_OR_HOLDING_HINT</x:v>
      </x:c>
      <x:c r="I2970" s="54"/>
      <x:c r="J2970" s="55"/>
      <x:c r="K2970" s="55"/>
      <x:c r="L2970" s="55"/>
      <x:c r="M2970"/>
      <x:c r="N2970"/>
      <x:c r="O2970" s="54"/>
      <x:c r="P2970"/>
      <x:c r="Q2970"/>
      <x:c r="R2970"/>
      <x:c r="S2970"/>
      <x:c r="T2970"/>
      <x:c r="U2970" s="57"/>
      <x:c r="V2970" s="57"/>
      <x:c r="W2970"/>
      <x:c r="X2970"/>
      <x:c r="Y2970" s="38"/>
      <x:c r="Z2970" s="38"/>
      <x:c r="AA2970"/>
    </x:row>
    <x:row r="2971">
      <x:c r="A2971" s="54" t="n">
        <x:v>45657</x:v>
      </x:c>
      <x:c r="B2971" t="n">
        <x:v>45657.624999988424</x:v>
      </x:c>
      <x:c r="C2971" t="str">
        <x:v>220100</x:v>
      </x:c>
      <x:c r="D2971" t="str">
        <x:v>퓨쳐켐</x:v>
      </x:c>
      <x:c r="E2971" t="str">
        <x:v>KOSDAQ</x:v>
      </x:c>
      <x:c r="F2971" t="str">
        <x:v>LARGE</x:v>
      </x:c>
      <x:c r="G2971" t="str">
        <x:v>DCF_SCREENING_EXCLUSION</x:v>
      </x:c>
      <x:c r="H2971" t="str">
        <x:v>NON_POSITIVE_ENTERPRISE_VALUE|NON_POSITIVE_EQUITY_VALUE|NON_POSITIVE_TERMINAL_FCF</x:v>
      </x:c>
      <x:c r="I2971" s="54" t="n">
        <x:v>45656</x:v>
      </x:c>
      <x:c r="J2971" s="55" t="n">
        <x:v>17310</x:v>
      </x:c>
      <x:c r="K2971" s="55" t="n">
        <x:v>382588303050</x:v>
      </x:c>
      <x:c r="L2971" s="55" t="n">
        <x:v>22102155</x:v>
      </x:c>
      <x:c r="M2971" t="str">
        <x:v>20240320000866</x:v>
      </x:c>
      <x:c r="N2971" t="n">
        <x:v>45371.624999988424</x:v>
      </x:c>
      <x:c r="O2971" s="54" t="n">
        <x:v>45291</x:v>
      </x:c>
      <x:c r="P2971" t="str">
        <x:v>False</x:v>
      </x:c>
      <x:c r="Q2971" t="str">
        <x:v>19aeda2f917d3d8c136224e5b636dd6047fcb3bad57309a3fded43faa8e6afc3</x:v>
      </x:c>
      <x:c r="R2971" t="str">
        <x:v>d24985bf25ba105e1014c7557b1691373f5aac20e2cb8486e5a58ba2b62bdac0</x:v>
      </x:c>
      <x:c r="S2971" t="n">
        <x:v>5</x:v>
      </x:c>
      <x:c r="T2971" t="str">
        <x:v>2018-12-31|2019-12-31|2020-12-31|2021-12-31|2022-12-31|2023-12-31</x:v>
      </x:c>
      <x:c r="U2971" s="57" t="n">
        <x:v>-1744.6815438320666</x:v>
      </x:c>
      <x:c r="V2971" s="57" t="n">
        <x:v>-1.1007903838146775</x:v>
      </x:c>
      <x:c r="W2971"/>
      <x:c r="X2971"/>
      <x:c r="Y2971" s="38" t="n">
        <x:v>0.6409090909090909</x:v>
      </x:c>
      <x:c r="Z2971" s="38" t="n">
        <x:v>0.7030899933568922</x:v>
      </x:c>
      <x:c r="AA2971" t="str">
        <x:v>NON_POSITIVE_ENTERPRISE_VALUE|NON_POSITIVE_EQUITY_VALUE|NON_POSITIVE_TERMINAL_FCF</x:v>
      </x:c>
    </x:row>
    <x:row r="2972">
      <x:c r="A2972" s="54" t="n">
        <x:v>45657</x:v>
      </x:c>
      <x:c r="B2972" t="n">
        <x:v>45657.624999988424</x:v>
      </x:c>
      <x:c r="C2972" t="str">
        <x:v>416180</x:v>
      </x:c>
      <x:c r="D2972" t="str">
        <x:v>신성에스티</x:v>
      </x:c>
      <x:c r="E2972" t="str">
        <x:v>KOSDAQ</x:v>
      </x:c>
      <x:c r="F2972" t="str">
        <x:v>LARGE</x:v>
      </x:c>
      <x:c r="G2972" t="str">
        <x:v>ELIGIBLE</x:v>
      </x:c>
      <x:c r="H2972"/>
      <x:c r="I2972" s="54" t="n">
        <x:v>45656</x:v>
      </x:c>
      <x:c r="J2972" s="55" t="n">
        <x:v>28600</x:v>
      </x:c>
      <x:c r="K2972" s="55" t="n">
        <x:v>258537650800</x:v>
      </x:c>
      <x:c r="L2972" s="55" t="n">
        <x:v>9039778</x:v>
      </x:c>
      <x:c r="M2972" t="str">
        <x:v>20240318000868</x:v>
      </x:c>
      <x:c r="N2972" t="n">
        <x:v>45369.624999988424</x:v>
      </x:c>
      <x:c r="O2972" s="54" t="n">
        <x:v>45291</x:v>
      </x:c>
      <x:c r="P2972" t="str">
        <x:v>True</x:v>
      </x:c>
      <x:c r="Q2972" t="str">
        <x:v>83365fda00f2859a3b0ddff8c98389930a65a5f3d9df38e420f7d88759a900f9</x:v>
      </x:c>
      <x:c r="R2972" t="str">
        <x:v>62eb0976f911e83b581cf67eda351f7a58d22f66167afead8dd2901cc6c187eb</x:v>
      </x:c>
      <x:c r="S2972" t="n">
        <x:v>6</x:v>
      </x:c>
      <x:c r="T2972" t="str">
        <x:v>2023-12-31</x:v>
      </x:c>
      <x:c r="U2972" s="57" t="n">
        <x:v>5107.11562013138</x:v>
      </x:c>
      <x:c r="V2972" s="57" t="n">
        <x:v>-0.8214295237716301</x:v>
      </x:c>
      <x:c r="W2972" t="n">
        <x:v>61</x:v>
      </x:c>
      <x:c r="X2972" t="n">
        <x:v>5</x:v>
      </x:c>
      <x:c r="Y2972" s="38" t="n">
        <x:v>0.6409090909090909</x:v>
      </x:c>
      <x:c r="Z2972" s="38" t="n">
        <x:v>0.7013426708992583</x:v>
      </x:c>
      <x:c r="AA2972"/>
    </x:row>
    <x:row r="2973">
      <x:c r="A2973" s="54" t="n">
        <x:v>45657</x:v>
      </x:c>
      <x:c r="B2973" t="n">
        <x:v>45657.624999988424</x:v>
      </x:c>
      <x:c r="C2973" t="str">
        <x:v>082800</x:v>
      </x:c>
      <x:c r="D2973" t="str">
        <x:v>비보존제약</x:v>
      </x:c>
      <x:c r="E2973" t="str">
        <x:v>KOSDAQ</x:v>
      </x:c>
      <x:c r="F2973" t="str">
        <x:v>LARGE</x:v>
      </x:c>
      <x:c r="G2973" t="str">
        <x:v>DCF_SCREENING_EXCLUSION</x:v>
      </x:c>
      <x:c r="H2973" t="str">
        <x:v>NON_POSITIVE_ENTERPRISE_VALUE|NON_POSITIVE_EQUITY_VALUE|NON_POSITIVE_TERMINAL_FCF</x:v>
      </x:c>
      <x:c r="I2973" s="54" t="n">
        <x:v>45656</x:v>
      </x:c>
      <x:c r="J2973" s="55" t="n">
        <x:v>6880</x:v>
      </x:c>
      <x:c r="K2973" s="55" t="n">
        <x:v>344720102080</x:v>
      </x:c>
      <x:c r="L2973" s="55" t="n">
        <x:v>50104666</x:v>
      </x:c>
      <x:c r="M2973" t="str">
        <x:v>20240321002013</x:v>
      </x:c>
      <x:c r="N2973" t="n">
        <x:v>45372.624999988424</x:v>
      </x:c>
      <x:c r="O2973" s="54" t="n">
        <x:v>45291</x:v>
      </x:c>
      <x:c r="P2973" t="str">
        <x:v>False</x:v>
      </x:c>
      <x:c r="Q2973" t="str">
        <x:v>1200d231ac66b364cd6dd71a9544ba9e11e21657093a252947ece200f617a847</x:v>
      </x:c>
      <x:c r="R2973" t="str">
        <x:v>e7d3c35d2a64f21d3d18e7af4df5f0b8ddb379d53162010627b5b42a5d50b5c8</x:v>
      </x:c>
      <x:c r="S2973" t="n">
        <x:v>7</x:v>
      </x:c>
      <x:c r="T2973" t="str">
        <x:v>2018-12-31|2019-12-31|2020-12-31|2021-12-31|2022-12-31|2023-12-31</x:v>
      </x:c>
      <x:c r="U2973" s="57" t="n">
        <x:v>-5332.983215252539</x:v>
      </x:c>
      <x:c r="V2973" s="57" t="n">
        <x:v>-1.775142909193683</x:v>
      </x:c>
      <x:c r="W2973"/>
      <x:c r="X2973"/>
      <x:c r="Y2973" s="38" t="n">
        <x:v>0.6409090909090909</x:v>
      </x:c>
      <x:c r="Z2973" s="38" t="n">
        <x:v>0.7855842606227819</x:v>
      </x:c>
      <x:c r="AA2973" t="str">
        <x:v>NON_POSITIVE_ENTERPRISE_VALUE|NON_POSITIVE_EQUITY_VALUE|NON_POSITIVE_TERMINAL_FCF</x:v>
      </x:c>
    </x:row>
    <x:row r="2974">
      <x:c r="A2974" s="54" t="n">
        <x:v>45657</x:v>
      </x:c>
      <x:c r="B2974" t="n">
        <x:v>45657.624999988424</x:v>
      </x:c>
      <x:c r="C2974" t="str">
        <x:v>204620</x:v>
      </x:c>
      <x:c r="D2974" t="str">
        <x:v>글로벌텍스프리</x:v>
      </x:c>
      <x:c r="E2974" t="str">
        <x:v>KOSDAQ</x:v>
      </x:c>
      <x:c r="F2974" t="str">
        <x:v>LARGE</x:v>
      </x:c>
      <x:c r="G2974" t="str">
        <x:v>DCF_SCREENING_EXCLUSION</x:v>
      </x:c>
      <x:c r="H2974" t="str">
        <x:v>NON_POSITIVE_ENTERPRISE_VALUE|NON_POSITIVE_TERMINAL_FCF|UNRELIABLE_TERMINAL_VALUE_SHARE</x:v>
      </x:c>
      <x:c r="I2974" s="54" t="n">
        <x:v>45656</x:v>
      </x:c>
      <x:c r="J2974" s="55" t="n">
        <x:v>3405</x:v>
      </x:c>
      <x:c r="K2974" s="55" t="n">
        <x:v>208100099175</x:v>
      </x:c>
      <x:c r="L2974" s="55" t="n">
        <x:v>61116035</x:v>
      </x:c>
      <x:c r="M2974" t="str">
        <x:v>20240321001393</x:v>
      </x:c>
      <x:c r="N2974" t="n">
        <x:v>45372.624999988424</x:v>
      </x:c>
      <x:c r="O2974" s="54" t="n">
        <x:v>45291</x:v>
      </x:c>
      <x:c r="P2974" t="str">
        <x:v>False</x:v>
      </x:c>
      <x:c r="Q2974" t="str">
        <x:v>e0b1e3ddb687ee203f0d57ff8debef6acfd63433052d16645e27c5766207b915</x:v>
      </x:c>
      <x:c r="R2974" t="str">
        <x:v>dcce45606b137b650c55576cddd69363c5753775be21a64637c0d8c6b4be2bd1</x:v>
      </x:c>
      <x:c r="S2974" t="n">
        <x:v>7</x:v>
      </x:c>
      <x:c r="T2974" t="str">
        <x:v>2018-12-31|2019-12-31|2020-12-31|2021-12-31|2022-12-31|2023-12-31</x:v>
      </x:c>
      <x:c r="U2974" s="57" t="n">
        <x:v>465.4626518232541</x:v>
      </x:c>
      <x:c r="V2974" s="57" t="n">
        <x:v>-0.8633002490974291</x:v>
      </x:c>
      <x:c r="W2974"/>
      <x:c r="X2974"/>
      <x:c r="Y2974" s="38" t="n">
        <x:v>0.6409090909090909</x:v>
      </x:c>
      <x:c r="Z2974" s="38" t="n">
        <x:v>2.277431839577951</x:v>
      </x:c>
      <x:c r="AA2974" t="str">
        <x:v>NON_POSITIVE_ENTERPRISE_VALUE|NON_POSITIVE_TERMINAL_FCF|UNRELIABLE_TERMINAL_VALUE_SHARE</x:v>
      </x:c>
    </x:row>
    <x:row r="2975">
      <x:c r="A2975" s="54" t="n">
        <x:v>45657</x:v>
      </x:c>
      <x:c r="B2975" t="n">
        <x:v>45657.624999988424</x:v>
      </x:c>
      <x:c r="C2975" t="str">
        <x:v>445090</x:v>
      </x:c>
      <x:c r="D2975" t="str">
        <x:v>에이직랜드</x:v>
      </x:c>
      <x:c r="E2975" t="str">
        <x:v>KOSDAQ</x:v>
      </x:c>
      <x:c r="F2975" t="str">
        <x:v>LARGE</x:v>
      </x:c>
      <x:c r="G2975" t="str">
        <x:v>DCF_SCREENING_EXCLUSION</x:v>
      </x:c>
      <x:c r="H2975" t="str">
        <x:v>NON_POSITIVE_ENTERPRISE_VALUE|NON_POSITIVE_TERMINAL_FCF</x:v>
      </x:c>
      <x:c r="I2975" s="54" t="n">
        <x:v>45656</x:v>
      </x:c>
      <x:c r="J2975" s="55" t="n">
        <x:v>34400</x:v>
      </x:c>
      <x:c r="K2975" s="55" t="n">
        <x:v>370545998400</x:v>
      </x:c>
      <x:c r="L2975" s="55" t="n">
        <x:v>10771686</x:v>
      </x:c>
      <x:c r="M2975" t="str">
        <x:v>20240321001771</x:v>
      </x:c>
      <x:c r="N2975" t="n">
        <x:v>45372.624999988424</x:v>
      </x:c>
      <x:c r="O2975" s="54" t="n">
        <x:v>45291</x:v>
      </x:c>
      <x:c r="P2975" t="str">
        <x:v>False</x:v>
      </x:c>
      <x:c r="Q2975" t="str">
        <x:v>3d21d9a3bcf8fe2c32b7f6dc6c7e026a5a5ae3046838b7fffa2eaa84e779cd56</x:v>
      </x:c>
      <x:c r="R2975" t="str">
        <x:v>784df8526e318aaddcf117b9d3686ba8818f97378f177aea4967c3f10bc5b0da</x:v>
      </x:c>
      <x:c r="S2975" t="n">
        <x:v>6</x:v>
      </x:c>
      <x:c r="T2975" t="str">
        <x:v>2023-12-31</x:v>
      </x:c>
      <x:c r="U2975" s="57" t="n">
        <x:v>1989.5473682608274</x:v>
      </x:c>
      <x:c r="V2975" s="57" t="n">
        <x:v>-0.9421643206900923</x:v>
      </x:c>
      <x:c r="W2975"/>
      <x:c r="X2975"/>
      <x:c r="Y2975" s="38" t="n">
        <x:v>0.6409090909090909</x:v>
      </x:c>
      <x:c r="Z2975" s="38" t="n">
        <x:v>0.7013426708992583</x:v>
      </x:c>
      <x:c r="AA2975" t="str">
        <x:v>NON_POSITIVE_ENTERPRISE_VALUE|NON_POSITIVE_TERMINAL_FCF</x:v>
      </x:c>
    </x:row>
    <x:row r="2976">
      <x:c r="A2976" s="54" t="n">
        <x:v>45657</x:v>
      </x:c>
      <x:c r="B2976" t="n">
        <x:v>45657.624999988424</x:v>
      </x:c>
      <x:c r="C2976" t="str">
        <x:v>115450</x:v>
      </x:c>
      <x:c r="D2976" t="str">
        <x:v>HLB테라퓨틱스</x:v>
      </x:c>
      <x:c r="E2976" t="str">
        <x:v>KOSDAQ</x:v>
      </x:c>
      <x:c r="F2976" t="str">
        <x:v>LARGE</x:v>
      </x:c>
      <x:c r="G2976" t="str">
        <x:v>DCF_SCREENING_EXCLUSION</x:v>
      </x:c>
      <x:c r="H2976" t="str">
        <x:v>NON_POSITIVE_ENTERPRISE_VALUE|NON_POSITIVE_EQUITY_VALUE|NON_POSITIVE_TERMINAL_FCF</x:v>
      </x:c>
      <x:c r="I2976" s="54" t="n">
        <x:v>45656</x:v>
      </x:c>
      <x:c r="J2976" s="55" t="n">
        <x:v>11710</x:v>
      </x:c>
      <x:c r="K2976" s="55" t="n">
        <x:v>938438615430</x:v>
      </x:c>
      <x:c r="L2976" s="55" t="n">
        <x:v>80139933</x:v>
      </x:c>
      <x:c r="M2976" t="str">
        <x:v>20240318000872</x:v>
      </x:c>
      <x:c r="N2976" t="n">
        <x:v>45369.624999988424</x:v>
      </x:c>
      <x:c r="O2976" s="54" t="n">
        <x:v>45291</x:v>
      </x:c>
      <x:c r="P2976" t="str">
        <x:v>False</x:v>
      </x:c>
      <x:c r="Q2976" t="str">
        <x:v>3b6234af336dabd6e48013d36719da3fe04641f207116acbfd61cf15ca526468</x:v>
      </x:c>
      <x:c r="R2976" t="str">
        <x:v>14ce768734819761b4fea6078d67aa7b456271a4c41dd8f377614d02e84bcf15</x:v>
      </x:c>
      <x:c r="S2976" t="n">
        <x:v>6</x:v>
      </x:c>
      <x:c r="T2976" t="str">
        <x:v>2018-12-31|2019-12-31|2020-12-31|2021-12-31|2022-12-31|2023-12-31</x:v>
      </x:c>
      <x:c r="U2976" s="57" t="n">
        <x:v>-1548.4038437577915</x:v>
      </x:c>
      <x:c r="V2976" s="57" t="n">
        <x:v>-1.1322291924643717</x:v>
      </x:c>
      <x:c r="W2976"/>
      <x:c r="X2976"/>
      <x:c r="Y2976" s="38" t="n">
        <x:v>0.6409090909090909</x:v>
      </x:c>
      <x:c r="Z2976" s="38" t="n">
        <x:v>0.710888543448263</x:v>
      </x:c>
      <x:c r="AA2976" t="str">
        <x:v>NON_POSITIVE_ENTERPRISE_VALUE|NON_POSITIVE_EQUITY_VALUE|NON_POSITIVE_TERMINAL_FCF</x:v>
      </x:c>
    </x:row>
    <x:row r="2977">
      <x:c r="A2977" s="54" t="n">
        <x:v>45657</x:v>
      </x:c>
      <x:c r="B2977" t="n">
        <x:v>45657.624999988424</x:v>
      </x:c>
      <x:c r="C2977" t="str">
        <x:v>035420</x:v>
      </x:c>
      <x:c r="D2977" t="str">
        <x:v>NAVER</x:v>
      </x:c>
      <x:c r="E2977" t="str">
        <x:v>KOSPI</x:v>
      </x:c>
      <x:c r="F2977" t="str">
        <x:v>LARGE</x:v>
      </x:c>
      <x:c r="G2977" t="str">
        <x:v>ELIGIBLE</x:v>
      </x:c>
      <x:c r="H2977"/>
      <x:c r="I2977" s="54" t="n">
        <x:v>45656</x:v>
      </x:c>
      <x:c r="J2977" s="55" t="n">
        <x:v>198900</x:v>
      </x:c>
      <x:c r="K2977" s="55" t="n">
        <x:v>31513120891200</x:v>
      </x:c>
      <x:c r="L2977" s="55" t="n">
        <x:v>158437008</x:v>
      </x:c>
      <x:c r="M2977" t="str">
        <x:v>20240318000844</x:v>
      </x:c>
      <x:c r="N2977" t="n">
        <x:v>45369.624999988424</x:v>
      </x:c>
      <x:c r="O2977" s="54" t="n">
        <x:v>45291</x:v>
      </x:c>
      <x:c r="P2977" t="str">
        <x:v>False</x:v>
      </x:c>
      <x:c r="Q2977" t="str">
        <x:v>54a4f93f439c775756a90e1084778b46efe9cf0b2eb153fd52376c1005518a32</x:v>
      </x:c>
      <x:c r="R2977" t="str">
        <x:v>4aef43ac8569b66133cd1ad7d79e9087c487c40f813fb2d86ba2c4cda0ae7475</x:v>
      </x:c>
      <x:c r="S2977" t="n">
        <x:v>7</x:v>
      </x:c>
      <x:c r="T2977" t="str">
        <x:v>2018-12-31|2019-12-31|2020-12-31|2021-12-31|2022-12-31|2023-12-31</x:v>
      </x:c>
      <x:c r="U2977" s="57" t="n">
        <x:v>65290.92439431735</x:v>
      </x:c>
      <x:c r="V2977" s="57" t="n">
        <x:v>-0.6717399477409887</x:v>
      </x:c>
      <x:c r="W2977" t="n">
        <x:v>53</x:v>
      </x:c>
      <x:c r="X2977" t="n">
        <x:v>4</x:v>
      </x:c>
      <x:c r="Y2977" s="38" t="n">
        <x:v>0.6409090909090909</x:v>
      </x:c>
      <x:c r="Z2977" s="38" t="n">
        <x:v>0.7282407134116271</x:v>
      </x:c>
      <x:c r="AA2977"/>
    </x:row>
    <x:row r="2978">
      <x:c r="A2978" s="54" t="n">
        <x:v>45657</x:v>
      </x:c>
      <x:c r="B2978" t="n">
        <x:v>45657.624999988424</x:v>
      </x:c>
      <x:c r="C2978" t="str">
        <x:v>030200</x:v>
      </x:c>
      <x:c r="D2978" t="str">
        <x:v>KT</x:v>
      </x:c>
      <x:c r="E2978" t="str">
        <x:v>KOSPI</x:v>
      </x:c>
      <x:c r="F2978" t="str">
        <x:v>LARGE</x:v>
      </x:c>
      <x:c r="G2978" t="str">
        <x:v>ELIGIBLE</x:v>
      </x:c>
      <x:c r="H2978"/>
      <x:c r="I2978" s="54" t="n">
        <x:v>45656</x:v>
      </x:c>
      <x:c r="J2978" s="55" t="n">
        <x:v>43850</x:v>
      </x:c>
      <x:c r="K2978" s="55" t="n">
        <x:v>11051150887250</x:v>
      </x:c>
      <x:c r="L2978" s="55" t="n">
        <x:v>252021685</x:v>
      </x:c>
      <x:c r="M2978" t="str">
        <x:v>20240320002050</x:v>
      </x:c>
      <x:c r="N2978" t="n">
        <x:v>45371.624999988424</x:v>
      </x:c>
      <x:c r="O2978" s="54" t="n">
        <x:v>45291</x:v>
      </x:c>
      <x:c r="P2978" t="str">
        <x:v>True</x:v>
      </x:c>
      <x:c r="Q2978" t="str">
        <x:v>2143c9277fcc2280c3e9087bb1f7a6d900c560447e104f2fb74a2f19629cb33d</x:v>
      </x:c>
      <x:c r="R2978" t="str">
        <x:v>ce62a2e350a2e18746a25525a6040070e636efbf5510fc922d5568edfb628d68</x:v>
      </x:c>
      <x:c r="S2978" t="n">
        <x:v>7</x:v>
      </x:c>
      <x:c r="T2978" t="str">
        <x:v>2018-12-31|2019-12-31|2020-12-31|2021-12-31|2022-12-31|2023-12-31</x:v>
      </x:c>
      <x:c r="U2978" s="57" t="n">
        <x:v>212864.75671025182</x:v>
      </x:c>
      <x:c r="V2978" s="57" t="n">
        <x:v>3.8543844175656057</x:v>
      </x:c>
      <x:c r="W2978" t="n">
        <x:v>4</x:v>
      </x:c>
      <x:c r="X2978" t="n">
        <x:v>1</x:v>
      </x:c>
      <x:c r="Y2978" s="38" t="n">
        <x:v>0.6409090909090909</x:v>
      </x:c>
      <x:c r="Z2978" s="38" t="n">
        <x:v>0.6999060533575371</x:v>
      </x:c>
      <x:c r="AA2978"/>
    </x:row>
    <x:row r="2979">
      <x:c r="A2979" s="54" t="n">
        <x:v>45657</x:v>
      </x:c>
      <x:c r="B2979" t="n">
        <x:v>45657.624999988424</x:v>
      </x:c>
      <x:c r="C2979" t="str">
        <x:v>018260</x:v>
      </x:c>
      <x:c r="D2979" t="str">
        <x:v>삼성에스디에스</x:v>
      </x:c>
      <x:c r="E2979" t="str">
        <x:v>KOSPI</x:v>
      </x:c>
      <x:c r="F2979" t="str">
        <x:v>LARGE</x:v>
      </x:c>
      <x:c r="G2979" t="str">
        <x:v>ELIGIBLE</x:v>
      </x:c>
      <x:c r="H2979"/>
      <x:c r="I2979" s="54" t="n">
        <x:v>45656</x:v>
      </x:c>
      <x:c r="J2979" s="55" t="n">
        <x:v>127800</x:v>
      </x:c>
      <x:c r="K2979" s="55" t="n">
        <x:v>9888882840000</x:v>
      </x:c>
      <x:c r="L2979" s="55" t="n">
        <x:v>77377800</x:v>
      </x:c>
      <x:c r="M2979" t="str">
        <x:v>20240329003204</x:v>
      </x:c>
      <x:c r="N2979" t="n">
        <x:v>45380.624999988424</x:v>
      </x:c>
      <x:c r="O2979" s="54" t="n">
        <x:v>45291</x:v>
      </x:c>
      <x:c r="P2979" t="str">
        <x:v>True</x:v>
      </x:c>
      <x:c r="Q2979" t="str">
        <x:v>18cebc8465d97b583091200410d012c12877fbf1b506f8f03e42d9acfaec4cb1</x:v>
      </x:c>
      <x:c r="R2979" t="str">
        <x:v>884bd679c7548d9c28c708b054cf4bec75102ff25dbeea45d78762e80128f816</x:v>
      </x:c>
      <x:c r="S2979" t="n">
        <x:v>7</x:v>
      </x:c>
      <x:c r="T2979" t="str">
        <x:v>2018-12-31|2019-12-31|2020-12-31|2021-12-31|2022-12-31|2023-12-31</x:v>
      </x:c>
      <x:c r="U2979" s="57" t="n">
        <x:v>122288.21245529415</x:v>
      </x:c>
      <x:c r="V2979" s="57" t="n">
        <x:v>-0.04312822804934152</x:v>
      </x:c>
      <x:c r="W2979" t="n">
        <x:v>30</x:v>
      </x:c>
      <x:c r="X2979" t="n">
        <x:v>3</x:v>
      </x:c>
      <x:c r="Y2979" s="38" t="n">
        <x:v>0.6409090909090909</x:v>
      </x:c>
      <x:c r="Z2979" s="38" t="n">
        <x:v>0.7228476007504209</x:v>
      </x:c>
      <x:c r="AA2979"/>
    </x:row>
    <x:row r="2980">
      <x:c r="A2980" s="54" t="n">
        <x:v>45657</x:v>
      </x:c>
      <x:c r="B2980" t="n">
        <x:v>45657.624999988424</x:v>
      </x:c>
      <x:c r="C2980" t="str">
        <x:v>090430</x:v>
      </x:c>
      <x:c r="D2980" t="str">
        <x:v>아모레퍼시픽</x:v>
      </x:c>
      <x:c r="E2980" t="str">
        <x:v>KOSPI</x:v>
      </x:c>
      <x:c r="F2980" t="str">
        <x:v>LARGE</x:v>
      </x:c>
      <x:c r="G2980" t="str">
        <x:v>ELIGIBLE</x:v>
      </x:c>
      <x:c r="H2980"/>
      <x:c r="I2980" s="54" t="n">
        <x:v>45656</x:v>
      </x:c>
      <x:c r="J2980" s="55" t="n">
        <x:v>104800</x:v>
      </x:c>
      <x:c r="K2980" s="55" t="n">
        <x:v>6130041143200</x:v>
      </x:c>
      <x:c r="L2980" s="55" t="n">
        <x:v>58492759</x:v>
      </x:c>
      <x:c r="M2980" t="str">
        <x:v>20240307000545</x:v>
      </x:c>
      <x:c r="N2980" t="n">
        <x:v>45358.624999988424</x:v>
      </x:c>
      <x:c r="O2980" s="54" t="n">
        <x:v>45291</x:v>
      </x:c>
      <x:c r="P2980" t="str">
        <x:v>False</x:v>
      </x:c>
      <x:c r="Q2980" t="str">
        <x:v>983705de0a1f45b92e9108d2cb5f8067751611ea62c2277984777ce1708ab8e8</x:v>
      </x:c>
      <x:c r="R2980" t="str">
        <x:v>e29e63aa8ddfd106584ad95dd808ba765e379e85945cd4910e62fca85bcf965d</x:v>
      </x:c>
      <x:c r="S2980" t="n">
        <x:v>7</x:v>
      </x:c>
      <x:c r="T2980" t="str">
        <x:v>2018-12-31|2019-12-31|2020-12-31|2021-12-31|2022-12-31|2023-12-31</x:v>
      </x:c>
      <x:c r="U2980" s="57" t="n">
        <x:v>45185.40296952942</x:v>
      </x:c>
      <x:c r="V2980" s="57" t="n">
        <x:v>-0.5688415747182307</x:v>
      </x:c>
      <x:c r="W2980" t="n">
        <x:v>46</x:v>
      </x:c>
      <x:c r="X2980" t="n">
        <x:v>4</x:v>
      </x:c>
      <x:c r="Y2980" s="38" t="n">
        <x:v>0.6409090909090909</x:v>
      </x:c>
      <x:c r="Z2980" s="38" t="n">
        <x:v>0.6871955991456108</x:v>
      </x:c>
      <x:c r="AA2980"/>
    </x:row>
    <x:row r="2981">
      <x:c r="A2981" s="54" t="n">
        <x:v>45657</x:v>
      </x:c>
      <x:c r="B2981" t="n">
        <x:v>45657.624999988424</x:v>
      </x:c>
      <x:c r="C2981" t="str">
        <x:v>278470</x:v>
      </x:c>
      <x:c r="D2981" t="str">
        <x:v>에이피알</x:v>
      </x:c>
      <x:c r="E2981" t="str">
        <x:v>KOSPI</x:v>
      </x:c>
      <x:c r="F2981" t="str">
        <x:v>LARGE</x:v>
      </x:c>
      <x:c r="G2981" t="str">
        <x:v>ELIGIBLE</x:v>
      </x:c>
      <x:c r="H2981"/>
      <x:c r="I2981" s="54" t="n">
        <x:v>45656</x:v>
      </x:c>
      <x:c r="J2981" s="55" t="n">
        <x:v>50000</x:v>
      </x:c>
      <x:c r="K2981" s="55" t="n">
        <x:v>1906294500000</x:v>
      </x:c>
      <x:c r="L2981" s="55" t="n">
        <x:v>38125890</x:v>
      </x:c>
      <x:c r="M2981" t="str">
        <x:v>20240321000964</x:v>
      </x:c>
      <x:c r="N2981" t="n">
        <x:v>45372.624999988424</x:v>
      </x:c>
      <x:c r="O2981" s="54" t="n">
        <x:v>45291</x:v>
      </x:c>
      <x:c r="P2981" t="str">
        <x:v>False</x:v>
      </x:c>
      <x:c r="Q2981" t="str">
        <x:v>04ca5e6c1f6cf209dc5de4b17e6b617de4ae883decea2ff2eb03b79a7a17d4a8</x:v>
      </x:c>
      <x:c r="R2981" t="str">
        <x:v>7e6dc7df6c5293196d2366117fc3ec877656460492a4b7bdbe26034dd5231cb2</x:v>
      </x:c>
      <x:c r="S2981" t="n">
        <x:v>7</x:v>
      </x:c>
      <x:c r="T2981" t="str">
        <x:v>2019-12-31|2020-12-31|2021-12-31|2022-12-31|2023-12-31</x:v>
      </x:c>
      <x:c r="U2981" s="57" t="n">
        <x:v>15653.1619332872</x:v>
      </x:c>
      <x:c r="V2981" s="57" t="n">
        <x:v>-0.6869367613342561</x:v>
      </x:c>
      <x:c r="W2981" t="n">
        <x:v>55</x:v>
      </x:c>
      <x:c r="X2981" t="n">
        <x:v>4</x:v>
      </x:c>
      <x:c r="Y2981" s="38" t="n">
        <x:v>0.6409090909090909</x:v>
      </x:c>
      <x:c r="Z2981" s="38" t="n">
        <x:v>0.5293064792577115</x:v>
      </x:c>
      <x:c r="AA2981"/>
    </x:row>
    <x:row r="2982">
      <x:c r="A2982" s="54" t="n">
        <x:v>45657</x:v>
      </x:c>
      <x:c r="B2982" t="n">
        <x:v>45657.624999988424</x:v>
      </x:c>
      <x:c r="C2982" t="str">
        <x:v>006260</x:v>
      </x:c>
      <x:c r="D2982" t="str">
        <x:v>LS</x:v>
      </x:c>
      <x:c r="E2982" t="str">
        <x:v>KOSPI</x:v>
      </x:c>
      <x:c r="F2982" t="str">
        <x:v>LARGE</x:v>
      </x:c>
      <x:c r="G2982" t="str">
        <x:v>DCF_SCREENING_EXCLUSION</x:v>
      </x:c>
      <x:c r="H2982" t="str">
        <x:v>NON_POSITIVE_EQUITY_VALUE|UNRELIABLE_TERMINAL_VALUE_SHARE</x:v>
      </x:c>
      <x:c r="I2982" s="54" t="n">
        <x:v>45656</x:v>
      </x:c>
      <x:c r="J2982" s="55" t="n">
        <x:v>94300</x:v>
      </x:c>
      <x:c r="K2982" s="55" t="n">
        <x:v>3036460000000</x:v>
      </x:c>
      <x:c r="L2982" s="55" t="n">
        <x:v>32200000</x:v>
      </x:c>
      <x:c r="M2982" t="str">
        <x:v>20240328001620</x:v>
      </x:c>
      <x:c r="N2982" t="n">
        <x:v>45379.624999988424</x:v>
      </x:c>
      <x:c r="O2982" s="54" t="n">
        <x:v>45291</x:v>
      </x:c>
      <x:c r="P2982" t="str">
        <x:v>True</x:v>
      </x:c>
      <x:c r="Q2982" t="str">
        <x:v>9fe30320efdcad1c5340f294e9f56b892e6082fae219d016336f02b346091952</x:v>
      </x:c>
      <x:c r="R2982" t="str">
        <x:v>d082c090d3a116ec85d400af7eee463106482a7d7859353ff448782f574e64db</x:v>
      </x:c>
      <x:c r="S2982" t="n">
        <x:v>7</x:v>
      </x:c>
      <x:c r="T2982" t="str">
        <x:v>2017-12-31|2018-12-31|2019-12-31|2020-12-31|2021-12-31|2022-12-31|2023-12-31</x:v>
      </x:c>
      <x:c r="U2982" s="57" t="n">
        <x:v>-105361.65513133879</x:v>
      </x:c>
      <x:c r="V2982" s="57" t="n">
        <x:v>-2.117302811573052</x:v>
      </x:c>
      <x:c r="W2982"/>
      <x:c r="X2982"/>
      <x:c r="Y2982" s="38" t="n">
        <x:v>0.6409090909090909</x:v>
      </x:c>
      <x:c r="Z2982" s="38" t="n">
        <x:v>1.5056673965553193</x:v>
      </x:c>
      <x:c r="AA2982" t="str">
        <x:v>NON_POSITIVE_EQUITY_VALUE|UNRELIABLE_TERMINAL_VALUE_SHARE</x:v>
      </x:c>
    </x:row>
    <x:row r="2983">
      <x:c r="A2983" s="54" t="n">
        <x:v>45657</x:v>
      </x:c>
      <x:c r="B2983" t="n">
        <x:v>45657.624999988424</x:v>
      </x:c>
      <x:c r="C2983" t="str">
        <x:v>454910</x:v>
      </x:c>
      <x:c r="D2983" t="str">
        <x:v>두산로보틱스</x:v>
      </x:c>
      <x:c r="E2983" t="str">
        <x:v>KOSPI</x:v>
      </x:c>
      <x:c r="F2983" t="str">
        <x:v>LARGE</x:v>
      </x:c>
      <x:c r="G2983" t="str">
        <x:v>DCF_SCREENING_EXCLUSION</x:v>
      </x:c>
      <x:c r="H2983" t="str">
        <x:v>NON_POSITIVE_ENTERPRISE_VALUE|NON_POSITIVE_TERMINAL_FCF</x:v>
      </x:c>
      <x:c r="I2983" s="54" t="n">
        <x:v>45656</x:v>
      </x:c>
      <x:c r="J2983" s="55" t="n">
        <x:v>52300</x:v>
      </x:c>
      <x:c r="K2983" s="55" t="n">
        <x:v>3390084954000</x:v>
      </x:c>
      <x:c r="L2983" s="55" t="n">
        <x:v>64819980</x:v>
      </x:c>
      <x:c r="M2983" t="str">
        <x:v>20240320001860</x:v>
      </x:c>
      <x:c r="N2983" t="n">
        <x:v>45371.624999988424</x:v>
      </x:c>
      <x:c r="O2983" s="54" t="n">
        <x:v>45291</x:v>
      </x:c>
      <x:c r="P2983" t="str">
        <x:v>False</x:v>
      </x:c>
      <x:c r="Q2983" t="str">
        <x:v>5d0c8526a769dfb699e3a5a8d541b959348fa56a7fb0e13db871219f978613e8</x:v>
      </x:c>
      <x:c r="R2983" t="str">
        <x:v>9e2915c65080adc971a419f9d19db45fca450e2aaa5867ba5968fdfdcd809cda</x:v>
      </x:c>
      <x:c r="S2983" t="n">
        <x:v>6</x:v>
      </x:c>
      <x:c r="T2983" t="str">
        <x:v>2023-12-31</x:v>
      </x:c>
      <x:c r="U2983" s="57" t="n">
        <x:v>2405.426797352491</x:v>
      </x:c>
      <x:c r="V2983" s="57" t="n">
        <x:v>-0.9540071358058797</x:v>
      </x:c>
      <x:c r="W2983"/>
      <x:c r="X2983"/>
      <x:c r="Y2983" s="38" t="n">
        <x:v>0.6409090909090909</x:v>
      </x:c>
      <x:c r="Z2983" s="38" t="n">
        <x:v>0.7013426708992583</x:v>
      </x:c>
      <x:c r="AA2983" t="str">
        <x:v>NON_POSITIVE_ENTERPRISE_VALUE|NON_POSITIVE_TERMINAL_FCF</x:v>
      </x:c>
    </x:row>
    <x:row r="2984">
      <x:c r="A2984" s="54" t="n">
        <x:v>45657</x:v>
      </x:c>
      <x:c r="B2984" t="n">
        <x:v>45657.624999988424</x:v>
      </x:c>
      <x:c r="C2984" t="str">
        <x:v>012750</x:v>
      </x:c>
      <x:c r="D2984" t="str">
        <x:v>에스원</x:v>
      </x:c>
      <x:c r="E2984" t="str">
        <x:v>KOSPI</x:v>
      </x:c>
      <x:c r="F2984" t="str">
        <x:v>LARGE</x:v>
      </x:c>
      <x:c r="G2984" t="str">
        <x:v>ELIGIBLE</x:v>
      </x:c>
      <x:c r="H2984"/>
      <x:c r="I2984" s="54" t="n">
        <x:v>45656</x:v>
      </x:c>
      <x:c r="J2984" s="55" t="n">
        <x:v>59200</x:v>
      </x:c>
      <x:c r="K2984" s="55" t="n">
        <x:v>2249551337600</x:v>
      </x:c>
      <x:c r="L2984" s="55" t="n">
        <x:v>37999178</x:v>
      </x:c>
      <x:c r="M2984" t="str">
        <x:v>20240313001360</x:v>
      </x:c>
      <x:c r="N2984" t="n">
        <x:v>45364.624999988424</x:v>
      </x:c>
      <x:c r="O2984" s="54" t="n">
        <x:v>45291</x:v>
      </x:c>
      <x:c r="P2984" t="str">
        <x:v>False</x:v>
      </x:c>
      <x:c r="Q2984" t="str">
        <x:v>983905c80557b47aaa55369ad23ffd7c797eb22f2d713724cdbe16330a9bee29</x:v>
      </x:c>
      <x:c r="R2984" t="str">
        <x:v>418b9c21ccc966183bf35367fadeaa591f28b941468ebf25e7ce65b3896bab07</x:v>
      </x:c>
      <x:c r="S2984" t="n">
        <x:v>6</x:v>
      </x:c>
      <x:c r="T2984" t="str">
        <x:v>2018-12-31|2019-12-31|2020-12-31|2021-12-31|2022-12-31|2023-12-31</x:v>
      </x:c>
      <x:c r="U2984" s="57" t="n">
        <x:v>53073.583077988624</x:v>
      </x:c>
      <x:c r="V2984" s="57" t="n">
        <x:v>-0.1034867723312733</x:v>
      </x:c>
      <x:c r="W2984" t="n">
        <x:v>31</x:v>
      </x:c>
      <x:c r="X2984" t="n">
        <x:v>3</x:v>
      </x:c>
      <x:c r="Y2984" s="38" t="n">
        <x:v>0.6409090909090909</x:v>
      </x:c>
      <x:c r="Z2984" s="38" t="n">
        <x:v>0.7167269513942994</x:v>
      </x:c>
      <x:c r="AA2984"/>
    </x:row>
    <x:row r="2985">
      <x:c r="A2985" s="54" t="n">
        <x:v>45657</x:v>
      </x:c>
      <x:c r="B2985" t="n">
        <x:v>45657.624999988424</x:v>
      </x:c>
      <x:c r="C2985" t="str">
        <x:v>081660</x:v>
      </x:c>
      <x:c r="D2985" t="str">
        <x:v>미스토홀딩스</x:v>
      </x:c>
      <x:c r="E2985" t="str">
        <x:v>KOSPI</x:v>
      </x:c>
      <x:c r="F2985" t="str">
        <x:v>LARGE</x:v>
      </x:c>
      <x:c r="G2985" t="str">
        <x:v>EXCLUDED_ARCHETYPE</x:v>
      </x:c>
      <x:c r="H2985" t="str">
        <x:v>FCFF_NOT_COMPARABLE_FOR_FINANCE_OR_HOLDING_HINT</x:v>
      </x:c>
      <x:c r="I2985" s="54"/>
      <x:c r="J2985" s="55"/>
      <x:c r="K2985" s="55"/>
      <x:c r="L2985" s="55"/>
      <x:c r="M2985"/>
      <x:c r="N2985"/>
      <x:c r="O2985" s="54"/>
      <x:c r="P2985"/>
      <x:c r="Q2985"/>
      <x:c r="R2985"/>
      <x:c r="S2985"/>
      <x:c r="T2985"/>
      <x:c r="U2985" s="57"/>
      <x:c r="V2985" s="57"/>
      <x:c r="W2985"/>
      <x:c r="X2985"/>
      <x:c r="Y2985" s="38"/>
      <x:c r="Z2985" s="38"/>
      <x:c r="AA2985"/>
    </x:row>
    <x:row r="2986">
      <x:c r="A2986" s="54" t="n">
        <x:v>45657</x:v>
      </x:c>
      <x:c r="B2986" t="n">
        <x:v>45657.624999988424</x:v>
      </x:c>
      <x:c r="C2986" t="str">
        <x:v>282330</x:v>
      </x:c>
      <x:c r="D2986" t="str">
        <x:v>BGF리테일</x:v>
      </x:c>
      <x:c r="E2986" t="str">
        <x:v>KOSPI</x:v>
      </x:c>
      <x:c r="F2986" t="str">
        <x:v>LARGE</x:v>
      </x:c>
      <x:c r="G2986" t="str">
        <x:v>ELIGIBLE</x:v>
      </x:c>
      <x:c r="H2986"/>
      <x:c r="I2986" s="54" t="n">
        <x:v>45656</x:v>
      </x:c>
      <x:c r="J2986" s="55" t="n">
        <x:v>102500</x:v>
      </x:c>
      <x:c r="K2986" s="55" t="n">
        <x:v>1771600365000</x:v>
      </x:c>
      <x:c r="L2986" s="55" t="n">
        <x:v>17283906</x:v>
      </x:c>
      <x:c r="M2986" t="str">
        <x:v>20240412003349</x:v>
      </x:c>
      <x:c r="N2986" t="n">
        <x:v>45394.624999988424</x:v>
      </x:c>
      <x:c r="O2986" s="54" t="n">
        <x:v>45291</x:v>
      </x:c>
      <x:c r="P2986" t="str">
        <x:v>True</x:v>
      </x:c>
      <x:c r="Q2986" t="str">
        <x:v>80452f5864f11413d1e18a343363f011c0e853e8f7a5e545f85575c87fe04167</x:v>
      </x:c>
      <x:c r="R2986" t="str">
        <x:v>0a7c904451d48d17e0a5cbbb1432a48af38d871660239ebffaf162b51598bb4a</x:v>
      </x:c>
      <x:c r="S2986" t="n">
        <x:v>7</x:v>
      </x:c>
      <x:c r="T2986" t="str">
        <x:v>2018-12-31|2019-12-31|2020-12-31|2021-12-31|2022-12-31|2023-12-31</x:v>
      </x:c>
      <x:c r="U2986" s="57" t="n">
        <x:v>148920.85850352462</x:v>
      </x:c>
      <x:c r="V2986" s="57" t="n">
        <x:v>0.45288642442463045</x:v>
      </x:c>
      <x:c r="W2986" t="n">
        <x:v>20</x:v>
      </x:c>
      <x:c r="X2986" t="n">
        <x:v>2</x:v>
      </x:c>
      <x:c r="Y2986" s="38" t="n">
        <x:v>0.6409090909090909</x:v>
      </x:c>
      <x:c r="Z2986" s="38" t="n">
        <x:v>0.7118873154840263</x:v>
      </x:c>
      <x:c r="AA2986"/>
    </x:row>
    <x:row r="2987">
      <x:c r="A2987" s="54" t="n">
        <x:v>45657</x:v>
      </x:c>
      <x:c r="B2987" t="n">
        <x:v>45657.624999988424</x:v>
      </x:c>
      <x:c r="C2987" t="str">
        <x:v>023590</x:v>
      </x:c>
      <x:c r="D2987" t="str">
        <x:v>다우기술</x:v>
      </x:c>
      <x:c r="E2987" t="str">
        <x:v>KOSPI</x:v>
      </x:c>
      <x:c r="F2987" t="str">
        <x:v>LARGE</x:v>
      </x:c>
      <x:c r="G2987" t="str">
        <x:v>ELIGIBLE</x:v>
      </x:c>
      <x:c r="H2987"/>
      <x:c r="I2987" s="54" t="n">
        <x:v>45656</x:v>
      </x:c>
      <x:c r="J2987" s="55" t="n">
        <x:v>17870</x:v>
      </x:c>
      <x:c r="K2987" s="55" t="n">
        <x:v>801766445790</x:v>
      </x:c>
      <x:c r="L2987" s="55" t="n">
        <x:v>44866617</x:v>
      </x:c>
      <x:c r="M2987" t="str">
        <x:v>20240320001719</x:v>
      </x:c>
      <x:c r="N2987" t="n">
        <x:v>45371.624999988424</x:v>
      </x:c>
      <x:c r="O2987" s="54" t="n">
        <x:v>45291</x:v>
      </x:c>
      <x:c r="P2987" t="str">
        <x:v>False</x:v>
      </x:c>
      <x:c r="Q2987" t="str">
        <x:v>7794020640f841938df6de0ab2cc083ffa7af19e3b8e73ccb0b21ec4189c4cdc</x:v>
      </x:c>
      <x:c r="R2987" t="str">
        <x:v>8d8def05dbb4edc06fae723db1c51a21604287b327a228b7d5b89af822e337b7</x:v>
      </x:c>
      <x:c r="S2987" t="n">
        <x:v>7</x:v>
      </x:c>
      <x:c r="T2987" t="str">
        <x:v>2015-12-31|2016-12-31|2017-12-31|2018-12-31|2019-12-31|2020-12-31|2021-12-31|2022-12-31|2023-12-31</x:v>
      </x:c>
      <x:c r="U2987" s="57" t="n">
        <x:v>499115.9136980873</x:v>
      </x:c>
      <x:c r="V2987" s="57" t="n">
        <x:v>26.93038129256224</x:v>
      </x:c>
      <x:c r="W2987" t="n">
        <x:v>1</x:v>
      </x:c>
      <x:c r="X2987" t="n">
        <x:v>1</x:v>
      </x:c>
      <x:c r="Y2987" s="38" t="n">
        <x:v>0.6409090909090909</x:v>
      </x:c>
      <x:c r="Z2987" s="38" t="n">
        <x:v>0.797836132376199</x:v>
      </x:c>
      <x:c r="AA2987"/>
    </x:row>
    <x:row r="2988">
      <x:c r="A2988" s="54" t="n">
        <x:v>45657</x:v>
      </x:c>
      <x:c r="B2988" t="n">
        <x:v>45657.624999988424</x:v>
      </x:c>
      <x:c r="C2988" t="str">
        <x:v>300720</x:v>
      </x:c>
      <x:c r="D2988" t="str">
        <x:v>한일시멘트</x:v>
      </x:c>
      <x:c r="E2988" t="str">
        <x:v>KOSPI</x:v>
      </x:c>
      <x:c r="F2988" t="str">
        <x:v>LARGE</x:v>
      </x:c>
      <x:c r="G2988" t="str">
        <x:v>ELIGIBLE</x:v>
      </x:c>
      <x:c r="H2988"/>
      <x:c r="I2988" s="54" t="n">
        <x:v>45656</x:v>
      </x:c>
      <x:c r="J2988" s="55" t="n">
        <x:v>14520</x:v>
      </x:c>
      <x:c r="K2988" s="55" t="n">
        <x:v>1005677560800</x:v>
      </x:c>
      <x:c r="L2988" s="55" t="n">
        <x:v>69261540</x:v>
      </x:c>
      <x:c r="M2988" t="str">
        <x:v>20240320001711</x:v>
      </x:c>
      <x:c r="N2988" t="n">
        <x:v>45371.624999988424</x:v>
      </x:c>
      <x:c r="O2988" s="54" t="n">
        <x:v>45291</x:v>
      </x:c>
      <x:c r="P2988" t="str">
        <x:v>False</x:v>
      </x:c>
      <x:c r="Q2988" t="str">
        <x:v>efeb156f499068f934e7f6adc03553c51257bed2c8134fb026ce3ee629479a7f</x:v>
      </x:c>
      <x:c r="R2988" t="str">
        <x:v>069d8b2ae8d57e8a16050e57f9e1d4a09dfea2f176312162cf3af0431f66ce8e</x:v>
      </x:c>
      <x:c r="S2988" t="n">
        <x:v>6</x:v>
      </x:c>
      <x:c r="T2988" t="str">
        <x:v>2019-12-31|2020-12-31|2021-12-31|2022-12-31|2023-12-31</x:v>
      </x:c>
      <x:c r="U2988" s="57" t="n">
        <x:v>29988.40651458377</x:v>
      </x:c>
      <x:c r="V2988" s="57" t="n">
        <x:v>1.0653172530705075</x:v>
      </x:c>
      <x:c r="W2988" t="n">
        <x:v>14</x:v>
      </x:c>
      <x:c r="X2988" t="n">
        <x:v>1</x:v>
      </x:c>
      <x:c r="Y2988" s="38" t="n">
        <x:v>0.6409090909090909</x:v>
      </x:c>
      <x:c r="Z2988" s="38" t="n">
        <x:v>0.6613647926762065</x:v>
      </x:c>
      <x:c r="AA2988"/>
    </x:row>
    <x:row r="2989">
      <x:c r="A2989" s="54" t="n">
        <x:v>45657</x:v>
      </x:c>
      <x:c r="B2989" t="n">
        <x:v>45657.624999988424</x:v>
      </x:c>
      <x:c r="C2989" t="str">
        <x:v>007070</x:v>
      </x:c>
      <x:c r="D2989" t="str">
        <x:v>GS리테일</x:v>
      </x:c>
      <x:c r="E2989" t="str">
        <x:v>KOSPI</x:v>
      </x:c>
      <x:c r="F2989" t="str">
        <x:v>LARGE</x:v>
      </x:c>
      <x:c r="G2989" t="str">
        <x:v>ELIGIBLE</x:v>
      </x:c>
      <x:c r="H2989"/>
      <x:c r="I2989" s="54" t="n">
        <x:v>45656</x:v>
      </x:c>
      <x:c r="J2989" s="55" t="n">
        <x:v>16500</x:v>
      </x:c>
      <x:c r="K2989" s="55" t="n">
        <x:v>1379522347500</x:v>
      </x:c>
      <x:c r="L2989" s="55" t="n">
        <x:v>83607415</x:v>
      </x:c>
      <x:c r="M2989" t="str">
        <x:v>20240401004251</x:v>
      </x:c>
      <x:c r="N2989" t="n">
        <x:v>45383.624999988424</x:v>
      </x:c>
      <x:c r="O2989" s="54" t="n">
        <x:v>45291</x:v>
      </x:c>
      <x:c r="P2989" t="str">
        <x:v>True</x:v>
      </x:c>
      <x:c r="Q2989" t="str">
        <x:v>fea5f6d0ab27d8e52c122295c154205a5466e77cb66aeba6d640890b4d11c68e</x:v>
      </x:c>
      <x:c r="R2989" t="str">
        <x:v>c60512e504f5a67f685973e3003206aef9fd7ed8c15445f0aefa6202f70936bf</x:v>
      </x:c>
      <x:c r="S2989" t="n">
        <x:v>7</x:v>
      </x:c>
      <x:c r="T2989" t="str">
        <x:v>2018-12-31|2019-12-31|2020-12-31|2021-12-31|2022-12-31|2023-12-31</x:v>
      </x:c>
      <x:c r="U2989" s="57" t="n">
        <x:v>7104.479778598853</x:v>
      </x:c>
      <x:c r="V2989" s="57" t="n">
        <x:v>-0.5694254679637059</x:v>
      </x:c>
      <x:c r="W2989" t="n">
        <x:v>47</x:v>
      </x:c>
      <x:c r="X2989" t="n">
        <x:v>4</x:v>
      </x:c>
      <x:c r="Y2989" s="38" t="n">
        <x:v>0.6409090909090909</x:v>
      </x:c>
      <x:c r="Z2989" s="38" t="n">
        <x:v>0.6853688907017809</x:v>
      </x:c>
      <x:c r="AA2989"/>
    </x:row>
    <x:row r="2990">
      <x:c r="A2990" s="54" t="n">
        <x:v>45657</x:v>
      </x:c>
      <x:c r="B2990" t="n">
        <x:v>45657.624999988424</x:v>
      </x:c>
      <x:c r="C2990" t="str">
        <x:v>280360</x:v>
      </x:c>
      <x:c r="D2990" t="str">
        <x:v>롯데웰푸드</x:v>
      </x:c>
      <x:c r="E2990" t="str">
        <x:v>KOSPI</x:v>
      </x:c>
      <x:c r="F2990" t="str">
        <x:v>LARGE</x:v>
      </x:c>
      <x:c r="G2990" t="str">
        <x:v>DCF_SCREENING_EXCLUSION</x:v>
      </x:c>
      <x:c r="H2990" t="str">
        <x:v>NON_POSITIVE_ENTERPRISE_VALUE|NON_POSITIVE_EQUITY_VALUE|NON_POSITIVE_TERMINAL_FCF</x:v>
      </x:c>
      <x:c r="I2990" s="54" t="n">
        <x:v>45656</x:v>
      </x:c>
      <x:c r="J2990" s="55" t="n">
        <x:v>111600</x:v>
      </x:c>
      <x:c r="K2990" s="55" t="n">
        <x:v>1052898458400</x:v>
      </x:c>
      <x:c r="L2990" s="55" t="n">
        <x:v>9434574</x:v>
      </x:c>
      <x:c r="M2990" t="str">
        <x:v>20240322000503</x:v>
      </x:c>
      <x:c r="N2990" t="n">
        <x:v>45373.624999988424</x:v>
      </x:c>
      <x:c r="O2990" s="54" t="n">
        <x:v>45291</x:v>
      </x:c>
      <x:c r="P2990" t="str">
        <x:v>True</x:v>
      </x:c>
      <x:c r="Q2990" t="str">
        <x:v>d5e8d1b97bc8df8fa4512c5438099b631380c1de7f7030abf5754dd3643e0535</x:v>
      </x:c>
      <x:c r="R2990" t="str">
        <x:v>e56de214d4b32594cdefd0605ff9fdca6712d818b7d17816429b21ba27086a3b</x:v>
      </x:c>
      <x:c r="S2990" t="n">
        <x:v>7</x:v>
      </x:c>
      <x:c r="T2990" t="str">
        <x:v>2018-12-31|2019-12-31|2020-12-31|2021-12-31|2022-12-31|2023-12-31</x:v>
      </x:c>
      <x:c r="U2990" s="57" t="n">
        <x:v>-13896.654975482745</x:v>
      </x:c>
      <x:c r="V2990" s="57" t="n">
        <x:v>-1.1245219979881966</x:v>
      </x:c>
      <x:c r="W2990"/>
      <x:c r="X2990"/>
      <x:c r="Y2990" s="38" t="n">
        <x:v>0.6409090909090909</x:v>
      </x:c>
      <x:c r="Z2990" s="38" t="n">
        <x:v>0.3321805813890434</x:v>
      </x:c>
      <x:c r="AA2990" t="str">
        <x:v>NON_POSITIVE_ENTERPRISE_VALUE|NON_POSITIVE_EQUITY_VALUE|NON_POSITIVE_TERMINAL_FCF</x:v>
      </x:c>
    </x:row>
    <x:row r="2991">
      <x:c r="A2991" s="54" t="n">
        <x:v>45657</x:v>
      </x:c>
      <x:c r="B2991" t="n">
        <x:v>45657.624999988424</x:v>
      </x:c>
      <x:c r="C2991" t="str">
        <x:v>039130</x:v>
      </x:c>
      <x:c r="D2991" t="str">
        <x:v>하나투어</x:v>
      </x:c>
      <x:c r="E2991" t="str">
        <x:v>KOSPI</x:v>
      </x:c>
      <x:c r="F2991" t="str">
        <x:v>LARGE</x:v>
      </x:c>
      <x:c r="G2991" t="str">
        <x:v>DCF_SCREENING_EXCLUSION</x:v>
      </x:c>
      <x:c r="H2991" t="str">
        <x:v>NON_POSITIVE_ENTERPRISE_VALUE|NON_POSITIVE_EQUITY_VALUE|NON_POSITIVE_TERMINAL_FCF|UNRELIABLE_TERMINAL_VALUE_SHARE</x:v>
      </x:c>
      <x:c r="I2991" s="54" t="n">
        <x:v>45656</x:v>
      </x:c>
      <x:c r="J2991" s="55" t="n">
        <x:v>54300</x:v>
      </x:c>
      <x:c r="K2991" s="55" t="n">
        <x:v>870927745500</x:v>
      </x:c>
      <x:c r="L2991" s="55" t="n">
        <x:v>16039185</x:v>
      </x:c>
      <x:c r="M2991" t="str">
        <x:v>20240321001614</x:v>
      </x:c>
      <x:c r="N2991" t="n">
        <x:v>45372.624999988424</x:v>
      </x:c>
      <x:c r="O2991" s="54" t="n">
        <x:v>45291</x:v>
      </x:c>
      <x:c r="P2991" t="str">
        <x:v>False</x:v>
      </x:c>
      <x:c r="Q2991" t="str">
        <x:v>f0c2c55a272091d14bd377d8caf7fb527cb7c384fef945523a89c7b0d0b39f64</x:v>
      </x:c>
      <x:c r="R2991" t="str">
        <x:v>c62286508cd3dc77d0382b786563efc5ed20454c4cf4d924c6dd2df19e1e055a</x:v>
      </x:c>
      <x:c r="S2991" t="n">
        <x:v>5</x:v>
      </x:c>
      <x:c r="T2991" t="str">
        <x:v>2018-12-31|2019-12-31|2020-12-31|2021-12-31|2022-12-31|2023-12-31</x:v>
      </x:c>
      <x:c r="U2991" s="57" t="n">
        <x:v>-33024.08135487313</x:v>
      </x:c>
      <x:c r="V2991" s="57" t="n">
        <x:v>-1.6081782938282345</x:v>
      </x:c>
      <x:c r="W2991"/>
      <x:c r="X2991"/>
      <x:c r="Y2991" s="38" t="n">
        <x:v>0.6409090909090909</x:v>
      </x:c>
      <x:c r="Z2991" s="38" t="n">
        <x:v>0.8961738839877824</x:v>
      </x:c>
      <x:c r="AA2991" t="str">
        <x:v>NON_POSITIVE_ENTERPRISE_VALUE|NON_POSITIVE_EQUITY_VALUE|NON_POSITIVE_TERMINAL_FCF|UNRELIABLE_TERMINAL_VALUE_SHARE</x:v>
      </x:c>
    </x:row>
    <x:row r="2992">
      <x:c r="A2992" s="54" t="n">
        <x:v>45657</x:v>
      </x:c>
      <x:c r="B2992" t="n">
        <x:v>45657.624999988424</x:v>
      </x:c>
      <x:c r="C2992" t="str">
        <x:v>005690</x:v>
      </x:c>
      <x:c r="D2992" t="str">
        <x:v>파미셀</x:v>
      </x:c>
      <x:c r="E2992" t="str">
        <x:v>KOSPI</x:v>
      </x:c>
      <x:c r="F2992" t="str">
        <x:v>LARGE</x:v>
      </x:c>
      <x:c r="G2992" t="str">
        <x:v>DCF_SCREENING_EXCLUSION</x:v>
      </x:c>
      <x:c r="H2992" t="str">
        <x:v>UNRELIABLE_TERMINAL_VALUE_SHARE</x:v>
      </x:c>
      <x:c r="I2992" s="54" t="n">
        <x:v>45656</x:v>
      </x:c>
      <x:c r="J2992" s="55" t="n">
        <x:v>8280</x:v>
      </x:c>
      <x:c r="K2992" s="55" t="n">
        <x:v>496940461920</x:v>
      </x:c>
      <x:c r="L2992" s="55" t="n">
        <x:v>60016964</x:v>
      </x:c>
      <x:c r="M2992" t="str">
        <x:v>20240320001254</x:v>
      </x:c>
      <x:c r="N2992" t="n">
        <x:v>45371.624999988424</x:v>
      </x:c>
      <x:c r="O2992" s="54" t="n">
        <x:v>45291</x:v>
      </x:c>
      <x:c r="P2992" t="str">
        <x:v>False</x:v>
      </x:c>
      <x:c r="Q2992" t="str">
        <x:v>f0839badcfbb3da29d835ed372fece953eb7f29e42063d7caa50114dfb7f481f</x:v>
      </x:c>
      <x:c r="R2992" t="str">
        <x:v>0c4e3b410f04a539b8a2129aa4e552281a487dda7d3fc9ef8b21a508f86db6f8</x:v>
      </x:c>
      <x:c r="S2992" t="n">
        <x:v>6</x:v>
      </x:c>
      <x:c r="T2992" t="str">
        <x:v>2018-12-31|2019-12-31|2020-12-31|2021-12-31|2022-12-31|2023-12-31</x:v>
      </x:c>
      <x:c r="U2992" s="57" t="n">
        <x:v>640.0509380092717</x:v>
      </x:c>
      <x:c r="V2992" s="57" t="n">
        <x:v>-0.9226991620761749</x:v>
      </x:c>
      <x:c r="W2992"/>
      <x:c r="X2992"/>
      <x:c r="Y2992" s="38" t="n">
        <x:v>0.6409090909090909</x:v>
      </x:c>
      <x:c r="Z2992" s="38" t="n">
        <x:v>1.1033716279088626</x:v>
      </x:c>
      <x:c r="AA2992" t="str">
        <x:v>UNRELIABLE_TERMINAL_VALUE_SHARE</x:v>
      </x:c>
    </x:row>
    <x:row r="2993">
      <x:c r="A2993" s="54" t="n">
        <x:v>45657</x:v>
      </x:c>
      <x:c r="B2993" t="n">
        <x:v>45657.624999988424</x:v>
      </x:c>
      <x:c r="C2993" t="str">
        <x:v>002030</x:v>
      </x:c>
      <x:c r="D2993" t="str">
        <x:v>아세아</x:v>
      </x:c>
      <x:c r="E2993" t="str">
        <x:v>KOSPI</x:v>
      </x:c>
      <x:c r="F2993" t="str">
        <x:v>LARGE</x:v>
      </x:c>
      <x:c r="G2993" t="str">
        <x:v>ELIGIBLE</x:v>
      </x:c>
      <x:c r="H2993"/>
      <x:c r="I2993" s="54" t="n">
        <x:v>45656</x:v>
      </x:c>
      <x:c r="J2993" s="55" t="n">
        <x:v>251500</x:v>
      </x:c>
      <x:c r="K2993" s="55" t="n">
        <x:v>528045376000</x:v>
      </x:c>
      <x:c r="L2993" s="55" t="n">
        <x:v>2099584</x:v>
      </x:c>
      <x:c r="M2993" t="str">
        <x:v>20240313001757</x:v>
      </x:c>
      <x:c r="N2993" t="n">
        <x:v>45364.624999988424</x:v>
      </x:c>
      <x:c r="O2993" s="54" t="n">
        <x:v>45291</x:v>
      </x:c>
      <x:c r="P2993" t="str">
        <x:v>False</x:v>
      </x:c>
      <x:c r="Q2993" t="str">
        <x:v>a680d904a9b9d506cad43e9759b24df2b4b20291b41c26df7759b19bcbce1fef</x:v>
      </x:c>
      <x:c r="R2993" t="str">
        <x:v>4f17ce090378c0538c7d299dc843941d9d3a128bc9867e044058fa92c4eadcd4</x:v>
      </x:c>
      <x:c r="S2993" t="n">
        <x:v>6</x:v>
      </x:c>
      <x:c r="T2993" t="str">
        <x:v>2018-12-31|2019-12-31|2020-12-31|2021-12-31|2022-12-31|2023-12-31</x:v>
      </x:c>
      <x:c r="U2993" s="57" t="n">
        <x:v>848792.5943951801</x:v>
      </x:c>
      <x:c r="V2993" s="57" t="n">
        <x:v>2.374920852465925</x:v>
      </x:c>
      <x:c r="W2993" t="n">
        <x:v>6</x:v>
      </x:c>
      <x:c r="X2993" t="n">
        <x:v>1</x:v>
      </x:c>
      <x:c r="Y2993" s="38" t="n">
        <x:v>0.6409090909090909</x:v>
      </x:c>
      <x:c r="Z2993" s="38" t="n">
        <x:v>0.7000897107068127</x:v>
      </x:c>
      <x:c r="AA2993"/>
    </x:row>
    <x:row r="2994">
      <x:c r="A2994" s="54" t="n">
        <x:v>45657</x:v>
      </x:c>
      <x:c r="B2994" t="n">
        <x:v>45657.624999988424</x:v>
      </x:c>
      <x:c r="C2994" t="str">
        <x:v>009410</x:v>
      </x:c>
      <x:c r="D2994" t="str">
        <x:v>태영건설</x:v>
      </x:c>
      <x:c r="E2994" t="str">
        <x:v>KOSPI</x:v>
      </x:c>
      <x:c r="F2994" t="str">
        <x:v>LARGE</x:v>
      </x:c>
      <x:c r="G2994" t="str">
        <x:v>DCF_SCREENING_EXCLUSION</x:v>
      </x:c>
      <x:c r="H2994" t="str">
        <x:v>NON_POSITIVE_EQUITY_VALUE|UNRELIABLE_TERMINAL_VALUE_SHARE</x:v>
      </x:c>
      <x:c r="I2994" s="54" t="n">
        <x:v>45656</x:v>
      </x:c>
      <x:c r="J2994" s="55" t="n">
        <x:v>2410</x:v>
      </x:c>
      <x:c r="K2994" s="55" t="n">
        <x:v>693851862170</x:v>
      </x:c>
      <x:c r="L2994" s="55" t="n">
        <x:v>287905337</x:v>
      </x:c>
      <x:c r="M2994" t="str">
        <x:v>20240927000935</x:v>
      </x:c>
      <x:c r="N2994" t="n">
        <x:v>45562.624999988424</x:v>
      </x:c>
      <x:c r="O2994" s="54" t="n">
        <x:v>45291</x:v>
      </x:c>
      <x:c r="P2994" t="str">
        <x:v>True</x:v>
      </x:c>
      <x:c r="Q2994" t="str">
        <x:v>870729c2e89e0bd25cd7681d06f93601567887dc25c7be5fce66aeb459f21cc6</x:v>
      </x:c>
      <x:c r="R2994" t="str">
        <x:v>33232fc4730b021d3ed3184ad977e115b477a9869e72e398a24abdec7b8b8277</x:v>
      </x:c>
      <x:c r="S2994" t="n">
        <x:v>7</x:v>
      </x:c>
      <x:c r="T2994" t="str">
        <x:v>2018-12-31|2019-12-31|2020-12-31|2021-12-31|2022-12-31|2023-12-31</x:v>
      </x:c>
      <x:c r="U2994" s="57" t="n">
        <x:v>-4863.0598518508195</x:v>
      </x:c>
      <x:c r="V2994" s="57" t="n">
        <x:v>-3.0178671584443233</x:v>
      </x:c>
      <x:c r="W2994"/>
      <x:c r="X2994"/>
      <x:c r="Y2994" s="38" t="n">
        <x:v>0.6409090909090909</x:v>
      </x:c>
      <x:c r="Z2994" s="38" t="n">
        <x:v>1.4362175676776963</x:v>
      </x:c>
      <x:c r="AA2994" t="str">
        <x:v>NON_POSITIVE_EQUITY_VALUE|UNRELIABLE_TERMINAL_VALUE_SHARE</x:v>
      </x:c>
    </x:row>
    <x:row r="2995">
      <x:c r="A2995" s="54" t="n">
        <x:v>45657</x:v>
      </x:c>
      <x:c r="B2995" t="n">
        <x:v>45657.624999988424</x:v>
      </x:c>
      <x:c r="C2995" t="str">
        <x:v>010780</x:v>
      </x:c>
      <x:c r="D2995" t="str">
        <x:v>아이에스동서</x:v>
      </x:c>
      <x:c r="E2995" t="str">
        <x:v>KOSPI</x:v>
      </x:c>
      <x:c r="F2995" t="str">
        <x:v>LARGE</x:v>
      </x:c>
      <x:c r="G2995" t="str">
        <x:v>ELIGIBLE</x:v>
      </x:c>
      <x:c r="H2995"/>
      <x:c r="I2995" s="54" t="n">
        <x:v>45656</x:v>
      </x:c>
      <x:c r="J2995" s="55" t="n">
        <x:v>20900</x:v>
      </x:c>
      <x:c r="K2995" s="55" t="n">
        <x:v>630907798400</x:v>
      </x:c>
      <x:c r="L2995" s="55" t="n">
        <x:v>30186976</x:v>
      </x:c>
      <x:c r="M2995" t="str">
        <x:v>20240321001950</x:v>
      </x:c>
      <x:c r="N2995" t="n">
        <x:v>45372.624999988424</x:v>
      </x:c>
      <x:c r="O2995" s="54" t="n">
        <x:v>45291</x:v>
      </x:c>
      <x:c r="P2995" t="str">
        <x:v>False</x:v>
      </x:c>
      <x:c r="Q2995" t="str">
        <x:v>fbea4927e5b6cb734c186be848c447c8eefa8c7f06ba5c3cebd66f496b1378b9</x:v>
      </x:c>
      <x:c r="R2995" t="str">
        <x:v>8b112f82f6db1542c1f3c393bdc93a6a8f0d0c88670321d84b28ced0f894d285</x:v>
      </x:c>
      <x:c r="S2995" t="n">
        <x:v>7</x:v>
      </x:c>
      <x:c r="T2995" t="str">
        <x:v>2018-12-31|2019-12-31|2020-12-31|2021-12-31|2022-12-31|2023-12-31</x:v>
      </x:c>
      <x:c r="U2995" s="57" t="n">
        <x:v>100474.68258026625</x:v>
      </x:c>
      <x:c r="V2995" s="57" t="n">
        <x:v>3.8074010803955147</x:v>
      </x:c>
      <x:c r="W2995" t="n">
        <x:v>5</x:v>
      </x:c>
      <x:c r="X2995" t="n">
        <x:v>1</x:v>
      </x:c>
      <x:c r="Y2995" s="38" t="n">
        <x:v>0.6409090909090909</x:v>
      </x:c>
      <x:c r="Z2995" s="38" t="n">
        <x:v>0.7562607547073226</x:v>
      </x:c>
      <x:c r="AA2995"/>
    </x:row>
    <x:row r="2996">
      <x:c r="A2996" s="54" t="n">
        <x:v>45657</x:v>
      </x:c>
      <x:c r="B2996" t="n">
        <x:v>45657.624999988424</x:v>
      </x:c>
      <x:c r="C2996" t="str">
        <x:v>453340</x:v>
      </x:c>
      <x:c r="D2996" t="str">
        <x:v>현대그린푸드</x:v>
      </x:c>
      <x:c r="E2996" t="str">
        <x:v>KOSPI</x:v>
      </x:c>
      <x:c r="F2996" t="str">
        <x:v>LARGE</x:v>
      </x:c>
      <x:c r="G2996" t="str">
        <x:v>NO_PIT_FINANCIALS</x:v>
      </x:c>
      <x:c r="H2996"/>
      <x:c r="I2996" s="54" t="n">
        <x:v>45656</x:v>
      </x:c>
      <x:c r="J2996" s="55" t="n">
        <x:v>14440</x:v>
      </x:c>
      <x:c r="K2996" s="55" t="n">
        <x:v>489240398160</x:v>
      </x:c>
      <x:c r="L2996" s="55" t="n">
        <x:v>33880914</x:v>
      </x:c>
      <x:c r="M2996"/>
      <x:c r="N2996"/>
      <x:c r="O2996" s="54"/>
      <x:c r="P2996"/>
      <x:c r="Q2996"/>
      <x:c r="R2996"/>
      <x:c r="S2996"/>
      <x:c r="T2996"/>
      <x:c r="U2996" s="57"/>
      <x:c r="V2996" s="57"/>
      <x:c r="W2996"/>
      <x:c r="X2996"/>
      <x:c r="Y2996" s="38"/>
      <x:c r="Z2996" s="38"/>
      <x:c r="AA2996"/>
    </x:row>
    <x:row r="2997">
      <x:c r="A2997" s="54" t="n">
        <x:v>45657</x:v>
      </x:c>
      <x:c r="B2997" t="n">
        <x:v>45657.624999988424</x:v>
      </x:c>
      <x:c r="C2997" t="str">
        <x:v>006220</x:v>
      </x:c>
      <x:c r="D2997" t="str">
        <x:v>제주은행</x:v>
      </x:c>
      <x:c r="E2997" t="str">
        <x:v>KOSPI</x:v>
      </x:c>
      <x:c r="F2997" t="str">
        <x:v>LARGE</x:v>
      </x:c>
      <x:c r="G2997" t="str">
        <x:v>EXCLUDED_ARCHETYPE</x:v>
      </x:c>
      <x:c r="H2997" t="str">
        <x:v>FCFF_NOT_COMPARABLE_FOR_FINANCE_OR_HOLDING_HINT</x:v>
      </x:c>
      <x:c r="I2997" s="54"/>
      <x:c r="J2997" s="55"/>
      <x:c r="K2997" s="55"/>
      <x:c r="L2997" s="55"/>
      <x:c r="M2997"/>
      <x:c r="N2997"/>
      <x:c r="O2997" s="54"/>
      <x:c r="P2997"/>
      <x:c r="Q2997"/>
      <x:c r="R2997"/>
      <x:c r="S2997"/>
      <x:c r="T2997"/>
      <x:c r="U2997" s="57"/>
      <x:c r="V2997" s="57"/>
      <x:c r="W2997"/>
      <x:c r="X2997"/>
      <x:c r="Y2997" s="38"/>
      <x:c r="Z2997" s="38"/>
      <x:c r="AA2997"/>
    </x:row>
    <x:row r="2998">
      <x:c r="A2998" s="54" t="n">
        <x:v>45657</x:v>
      </x:c>
      <x:c r="B2998" t="n">
        <x:v>45657.624999988424</x:v>
      </x:c>
      <x:c r="C2998" t="str">
        <x:v>094800</x:v>
      </x:c>
      <x:c r="D2998" t="str">
        <x:v>맵스리얼티1</x:v>
      </x:c>
      <x:c r="E2998" t="str">
        <x:v>KOSPI</x:v>
      </x:c>
      <x:c r="F2998" t="str">
        <x:v>LARGE</x:v>
      </x:c>
      <x:c r="G2998" t="str">
        <x:v>NO_PIT_FINANCIALS</x:v>
      </x:c>
      <x:c r="H2998"/>
      <x:c r="I2998" s="54" t="n">
        <x:v>45656</x:v>
      </x:c>
      <x:c r="J2998" s="55" t="n">
        <x:v>4080</x:v>
      </x:c>
      <x:c r="K2998" s="55" t="n">
        <x:v>378764070480</x:v>
      </x:c>
      <x:c r="L2998" s="55" t="n">
        <x:v>92834331</x:v>
      </x:c>
      <x:c r="M2998"/>
      <x:c r="N2998"/>
      <x:c r="O2998" s="54"/>
      <x:c r="P2998"/>
      <x:c r="Q2998"/>
      <x:c r="R2998"/>
      <x:c r="S2998"/>
      <x:c r="T2998"/>
      <x:c r="U2998" s="57"/>
      <x:c r="V2998" s="57"/>
      <x:c r="W2998"/>
      <x:c r="X2998"/>
      <x:c r="Y2998" s="38"/>
      <x:c r="Z2998" s="38"/>
      <x:c r="AA2998"/>
    </x:row>
    <x:row r="2999">
      <x:c r="A2999" s="54" t="n">
        <x:v>45657</x:v>
      </x:c>
      <x:c r="B2999" t="n">
        <x:v>45657.624999988424</x:v>
      </x:c>
      <x:c r="C2999" t="str">
        <x:v>003160</x:v>
      </x:c>
      <x:c r="D2999" t="str">
        <x:v>디아이</x:v>
      </x:c>
      <x:c r="E2999" t="str">
        <x:v>KOSPI</x:v>
      </x:c>
      <x:c r="F2999" t="str">
        <x:v>LARGE</x:v>
      </x:c>
      <x:c r="G2999" t="str">
        <x:v>DCF_SCREENING_EXCLUSION</x:v>
      </x:c>
      <x:c r="H2999" t="str">
        <x:v>UNRELIABLE_TERMINAL_VALUE_SHARE</x:v>
      </x:c>
      <x:c r="I2999" s="54" t="n">
        <x:v>45656</x:v>
      </x:c>
      <x:c r="J2999" s="55" t="n">
        <x:v>14480</x:v>
      </x:c>
      <x:c r="K2999" s="55" t="n">
        <x:v>409784000000</x:v>
      </x:c>
      <x:c r="L2999" s="55" t="n">
        <x:v>28300000</x:v>
      </x:c>
      <x:c r="M2999" t="str">
        <x:v>20240314001500</x:v>
      </x:c>
      <x:c r="N2999" t="n">
        <x:v>45365.624999988424</x:v>
      </x:c>
      <x:c r="O2999" s="54" t="n">
        <x:v>45291</x:v>
      </x:c>
      <x:c r="P2999" t="str">
        <x:v>False</x:v>
      </x:c>
      <x:c r="Q2999" t="str">
        <x:v>dac2e3ac15f544bbda785aa8eb802639cd592ddc9e7a28cdec0dd3b4739c8a6b</x:v>
      </x:c>
      <x:c r="R2999" t="str">
        <x:v>db36b92c2651e031285906040eb2a80ad276d6f76bc0778f25411e230780a42c</x:v>
      </x:c>
      <x:c r="S2999" t="n">
        <x:v>6</x:v>
      </x:c>
      <x:c r="T2999" t="str">
        <x:v>2013-12-31|2014-12-31|2015-12-31|2016-12-31|2017-12-31|2018-12-31|2019-12-31|2020-12-31|2021-12-31|2022-12-31|2023-12-31</x:v>
      </x:c>
      <x:c r="U2999" s="57" t="n">
        <x:v>1722.8460865310212</x:v>
      </x:c>
      <x:c r="V2999" s="57" t="n">
        <x:v>-0.8810189166760345</x:v>
      </x:c>
      <x:c r="W2999"/>
      <x:c r="X2999"/>
      <x:c r="Y2999" s="38" t="n">
        <x:v>0.6409090909090909</x:v>
      </x:c>
      <x:c r="Z2999" s="38" t="n">
        <x:v>1.0528919898805427</x:v>
      </x:c>
      <x:c r="AA2999" t="str">
        <x:v>UNRELIABLE_TERMINAL_VALUE_SHARE</x:v>
      </x:c>
    </x:row>
    <x:row r="3000">
      <x:c r="A3000" s="54" t="n">
        <x:v>45657</x:v>
      </x:c>
      <x:c r="B3000" t="n">
        <x:v>45657.624999988424</x:v>
      </x:c>
      <x:c r="C3000" t="str">
        <x:v>001940</x:v>
      </x:c>
      <x:c r="D3000" t="str">
        <x:v>KISCO홀딩스</x:v>
      </x:c>
      <x:c r="E3000" t="str">
        <x:v>KOSPI</x:v>
      </x:c>
      <x:c r="F3000" t="str">
        <x:v>LARGE</x:v>
      </x:c>
      <x:c r="G3000" t="str">
        <x:v>EXCLUDED_ARCHETYPE</x:v>
      </x:c>
      <x:c r="H3000" t="str">
        <x:v>FCFF_NOT_COMPARABLE_FOR_FINANCE_OR_HOLDING_HINT</x:v>
      </x:c>
      <x:c r="I3000" s="54"/>
      <x:c r="J3000" s="55"/>
      <x:c r="K3000" s="55"/>
      <x:c r="L3000" s="55"/>
      <x:c r="M3000"/>
      <x:c r="N3000"/>
      <x:c r="O3000" s="54"/>
      <x:c r="P3000"/>
      <x:c r="Q3000"/>
      <x:c r="R3000"/>
      <x:c r="S3000"/>
      <x:c r="T3000"/>
      <x:c r="U3000" s="57"/>
      <x:c r="V3000" s="57"/>
      <x:c r="W3000"/>
      <x:c r="X3000"/>
      <x:c r="Y3000" s="38"/>
      <x:c r="Z3000" s="38"/>
      <x:c r="AA3000"/>
    </x:row>
    <x:row r="3001">
      <x:c r="A3001" s="54" t="n">
        <x:v>45657</x:v>
      </x:c>
      <x:c r="B3001" t="n">
        <x:v>45657.624999988424</x:v>
      </x:c>
      <x:c r="C3001" t="str">
        <x:v>009290</x:v>
      </x:c>
      <x:c r="D3001" t="str">
        <x:v>광동제약</x:v>
      </x:c>
      <x:c r="E3001" t="str">
        <x:v>KOSPI</x:v>
      </x:c>
      <x:c r="F3001" t="str">
        <x:v>LARGE</x:v>
      </x:c>
      <x:c r="G3001" t="str">
        <x:v>ELIGIBLE</x:v>
      </x:c>
      <x:c r="H3001"/>
      <x:c r="I3001" s="54" t="n">
        <x:v>45656</x:v>
      </x:c>
      <x:c r="J3001" s="55" t="n">
        <x:v>5440</x:v>
      </x:c>
      <x:c r="K3001" s="55" t="n">
        <x:v>285169429440</x:v>
      </x:c>
      <x:c r="L3001" s="55" t="n">
        <x:v>52420851</x:v>
      </x:c>
      <x:c r="M3001" t="str">
        <x:v>20240322001015</x:v>
      </x:c>
      <x:c r="N3001" t="n">
        <x:v>45373.624999988424</x:v>
      </x:c>
      <x:c r="O3001" s="54" t="n">
        <x:v>45291</x:v>
      </x:c>
      <x:c r="P3001" t="str">
        <x:v>True</x:v>
      </x:c>
      <x:c r="Q3001" t="str">
        <x:v>87b75add28c49abcf3770810120379fb304a6fd40cb56b9b7895bce718024b62</x:v>
      </x:c>
      <x:c r="R3001" t="str">
        <x:v>37698f7b518c5d2f77a2dc63dda3f15fbe7f6a11f5b09e52f0501e56895fcc80</x:v>
      </x:c>
      <x:c r="S3001" t="n">
        <x:v>5</x:v>
      </x:c>
      <x:c r="T3001" t="str">
        <x:v>2018-12-31|2019-12-31|2020-12-31|2021-12-31|2022-12-31|2023-12-31</x:v>
      </x:c>
      <x:c r="U3001" s="57" t="n">
        <x:v>7580.073710058031</x:v>
      </x:c>
      <x:c r="V3001" s="57" t="n">
        <x:v>0.3933959025841968</x:v>
      </x:c>
      <x:c r="W3001" t="n">
        <x:v>21</x:v>
      </x:c>
      <x:c r="X3001" t="n">
        <x:v>2</x:v>
      </x:c>
      <x:c r="Y3001" s="38" t="n">
        <x:v>0.6409090909090909</x:v>
      </x:c>
      <x:c r="Z3001" s="38" t="n">
        <x:v>0.7674803896685938</x:v>
      </x:c>
      <x:c r="AA3001"/>
    </x:row>
    <x:row r="3002">
      <x:c r="A3002" s="54" t="n">
        <x:v>45747</x:v>
      </x:c>
      <x:c r="B3002" t="n">
        <x:v>45747.624999988424</x:v>
      </x:c>
      <x:c r="C3002" t="str">
        <x:v>168330</x:v>
      </x:c>
      <x:c r="D3002" t="str">
        <x:v>내츄럴엔도텍</x:v>
      </x:c>
      <x:c r="E3002" t="str">
        <x:v>KOSDAQ</x:v>
      </x:c>
      <x:c r="F3002" t="str">
        <x:v>SMALL</x:v>
      </x:c>
      <x:c r="G3002" t="str">
        <x:v>DCF_SCREENING_EXCLUSION</x:v>
      </x:c>
      <x:c r="H3002" t="str">
        <x:v>NON_POSITIVE_ENTERPRISE_VALUE|NON_POSITIVE_EQUITY_VALUE|NON_POSITIVE_TERMINAL_FCF</x:v>
      </x:c>
      <x:c r="I3002" s="54" t="n">
        <x:v>45747</x:v>
      </x:c>
      <x:c r="J3002" s="55" t="n">
        <x:v>1399</x:v>
      </x:c>
      <x:c r="K3002" s="55" t="n">
        <x:v>44425105100</x:v>
      </x:c>
      <x:c r="L3002" s="55" t="n">
        <x:v>31754900</x:v>
      </x:c>
      <x:c r="M3002" t="str">
        <x:v>20250317000636</x:v>
      </x:c>
      <x:c r="N3002" t="n">
        <x:v>45733.624999988424</x:v>
      </x:c>
      <x:c r="O3002" s="54" t="n">
        <x:v>45657</x:v>
      </x:c>
      <x:c r="P3002" t="str">
        <x:v>False</x:v>
      </x:c>
      <x:c r="Q3002" t="str">
        <x:v>393ad1ebed59ff0a68ab860026d67ed5b866581a0a55b4e163d664af6eeaa809</x:v>
      </x:c>
      <x:c r="R3002" t="str">
        <x:v>52e7b7bde18a6fc17259e78093bf80f6e5652a2efa734f9c999114cecdc394a5</x:v>
      </x:c>
      <x:c r="S3002" t="n">
        <x:v>6</x:v>
      </x:c>
      <x:c r="T3002" t="str">
        <x:v>2018-12-31|2019-12-31|2020-12-31|2021-12-31|2022-12-31|2023-12-31|2024-12-31</x:v>
      </x:c>
      <x:c r="U3002" s="57" t="n">
        <x:v>-1708.5379863226567</x:v>
      </x:c>
      <x:c r="V3002" s="57" t="n">
        <x:v>-2.2212566020891042</x:v>
      </x:c>
      <x:c r="W3002"/>
      <x:c r="X3002"/>
      <x:c r="Y3002" s="38" t="n">
        <x:v>0.6409090909090909</x:v>
      </x:c>
      <x:c r="Z3002" s="38" t="n">
        <x:v>0.6435800796882589</x:v>
      </x:c>
      <x:c r="AA3002" t="str">
        <x:v>NON_POSITIVE_ENTERPRISE_VALUE|NON_POSITIVE_EQUITY_VALUE|NON_POSITIVE_TERMINAL_FCF</x:v>
      </x:c>
    </x:row>
    <x:row r="3003">
      <x:c r="A3003" s="54" t="n">
        <x:v>45747</x:v>
      </x:c>
      <x:c r="B3003" t="n">
        <x:v>45747.624999988424</x:v>
      </x:c>
      <x:c r="C3003" t="str">
        <x:v>120240</x:v>
      </x:c>
      <x:c r="D3003" t="str">
        <x:v>대정화금</x:v>
      </x:c>
      <x:c r="E3003" t="str">
        <x:v>KOSDAQ</x:v>
      </x:c>
      <x:c r="F3003" t="str">
        <x:v>SMALL</x:v>
      </x:c>
      <x:c r="G3003" t="str">
        <x:v>ELIGIBLE</x:v>
      </x:c>
      <x:c r="H3003"/>
      <x:c r="I3003" s="54" t="n">
        <x:v>45747</x:v>
      </x:c>
      <x:c r="J3003" s="55" t="n">
        <x:v>12500</x:v>
      </x:c>
      <x:c r="K3003" s="55" t="n">
        <x:v>89879887500</x:v>
      </x:c>
      <x:c r="L3003" s="55" t="n">
        <x:v>7190391</x:v>
      </x:c>
      <x:c r="M3003" t="str">
        <x:v>20250318000203</x:v>
      </x:c>
      <x:c r="N3003" t="n">
        <x:v>45734.624999988424</x:v>
      </x:c>
      <x:c r="O3003" s="54" t="n">
        <x:v>45657</x:v>
      </x:c>
      <x:c r="P3003" t="str">
        <x:v>False</x:v>
      </x:c>
      <x:c r="Q3003" t="str">
        <x:v>7216f09b05b9d473c473d743a0010bcf9b2607b5e87344d2c7ab446105736111</x:v>
      </x:c>
      <x:c r="R3003" t="str">
        <x:v>35bdf81b8888be551aaa8d4a0e3601d9047dadc062d97e5ecf6afa94cdc03df7</x:v>
      </x:c>
      <x:c r="S3003" t="n">
        <x:v>6</x:v>
      </x:c>
      <x:c r="T3003" t="str">
        <x:v>2018-12-31|2019-12-31|2020-12-31|2021-12-31|2022-12-31|2023-12-31|2024-12-31</x:v>
      </x:c>
      <x:c r="U3003" s="57" t="n">
        <x:v>11359.177652950648</x:v>
      </x:c>
      <x:c r="V3003" s="57" t="n">
        <x:v>-0.09126578776394816</x:v>
      </x:c>
      <x:c r="W3003" t="n">
        <x:v>26</x:v>
      </x:c>
      <x:c r="X3003" t="n">
        <x:v>2</x:v>
      </x:c>
      <x:c r="Y3003" s="38" t="n">
        <x:v>0.6409090909090909</x:v>
      </x:c>
      <x:c r="Z3003" s="38" t="n">
        <x:v>0.6688178188384037</x:v>
      </x:c>
      <x:c r="AA3003"/>
    </x:row>
    <x:row r="3004">
      <x:c r="A3004" s="54" t="n">
        <x:v>45747</x:v>
      </x:c>
      <x:c r="B3004" t="n">
        <x:v>45747.624999988424</x:v>
      </x:c>
      <x:c r="C3004" t="str">
        <x:v>348350</x:v>
      </x:c>
      <x:c r="D3004" t="str">
        <x:v>위드텍</x:v>
      </x:c>
      <x:c r="E3004" t="str">
        <x:v>KOSDAQ</x:v>
      </x:c>
      <x:c r="F3004" t="str">
        <x:v>SMALL</x:v>
      </x:c>
      <x:c r="G3004" t="str">
        <x:v>ELIGIBLE</x:v>
      </x:c>
      <x:c r="H3004"/>
      <x:c r="I3004" s="54" t="n">
        <x:v>45747</x:v>
      </x:c>
      <x:c r="J3004" s="55" t="n">
        <x:v>6650</x:v>
      </x:c>
      <x:c r="K3004" s="55" t="n">
        <x:v>67720940000</x:v>
      </x:c>
      <x:c r="L3004" s="55" t="n">
        <x:v>10183600</x:v>
      </x:c>
      <x:c r="M3004" t="str">
        <x:v>20250314000933</x:v>
      </x:c>
      <x:c r="N3004" t="n">
        <x:v>45730.624999988424</x:v>
      </x:c>
      <x:c r="O3004" s="54" t="n">
        <x:v>45657</x:v>
      </x:c>
      <x:c r="P3004" t="str">
        <x:v>False</x:v>
      </x:c>
      <x:c r="Q3004" t="str">
        <x:v>6f709e5476961867f728a25c98f9935b5c9fe6eca8bd2928bd137fdd8b044c62</x:v>
      </x:c>
      <x:c r="R3004" t="str">
        <x:v>10775d4ef7a6033d3d0841bb87b9f9105baa7495e6eab4d085e9ffd61428bc76</x:v>
      </x:c>
      <x:c r="S3004" t="n">
        <x:v>5</x:v>
      </x:c>
      <x:c r="T3004" t="str">
        <x:v>2020-12-31|2021-12-31|2022-12-31|2023-12-31|2024-12-31</x:v>
      </x:c>
      <x:c r="U3004" s="57" t="n">
        <x:v>4884.9173136747495</x:v>
      </x:c>
      <x:c r="V3004" s="57" t="n">
        <x:v>-0.26542596786845873</x:v>
      </x:c>
      <x:c r="W3004" t="n">
        <x:v>34</x:v>
      </x:c>
      <x:c r="X3004" t="n">
        <x:v>3</x:v>
      </x:c>
      <x:c r="Y3004" s="38" t="n">
        <x:v>0.6409090909090909</x:v>
      </x:c>
      <x:c r="Z3004" s="38" t="n">
        <x:v>0.7444495230472721</x:v>
      </x:c>
      <x:c r="AA3004"/>
    </x:row>
    <x:row r="3005">
      <x:c r="A3005" s="54" t="n">
        <x:v>45747</x:v>
      </x:c>
      <x:c r="B3005" t="n">
        <x:v>45747.624999988424</x:v>
      </x:c>
      <x:c r="C3005" t="str">
        <x:v>226330</x:v>
      </x:c>
      <x:c r="D3005" t="str">
        <x:v>신테카바이오</x:v>
      </x:c>
      <x:c r="E3005" t="str">
        <x:v>KOSDAQ</x:v>
      </x:c>
      <x:c r="F3005" t="str">
        <x:v>SMALL</x:v>
      </x:c>
      <x:c r="G3005" t="str">
        <x:v>DCF_SCREENING_EXCLUSION</x:v>
      </x:c>
      <x:c r="H3005" t="str">
        <x:v>NON_POSITIVE_ENTERPRISE_VALUE|NON_POSITIVE_TERMINAL_FCF</x:v>
      </x:c>
      <x:c r="I3005" s="54" t="n">
        <x:v>45747</x:v>
      </x:c>
      <x:c r="J3005" s="55" t="n">
        <x:v>6750</x:v>
      </x:c>
      <x:c r="K3005" s="55" t="n">
        <x:v>102994706250</x:v>
      </x:c>
      <x:c r="L3005" s="55" t="n">
        <x:v>15258475</x:v>
      </x:c>
      <x:c r="M3005" t="str">
        <x:v>20250320001651</x:v>
      </x:c>
      <x:c r="N3005" t="n">
        <x:v>45736.624999988424</x:v>
      </x:c>
      <x:c r="O3005" s="54" t="n">
        <x:v>45657</x:v>
      </x:c>
      <x:c r="P3005" t="str">
        <x:v>False</x:v>
      </x:c>
      <x:c r="Q3005" t="str">
        <x:v>5e568a6cfc0ecc41eadf0ac856699c13d11f15d8cb1dd1b3012929e4b06d02ed</x:v>
      </x:c>
      <x:c r="R3005" t="str">
        <x:v>c843bdeef174882cfaba482b6af66fafbf7c7131eede1d9c56e897c4eac272ed</x:v>
      </x:c>
      <x:c r="S3005" t="n">
        <x:v>5</x:v>
      </x:c>
      <x:c r="T3005" t="str">
        <x:v>2019-12-31|2020-12-31|2021-12-31|2022-12-31|2023-12-31|2024-12-31</x:v>
      </x:c>
      <x:c r="U3005" s="57" t="n">
        <x:v>301.5966734730804</x:v>
      </x:c>
      <x:c r="V3005" s="57" t="n">
        <x:v>-0.9553190113373214</x:v>
      </x:c>
      <x:c r="W3005"/>
      <x:c r="X3005"/>
      <x:c r="Y3005" s="38" t="n">
        <x:v>0.6409090909090909</x:v>
      </x:c>
      <x:c r="Z3005" s="38" t="n">
        <x:v>0.6095054406520231</x:v>
      </x:c>
      <x:c r="AA3005" t="str">
        <x:v>NON_POSITIVE_ENTERPRISE_VALUE|NON_POSITIVE_TERMINAL_FCF</x:v>
      </x:c>
    </x:row>
    <x:row r="3006">
      <x:c r="A3006" s="54" t="n">
        <x:v>45747</x:v>
      </x:c>
      <x:c r="B3006" t="n">
        <x:v>45747.624999988424</x:v>
      </x:c>
      <x:c r="C3006" t="str">
        <x:v>215090</x:v>
      </x:c>
      <x:c r="D3006" t="str">
        <x:v>솔디펜스</x:v>
      </x:c>
      <x:c r="E3006" t="str">
        <x:v>KOSDAQ</x:v>
      </x:c>
      <x:c r="F3006" t="str">
        <x:v>SMALL</x:v>
      </x:c>
      <x:c r="G3006" t="str">
        <x:v>DCF_SCREENING_EXCLUSION</x:v>
      </x:c>
      <x:c r="H3006" t="str">
        <x:v>NON_POSITIVE_ENTERPRISE_VALUE|NON_POSITIVE_EQUITY_VALUE|NON_POSITIVE_TERMINAL_FCF|UNRELIABLE_TERMINAL_VALUE_SHARE</x:v>
      </x:c>
      <x:c r="I3006" s="54" t="n">
        <x:v>45747</x:v>
      </x:c>
      <x:c r="J3006" s="55" t="n">
        <x:v>1505</x:v>
      </x:c>
      <x:c r="K3006" s="55" t="n">
        <x:v>174246349025</x:v>
      </x:c>
      <x:c r="L3006" s="55" t="n">
        <x:v>115778305</x:v>
      </x:c>
      <x:c r="M3006" t="str">
        <x:v>20250331004227</x:v>
      </x:c>
      <x:c r="N3006" t="n">
        <x:v>45747.624999988424</x:v>
      </x:c>
      <x:c r="O3006" s="54" t="n">
        <x:v>45657</x:v>
      </x:c>
      <x:c r="P3006" t="str">
        <x:v>False</x:v>
      </x:c>
      <x:c r="Q3006" t="str">
        <x:v>9aa5efff06dc62a389857e00a0a2ac082663bf2cab010c663aed07ecd94874ef</x:v>
      </x:c>
      <x:c r="R3006" t="str">
        <x:v>581a170d6a47bd95ccfc6f2ff5336590625ba80468c23a58472af642c3572f7d</x:v>
      </x:c>
      <x:c r="S3006" t="n">
        <x:v>6</x:v>
      </x:c>
      <x:c r="T3006" t="str">
        <x:v>2018-12-31|2019-12-31|2020-12-31|2021-12-31|2022-12-31|2023-12-31|2024-12-31</x:v>
      </x:c>
      <x:c r="U3006" s="57" t="n">
        <x:v>-82.08017933120581</x:v>
      </x:c>
      <x:c r="V3006" s="57" t="n">
        <x:v>-1.0545383251370137</x:v>
      </x:c>
      <x:c r="W3006"/>
      <x:c r="X3006"/>
      <x:c r="Y3006" s="38" t="n">
        <x:v>0.6409090909090909</x:v>
      </x:c>
      <x:c r="Z3006" s="38" t="n">
        <x:v>0.9420841093056639</x:v>
      </x:c>
      <x:c r="AA3006" t="str">
        <x:v>NON_POSITIVE_ENTERPRISE_VALUE|NON_POSITIVE_EQUITY_VALUE|NON_POSITIVE_TERMINAL_FCF|UNRELIABLE_TERMINAL_VALUE_SHARE</x:v>
      </x:c>
    </x:row>
    <x:row r="3007">
      <x:c r="A3007" s="54" t="n">
        <x:v>45747</x:v>
      </x:c>
      <x:c r="B3007" t="n">
        <x:v>45747.624999988424</x:v>
      </x:c>
      <x:c r="C3007" t="str">
        <x:v>185490</x:v>
      </x:c>
      <x:c r="D3007" t="str">
        <x:v>아이진</x:v>
      </x:c>
      <x:c r="E3007" t="str">
        <x:v>KOSDAQ</x:v>
      </x:c>
      <x:c r="F3007" t="str">
        <x:v>SMALL</x:v>
      </x:c>
      <x:c r="G3007" t="str">
        <x:v>DCF_SCREENING_EXCLUSION</x:v>
      </x:c>
      <x:c r="H3007" t="str">
        <x:v>NON_POSITIVE_ENTERPRISE_VALUE|NON_POSITIVE_EQUITY_VALUE|NON_POSITIVE_TERMINAL_FCF</x:v>
      </x:c>
      <x:c r="I3007" s="54" t="n">
        <x:v>45747</x:v>
      </x:c>
      <x:c r="J3007" s="55" t="n">
        <x:v>2675</x:v>
      </x:c>
      <x:c r="K3007" s="55" t="n">
        <x:v>72304672200</x:v>
      </x:c>
      <x:c r="L3007" s="55" t="n">
        <x:v>27029784</x:v>
      </x:c>
      <x:c r="M3007" t="str">
        <x:v>20250318001453</x:v>
      </x:c>
      <x:c r="N3007" t="n">
        <x:v>45734.624999988424</x:v>
      </x:c>
      <x:c r="O3007" s="54" t="n">
        <x:v>45657</x:v>
      </x:c>
      <x:c r="P3007" t="str">
        <x:v>False</x:v>
      </x:c>
      <x:c r="Q3007" t="str">
        <x:v>8e9edeb5542bff8f8968c6523950fa0cc65e9c0420bdca35446a5118da00f5bb</x:v>
      </x:c>
      <x:c r="R3007" t="str">
        <x:v>e1e5ac497b167522bed9c2c69b76bd1820efd1a98382ec60bd951f1f2e70c6dc</x:v>
      </x:c>
      <x:c r="S3007" t="n">
        <x:v>6</x:v>
      </x:c>
      <x:c r="T3007" t="str">
        <x:v>2018-12-31|2019-12-31|2020-12-31|2021-12-31|2022-12-31|2023-12-31|2024-12-31</x:v>
      </x:c>
      <x:c r="U3007" s="57" t="n">
        <x:v>-220.75805075310163</x:v>
      </x:c>
      <x:c r="V3007" s="57" t="n">
        <x:v>-1.082526374113309</x:v>
      </x:c>
      <x:c r="W3007"/>
      <x:c r="X3007"/>
      <x:c r="Y3007" s="38" t="n">
        <x:v>0.6409090909090909</x:v>
      </x:c>
      <x:c r="Z3007" s="38" t="n">
        <x:v>0.6263304625560238</x:v>
      </x:c>
      <x:c r="AA3007" t="str">
        <x:v>NON_POSITIVE_ENTERPRISE_VALUE|NON_POSITIVE_EQUITY_VALUE|NON_POSITIVE_TERMINAL_FCF</x:v>
      </x:c>
    </x:row>
    <x:row r="3008">
      <x:c r="A3008" s="54" t="n">
        <x:v>45747</x:v>
      </x:c>
      <x:c r="B3008" t="n">
        <x:v>45747.624999988424</x:v>
      </x:c>
      <x:c r="C3008" t="str">
        <x:v>333620</x:v>
      </x:c>
      <x:c r="D3008" t="str">
        <x:v>엔시스</x:v>
      </x:c>
      <x:c r="E3008" t="str">
        <x:v>KOSDAQ</x:v>
      </x:c>
      <x:c r="F3008" t="str">
        <x:v>SMALL</x:v>
      </x:c>
      <x:c r="G3008" t="str">
        <x:v>ELIGIBLE</x:v>
      </x:c>
      <x:c r="H3008"/>
      <x:c r="I3008" s="54" t="n">
        <x:v>45747</x:v>
      </x:c>
      <x:c r="J3008" s="55" t="n">
        <x:v>7390</x:v>
      </x:c>
      <x:c r="K3008" s="55" t="n">
        <x:v>78011382160</x:v>
      </x:c>
      <x:c r="L3008" s="55" t="n">
        <x:v>10556344</x:v>
      </x:c>
      <x:c r="M3008" t="str">
        <x:v>20250321000654</x:v>
      </x:c>
      <x:c r="N3008" t="n">
        <x:v>45737.624999988424</x:v>
      </x:c>
      <x:c r="O3008" s="54" t="n">
        <x:v>45657</x:v>
      </x:c>
      <x:c r="P3008" t="str">
        <x:v>False</x:v>
      </x:c>
      <x:c r="Q3008" t="str">
        <x:v>12c0ea1530f52096cbc4a4008dfdba417c6855691d74d818189b9f6e9131f3e3</x:v>
      </x:c>
      <x:c r="R3008" t="str">
        <x:v>2f839f4be358bf57ccab48a95946f001631caa61bff7c3d968f914e6190f30ff</x:v>
      </x:c>
      <x:c r="S3008" t="n">
        <x:v>6</x:v>
      </x:c>
      <x:c r="T3008" t="str">
        <x:v>2020-12-31|2021-12-31|2022-12-31|2023-12-31|2024-12-31</x:v>
      </x:c>
      <x:c r="U3008" s="57" t="n">
        <x:v>9391.756160545618</x:v>
      </x:c>
      <x:c r="V3008" s="57" t="n">
        <x:v>0.27087363471523923</x:v>
      </x:c>
      <x:c r="W3008" t="n">
        <x:v>21</x:v>
      </x:c>
      <x:c r="X3008" t="n">
        <x:v>2</x:v>
      </x:c>
      <x:c r="Y3008" s="38" t="n">
        <x:v>0.6409090909090909</x:v>
      </x:c>
      <x:c r="Z3008" s="38" t="n">
        <x:v>0.6778943562992817</x:v>
      </x:c>
      <x:c r="AA3008"/>
    </x:row>
    <x:row r="3009">
      <x:c r="A3009" s="54" t="n">
        <x:v>45747</x:v>
      </x:c>
      <x:c r="B3009" t="n">
        <x:v>45747.624999988424</x:v>
      </x:c>
      <x:c r="C3009" t="str">
        <x:v>036710</x:v>
      </x:c>
      <x:c r="D3009" t="str">
        <x:v>심텍홀딩스</x:v>
      </x:c>
      <x:c r="E3009" t="str">
        <x:v>KOSDAQ</x:v>
      </x:c>
      <x:c r="F3009" t="str">
        <x:v>SMALL</x:v>
      </x:c>
      <x:c r="G3009" t="str">
        <x:v>EXCLUDED_ARCHETYPE</x:v>
      </x:c>
      <x:c r="H3009" t="str">
        <x:v>FCFF_NOT_COMPARABLE_FOR_FINANCE_OR_HOLDING_HINT</x:v>
      </x:c>
      <x:c r="I3009" s="54"/>
      <x:c r="J3009" s="55"/>
      <x:c r="K3009" s="55"/>
      <x:c r="L3009" s="55"/>
      <x:c r="M3009"/>
      <x:c r="N3009"/>
      <x:c r="O3009" s="54"/>
      <x:c r="P3009"/>
      <x:c r="Q3009"/>
      <x:c r="R3009"/>
      <x:c r="S3009"/>
      <x:c r="T3009"/>
      <x:c r="U3009" s="57"/>
      <x:c r="V3009" s="57"/>
      <x:c r="W3009"/>
      <x:c r="X3009"/>
      <x:c r="Y3009" s="38"/>
      <x:c r="Z3009" s="38"/>
      <x:c r="AA3009"/>
    </x:row>
    <x:row r="3010">
      <x:c r="A3010" s="54" t="n">
        <x:v>45747</x:v>
      </x:c>
      <x:c r="B3010" t="n">
        <x:v>45747.624999988424</x:v>
      </x:c>
      <x:c r="C3010" t="str">
        <x:v>049480</x:v>
      </x:c>
      <x:c r="D3010" t="str">
        <x:v>오픈베이스</x:v>
      </x:c>
      <x:c r="E3010" t="str">
        <x:v>KOSDAQ</x:v>
      </x:c>
      <x:c r="F3010" t="str">
        <x:v>SMALL</x:v>
      </x:c>
      <x:c r="G3010" t="str">
        <x:v>ELIGIBLE</x:v>
      </x:c>
      <x:c r="H3010"/>
      <x:c r="I3010" s="54" t="n">
        <x:v>45747</x:v>
      </x:c>
      <x:c r="J3010" s="55" t="n">
        <x:v>2225</x:v>
      </x:c>
      <x:c r="K3010" s="55" t="n">
        <x:v>69914802175</x:v>
      </x:c>
      <x:c r="L3010" s="55" t="n">
        <x:v>31422383</x:v>
      </x:c>
      <x:c r="M3010" t="str">
        <x:v>20250320001668</x:v>
      </x:c>
      <x:c r="N3010" t="n">
        <x:v>45736.624999988424</x:v>
      </x:c>
      <x:c r="O3010" s="54" t="n">
        <x:v>45657</x:v>
      </x:c>
      <x:c r="P3010" t="str">
        <x:v>True</x:v>
      </x:c>
      <x:c r="Q3010" t="str">
        <x:v>2e71618414776270bb14ea768ac0fb9af144049ee9c7b1121f37aa3cd65162d3</x:v>
      </x:c>
      <x:c r="R3010" t="str">
        <x:v>c41f0057bf29d849f5e0651b8d0dcb11ff1561bdbdcffb4e32ec7db9feb8c93b</x:v>
      </x:c>
      <x:c r="S3010" t="n">
        <x:v>6</x:v>
      </x:c>
      <x:c r="T3010" t="str">
        <x:v>2018-12-31|2019-12-31|2020-12-31|2021-12-31|2022-12-31|2023-12-31|2024-12-31</x:v>
      </x:c>
      <x:c r="U3010" s="57" t="n">
        <x:v>2177.763448520564</x:v>
      </x:c>
      <x:c r="V3010" s="57" t="n">
        <x:v>-0.021229910777274506</x:v>
      </x:c>
      <x:c r="W3010" t="n">
        <x:v>24</x:v>
      </x:c>
      <x:c r="X3010" t="n">
        <x:v>2</x:v>
      </x:c>
      <x:c r="Y3010" s="38" t="n">
        <x:v>0.6409090909090909</x:v>
      </x:c>
      <x:c r="Z3010" s="38" t="n">
        <x:v>0.6347185715712285</x:v>
      </x:c>
      <x:c r="AA3010"/>
    </x:row>
    <x:row r="3011">
      <x:c r="A3011" s="54" t="n">
        <x:v>45747</x:v>
      </x:c>
      <x:c r="B3011" t="n">
        <x:v>45747.624999988424</x:v>
      </x:c>
      <x:c r="C3011" t="str">
        <x:v>302430</x:v>
      </x:c>
      <x:c r="D3011" t="str">
        <x:v>이노메트리</x:v>
      </x:c>
      <x:c r="E3011" t="str">
        <x:v>KOSDAQ</x:v>
      </x:c>
      <x:c r="F3011" t="str">
        <x:v>SMALL</x:v>
      </x:c>
      <x:c r="G3011" t="str">
        <x:v>DCF_SCREENING_EXCLUSION</x:v>
      </x:c>
      <x:c r="H3011" t="str">
        <x:v>NON_POSITIVE_ENTERPRISE_VALUE|UNRELIABLE_TERMINAL_VALUE_SHARE</x:v>
      </x:c>
      <x:c r="I3011" s="54" t="n">
        <x:v>45747</x:v>
      </x:c>
      <x:c r="J3011" s="55" t="n">
        <x:v>9690</x:v>
      </x:c>
      <x:c r="K3011" s="55" t="n">
        <x:v>95283785520</x:v>
      </x:c>
      <x:c r="L3011" s="55" t="n">
        <x:v>9833208</x:v>
      </x:c>
      <x:c r="M3011" t="str">
        <x:v>20250318000217</x:v>
      </x:c>
      <x:c r="N3011" t="n">
        <x:v>45734.624999988424</x:v>
      </x:c>
      <x:c r="O3011" s="54" t="n">
        <x:v>45657</x:v>
      </x:c>
      <x:c r="P3011" t="str">
        <x:v>False</x:v>
      </x:c>
      <x:c r="Q3011" t="str">
        <x:v>4aa16bbae69a341bedfef0c102bf840bd89c60f70166cfad902abd390cf3be20</x:v>
      </x:c>
      <x:c r="R3011" t="str">
        <x:v>791e3dac82cf0abf03bb184b2532c746fd7af1577c7bfa47c2cbb368525f1e32</x:v>
      </x:c>
      <x:c r="S3011" t="n">
        <x:v>6</x:v>
      </x:c>
      <x:c r="T3011" t="str">
        <x:v>2018-12-31|2019-12-31|2020-12-31|2021-12-31|2022-12-31|2023-12-31|2024-12-31</x:v>
      </x:c>
      <x:c r="U3011" s="57" t="n">
        <x:v>2286.9893031993456</x:v>
      </x:c>
      <x:c r="V3011" s="57" t="n">
        <x:v>-0.7639845920330913</x:v>
      </x:c>
      <x:c r="W3011"/>
      <x:c r="X3011"/>
      <x:c r="Y3011" s="38" t="n">
        <x:v>0.6409090909090909</x:v>
      </x:c>
      <x:c r="Z3011" s="38" t="n">
        <x:v>-119.5633839572738</x:v>
      </x:c>
      <x:c r="AA3011" t="str">
        <x:v>NON_POSITIVE_ENTERPRISE_VALUE|UNRELIABLE_TERMINAL_VALUE_SHARE</x:v>
      </x:c>
    </x:row>
    <x:row r="3012">
      <x:c r="A3012" s="54" t="n">
        <x:v>45747</x:v>
      </x:c>
      <x:c r="B3012" t="n">
        <x:v>45747.624999988424</x:v>
      </x:c>
      <x:c r="C3012" t="str">
        <x:v>288620</x:v>
      </x:c>
      <x:c r="D3012" t="str">
        <x:v>에스퓨얼셀</x:v>
      </x:c>
      <x:c r="E3012" t="str">
        <x:v>KOSDAQ</x:v>
      </x:c>
      <x:c r="F3012" t="str">
        <x:v>SMALL</x:v>
      </x:c>
      <x:c r="G3012" t="str">
        <x:v>DCF_SCREENING_EXCLUSION</x:v>
      </x:c>
      <x:c r="H3012" t="str">
        <x:v>NON_POSITIVE_ENTERPRISE_VALUE|NON_POSITIVE_EQUITY_VALUE|UNRELIABLE_TERMINAL_VALUE_SHARE</x:v>
      </x:c>
      <x:c r="I3012" s="54" t="n">
        <x:v>45747</x:v>
      </x:c>
      <x:c r="J3012" s="55" t="n">
        <x:v>7810</x:v>
      </x:c>
      <x:c r="K3012" s="55" t="n">
        <x:v>54508457960</x:v>
      </x:c>
      <x:c r="L3012" s="55" t="n">
        <x:v>6979316</x:v>
      </x:c>
      <x:c r="M3012" t="str">
        <x:v>20250320001331</x:v>
      </x:c>
      <x:c r="N3012" t="n">
        <x:v>45736.624999988424</x:v>
      </x:c>
      <x:c r="O3012" s="54" t="n">
        <x:v>45657</x:v>
      </x:c>
      <x:c r="P3012" t="str">
        <x:v>False</x:v>
      </x:c>
      <x:c r="Q3012" t="str">
        <x:v>ae47bc33e98a0978f8be31137f095e22d26623a8e6ac774095ef50fe21b5e967</x:v>
      </x:c>
      <x:c r="R3012" t="str">
        <x:v>ddf00c6b9244661b80060a78eb033b53cf848f6c64a86ebed796937afa8c6ef3</x:v>
      </x:c>
      <x:c r="S3012" t="n">
        <x:v>6</x:v>
      </x:c>
      <x:c r="T3012" t="str">
        <x:v>2018-12-31|2019-12-31|2020-12-31|2021-12-31|2022-12-31|2023-12-31|2024-12-31</x:v>
      </x:c>
      <x:c r="U3012" s="57" t="n">
        <x:v>-23.15956640270945</x:v>
      </x:c>
      <x:c r="V3012" s="57" t="n">
        <x:v>-1.002965373419041</x:v>
      </x:c>
      <x:c r="W3012"/>
      <x:c r="X3012"/>
      <x:c r="Y3012" s="38" t="n">
        <x:v>0.6409090909090909</x:v>
      </x:c>
      <x:c r="Z3012" s="38" t="n">
        <x:v>-4.161605526961185</x:v>
      </x:c>
      <x:c r="AA3012" t="str">
        <x:v>NON_POSITIVE_ENTERPRISE_VALUE|NON_POSITIVE_EQUITY_VALUE|UNRELIABLE_TERMINAL_VALUE_SHARE</x:v>
      </x:c>
    </x:row>
    <x:row r="3013">
      <x:c r="A3013" s="54" t="n">
        <x:v>45747</x:v>
      </x:c>
      <x:c r="B3013" t="n">
        <x:v>45747.624999988424</x:v>
      </x:c>
      <x:c r="C3013" t="str">
        <x:v>094840</x:v>
      </x:c>
      <x:c r="D3013" t="str">
        <x:v>슈프리마에이치큐</x:v>
      </x:c>
      <x:c r="E3013" t="str">
        <x:v>KOSDAQ</x:v>
      </x:c>
      <x:c r="F3013" t="str">
        <x:v>SMALL</x:v>
      </x:c>
      <x:c r="G3013" t="str">
        <x:v>ELIGIBLE</x:v>
      </x:c>
      <x:c r="H3013"/>
      <x:c r="I3013" s="54" t="n">
        <x:v>45747</x:v>
      </x:c>
      <x:c r="J3013" s="55" t="n">
        <x:v>5880</x:v>
      </x:c>
      <x:c r="K3013" s="55" t="n">
        <x:v>61574419200</x:v>
      </x:c>
      <x:c r="L3013" s="55" t="n">
        <x:v>10471840</x:v>
      </x:c>
      <x:c r="M3013" t="str">
        <x:v>20250317000777</x:v>
      </x:c>
      <x:c r="N3013" t="n">
        <x:v>45733.624999988424</x:v>
      </x:c>
      <x:c r="O3013" s="54" t="n">
        <x:v>45657</x:v>
      </x:c>
      <x:c r="P3013" t="str">
        <x:v>False</x:v>
      </x:c>
      <x:c r="Q3013" t="str">
        <x:v>7c3c3c9ba06a4dfb3a5d69c46f78a30b3f24223ea71de23c9273f2f5b41c3b3f</x:v>
      </x:c>
      <x:c r="R3013" t="str">
        <x:v>bf65dc25164875c9eb11fbad6804589cfb5fcaa02a070b65f406b4275b488254</x:v>
      </x:c>
      <x:c r="S3013" t="n">
        <x:v>5</x:v>
      </x:c>
      <x:c r="T3013" t="str">
        <x:v>2018-12-31|2019-12-31|2020-12-31|2021-12-31|2022-12-31|2023-12-31|2024-12-31</x:v>
      </x:c>
      <x:c r="U3013" s="57" t="n">
        <x:v>3486.234488717227</x:v>
      </x:c>
      <x:c r="V3013" s="57" t="n">
        <x:v>-0.4071029781093152</x:v>
      </x:c>
      <x:c r="W3013" t="n">
        <x:v>41</x:v>
      </x:c>
      <x:c r="X3013" t="n">
        <x:v>4</x:v>
      </x:c>
      <x:c r="Y3013" s="38" t="n">
        <x:v>0.6409090909090909</x:v>
      </x:c>
      <x:c r="Z3013" s="38" t="n">
        <x:v>0.6617836574250688</x:v>
      </x:c>
      <x:c r="AA3013"/>
    </x:row>
    <x:row r="3014">
      <x:c r="A3014" s="54" t="n">
        <x:v>45747</x:v>
      </x:c>
      <x:c r="B3014" t="n">
        <x:v>45747.624999988424</x:v>
      </x:c>
      <x:c r="C3014" t="str">
        <x:v>019990</x:v>
      </x:c>
      <x:c r="D3014" t="str">
        <x:v>에너토크</x:v>
      </x:c>
      <x:c r="E3014" t="str">
        <x:v>KOSDAQ</x:v>
      </x:c>
      <x:c r="F3014" t="str">
        <x:v>SMALL</x:v>
      </x:c>
      <x:c r="G3014" t="str">
        <x:v>DCF_SCREENING_EXCLUSION</x:v>
      </x:c>
      <x:c r="H3014" t="str">
        <x:v>NON_POSITIVE_ENTERPRISE_VALUE|NON_POSITIVE_TERMINAL_FCF</x:v>
      </x:c>
      <x:c r="I3014" s="54" t="n">
        <x:v>45747</x:v>
      </x:c>
      <x:c r="J3014" s="55" t="n">
        <x:v>5800</x:v>
      </x:c>
      <x:c r="K3014" s="55" t="n">
        <x:v>56585310400</x:v>
      </x:c>
      <x:c r="L3014" s="55" t="n">
        <x:v>9756088</x:v>
      </x:c>
      <x:c r="M3014" t="str">
        <x:v>20250320000739</x:v>
      </x:c>
      <x:c r="N3014" t="n">
        <x:v>45736.624999988424</x:v>
      </x:c>
      <x:c r="O3014" s="54" t="n">
        <x:v>45657</x:v>
      </x:c>
      <x:c r="P3014" t="str">
        <x:v>False</x:v>
      </x:c>
      <x:c r="Q3014" t="str">
        <x:v>507064ff30a14168cb3b754d3374c12ac69af1622cf2d87756d76a0d6334a115</x:v>
      </x:c>
      <x:c r="R3014" t="str">
        <x:v>8b8e2929a76e85cae5dfe32875e1560db69e5446d820e1fa88dfe6ef5791d94f</x:v>
      </x:c>
      <x:c r="S3014" t="n">
        <x:v>5</x:v>
      </x:c>
      <x:c r="T3014" t="str">
        <x:v>2018-12-31|2019-12-31|2020-12-31|2021-12-31|2022-12-31|2023-12-31|2024-12-31</x:v>
      </x:c>
      <x:c r="U3014" s="57" t="n">
        <x:v>135.10339936614665</x:v>
      </x:c>
      <x:c r="V3014" s="57" t="n">
        <x:v>-0.9767063104541126</x:v>
      </x:c>
      <x:c r="W3014"/>
      <x:c r="X3014"/>
      <x:c r="Y3014" s="38" t="n">
        <x:v>0.6409090909090909</x:v>
      </x:c>
      <x:c r="Z3014" s="38" t="n">
        <x:v>0.5919007373941</x:v>
      </x:c>
      <x:c r="AA3014" t="str">
        <x:v>NON_POSITIVE_ENTERPRISE_VALUE|NON_POSITIVE_TERMINAL_FCF</x:v>
      </x:c>
    </x:row>
    <x:row r="3015">
      <x:c r="A3015" s="54" t="n">
        <x:v>45747</x:v>
      </x:c>
      <x:c r="B3015" t="n">
        <x:v>45747.624999988424</x:v>
      </x:c>
      <x:c r="C3015" t="str">
        <x:v>024740</x:v>
      </x:c>
      <x:c r="D3015" t="str">
        <x:v>한일단조</x:v>
      </x:c>
      <x:c r="E3015" t="str">
        <x:v>KOSDAQ</x:v>
      </x:c>
      <x:c r="F3015" t="str">
        <x:v>SMALL</x:v>
      </x:c>
      <x:c r="G3015" t="str">
        <x:v>ELIGIBLE</x:v>
      </x:c>
      <x:c r="H3015"/>
      <x:c r="I3015" s="54" t="n">
        <x:v>45747</x:v>
      </x:c>
      <x:c r="J3015" s="55" t="n">
        <x:v>2150</x:v>
      </x:c>
      <x:c r="K3015" s="55" t="n">
        <x:v>70728655350</x:v>
      </x:c>
      <x:c r="L3015" s="55" t="n">
        <x:v>32897049</x:v>
      </x:c>
      <x:c r="M3015" t="str">
        <x:v>20250318001076</x:v>
      </x:c>
      <x:c r="N3015" t="n">
        <x:v>45734.624999988424</x:v>
      </x:c>
      <x:c r="O3015" s="54" t="n">
        <x:v>45657</x:v>
      </x:c>
      <x:c r="P3015" t="str">
        <x:v>False</x:v>
      </x:c>
      <x:c r="Q3015" t="str">
        <x:v>7bbd8ea476dc648cb0d8a8155ffad8304091eeb843bfb93ba59ec27c003f1126</x:v>
      </x:c>
      <x:c r="R3015" t="str">
        <x:v>509ec70f2f11ae4ae253db62514471823bf16bcd1d08016ac93322ee5a01830b</x:v>
      </x:c>
      <x:c r="S3015" t="n">
        <x:v>7</x:v>
      </x:c>
      <x:c r="T3015" t="str">
        <x:v>2018-12-31|2019-12-31|2020-12-31|2021-12-31|2022-12-31|2023-12-31|2024-12-31</x:v>
      </x:c>
      <x:c r="U3015" s="57" t="n">
        <x:v>247.97797544861652</x:v>
      </x:c>
      <x:c r="V3015" s="57" t="n">
        <x:v>-0.8846614067680854</x:v>
      </x:c>
      <x:c r="W3015" t="n">
        <x:v>64</x:v>
      </x:c>
      <x:c r="X3015" t="n">
        <x:v>5</x:v>
      </x:c>
      <x:c r="Y3015" s="38" t="n">
        <x:v>0.6409090909090909</x:v>
      </x:c>
      <x:c r="Z3015" s="38" t="n">
        <x:v>0.5540432712791499</x:v>
      </x:c>
      <x:c r="AA3015"/>
    </x:row>
    <x:row r="3016">
      <x:c r="A3016" s="54" t="n">
        <x:v>45747</x:v>
      </x:c>
      <x:c r="B3016" t="n">
        <x:v>45747.624999988424</x:v>
      </x:c>
      <x:c r="C3016" t="str">
        <x:v>340930</x:v>
      </x:c>
      <x:c r="D3016" t="str">
        <x:v>유일에너테크</x:v>
      </x:c>
      <x:c r="E3016" t="str">
        <x:v>KOSDAQ</x:v>
      </x:c>
      <x:c r="F3016" t="str">
        <x:v>SMALL</x:v>
      </x:c>
      <x:c r="G3016" t="str">
        <x:v>DCF_SCREENING_EXCLUSION</x:v>
      </x:c>
      <x:c r="H3016" t="str">
        <x:v>NON_POSITIVE_ENTERPRISE_VALUE|NON_POSITIVE_EQUITY_VALUE|NON_POSITIVE_TERMINAL_FCF</x:v>
      </x:c>
      <x:c r="I3016" s="54" t="n">
        <x:v>45747</x:v>
      </x:c>
      <x:c r="J3016" s="55" t="n">
        <x:v>1737</x:v>
      </x:c>
      <x:c r="K3016" s="55" t="n">
        <x:v>59413129650</x:v>
      </x:c>
      <x:c r="L3016" s="55" t="n">
        <x:v>34204450</x:v>
      </x:c>
      <x:c r="M3016" t="str">
        <x:v>20250324000538</x:v>
      </x:c>
      <x:c r="N3016" t="n">
        <x:v>45740.624999988424</x:v>
      </x:c>
      <x:c r="O3016" s="54" t="n">
        <x:v>45657</x:v>
      </x:c>
      <x:c r="P3016" t="str">
        <x:v>False</x:v>
      </x:c>
      <x:c r="Q3016" t="str">
        <x:v>abfe3fe5b4ca917d75b4eeb0c622db2c875f18a8448c5d4e59604d635523928c</x:v>
      </x:c>
      <x:c r="R3016" t="str">
        <x:v>8599c7937023c263af13106e9b31fd3e8aeb51baec6c6f4aad94969bdab1b7ff</x:v>
      </x:c>
      <x:c r="S3016" t="n">
        <x:v>7</x:v>
      </x:c>
      <x:c r="T3016" t="str">
        <x:v>2020-12-31|2021-12-31|2022-12-31|2023-12-31|2024-12-31</x:v>
      </x:c>
      <x:c r="U3016" s="57" t="n">
        <x:v>-5203.795105700722</x:v>
      </x:c>
      <x:c r="V3016" s="57" t="n">
        <x:v>-3.9958521046060573</x:v>
      </x:c>
      <x:c r="W3016"/>
      <x:c r="X3016"/>
      <x:c r="Y3016" s="38" t="n">
        <x:v>0.6409090909090909</x:v>
      </x:c>
      <x:c r="Z3016" s="38" t="n">
        <x:v>0.6191120161833734</x:v>
      </x:c>
      <x:c r="AA3016" t="str">
        <x:v>NON_POSITIVE_ENTERPRISE_VALUE|NON_POSITIVE_EQUITY_VALUE|NON_POSITIVE_TERMINAL_FCF</x:v>
      </x:c>
    </x:row>
    <x:row r="3017">
      <x:c r="A3017" s="54" t="n">
        <x:v>45747</x:v>
      </x:c>
      <x:c r="B3017" t="n">
        <x:v>45747.624999988424</x:v>
      </x:c>
      <x:c r="C3017" t="str">
        <x:v>057030</x:v>
      </x:c>
      <x:c r="D3017" t="str">
        <x:v>YBM넷</x:v>
      </x:c>
      <x:c r="E3017" t="str">
        <x:v>KOSDAQ</x:v>
      </x:c>
      <x:c r="F3017" t="str">
        <x:v>SMALL</x:v>
      </x:c>
      <x:c r="G3017" t="str">
        <x:v>ELIGIBLE</x:v>
      </x:c>
      <x:c r="H3017"/>
      <x:c r="I3017" s="54" t="n">
        <x:v>45747</x:v>
      </x:c>
      <x:c r="J3017" s="55" t="n">
        <x:v>3475</x:v>
      </x:c>
      <x:c r="K3017" s="55" t="n">
        <x:v>56686622075</x:v>
      </x:c>
      <x:c r="L3017" s="55" t="n">
        <x:v>16312697</x:v>
      </x:c>
      <x:c r="M3017" t="str">
        <x:v>20250320000974</x:v>
      </x:c>
      <x:c r="N3017" t="n">
        <x:v>45736.624999988424</x:v>
      </x:c>
      <x:c r="O3017" s="54" t="n">
        <x:v>45657</x:v>
      </x:c>
      <x:c r="P3017" t="str">
        <x:v>False</x:v>
      </x:c>
      <x:c r="Q3017" t="str">
        <x:v>3fd8fb0f9c76a44e2b83b9006f1fc64ce5bb4e6a84ed22941c5589970f34a761</x:v>
      </x:c>
      <x:c r="R3017" t="str">
        <x:v>178ff0df64335fb9fd72a797013302e0d0f44e08c17bf5b94c86bf6f4060fd73</x:v>
      </x:c>
      <x:c r="S3017" t="n">
        <x:v>6</x:v>
      </x:c>
      <x:c r="T3017" t="str">
        <x:v>2018-12-31|2019-12-31|2020-12-31|2021-12-31|2022-12-31|2023-12-31|2024-12-31</x:v>
      </x:c>
      <x:c r="U3017" s="57" t="n">
        <x:v>1660.4453281950018</x:v>
      </x:c>
      <x:c r="V3017" s="57" t="n">
        <x:v>-0.5221740062748197</x:v>
      </x:c>
      <x:c r="W3017" t="n">
        <x:v>48</x:v>
      </x:c>
      <x:c r="X3017" t="n">
        <x:v>4</x:v>
      </x:c>
      <x:c r="Y3017" s="38" t="n">
        <x:v>0.6409090909090909</x:v>
      </x:c>
      <x:c r="Z3017" s="38" t="n">
        <x:v>0.6191038980416463</x:v>
      </x:c>
      <x:c r="AA3017"/>
    </x:row>
    <x:row r="3018">
      <x:c r="A3018" s="54" t="n">
        <x:v>45747</x:v>
      </x:c>
      <x:c r="B3018" t="n">
        <x:v>45747.624999988424</x:v>
      </x:c>
      <x:c r="C3018" t="str">
        <x:v>053160</x:v>
      </x:c>
      <x:c r="D3018" t="str">
        <x:v>프리엠스</x:v>
      </x:c>
      <x:c r="E3018" t="str">
        <x:v>KOSDAQ</x:v>
      </x:c>
      <x:c r="F3018" t="str">
        <x:v>SMALL</x:v>
      </x:c>
      <x:c r="G3018" t="str">
        <x:v>DCF_SCREENING_EXCLUSION</x:v>
      </x:c>
      <x:c r="H3018" t="str">
        <x:v>NON_POSITIVE_ENTERPRISE_VALUE|NON_POSITIVE_TERMINAL_FCF</x:v>
      </x:c>
      <x:c r="I3018" s="54" t="n">
        <x:v>45747</x:v>
      </x:c>
      <x:c r="J3018" s="55" t="n">
        <x:v>9990</x:v>
      </x:c>
      <x:c r="K3018" s="55" t="n">
        <x:v>59940000000</x:v>
      </x:c>
      <x:c r="L3018" s="55" t="n">
        <x:v>6000000</x:v>
      </x:c>
      <x:c r="M3018" t="str">
        <x:v>20250314000331</x:v>
      </x:c>
      <x:c r="N3018" t="n">
        <x:v>45730.624999988424</x:v>
      </x:c>
      <x:c r="O3018" s="54" t="n">
        <x:v>45657</x:v>
      </x:c>
      <x:c r="P3018" t="str">
        <x:v>False</x:v>
      </x:c>
      <x:c r="Q3018" t="str">
        <x:v>e6423a02279c9457dbef12437884cdfb19425b38535268d79f73dfc510b3c9fc</x:v>
      </x:c>
      <x:c r="R3018" t="str">
        <x:v>0a161bc01e439aad8e27b02b5a9393f1198769c76da2ee5354aa9bbc5e3986b1</x:v>
      </x:c>
      <x:c r="S3018" t="n">
        <x:v>7</x:v>
      </x:c>
      <x:c r="T3018" t="str">
        <x:v>2018-12-31|2019-12-31|2020-12-31|2021-12-31|2022-12-31|2023-12-31|2024-12-31</x:v>
      </x:c>
      <x:c r="U3018" s="57" t="n">
        <x:v>2398.659539500975</x:v>
      </x:c>
      <x:c r="V3018" s="57" t="n">
        <x:v>-0.7598939399898924</x:v>
      </x:c>
      <x:c r="W3018"/>
      <x:c r="X3018"/>
      <x:c r="Y3018" s="38" t="n">
        <x:v>0.6409090909090909</x:v>
      </x:c>
      <x:c r="Z3018" s="38" t="n">
        <x:v>0.17743138110763435</x:v>
      </x:c>
      <x:c r="AA3018" t="str">
        <x:v>NON_POSITIVE_ENTERPRISE_VALUE|NON_POSITIVE_TERMINAL_FCF</x:v>
      </x:c>
    </x:row>
    <x:row r="3019">
      <x:c r="A3019" s="54" t="n">
        <x:v>45747</x:v>
      </x:c>
      <x:c r="B3019" t="n">
        <x:v>45747.624999988424</x:v>
      </x:c>
      <x:c r="C3019" t="str">
        <x:v>038620</x:v>
      </x:c>
      <x:c r="D3019" t="str">
        <x:v>위즈코프</x:v>
      </x:c>
      <x:c r="E3019" t="str">
        <x:v>KOSDAQ</x:v>
      </x:c>
      <x:c r="F3019" t="str">
        <x:v>SMALL</x:v>
      </x:c>
      <x:c r="G3019" t="str">
        <x:v>ELIGIBLE</x:v>
      </x:c>
      <x:c r="H3019"/>
      <x:c r="I3019" s="54" t="n">
        <x:v>45747</x:v>
      </x:c>
      <x:c r="J3019" s="55" t="n">
        <x:v>722</x:v>
      </x:c>
      <x:c r="K3019" s="55" t="n">
        <x:v>51845303078</x:v>
      </x:c>
      <x:c r="L3019" s="55" t="n">
        <x:v>71807899</x:v>
      </x:c>
      <x:c r="M3019" t="str">
        <x:v>20250318001109</x:v>
      </x:c>
      <x:c r="N3019" t="n">
        <x:v>45734.624999988424</x:v>
      </x:c>
      <x:c r="O3019" s="54" t="n">
        <x:v>45657</x:v>
      </x:c>
      <x:c r="P3019" t="str">
        <x:v>False</x:v>
      </x:c>
      <x:c r="Q3019" t="str">
        <x:v>ce1d11f8bdf70c423644af2ac7c01cb0d4585abfdba85552f744eb85829ea28e</x:v>
      </x:c>
      <x:c r="R3019" t="str">
        <x:v>363ab7d6b4b6e0154d9e330fb122313886bf2d01389e80ba0c3a2958b454a296</x:v>
      </x:c>
      <x:c r="S3019" t="n">
        <x:v>6</x:v>
      </x:c>
      <x:c r="T3019" t="str">
        <x:v>2018-12-31|2019-12-31|2020-12-31|2021-12-31|2022-12-31|2023-12-31|2024-12-31</x:v>
      </x:c>
      <x:c r="U3019" s="57" t="n">
        <x:v>433.083021246854</x:v>
      </x:c>
      <x:c r="V3019" s="57" t="n">
        <x:v>-0.4001620204337202</x:v>
      </x:c>
      <x:c r="W3019" t="n">
        <x:v>40</x:v>
      </x:c>
      <x:c r="X3019" t="n">
        <x:v>3</x:v>
      </x:c>
      <x:c r="Y3019" s="38" t="n">
        <x:v>0.6409090909090909</x:v>
      </x:c>
      <x:c r="Z3019" s="38" t="n">
        <x:v>0.6422566574366064</x:v>
      </x:c>
      <x:c r="AA3019"/>
    </x:row>
    <x:row r="3020">
      <x:c r="A3020" s="54" t="n">
        <x:v>45747</x:v>
      </x:c>
      <x:c r="B3020" t="n">
        <x:v>45747.624999988424</x:v>
      </x:c>
      <x:c r="C3020" t="str">
        <x:v>313760</x:v>
      </x:c>
      <x:c r="D3020" t="str">
        <x:v>캐리</x:v>
      </x:c>
      <x:c r="E3020" t="str">
        <x:v>KOSDAQ</x:v>
      </x:c>
      <x:c r="F3020" t="str">
        <x:v>SMALL</x:v>
      </x:c>
      <x:c r="G3020" t="str">
        <x:v>DCF_SCREENING_EXCLUSION</x:v>
      </x:c>
      <x:c r="H3020" t="str">
        <x:v>NON_POSITIVE_ENTERPRISE_VALUE|NON_POSITIVE_EQUITY_VALUE|NON_POSITIVE_TERMINAL_FCF</x:v>
      </x:c>
      <x:c r="I3020" s="54" t="n">
        <x:v>45747</x:v>
      </x:c>
      <x:c r="J3020" s="55" t="n">
        <x:v>5360</x:v>
      </x:c>
      <x:c r="K3020" s="55" t="n">
        <x:v>54580488720</x:v>
      </x:c>
      <x:c r="L3020" s="55" t="n">
        <x:v>10182927</x:v>
      </x:c>
      <x:c r="M3020" t="str">
        <x:v>20250326000865</x:v>
      </x:c>
      <x:c r="N3020" t="n">
        <x:v>45742.624999988424</x:v>
      </x:c>
      <x:c r="O3020" s="54" t="n">
        <x:v>45657</x:v>
      </x:c>
      <x:c r="P3020" t="str">
        <x:v>True</x:v>
      </x:c>
      <x:c r="Q3020" t="str">
        <x:v>db9a64bb6520dacf3ce36f4e0eb6a725dfd27efc554e5aee318a2e6a387d6007</x:v>
      </x:c>
      <x:c r="R3020" t="str">
        <x:v>75ce9f6982b8bde4cc92f1b1265d187dda2f5a3a216636fd3ba57a14db2eb7d1</x:v>
      </x:c>
      <x:c r="S3020" t="n">
        <x:v>6</x:v>
      </x:c>
      <x:c r="T3020" t="str">
        <x:v>2019-12-31|2020-12-31|2021-12-31|2022-12-31|2023-12-31|2024-12-31</x:v>
      </x:c>
      <x:c r="U3020" s="57" t="n">
        <x:v>-2135.223374564906</x:v>
      </x:c>
      <x:c r="V3020" s="57" t="n">
        <x:v>-1.3983625698815123</x:v>
      </x:c>
      <x:c r="W3020"/>
      <x:c r="X3020"/>
      <x:c r="Y3020" s="38" t="n">
        <x:v>0.6409090909090909</x:v>
      </x:c>
      <x:c r="Z3020" s="38" t="n">
        <x:v>0.5884023623150085</x:v>
      </x:c>
      <x:c r="AA3020" t="str">
        <x:v>NON_POSITIVE_ENTERPRISE_VALUE|NON_POSITIVE_EQUITY_VALUE|NON_POSITIVE_TERMINAL_FCF</x:v>
      </x:c>
    </x:row>
    <x:row r="3021">
      <x:c r="A3021" s="54" t="n">
        <x:v>45747</x:v>
      </x:c>
      <x:c r="B3021" t="n">
        <x:v>45747.624999988424</x:v>
      </x:c>
      <x:c r="C3021" t="str">
        <x:v>372800</x:v>
      </x:c>
      <x:c r="D3021" t="str">
        <x:v>아이티아이즈</x:v>
      </x:c>
      <x:c r="E3021" t="str">
        <x:v>KOSDAQ</x:v>
      </x:c>
      <x:c r="F3021" t="str">
        <x:v>SMALL</x:v>
      </x:c>
      <x:c r="G3021" t="str">
        <x:v>DCF_SCREENING_EXCLUSION</x:v>
      </x:c>
      <x:c r="H3021" t="str">
        <x:v>NON_POSITIVE_ENTERPRISE_VALUE|NON_POSITIVE_EQUITY_VALUE|NON_POSITIVE_TERMINAL_FCF</x:v>
      </x:c>
      <x:c r="I3021" s="54" t="n">
        <x:v>45747</x:v>
      </x:c>
      <x:c r="J3021" s="55" t="n">
        <x:v>4125</x:v>
      </x:c>
      <x:c r="K3021" s="55" t="n">
        <x:v>24861333750</x:v>
      </x:c>
      <x:c r="L3021" s="55" t="n">
        <x:v>6026990</x:v>
      </x:c>
      <x:c r="M3021" t="str">
        <x:v>20250320000695</x:v>
      </x:c>
      <x:c r="N3021" t="n">
        <x:v>45736.624999988424</x:v>
      </x:c>
      <x:c r="O3021" s="54" t="n">
        <x:v>45657</x:v>
      </x:c>
      <x:c r="P3021" t="str">
        <x:v>False</x:v>
      </x:c>
      <x:c r="Q3021" t="str">
        <x:v>fd0127caed55b5cac36ec3ba14df42aa42ff63472abb7934255d966a6ed2ac9a</x:v>
      </x:c>
      <x:c r="R3021" t="str">
        <x:v>193cec3dd00e18fee9a956b04ff6c7c062337b423a8494e595b003e118382805</x:v>
      </x:c>
      <x:c r="S3021" t="n">
        <x:v>7</x:v>
      </x:c>
      <x:c r="T3021" t="str">
        <x:v>2021-12-31|2022-12-31|2023-12-31|2024-12-31</x:v>
      </x:c>
      <x:c r="U3021" s="57" t="n">
        <x:v>-7404.44585784526</x:v>
      </x:c>
      <x:c r="V3021" s="57" t="n">
        <x:v>-2.795017177659457</x:v>
      </x:c>
      <x:c r="W3021"/>
      <x:c r="X3021"/>
      <x:c r="Y3021" s="38" t="n">
        <x:v>0.6409090909090909</x:v>
      </x:c>
      <x:c r="Z3021" s="38" t="n">
        <x:v>0.775521739850821</x:v>
      </x:c>
      <x:c r="AA3021" t="str">
        <x:v>NON_POSITIVE_ENTERPRISE_VALUE|NON_POSITIVE_EQUITY_VALUE|NON_POSITIVE_TERMINAL_FCF</x:v>
      </x:c>
    </x:row>
    <x:row r="3022">
      <x:c r="A3022" s="54" t="n">
        <x:v>45747</x:v>
      </x:c>
      <x:c r="B3022" t="n">
        <x:v>45747.624999988424</x:v>
      </x:c>
      <x:c r="C3022" t="str">
        <x:v>332290</x:v>
      </x:c>
      <x:c r="D3022" t="str">
        <x:v>누보</x:v>
      </x:c>
      <x:c r="E3022" t="str">
        <x:v>KOSDAQ</x:v>
      </x:c>
      <x:c r="F3022" t="str">
        <x:v>SMALL</x:v>
      </x:c>
      <x:c r="G3022" t="str">
        <x:v>DCF_SCREENING_EXCLUSION</x:v>
      </x:c>
      <x:c r="H3022" t="str">
        <x:v>NON_POSITIVE_ENTERPRISE_VALUE|NON_POSITIVE_EQUITY_VALUE|NON_POSITIVE_TERMINAL_FCF</x:v>
      </x:c>
      <x:c r="I3022" s="54" t="n">
        <x:v>45747</x:v>
      </x:c>
      <x:c r="J3022" s="55" t="n">
        <x:v>1119</x:v>
      </x:c>
      <x:c r="K3022" s="55" t="n">
        <x:v>37357594557</x:v>
      </x:c>
      <x:c r="L3022" s="55" t="n">
        <x:v>33384803</x:v>
      </x:c>
      <x:c r="M3022" t="str">
        <x:v>20250320001064</x:v>
      </x:c>
      <x:c r="N3022" t="n">
        <x:v>45736.624999988424</x:v>
      </x:c>
      <x:c r="O3022" s="54" t="n">
        <x:v>45657</x:v>
      </x:c>
      <x:c r="P3022" t="str">
        <x:v>False</x:v>
      </x:c>
      <x:c r="Q3022" t="str">
        <x:v>80f468b2525d74e974158ac69af5200e412fdea17ca45a73120952c1d9d95397</x:v>
      </x:c>
      <x:c r="R3022" t="str">
        <x:v>d5301bb35bcc3a61099fc06ee3c56567e96151730aecd78b55a51ffc7569d6cc</x:v>
      </x:c>
      <x:c r="S3022" t="n">
        <x:v>6</x:v>
      </x:c>
      <x:c r="T3022" t="str">
        <x:v>2022-12-31|2023-12-31|2024-12-31</x:v>
      </x:c>
      <x:c r="U3022" s="57" t="n">
        <x:v>-1804.8515807091183</x:v>
      </x:c>
      <x:c r="V3022" s="57" t="n">
        <x:v>-2.612914728068917</x:v>
      </x:c>
      <x:c r="W3022"/>
      <x:c r="X3022"/>
      <x:c r="Y3022" s="38" t="n">
        <x:v>0.6409090909090909</x:v>
      </x:c>
      <x:c r="Z3022" s="38" t="n">
        <x:v>0.7010152711625302</x:v>
      </x:c>
      <x:c r="AA3022" t="str">
        <x:v>NON_POSITIVE_ENTERPRISE_VALUE|NON_POSITIVE_EQUITY_VALUE|NON_POSITIVE_TERMINAL_FCF</x:v>
      </x:c>
    </x:row>
    <x:row r="3023">
      <x:c r="A3023" s="54" t="n">
        <x:v>45747</x:v>
      </x:c>
      <x:c r="B3023" t="n">
        <x:v>45747.624999988424</x:v>
      </x:c>
      <x:c r="C3023" t="str">
        <x:v>059100</x:v>
      </x:c>
      <x:c r="D3023" t="str">
        <x:v>아이컴포넌트</x:v>
      </x:c>
      <x:c r="E3023" t="str">
        <x:v>KOSDAQ</x:v>
      </x:c>
      <x:c r="F3023" t="str">
        <x:v>SMALL</x:v>
      </x:c>
      <x:c r="G3023" t="str">
        <x:v>ELIGIBLE</x:v>
      </x:c>
      <x:c r="H3023"/>
      <x:c r="I3023" s="54" t="n">
        <x:v>45747</x:v>
      </x:c>
      <x:c r="J3023" s="55" t="n">
        <x:v>5070</x:v>
      </x:c>
      <x:c r="K3023" s="55" t="n">
        <x:v>35849260200</x:v>
      </x:c>
      <x:c r="L3023" s="55" t="n">
        <x:v>7070860</x:v>
      </x:c>
      <x:c r="M3023" t="str">
        <x:v>20250318000193</x:v>
      </x:c>
      <x:c r="N3023" t="n">
        <x:v>45734.624999988424</x:v>
      </x:c>
      <x:c r="O3023" s="54" t="n">
        <x:v>45657</x:v>
      </x:c>
      <x:c r="P3023" t="str">
        <x:v>True</x:v>
      </x:c>
      <x:c r="Q3023" t="str">
        <x:v>622579001994424a41b4d003f1d5a074c67b337c6e9d84a155054d7dc470dc79</x:v>
      </x:c>
      <x:c r="R3023" t="str">
        <x:v>c3a0296456b102bccefe399e3be332821a4c011f87cc88b69932165b21fbd333</x:v>
      </x:c>
      <x:c r="S3023" t="n">
        <x:v>7</x:v>
      </x:c>
      <x:c r="T3023" t="str">
        <x:v>2018-12-31|2019-12-31|2020-12-31|2021-12-31|2022-12-31|2023-12-31|2024-12-31</x:v>
      </x:c>
      <x:c r="U3023" s="57" t="n">
        <x:v>3882.1488565240807</x:v>
      </x:c>
      <x:c r="V3023" s="57" t="n">
        <x:v>-0.23429016636605904</x:v>
      </x:c>
      <x:c r="W3023" t="n">
        <x:v>33</x:v>
      </x:c>
      <x:c r="X3023" t="n">
        <x:v>3</x:v>
      </x:c>
      <x:c r="Y3023" s="38" t="n">
        <x:v>0.6409090909090909</x:v>
      </x:c>
      <x:c r="Z3023" s="38" t="n">
        <x:v>0.6347882018916603</x:v>
      </x:c>
      <x:c r="AA3023"/>
    </x:row>
    <x:row r="3024">
      <x:c r="A3024" s="54" t="n">
        <x:v>45747</x:v>
      </x:c>
      <x:c r="B3024" t="n">
        <x:v>45747.624999988424</x:v>
      </x:c>
      <x:c r="C3024" t="str">
        <x:v>060900</x:v>
      </x:c>
      <x:c r="D3024" t="str">
        <x:v>DGP</x:v>
      </x:c>
      <x:c r="E3024" t="str">
        <x:v>KOSDAQ</x:v>
      </x:c>
      <x:c r="F3024" t="str">
        <x:v>SMALL</x:v>
      </x:c>
      <x:c r="G3024" t="str">
        <x:v>INSUFFICIENT_FINANCIAL_COVERAGE</x:v>
      </x:c>
      <x:c r="H3024"/>
      <x:c r="I3024" s="54" t="n">
        <x:v>45747</x:v>
      </x:c>
      <x:c r="J3024" s="55" t="n">
        <x:v>879</x:v>
      </x:c>
      <x:c r="K3024" s="55" t="n">
        <x:v>22201983291</x:v>
      </x:c>
      <x:c r="L3024" s="55" t="n">
        <x:v>25258229</x:v>
      </x:c>
      <x:c r="M3024" t="str">
        <x:v>20250331003241</x:v>
      </x:c>
      <x:c r="N3024" t="n">
        <x:v>45747.624999988424</x:v>
      </x:c>
      <x:c r="O3024" s="54" t="n">
        <x:v>45657</x:v>
      </x:c>
      <x:c r="P3024" t="str">
        <x:v>True</x:v>
      </x:c>
      <x:c r="Q3024" t="str">
        <x:v>0c9d1e5ea994febea31a388f9b74833b1d56f4967c508e1340d827b06bab6aa7</x:v>
      </x:c>
      <x:c r="R3024" t="str">
        <x:v>6200eaf00893d8f56db3856e0b2f39eaec4ccb133205f43092fc9b6015f4ef3b</x:v>
      </x:c>
      <x:c r="S3024" t="n">
        <x:v>3</x:v>
      </x:c>
      <x:c r="T3024" t="str">
        <x:v>2018-12-31|2019-12-31|2021-12-31|2022-12-31|2023-12-31|2024-12-31</x:v>
      </x:c>
      <x:c r="U3024" s="57"/>
      <x:c r="V3024" s="57"/>
      <x:c r="W3024"/>
      <x:c r="X3024"/>
      <x:c r="Y3024" s="38"/>
      <x:c r="Z3024" s="38"/>
      <x:c r="AA3024"/>
    </x:row>
    <x:row r="3025">
      <x:c r="A3025" s="54" t="n">
        <x:v>45747</x:v>
      </x:c>
      <x:c r="B3025" t="n">
        <x:v>45747.624999988424</x:v>
      </x:c>
      <x:c r="C3025" t="str">
        <x:v>232830</x:v>
      </x:c>
      <x:c r="D3025" t="str">
        <x:v>아이티센피엔에스</x:v>
      </x:c>
      <x:c r="E3025" t="str">
        <x:v>KOSDAQ</x:v>
      </x:c>
      <x:c r="F3025" t="str">
        <x:v>SMALL</x:v>
      </x:c>
      <x:c r="G3025" t="str">
        <x:v>DCF_SCREENING_EXCLUSION</x:v>
      </x:c>
      <x:c r="H3025" t="str">
        <x:v>NON_POSITIVE_ENTERPRISE_VALUE|NON_POSITIVE_EQUITY_VALUE|NON_POSITIVE_TERMINAL_FCF</x:v>
      </x:c>
      <x:c r="I3025" s="54" t="n">
        <x:v>45747</x:v>
      </x:c>
      <x:c r="J3025" s="55" t="n">
        <x:v>2225</x:v>
      </x:c>
      <x:c r="K3025" s="55" t="n">
        <x:v>26049125200</x:v>
      </x:c>
      <x:c r="L3025" s="55" t="n">
        <x:v>11707472</x:v>
      </x:c>
      <x:c r="M3025" t="str">
        <x:v>20250317000980</x:v>
      </x:c>
      <x:c r="N3025" t="n">
        <x:v>45733.624999988424</x:v>
      </x:c>
      <x:c r="O3025" s="54" t="n">
        <x:v>45657</x:v>
      </x:c>
      <x:c r="P3025" t="str">
        <x:v>False</x:v>
      </x:c>
      <x:c r="Q3025" t="str">
        <x:v>f9ccdaea3b75542a6592ae16c9fdd4980771d23a336e2994cd9930b043be89f4</x:v>
      </x:c>
      <x:c r="R3025" t="str">
        <x:v>4a4b7536cfcb6704e1f4cca65df792eaa43274b29afc176badb79d28b8804a0b</x:v>
      </x:c>
      <x:c r="S3025" t="n">
        <x:v>6</x:v>
      </x:c>
      <x:c r="T3025" t="str">
        <x:v>2023-12-31|2024-12-31</x:v>
      </x:c>
      <x:c r="U3025" s="57" t="n">
        <x:v>-8505.33001720236</x:v>
      </x:c>
      <x:c r="V3025" s="57" t="n">
        <x:v>-4.8226202324504985</x:v>
      </x:c>
      <x:c r="W3025"/>
      <x:c r="X3025"/>
      <x:c r="Y3025" s="38" t="n">
        <x:v>0.6409090909090909</x:v>
      </x:c>
      <x:c r="Z3025" s="38" t="n">
        <x:v>0.6293972392343816</x:v>
      </x:c>
      <x:c r="AA3025" t="str">
        <x:v>NON_POSITIVE_ENTERPRISE_VALUE|NON_POSITIVE_EQUITY_VALUE|NON_POSITIVE_TERMINAL_FCF</x:v>
      </x:c>
    </x:row>
    <x:row r="3026">
      <x:c r="A3026" s="54" t="n">
        <x:v>45747</x:v>
      </x:c>
      <x:c r="B3026" t="n">
        <x:v>45747.624999988424</x:v>
      </x:c>
      <x:c r="C3026" t="str">
        <x:v>070590</x:v>
      </x:c>
      <x:c r="D3026" t="str">
        <x:v>한솔인티큐브</x:v>
      </x:c>
      <x:c r="E3026" t="str">
        <x:v>KOSDAQ</x:v>
      </x:c>
      <x:c r="F3026" t="str">
        <x:v>SMALL</x:v>
      </x:c>
      <x:c r="G3026" t="str">
        <x:v>DCF_SCREENING_EXCLUSION</x:v>
      </x:c>
      <x:c r="H3026" t="str">
        <x:v>NON_POSITIVE_ENTERPRISE_VALUE|NON_POSITIVE_EQUITY_VALUE|NON_POSITIVE_TERMINAL_FCF</x:v>
      </x:c>
      <x:c r="I3026" s="54" t="n">
        <x:v>45747</x:v>
      </x:c>
      <x:c r="J3026" s="55" t="n">
        <x:v>1450</x:v>
      </x:c>
      <x:c r="K3026" s="55" t="n">
        <x:v>20125305450</x:v>
      </x:c>
      <x:c r="L3026" s="55" t="n">
        <x:v>13879521</x:v>
      </x:c>
      <x:c r="M3026" t="str">
        <x:v>20250312000696</x:v>
      </x:c>
      <x:c r="N3026" t="n">
        <x:v>45728.624999988424</x:v>
      </x:c>
      <x:c r="O3026" s="54" t="n">
        <x:v>45657</x:v>
      </x:c>
      <x:c r="P3026" t="str">
        <x:v>False</x:v>
      </x:c>
      <x:c r="Q3026" t="str">
        <x:v>56fbfec57f7c9d43fd0c5033895241c65f79484753cffbbf721bcc41f2c5faf1</x:v>
      </x:c>
      <x:c r="R3026" t="str">
        <x:v>095783b0970931b9b424c8ac6f6f6fab4b580d3f587e5e9418f76229c1086431</x:v>
      </x:c>
      <x:c r="S3026" t="n">
        <x:v>7</x:v>
      </x:c>
      <x:c r="T3026" t="str">
        <x:v>2018-12-31|2019-12-31|2020-12-31|2021-12-31|2022-12-31|2023-12-31|2024-12-31</x:v>
      </x:c>
      <x:c r="U3026" s="57" t="n">
        <x:v>-676.728213003706</x:v>
      </x:c>
      <x:c r="V3026" s="57" t="n">
        <x:v>-1.466709112416349</x:v>
      </x:c>
      <x:c r="W3026"/>
      <x:c r="X3026"/>
      <x:c r="Y3026" s="38" t="n">
        <x:v>0.6409090909090909</x:v>
      </x:c>
      <x:c r="Z3026" s="38" t="n">
        <x:v>0.6346417546751518</x:v>
      </x:c>
      <x:c r="AA3026" t="str">
        <x:v>NON_POSITIVE_ENTERPRISE_VALUE|NON_POSITIVE_EQUITY_VALUE|NON_POSITIVE_TERMINAL_FCF</x:v>
      </x:c>
    </x:row>
    <x:row r="3027">
      <x:c r="A3027" s="54" t="n">
        <x:v>45747</x:v>
      </x:c>
      <x:c r="B3027" t="n">
        <x:v>45747.624999988424</x:v>
      </x:c>
      <x:c r="C3027" t="str">
        <x:v>163560</x:v>
      </x:c>
      <x:c r="D3027" t="str">
        <x:v>동일고무벨트</x:v>
      </x:c>
      <x:c r="E3027" t="str">
        <x:v>KOSPI</x:v>
      </x:c>
      <x:c r="F3027" t="str">
        <x:v>SMALL</x:v>
      </x:c>
      <x:c r="G3027" t="str">
        <x:v>ELIGIBLE</x:v>
      </x:c>
      <x:c r="H3027"/>
      <x:c r="I3027" s="54" t="n">
        <x:v>45747</x:v>
      </x:c>
      <x:c r="J3027" s="55" t="n">
        <x:v>6910</x:v>
      </x:c>
      <x:c r="K3027" s="55" t="n">
        <x:v>96049000000</x:v>
      </x:c>
      <x:c r="L3027" s="55" t="n">
        <x:v>13900000</x:v>
      </x:c>
      <x:c r="M3027" t="str">
        <x:v>20250312000762</x:v>
      </x:c>
      <x:c r="N3027" t="n">
        <x:v>45728.624999988424</x:v>
      </x:c>
      <x:c r="O3027" s="54" t="n">
        <x:v>45657</x:v>
      </x:c>
      <x:c r="P3027" t="str">
        <x:v>False</x:v>
      </x:c>
      <x:c r="Q3027" t="str">
        <x:v>3d84d46c81dd12c506f3e6e7411f8e03a54cf9403501806194005212a51761dd</x:v>
      </x:c>
      <x:c r="R3027" t="str">
        <x:v>938a176852d6cafe751241bc166ae18a0b47e63e6633199c08578da7a9c5b724</x:v>
      </x:c>
      <x:c r="S3027" t="n">
        <x:v>5</x:v>
      </x:c>
      <x:c r="T3027" t="str">
        <x:v>2018-12-31|2019-12-31|2020-12-31|2021-12-31|2022-12-31|2023-12-31|2024-12-31</x:v>
      </x:c>
      <x:c r="U3027" s="57" t="n">
        <x:v>3579.6791246994944</x:v>
      </x:c>
      <x:c r="V3027" s="57" t="n">
        <x:v>-0.48195671133147694</x:v>
      </x:c>
      <x:c r="W3027" t="n">
        <x:v>47</x:v>
      </x:c>
      <x:c r="X3027" t="n">
        <x:v>4</x:v>
      </x:c>
      <x:c r="Y3027" s="38" t="n">
        <x:v>0.6409090909090909</x:v>
      </x:c>
      <x:c r="Z3027" s="38" t="n">
        <x:v>0.6724515102417282</x:v>
      </x:c>
      <x:c r="AA3027"/>
    </x:row>
    <x:row r="3028">
      <x:c r="A3028" s="54" t="n">
        <x:v>45747</x:v>
      </x:c>
      <x:c r="B3028" t="n">
        <x:v>45747.624999988424</x:v>
      </x:c>
      <x:c r="C3028" t="str">
        <x:v>004830</x:v>
      </x:c>
      <x:c r="D3028" t="str">
        <x:v>덕성</x:v>
      </x:c>
      <x:c r="E3028" t="str">
        <x:v>KOSPI</x:v>
      </x:c>
      <x:c r="F3028" t="str">
        <x:v>SMALL</x:v>
      </x:c>
      <x:c r="G3028" t="str">
        <x:v>ELIGIBLE</x:v>
      </x:c>
      <x:c r="H3028"/>
      <x:c r="I3028" s="54" t="n">
        <x:v>45747</x:v>
      </x:c>
      <x:c r="J3028" s="55" t="n">
        <x:v>6800</x:v>
      </x:c>
      <x:c r="K3028" s="55" t="n">
        <x:v>106624000000</x:v>
      </x:c>
      <x:c r="L3028" s="55" t="n">
        <x:v>15680000</x:v>
      </x:c>
      <x:c r="M3028" t="str">
        <x:v>20250317000503</x:v>
      </x:c>
      <x:c r="N3028" t="n">
        <x:v>45733.624999988424</x:v>
      </x:c>
      <x:c r="O3028" s="54" t="n">
        <x:v>45657</x:v>
      </x:c>
      <x:c r="P3028" t="str">
        <x:v>False</x:v>
      </x:c>
      <x:c r="Q3028" t="str">
        <x:v>047b89dbd283e939934431c425f7d1537466f51373ac8b5ba0ef7155f7fdb8d1</x:v>
      </x:c>
      <x:c r="R3028" t="str">
        <x:v>f44466a9c2c59127a8b8d635e49b656badf1741cfb0a8a3c9680a488040bfd2e</x:v>
      </x:c>
      <x:c r="S3028" t="n">
        <x:v>7</x:v>
      </x:c>
      <x:c r="T3028" t="str">
        <x:v>2018-12-31|2019-12-31|2020-12-31|2021-12-31|2022-12-31|2023-12-31|2024-12-31</x:v>
      </x:c>
      <x:c r="U3028" s="57" t="n">
        <x:v>2050.17685873318</x:v>
      </x:c>
      <x:c r="V3028" s="57" t="n">
        <x:v>-0.6985034031274736</x:v>
      </x:c>
      <x:c r="W3028" t="n">
        <x:v>57</x:v>
      </x:c>
      <x:c r="X3028" t="n">
        <x:v>5</x:v>
      </x:c>
      <x:c r="Y3028" s="38" t="n">
        <x:v>0.6409090909090909</x:v>
      </x:c>
      <x:c r="Z3028" s="38" t="n">
        <x:v>0.5816117807164044</x:v>
      </x:c>
      <x:c r="AA3028"/>
    </x:row>
    <x:row r="3029">
      <x:c r="A3029" s="54" t="n">
        <x:v>45747</x:v>
      </x:c>
      <x:c r="B3029" t="n">
        <x:v>45747.624999988424</x:v>
      </x:c>
      <x:c r="C3029" t="str">
        <x:v>014440</x:v>
      </x:c>
      <x:c r="D3029" t="str">
        <x:v>영보화학</x:v>
      </x:c>
      <x:c r="E3029" t="str">
        <x:v>KOSPI</x:v>
      </x:c>
      <x:c r="F3029" t="str">
        <x:v>SMALL</x:v>
      </x:c>
      <x:c r="G3029" t="str">
        <x:v>ELIGIBLE</x:v>
      </x:c>
      <x:c r="H3029"/>
      <x:c r="I3029" s="54" t="n">
        <x:v>45747</x:v>
      </x:c>
      <x:c r="J3029" s="55" t="n">
        <x:v>4300</x:v>
      </x:c>
      <x:c r="K3029" s="55" t="n">
        <x:v>86000000000</x:v>
      </x:c>
      <x:c r="L3029" s="55" t="n">
        <x:v>20000000</x:v>
      </x:c>
      <x:c r="M3029" t="str">
        <x:v>20250312000962</x:v>
      </x:c>
      <x:c r="N3029" t="n">
        <x:v>45728.624999988424</x:v>
      </x:c>
      <x:c r="O3029" s="54" t="n">
        <x:v>45657</x:v>
      </x:c>
      <x:c r="P3029" t="str">
        <x:v>False</x:v>
      </x:c>
      <x:c r="Q3029" t="str">
        <x:v>821b0e62d7bf149a79e58c287e832ecf8605f6c32ad4957d629f026ddb3aa42e</x:v>
      </x:c>
      <x:c r="R3029" t="str">
        <x:v>573562a41b623182bc90c29cb5d92d4c660b859b315b1bb5f03f3cd959d25731</x:v>
      </x:c>
      <x:c r="S3029" t="n">
        <x:v>6</x:v>
      </x:c>
      <x:c r="T3029" t="str">
        <x:v>2018-12-31|2019-12-31|2020-12-31|2021-12-31|2022-12-31|2023-12-31|2024-12-31</x:v>
      </x:c>
      <x:c r="U3029" s="57" t="n">
        <x:v>2702.424401601988</x:v>
      </x:c>
      <x:c r="V3029" s="57" t="n">
        <x:v>-0.37152920892977026</x:v>
      </x:c>
      <x:c r="W3029" t="n">
        <x:v>39</x:v>
      </x:c>
      <x:c r="X3029" t="n">
        <x:v>3</x:v>
      </x:c>
      <x:c r="Y3029" s="38" t="n">
        <x:v>0.6409090909090909</x:v>
      </x:c>
      <x:c r="Z3029" s="38" t="n">
        <x:v>0.2753938697123028</x:v>
      </x:c>
      <x:c r="AA3029"/>
    </x:row>
    <x:row r="3030">
      <x:c r="A3030" s="54" t="n">
        <x:v>45747</x:v>
      </x:c>
      <x:c r="B3030" t="n">
        <x:v>45747.624999988424</x:v>
      </x:c>
      <x:c r="C3030" t="str">
        <x:v>009180</x:v>
      </x:c>
      <x:c r="D3030" t="str">
        <x:v>한솔로지스틱스</x:v>
      </x:c>
      <x:c r="E3030" t="str">
        <x:v>KOSPI</x:v>
      </x:c>
      <x:c r="F3030" t="str">
        <x:v>SMALL</x:v>
      </x:c>
      <x:c r="G3030" t="str">
        <x:v>ELIGIBLE</x:v>
      </x:c>
      <x:c r="H3030"/>
      <x:c r="I3030" s="54" t="n">
        <x:v>45747</x:v>
      </x:c>
      <x:c r="J3030" s="55" t="n">
        <x:v>2105</x:v>
      </x:c>
      <x:c r="K3030" s="55" t="n">
        <x:v>59268011625</x:v>
      </x:c>
      <x:c r="L3030" s="55" t="n">
        <x:v>28155825</x:v>
      </x:c>
      <x:c r="M3030" t="str">
        <x:v>20250311001053</x:v>
      </x:c>
      <x:c r="N3030" t="n">
        <x:v>45727.624999988424</x:v>
      </x:c>
      <x:c r="O3030" s="54" t="n">
        <x:v>45657</x:v>
      </x:c>
      <x:c r="P3030" t="str">
        <x:v>False</x:v>
      </x:c>
      <x:c r="Q3030" t="str">
        <x:v>59709c24464c56e3d0c7ef48c0bfedba59f5adc74c03993b7361dc6a6a889121</x:v>
      </x:c>
      <x:c r="R3030" t="str">
        <x:v>87c93be11916e0599394bc821ad5ee5da3f482650082174ad55c0837e8111452</x:v>
      </x:c>
      <x:c r="S3030" t="n">
        <x:v>6</x:v>
      </x:c>
      <x:c r="T3030" t="str">
        <x:v>2018-12-31|2019-12-31|2020-12-31|2021-12-31|2022-12-31|2023-12-31|2024-12-31</x:v>
      </x:c>
      <x:c r="U3030" s="57" t="n">
        <x:v>3416.0822713847656</x:v>
      </x:c>
      <x:c r="V3030" s="57" t="n">
        <x:v>0.6228419341495323</x:v>
      </x:c>
      <x:c r="W3030" t="n">
        <x:v>17</x:v>
      </x:c>
      <x:c r="X3030" t="n">
        <x:v>2</x:v>
      </x:c>
      <x:c r="Y3030" s="38" t="n">
        <x:v>0.6409090909090909</x:v>
      </x:c>
      <x:c r="Z3030" s="38" t="n">
        <x:v>0.680015703976489</x:v>
      </x:c>
      <x:c r="AA3030"/>
    </x:row>
    <x:row r="3031">
      <x:c r="A3031" s="54" t="n">
        <x:v>45747</x:v>
      </x:c>
      <x:c r="B3031" t="n">
        <x:v>45747.624999988424</x:v>
      </x:c>
      <x:c r="C3031" t="str">
        <x:v>004910</x:v>
      </x:c>
      <x:c r="D3031" t="str">
        <x:v>조광페인트</x:v>
      </x:c>
      <x:c r="E3031" t="str">
        <x:v>KOSPI</x:v>
      </x:c>
      <x:c r="F3031" t="str">
        <x:v>SMALL</x:v>
      </x:c>
      <x:c r="G3031" t="str">
        <x:v>DCF_SCREENING_EXCLUSION</x:v>
      </x:c>
      <x:c r="H3031" t="str">
        <x:v>NON_POSITIVE_ENTERPRISE_VALUE|NON_POSITIVE_EQUITY_VALUE|NON_POSITIVE_TERMINAL_FCF</x:v>
      </x:c>
      <x:c r="I3031" s="54" t="n">
        <x:v>45747</x:v>
      </x:c>
      <x:c r="J3031" s="55" t="n">
        <x:v>5370</x:v>
      </x:c>
      <x:c r="K3031" s="55" t="n">
        <x:v>68736000000</x:v>
      </x:c>
      <x:c r="L3031" s="55" t="n">
        <x:v>12800000</x:v>
      </x:c>
      <x:c r="M3031" t="str">
        <x:v>20250318001171</x:v>
      </x:c>
      <x:c r="N3031" t="n">
        <x:v>45734.624999988424</x:v>
      </x:c>
      <x:c r="O3031" s="54" t="n">
        <x:v>45657</x:v>
      </x:c>
      <x:c r="P3031" t="str">
        <x:v>True</x:v>
      </x:c>
      <x:c r="Q3031" t="str">
        <x:v>5a99b63119ea656bdcc2dca755ac210344c4ea8f38018b6637d008f1de7855c3</x:v>
      </x:c>
      <x:c r="R3031" t="str">
        <x:v>1cac36adc332826d55853dcec055d8faa5f6a9ecffb44daf992f92b60eb8352f</x:v>
      </x:c>
      <x:c r="S3031" t="n">
        <x:v>6</x:v>
      </x:c>
      <x:c r="T3031" t="str">
        <x:v>2018-12-31|2019-12-31|2020-12-31|2021-12-31|2022-12-31|2023-12-31|2024-12-31</x:v>
      </x:c>
      <x:c r="U3031" s="57" t="n">
        <x:v>-11774.923010008273</x:v>
      </x:c>
      <x:c r="V3031" s="57" t="n">
        <x:v>-3.1927230931114106</x:v>
      </x:c>
      <x:c r="W3031"/>
      <x:c r="X3031"/>
      <x:c r="Y3031" s="38" t="n">
        <x:v>0.6409090909090909</x:v>
      </x:c>
      <x:c r="Z3031" s="38" t="n">
        <x:v>0.716994323080108</x:v>
      </x:c>
      <x:c r="AA3031" t="str">
        <x:v>NON_POSITIVE_ENTERPRISE_VALUE|NON_POSITIVE_EQUITY_VALUE|NON_POSITIVE_TERMINAL_FCF</x:v>
      </x:c>
    </x:row>
    <x:row r="3032">
      <x:c r="A3032" s="54" t="n">
        <x:v>45747</x:v>
      </x:c>
      <x:c r="B3032" t="n">
        <x:v>45747.624999988424</x:v>
      </x:c>
      <x:c r="C3032" t="str">
        <x:v>004870</x:v>
      </x:c>
      <x:c r="D3032" t="str">
        <x:v>티웨이홀딩스</x:v>
      </x:c>
      <x:c r="E3032" t="str">
        <x:v>KOSPI</x:v>
      </x:c>
      <x:c r="F3032" t="str">
        <x:v>SMALL</x:v>
      </x:c>
      <x:c r="G3032" t="str">
        <x:v>EXCLUDED_ARCHETYPE</x:v>
      </x:c>
      <x:c r="H3032" t="str">
        <x:v>FCFF_NOT_COMPARABLE_FOR_FINANCE_OR_HOLDING_HINT</x:v>
      </x:c>
      <x:c r="I3032" s="54"/>
      <x:c r="J3032" s="55"/>
      <x:c r="K3032" s="55"/>
      <x:c r="L3032" s="55"/>
      <x:c r="M3032"/>
      <x:c r="N3032"/>
      <x:c r="O3032" s="54"/>
      <x:c r="P3032"/>
      <x:c r="Q3032"/>
      <x:c r="R3032"/>
      <x:c r="S3032"/>
      <x:c r="T3032"/>
      <x:c r="U3032" s="57"/>
      <x:c r="V3032" s="57"/>
      <x:c r="W3032"/>
      <x:c r="X3032"/>
      <x:c r="Y3032" s="38"/>
      <x:c r="Z3032" s="38"/>
      <x:c r="AA3032"/>
    </x:row>
    <x:row r="3033">
      <x:c r="A3033" s="54" t="n">
        <x:v>45747</x:v>
      </x:c>
      <x:c r="B3033" t="n">
        <x:v>45747.624999988424</x:v>
      </x:c>
      <x:c r="C3033" t="str">
        <x:v>010770</x:v>
      </x:c>
      <x:c r="D3033" t="str">
        <x:v>평화홀딩스</x:v>
      </x:c>
      <x:c r="E3033" t="str">
        <x:v>KOSPI</x:v>
      </x:c>
      <x:c r="F3033" t="str">
        <x:v>SMALL</x:v>
      </x:c>
      <x:c r="G3033" t="str">
        <x:v>EXCLUDED_ARCHETYPE</x:v>
      </x:c>
      <x:c r="H3033" t="str">
        <x:v>FCFF_NOT_COMPARABLE_FOR_FINANCE_OR_HOLDING_HINT</x:v>
      </x:c>
      <x:c r="I3033" s="54"/>
      <x:c r="J3033" s="55"/>
      <x:c r="K3033" s="55"/>
      <x:c r="L3033" s="55"/>
      <x:c r="M3033"/>
      <x:c r="N3033"/>
      <x:c r="O3033" s="54"/>
      <x:c r="P3033"/>
      <x:c r="Q3033"/>
      <x:c r="R3033"/>
      <x:c r="S3033"/>
      <x:c r="T3033"/>
      <x:c r="U3033" s="57"/>
      <x:c r="V3033" s="57"/>
      <x:c r="W3033"/>
      <x:c r="X3033"/>
      <x:c r="Y3033" s="38"/>
      <x:c r="Z3033" s="38"/>
      <x:c r="AA3033"/>
    </x:row>
    <x:row r="3034">
      <x:c r="A3034" s="54" t="n">
        <x:v>45747</x:v>
      </x:c>
      <x:c r="B3034" t="n">
        <x:v>45747.624999988424</x:v>
      </x:c>
      <x:c r="C3034" t="str">
        <x:v>001290</x:v>
      </x:c>
      <x:c r="D3034" t="str">
        <x:v>상상인증권</x:v>
      </x:c>
      <x:c r="E3034" t="str">
        <x:v>KOSPI</x:v>
      </x:c>
      <x:c r="F3034" t="str">
        <x:v>SMALL</x:v>
      </x:c>
      <x:c r="G3034" t="str">
        <x:v>EXCLUDED_ARCHETYPE</x:v>
      </x:c>
      <x:c r="H3034" t="str">
        <x:v>FCFF_NOT_COMPARABLE_FOR_FINANCE_OR_HOLDING_HINT</x:v>
      </x:c>
      <x:c r="I3034" s="54"/>
      <x:c r="J3034" s="55"/>
      <x:c r="K3034" s="55"/>
      <x:c r="L3034" s="55"/>
      <x:c r="M3034"/>
      <x:c r="N3034"/>
      <x:c r="O3034" s="54"/>
      <x:c r="P3034"/>
      <x:c r="Q3034"/>
      <x:c r="R3034"/>
      <x:c r="S3034"/>
      <x:c r="T3034"/>
      <x:c r="U3034" s="57"/>
      <x:c r="V3034" s="57"/>
      <x:c r="W3034"/>
      <x:c r="X3034"/>
      <x:c r="Y3034" s="38"/>
      <x:c r="Z3034" s="38"/>
      <x:c r="AA3034"/>
    </x:row>
    <x:row r="3035">
      <x:c r="A3035" s="54" t="n">
        <x:v>45747</x:v>
      </x:c>
      <x:c r="B3035" t="n">
        <x:v>45747.624999988424</x:v>
      </x:c>
      <x:c r="C3035" t="str">
        <x:v>047400</x:v>
      </x:c>
      <x:c r="D3035" t="str">
        <x:v>유니온머티리얼</x:v>
      </x:c>
      <x:c r="E3035" t="str">
        <x:v>KOSPI</x:v>
      </x:c>
      <x:c r="F3035" t="str">
        <x:v>SMALL</x:v>
      </x:c>
      <x:c r="G3035" t="str">
        <x:v>DCF_SCREENING_EXCLUSION</x:v>
      </x:c>
      <x:c r="H3035" t="str">
        <x:v>NON_POSITIVE_ENTERPRISE_VALUE|NON_POSITIVE_EQUITY_VALUE|NON_POSITIVE_TERMINAL_FCF</x:v>
      </x:c>
      <x:c r="I3035" s="54" t="n">
        <x:v>45747</x:v>
      </x:c>
      <x:c r="J3035" s="55" t="n">
        <x:v>1948</x:v>
      </x:c>
      <x:c r="K3035" s="55" t="n">
        <x:v>81816000000</x:v>
      </x:c>
      <x:c r="L3035" s="55" t="n">
        <x:v>42000000</x:v>
      </x:c>
      <x:c r="M3035" t="str">
        <x:v>20250319000740</x:v>
      </x:c>
      <x:c r="N3035" t="n">
        <x:v>45735.624999988424</x:v>
      </x:c>
      <x:c r="O3035" s="54" t="n">
        <x:v>45657</x:v>
      </x:c>
      <x:c r="P3035" t="str">
        <x:v>False</x:v>
      </x:c>
      <x:c r="Q3035" t="str">
        <x:v>a8242c53f0ad44f64b3db687429fc578de052a0697c88c72b7c659019d024840</x:v>
      </x:c>
      <x:c r="R3035" t="str">
        <x:v>97c5afa8df14b5ec6caebc6e645bf729b68091c12f4d5b89f814251a1f31d678</x:v>
      </x:c>
      <x:c r="S3035" t="n">
        <x:v>7</x:v>
      </x:c>
      <x:c r="T3035" t="str">
        <x:v>2018-12-31|2019-12-31|2020-12-31|2021-12-31|2022-12-31|2023-12-31|2024-12-31</x:v>
      </x:c>
      <x:c r="U3035" s="57" t="n">
        <x:v>-2782.089618403416</x:v>
      </x:c>
      <x:c r="V3035" s="57" t="n">
        <x:v>-2.428177422178345</x:v>
      </x:c>
      <x:c r="W3035"/>
      <x:c r="X3035"/>
      <x:c r="Y3035" s="38" t="n">
        <x:v>0.6409090909090909</x:v>
      </x:c>
      <x:c r="Z3035" s="38" t="n">
        <x:v>0.27674932142790226</x:v>
      </x:c>
      <x:c r="AA3035" t="str">
        <x:v>NON_POSITIVE_ENTERPRISE_VALUE|NON_POSITIVE_EQUITY_VALUE|NON_POSITIVE_TERMINAL_FCF</x:v>
      </x:c>
    </x:row>
    <x:row r="3036">
      <x:c r="A3036" s="54" t="n">
        <x:v>45747</x:v>
      </x:c>
      <x:c r="B3036" t="n">
        <x:v>45747.624999988424</x:v>
      </x:c>
      <x:c r="C3036" t="str">
        <x:v>011300</x:v>
      </x:c>
      <x:c r="D3036" t="str">
        <x:v>성안머티리얼스</x:v>
      </x:c>
      <x:c r="E3036" t="str">
        <x:v>KOSPI</x:v>
      </x:c>
      <x:c r="F3036" t="str">
        <x:v>SMALL</x:v>
      </x:c>
      <x:c r="G3036" t="str">
        <x:v>DCF_SCREENING_EXCLUSION</x:v>
      </x:c>
      <x:c r="H3036" t="str">
        <x:v>NON_POSITIVE_ENTERPRISE_VALUE|NON_POSITIVE_EQUITY_VALUE|NON_POSITIVE_TERMINAL_FCF</x:v>
      </x:c>
      <x:c r="I3036" s="54" t="n">
        <x:v>45747</x:v>
      </x:c>
      <x:c r="J3036" s="55" t="n">
        <x:v>613</x:v>
      </x:c>
      <x:c r="K3036" s="55" t="n">
        <x:v>83102984775</x:v>
      </x:c>
      <x:c r="L3036" s="55" t="n">
        <x:v>135567675</x:v>
      </x:c>
      <x:c r="M3036" t="str">
        <x:v>20250320000581</x:v>
      </x:c>
      <x:c r="N3036" t="n">
        <x:v>45736.624999988424</x:v>
      </x:c>
      <x:c r="O3036" s="54" t="n">
        <x:v>45657</x:v>
      </x:c>
      <x:c r="P3036" t="str">
        <x:v>False</x:v>
      </x:c>
      <x:c r="Q3036" t="str">
        <x:v>c4acc0803989eb38af3f11fcc20482eee7b03e36392835b52689e3bfe0cbc9d5</x:v>
      </x:c>
      <x:c r="R3036" t="str">
        <x:v>34b92e77046a192f0a546c78e4754be4ed5bfd65ecd5aace3f2333550c2ab478</x:v>
      </x:c>
      <x:c r="S3036" t="n">
        <x:v>7</x:v>
      </x:c>
      <x:c r="T3036" t="str">
        <x:v>2018-12-31|2019-12-31|2020-12-31|2021-12-31|2022-12-31|2023-12-31|2024-12-31</x:v>
      </x:c>
      <x:c r="U3036" s="57" t="n">
        <x:v>-221.7557604226261</x:v>
      </x:c>
      <x:c r="V3036" s="57" t="n">
        <x:v>-1.3617549109667637</x:v>
      </x:c>
      <x:c r="W3036"/>
      <x:c r="X3036"/>
      <x:c r="Y3036" s="38" t="n">
        <x:v>0.6409090909090909</x:v>
      </x:c>
      <x:c r="Z3036" s="38" t="n">
        <x:v>0.4326814893151209</x:v>
      </x:c>
      <x:c r="AA3036" t="str">
        <x:v>NON_POSITIVE_ENTERPRISE_VALUE|NON_POSITIVE_EQUITY_VALUE|NON_POSITIVE_TERMINAL_FCF</x:v>
      </x:c>
    </x:row>
    <x:row r="3037">
      <x:c r="A3037" s="54" t="n">
        <x:v>45747</x:v>
      </x:c>
      <x:c r="B3037" t="n">
        <x:v>45747.624999988424</x:v>
      </x:c>
      <x:c r="C3037" t="str">
        <x:v>018500</x:v>
      </x:c>
      <x:c r="D3037" t="str">
        <x:v>동원금속</x:v>
      </x:c>
      <x:c r="E3037" t="str">
        <x:v>KOSPI</x:v>
      </x:c>
      <x:c r="F3037" t="str">
        <x:v>SMALL</x:v>
      </x:c>
      <x:c r="G3037" t="str">
        <x:v>DCF_SCREENING_EXCLUSION</x:v>
      </x:c>
      <x:c r="H3037" t="str">
        <x:v>NON_POSITIVE_EQUITY_VALUE|NON_POSITIVE_TERMINAL_FCF|UNRELIABLE_TERMINAL_VALUE_SHARE</x:v>
      </x:c>
      <x:c r="I3037" s="54" t="n">
        <x:v>45747</x:v>
      </x:c>
      <x:c r="J3037" s="55" t="n">
        <x:v>1595</x:v>
      </x:c>
      <x:c r="K3037" s="55" t="n">
        <x:v>74574118135</x:v>
      </x:c>
      <x:c r="L3037" s="55" t="n">
        <x:v>46754933</x:v>
      </x:c>
      <x:c r="M3037" t="str">
        <x:v>20240619000177</x:v>
      </x:c>
      <x:c r="N3037" t="n">
        <x:v>45462.624999988424</x:v>
      </x:c>
      <x:c r="O3037" s="54" t="n">
        <x:v>45382</x:v>
      </x:c>
      <x:c r="P3037" t="str">
        <x:v>False</x:v>
      </x:c>
      <x:c r="Q3037" t="str">
        <x:v>8a03c200412751313e60676f690eeaccfa94e6e2d3d5c91635efb46b2b4c556a</x:v>
      </x:c>
      <x:c r="R3037" t="str">
        <x:v>221c2a022065bc5e4b98f0ad26e589d1263a832088a1015b66150b62c26290ba</x:v>
      </x:c>
      <x:c r="S3037" t="n">
        <x:v>6</x:v>
      </x:c>
      <x:c r="T3037" t="str">
        <x:v>2019-03-31|2020-03-31|2021-03-31|2022-03-31|2023-03-31|2024-03-31</x:v>
      </x:c>
      <x:c r="U3037" s="57" t="n">
        <x:v>-2219.933760496447</x:v>
      </x:c>
      <x:c r="V3037" s="57" t="n">
        <x:v>-2.391808000311252</x:v>
      </x:c>
      <x:c r="W3037"/>
      <x:c r="X3037"/>
      <x:c r="Y3037" s="38" t="n">
        <x:v>0.6409090909090909</x:v>
      </x:c>
      <x:c r="Z3037" s="38" t="n">
        <x:v>-3.12237275670015</x:v>
      </x:c>
      <x:c r="AA3037" t="str">
        <x:v>NON_POSITIVE_EQUITY_VALUE|NON_POSITIVE_TERMINAL_FCF|UNRELIABLE_TERMINAL_VALUE_SHARE</x:v>
      </x:c>
    </x:row>
    <x:row r="3038">
      <x:c r="A3038" s="54" t="n">
        <x:v>45747</x:v>
      </x:c>
      <x:c r="B3038" t="n">
        <x:v>45747.624999988424</x:v>
      </x:c>
      <x:c r="C3038" t="str">
        <x:v>004770</x:v>
      </x:c>
      <x:c r="D3038" t="str">
        <x:v>써니전자</x:v>
      </x:c>
      <x:c r="E3038" t="str">
        <x:v>KOSPI</x:v>
      </x:c>
      <x:c r="F3038" t="str">
        <x:v>SMALL</x:v>
      </x:c>
      <x:c r="G3038" t="str">
        <x:v>ELIGIBLE</x:v>
      </x:c>
      <x:c r="H3038"/>
      <x:c r="I3038" s="54" t="n">
        <x:v>45747</x:v>
      </x:c>
      <x:c r="J3038" s="55" t="n">
        <x:v>1981</x:v>
      </x:c>
      <x:c r="K3038" s="55" t="n">
        <x:v>72708413204</x:v>
      </x:c>
      <x:c r="L3038" s="55" t="n">
        <x:v>36702884</x:v>
      </x:c>
      <x:c r="M3038" t="str">
        <x:v>20250317000934</x:v>
      </x:c>
      <x:c r="N3038" t="n">
        <x:v>45733.624999988424</x:v>
      </x:c>
      <x:c r="O3038" s="54" t="n">
        <x:v>45657</x:v>
      </x:c>
      <x:c r="P3038" t="str">
        <x:v>False</x:v>
      </x:c>
      <x:c r="Q3038" t="str">
        <x:v>c66f294c0844e2ff06a9fb7db0538848bd7373f72bea991b9a35ef3ce6e80b54</x:v>
      </x:c>
      <x:c r="R3038" t="str">
        <x:v>f3f195bfe5a776ba4dbad8ccf07ace080d1f2b954107d8e0762b6ece9b5486de</x:v>
      </x:c>
      <x:c r="S3038" t="n">
        <x:v>5</x:v>
      </x:c>
      <x:c r="T3038" t="str">
        <x:v>2018-12-31|2019-12-31|2020-12-31|2021-12-31|2022-12-31|2023-12-31|2024-12-31</x:v>
      </x:c>
      <x:c r="U3038" s="57" t="n">
        <x:v>351.6747728784162</x:v>
      </x:c>
      <x:c r="V3038" s="57" t="n">
        <x:v>-0.8224761368609711</x:v>
      </x:c>
      <x:c r="W3038" t="n">
        <x:v>62</x:v>
      </x:c>
      <x:c r="X3038" t="n">
        <x:v>5</x:v>
      </x:c>
      <x:c r="Y3038" s="38" t="n">
        <x:v>0.6409090909090909</x:v>
      </x:c>
      <x:c r="Z3038" s="38" t="n">
        <x:v>0.49542393931877315</x:v>
      </x:c>
      <x:c r="AA3038"/>
    </x:row>
    <x:row r="3039">
      <x:c r="A3039" s="54" t="n">
        <x:v>45747</x:v>
      </x:c>
      <x:c r="B3039" t="n">
        <x:v>45747.624999988424</x:v>
      </x:c>
      <x:c r="C3039" t="str">
        <x:v>000890</x:v>
      </x:c>
      <x:c r="D3039" t="str">
        <x:v>보해양조</x:v>
      </x:c>
      <x:c r="E3039" t="str">
        <x:v>KOSPI</x:v>
      </x:c>
      <x:c r="F3039" t="str">
        <x:v>SMALL</x:v>
      </x:c>
      <x:c r="G3039" t="str">
        <x:v>DCF_SCREENING_EXCLUSION</x:v>
      </x:c>
      <x:c r="H3039" t="str">
        <x:v>NON_POSITIVE_ENTERPRISE_VALUE|NON_POSITIVE_EQUITY_VALUE|NON_POSITIVE_TERMINAL_FCF</x:v>
      </x:c>
      <x:c r="I3039" s="54" t="n">
        <x:v>45747</x:v>
      </x:c>
      <x:c r="J3039" s="55" t="n">
        <x:v>445</x:v>
      </x:c>
      <x:c r="K3039" s="55" t="n">
        <x:v>61908457405</x:v>
      </x:c>
      <x:c r="L3039" s="55" t="n">
        <x:v>139120129</x:v>
      </x:c>
      <x:c r="M3039" t="str">
        <x:v>20250318001002</x:v>
      </x:c>
      <x:c r="N3039" t="n">
        <x:v>45734.624999988424</x:v>
      </x:c>
      <x:c r="O3039" s="54" t="n">
        <x:v>45657</x:v>
      </x:c>
      <x:c r="P3039" t="str">
        <x:v>False</x:v>
      </x:c>
      <x:c r="Q3039" t="str">
        <x:v>8054cb7166001473f94a0d9e21af21ddb8f261c499dfb529c5afbbf86549a334</x:v>
      </x:c>
      <x:c r="R3039" t="str">
        <x:v>f7bbeeae58b22f4ef34bb68ef5da8eeac18b94ac5776f0d967654ab8e36058ab</x:v>
      </x:c>
      <x:c r="S3039" t="n">
        <x:v>6</x:v>
      </x:c>
      <x:c r="T3039" t="str">
        <x:v>2018-12-31|2019-12-31|2020-12-31|2021-12-31|2022-12-31|2023-12-31|2024-12-31</x:v>
      </x:c>
      <x:c r="U3039" s="57" t="n">
        <x:v>-150.13214468034548</x:v>
      </x:c>
      <x:c r="V3039" s="57" t="n">
        <x:v>-1.3373756060232482</x:v>
      </x:c>
      <x:c r="W3039"/>
      <x:c r="X3039"/>
      <x:c r="Y3039" s="38" t="n">
        <x:v>0.6409090909090909</x:v>
      </x:c>
      <x:c r="Z3039" s="38" t="n">
        <x:v>0.7960065703909888</x:v>
      </x:c>
      <x:c r="AA3039" t="str">
        <x:v>NON_POSITIVE_ENTERPRISE_VALUE|NON_POSITIVE_EQUITY_VALUE|NON_POSITIVE_TERMINAL_FCF</x:v>
      </x:c>
    </x:row>
    <x:row r="3040">
      <x:c r="A3040" s="54" t="n">
        <x:v>45747</x:v>
      </x:c>
      <x:c r="B3040" t="n">
        <x:v>45747.624999988424</x:v>
      </x:c>
      <x:c r="C3040" t="str">
        <x:v>021050</x:v>
      </x:c>
      <x:c r="D3040" t="str">
        <x:v>서원</x:v>
      </x:c>
      <x:c r="E3040" t="str">
        <x:v>KOSPI</x:v>
      </x:c>
      <x:c r="F3040" t="str">
        <x:v>SMALL</x:v>
      </x:c>
      <x:c r="G3040" t="str">
        <x:v>DCF_SCREENING_EXCLUSION</x:v>
      </x:c>
      <x:c r="H3040" t="str">
        <x:v>NON_POSITIVE_EQUITY_VALUE</x:v>
      </x:c>
      <x:c r="I3040" s="54" t="n">
        <x:v>45747</x:v>
      </x:c>
      <x:c r="J3040" s="55" t="n">
        <x:v>1187</x:v>
      </x:c>
      <x:c r="K3040" s="55" t="n">
        <x:v>56352338330</x:v>
      </x:c>
      <x:c r="L3040" s="55" t="n">
        <x:v>47474590</x:v>
      </x:c>
      <x:c r="M3040" t="str">
        <x:v>20250320001156</x:v>
      </x:c>
      <x:c r="N3040" t="n">
        <x:v>45736.624999988424</x:v>
      </x:c>
      <x:c r="O3040" s="54" t="n">
        <x:v>45657</x:v>
      </x:c>
      <x:c r="P3040" t="str">
        <x:v>False</x:v>
      </x:c>
      <x:c r="Q3040" t="str">
        <x:v>b685ef75de2be36493fead8fba5a53ebf7b3f2a968a40c9efa56d3dd00b48e98</x:v>
      </x:c>
      <x:c r="R3040" t="str">
        <x:v>aa6e8d32d4333b0e8bbaacb8e4c78a70981592cac081cd73f9020f551d826684</x:v>
      </x:c>
      <x:c r="S3040" t="n">
        <x:v>6</x:v>
      </x:c>
      <x:c r="T3040" t="str">
        <x:v>2018-12-31|2019-12-31|2020-12-31|2021-12-31|2022-12-31|2023-12-31|2024-12-31</x:v>
      </x:c>
      <x:c r="U3040" s="57" t="n">
        <x:v>-5789.297709897163</x:v>
      </x:c>
      <x:c r="V3040" s="57" t="n">
        <x:v>-5.877251651134931</x:v>
      </x:c>
      <x:c r="W3040"/>
      <x:c r="X3040"/>
      <x:c r="Y3040" s="38" t="n">
        <x:v>0.6409090909090909</x:v>
      </x:c>
      <x:c r="Z3040" s="38" t="n">
        <x:v>0.7153986289447738</x:v>
      </x:c>
      <x:c r="AA3040" t="str">
        <x:v>NON_POSITIVE_EQUITY_VALUE</x:v>
      </x:c>
    </x:row>
    <x:row r="3041">
      <x:c r="A3041" s="54" t="n">
        <x:v>45747</x:v>
      </x:c>
      <x:c r="B3041" t="n">
        <x:v>45747.624999988424</x:v>
      </x:c>
      <x:c r="C3041" t="str">
        <x:v>134790</x:v>
      </x:c>
      <x:c r="D3041" t="str">
        <x:v>시디즈</x:v>
      </x:c>
      <x:c r="E3041" t="str">
        <x:v>KOSPI</x:v>
      </x:c>
      <x:c r="F3041" t="str">
        <x:v>SMALL</x:v>
      </x:c>
      <x:c r="G3041" t="str">
        <x:v>DCF_SCREENING_EXCLUSION</x:v>
      </x:c>
      <x:c r="H3041" t="str">
        <x:v>UNRELIABLE_TERMINAL_VALUE_SHARE</x:v>
      </x:c>
      <x:c r="I3041" s="54" t="n">
        <x:v>45747</x:v>
      </x:c>
      <x:c r="J3041" s="55" t="n">
        <x:v>25750</x:v>
      </x:c>
      <x:c r="K3041" s="55" t="n">
        <x:v>51500000000</x:v>
      </x:c>
      <x:c r="L3041" s="55" t="n">
        <x:v>2000000</x:v>
      </x:c>
      <x:c r="M3041" t="str">
        <x:v>20250328002312</x:v>
      </x:c>
      <x:c r="N3041" t="n">
        <x:v>45744.624999988424</x:v>
      </x:c>
      <x:c r="O3041" s="54" t="n">
        <x:v>45657</x:v>
      </x:c>
      <x:c r="P3041" t="str">
        <x:v>True</x:v>
      </x:c>
      <x:c r="Q3041" t="str">
        <x:v>cb985851932d5a2e544e3cc91bd4f3f2804004584658583eec2412589d5f69af</x:v>
      </x:c>
      <x:c r="R3041" t="str">
        <x:v>2f1a99d5465ddc5872be47420164dfe17a99e744fde9b3db000ff620f18a223f</x:v>
      </x:c>
      <x:c r="S3041" t="n">
        <x:v>6</x:v>
      </x:c>
      <x:c r="T3041" t="str">
        <x:v>2018-12-31|2019-12-31|2020-12-31|2021-12-31|2022-12-31|2023-12-31|2024-12-31</x:v>
      </x:c>
      <x:c r="U3041" s="57" t="n">
        <x:v>12330.527772252397</x:v>
      </x:c>
      <x:c r="V3041" s="57" t="n">
        <x:v>-0.5211445525338875</x:v>
      </x:c>
      <x:c r="W3041"/>
      <x:c r="X3041"/>
      <x:c r="Y3041" s="38" t="n">
        <x:v>0.6409090909090909</x:v>
      </x:c>
      <x:c r="Z3041" s="38" t="n">
        <x:v>1.09981550173828</x:v>
      </x:c>
      <x:c r="AA3041" t="str">
        <x:v>UNRELIABLE_TERMINAL_VALUE_SHARE</x:v>
      </x:c>
    </x:row>
    <x:row r="3042">
      <x:c r="A3042" s="54" t="n">
        <x:v>45747</x:v>
      </x:c>
      <x:c r="B3042" t="n">
        <x:v>45747.624999988424</x:v>
      </x:c>
      <x:c r="C3042" t="str">
        <x:v>004920</x:v>
      </x:c>
      <x:c r="D3042" t="str">
        <x:v>씨아이테크</x:v>
      </x:c>
      <x:c r="E3042" t="str">
        <x:v>KOSPI</x:v>
      </x:c>
      <x:c r="F3042" t="str">
        <x:v>SMALL</x:v>
      </x:c>
      <x:c r="G3042" t="str">
        <x:v>DCF_SCREENING_EXCLUSION</x:v>
      </x:c>
      <x:c r="H3042" t="str">
        <x:v>NON_POSITIVE_ENTERPRISE_VALUE|NON_POSITIVE_EQUITY_VALUE|NON_POSITIVE_TERMINAL_FCF</x:v>
      </x:c>
      <x:c r="I3042" s="54" t="n">
        <x:v>45747</x:v>
      </x:c>
      <x:c r="J3042" s="55" t="n">
        <x:v>1096</x:v>
      </x:c>
      <x:c r="K3042" s="55" t="n">
        <x:v>54872109128</x:v>
      </x:c>
      <x:c r="L3042" s="55" t="n">
        <x:v>50065793</x:v>
      </x:c>
      <x:c r="M3042" t="str">
        <x:v>20250321000753</x:v>
      </x:c>
      <x:c r="N3042" t="n">
        <x:v>45737.624999988424</x:v>
      </x:c>
      <x:c r="O3042" s="54" t="n">
        <x:v>45657</x:v>
      </x:c>
      <x:c r="P3042" t="str">
        <x:v>False</x:v>
      </x:c>
      <x:c r="Q3042" t="str">
        <x:v>4606073a08144d6a2a56e71ffc64dcaab42951eb56480e2afc1bc44d5186e920</x:v>
      </x:c>
      <x:c r="R3042" t="str">
        <x:v>a28345c7c43d50b0cf348240aa5fbf254a925a1c72684fc69a6af89f671ccb9a</x:v>
      </x:c>
      <x:c r="S3042" t="n">
        <x:v>6</x:v>
      </x:c>
      <x:c r="T3042" t="str">
        <x:v>2018-12-31|2019-12-31|2020-12-31|2021-12-31|2022-12-31|2024-12-31</x:v>
      </x:c>
      <x:c r="U3042" s="57" t="n">
        <x:v>-803.1174312182962</x:v>
      </x:c>
      <x:c r="V3042" s="57" t="n">
        <x:v>-1.7327713788488104</x:v>
      </x:c>
      <x:c r="W3042"/>
      <x:c r="X3042"/>
      <x:c r="Y3042" s="38" t="n">
        <x:v>0.6409090909090909</x:v>
      </x:c>
      <x:c r="Z3042" s="38" t="n">
        <x:v>0.5598566007081642</x:v>
      </x:c>
      <x:c r="AA3042" t="str">
        <x:v>NON_POSITIVE_ENTERPRISE_VALUE|NON_POSITIVE_EQUITY_VALUE|NON_POSITIVE_TERMINAL_FCF</x:v>
      </x:c>
    </x:row>
    <x:row r="3043">
      <x:c r="A3043" s="54" t="n">
        <x:v>45747</x:v>
      </x:c>
      <x:c r="B3043" t="n">
        <x:v>45747.624999988424</x:v>
      </x:c>
      <x:c r="C3043" t="str">
        <x:v>058730</x:v>
      </x:c>
      <x:c r="D3043" t="str">
        <x:v>다스코</x:v>
      </x:c>
      <x:c r="E3043" t="str">
        <x:v>KOSPI</x:v>
      </x:c>
      <x:c r="F3043" t="str">
        <x:v>SMALL</x:v>
      </x:c>
      <x:c r="G3043" t="str">
        <x:v>DCF_SCREENING_EXCLUSION</x:v>
      </x:c>
      <x:c r="H3043" t="str">
        <x:v>UNRELIABLE_TERMINAL_VALUE_SHARE</x:v>
      </x:c>
      <x:c r="I3043" s="54" t="n">
        <x:v>45747</x:v>
      </x:c>
      <x:c r="J3043" s="55" t="n">
        <x:v>2810</x:v>
      </x:c>
      <x:c r="K3043" s="55" t="n">
        <x:v>52819404210</x:v>
      </x:c>
      <x:c r="L3043" s="55" t="n">
        <x:v>18796941</x:v>
      </x:c>
      <x:c r="M3043" t="str">
        <x:v>20250314000954</x:v>
      </x:c>
      <x:c r="N3043" t="n">
        <x:v>45730.624999988424</x:v>
      </x:c>
      <x:c r="O3043" s="54" t="n">
        <x:v>45657</x:v>
      </x:c>
      <x:c r="P3043" t="str">
        <x:v>False</x:v>
      </x:c>
      <x:c r="Q3043" t="str">
        <x:v>fa1d8ec6a006c09e770c711aa7e4b87adadd981e96034f1b065f252260d0c46e</x:v>
      </x:c>
      <x:c r="R3043" t="str">
        <x:v>614c48babc6a1cfec15605db94e5f9e896887d76082d901b490b241f48590823</x:v>
      </x:c>
      <x:c r="S3043" t="n">
        <x:v>7</x:v>
      </x:c>
      <x:c r="T3043" t="str">
        <x:v>2019-12-31|2020-12-31|2021-12-31|2022-12-31|2023-12-31|2024-12-31</x:v>
      </x:c>
      <x:c r="U3043" s="57" t="n">
        <x:v>2140.7137085885065</x:v>
      </x:c>
      <x:c r="V3043" s="57" t="n">
        <x:v>-0.238180174879535</x:v>
      </x:c>
      <x:c r="W3043"/>
      <x:c r="X3043"/>
      <x:c r="Y3043" s="38" t="n">
        <x:v>0.6409090909090909</x:v>
      </x:c>
      <x:c r="Z3043" s="38" t="n">
        <x:v>1.2046212679337829</x:v>
      </x:c>
      <x:c r="AA3043" t="str">
        <x:v>UNRELIABLE_TERMINAL_VALUE_SHARE</x:v>
      </x:c>
    </x:row>
    <x:row r="3044">
      <x:c r="A3044" s="54" t="n">
        <x:v>45747</x:v>
      </x:c>
      <x:c r="B3044" t="n">
        <x:v>45747.624999988424</x:v>
      </x:c>
      <x:c r="C3044" t="str">
        <x:v>465770</x:v>
      </x:c>
      <x:c r="D3044" t="str">
        <x:v>STX그린로지스</x:v>
      </x:c>
      <x:c r="E3044" t="str">
        <x:v>KOSPI</x:v>
      </x:c>
      <x:c r="F3044" t="str">
        <x:v>SMALL</x:v>
      </x:c>
      <x:c r="G3044" t="str">
        <x:v>DCF_SCREENING_EXCLUSION</x:v>
      </x:c>
      <x:c r="H3044" t="str">
        <x:v>NON_POSITIVE_EQUITY_VALUE</x:v>
      </x:c>
      <x:c r="I3044" s="54" t="n">
        <x:v>45747</x:v>
      </x:c>
      <x:c r="J3044" s="55" t="n">
        <x:v>9160</x:v>
      </x:c>
      <x:c r="K3044" s="55" t="n">
        <x:v>65686653120</x:v>
      </x:c>
      <x:c r="L3044" s="55" t="n">
        <x:v>7171032</x:v>
      </x:c>
      <x:c r="M3044" t="str">
        <x:v>20250320001570</x:v>
      </x:c>
      <x:c r="N3044" t="n">
        <x:v>45736.624999988424</x:v>
      </x:c>
      <x:c r="O3044" s="54" t="n">
        <x:v>45657</x:v>
      </x:c>
      <x:c r="P3044" t="str">
        <x:v>False</x:v>
      </x:c>
      <x:c r="Q3044" t="str">
        <x:v>d121e14c692cac8ceb602b9a7980a2acc3cea9da60dbd30b1ecbd780002c6e62</x:v>
      </x:c>
      <x:c r="R3044" t="str">
        <x:v>54e470457badd0c42cfa2d363b4ba2b6a74816f35a1067daae482dc1d10324a2</x:v>
      </x:c>
      <x:c r="S3044" t="n">
        <x:v>6</x:v>
      </x:c>
      <x:c r="T3044" t="str">
        <x:v>2024-12-31</x:v>
      </x:c>
      <x:c r="U3044" s="57" t="n">
        <x:v>-1760.214629273583</x:v>
      </x:c>
      <x:c r="V3044" s="57" t="n">
        <x:v>-1.1921631691346706</x:v>
      </x:c>
      <x:c r="W3044"/>
      <x:c r="X3044"/>
      <x:c r="Y3044" s="38" t="n">
        <x:v>0.6409090909090909</x:v>
      </x:c>
      <x:c r="Z3044" s="38" t="n">
        <x:v>0.6264850986190418</x:v>
      </x:c>
      <x:c r="AA3044" t="str">
        <x:v>NON_POSITIVE_EQUITY_VALUE</x:v>
      </x:c>
    </x:row>
    <x:row r="3045">
      <x:c r="A3045" s="54" t="n">
        <x:v>45747</x:v>
      </x:c>
      <x:c r="B3045" t="n">
        <x:v>45747.624999988424</x:v>
      </x:c>
      <x:c r="C3045" t="str">
        <x:v>000950</x:v>
      </x:c>
      <x:c r="D3045" t="str">
        <x:v>전방</x:v>
      </x:c>
      <x:c r="E3045" t="str">
        <x:v>KOSPI</x:v>
      </x:c>
      <x:c r="F3045" t="str">
        <x:v>SMALL</x:v>
      </x:c>
      <x:c r="G3045" t="str">
        <x:v>DCF_SCREENING_EXCLUSION</x:v>
      </x:c>
      <x:c r="H3045" t="str">
        <x:v>NON_POSITIVE_ENTERPRISE_VALUE|NON_POSITIVE_EQUITY_VALUE|NON_POSITIVE_TERMINAL_FCF</x:v>
      </x:c>
      <x:c r="I3045" s="54" t="n">
        <x:v>45747</x:v>
      </x:c>
      <x:c r="J3045" s="55" t="n">
        <x:v>18980</x:v>
      </x:c>
      <x:c r="K3045" s="55" t="n">
        <x:v>31886400000</x:v>
      </x:c>
      <x:c r="L3045" s="55" t="n">
        <x:v>1680000</x:v>
      </x:c>
      <x:c r="M3045" t="str">
        <x:v>20250320000970</x:v>
      </x:c>
      <x:c r="N3045" t="n">
        <x:v>45736.624999988424</x:v>
      </x:c>
      <x:c r="O3045" s="54" t="n">
        <x:v>45657</x:v>
      </x:c>
      <x:c r="P3045" t="str">
        <x:v>False</x:v>
      </x:c>
      <x:c r="Q3045" t="str">
        <x:v>695aedfb2a02c3c4f6e09847b7bd0f05294fc71c98cb8488ce971508e61dc96b</x:v>
      </x:c>
      <x:c r="R3045" t="str">
        <x:v>febbd5b4691684037ab0e3b282759dcb0f30967b0520b86dd0d824264328f009</x:v>
      </x:c>
      <x:c r="S3045" t="n">
        <x:v>6</x:v>
      </x:c>
      <x:c r="T3045" t="str">
        <x:v>2018-12-31|2019-12-31|2020-12-31|2021-12-31|2022-12-31|2023-12-31|2024-12-31</x:v>
      </x:c>
      <x:c r="U3045" s="57" t="n">
        <x:v>-34229.73384126007</x:v>
      </x:c>
      <x:c r="V3045" s="57" t="n">
        <x:v>-2.8034633214573272</x:v>
      </x:c>
      <x:c r="W3045"/>
      <x:c r="X3045"/>
      <x:c r="Y3045" s="38" t="n">
        <x:v>0.6409090909090909</x:v>
      </x:c>
      <x:c r="Z3045" s="38" t="n">
        <x:v>0.67601505059011</x:v>
      </x:c>
      <x:c r="AA3045" t="str">
        <x:v>NON_POSITIVE_ENTERPRISE_VALUE|NON_POSITIVE_EQUITY_VALUE|NON_POSITIVE_TERMINAL_FCF</x:v>
      </x:c>
    </x:row>
    <x:row r="3046">
      <x:c r="A3046" s="54" t="n">
        <x:v>45747</x:v>
      </x:c>
      <x:c r="B3046" t="n">
        <x:v>45747.624999988424</x:v>
      </x:c>
      <x:c r="C3046" t="str">
        <x:v>019180</x:v>
      </x:c>
      <x:c r="D3046" t="str">
        <x:v>티에이치엔</x:v>
      </x:c>
      <x:c r="E3046" t="str">
        <x:v>KOSPI</x:v>
      </x:c>
      <x:c r="F3046" t="str">
        <x:v>SMALL</x:v>
      </x:c>
      <x:c r="G3046" t="str">
        <x:v>ELIGIBLE</x:v>
      </x:c>
      <x:c r="H3046"/>
      <x:c r="I3046" s="54" t="n">
        <x:v>45747</x:v>
      </x:c>
      <x:c r="J3046" s="55" t="n">
        <x:v>2980</x:v>
      </x:c>
      <x:c r="K3046" s="55" t="n">
        <x:v>53640000000</x:v>
      </x:c>
      <x:c r="L3046" s="55" t="n">
        <x:v>18000000</x:v>
      </x:c>
      <x:c r="M3046" t="str">
        <x:v>20250319001022</x:v>
      </x:c>
      <x:c r="N3046" t="n">
        <x:v>45735.624999988424</x:v>
      </x:c>
      <x:c r="O3046" s="54" t="n">
        <x:v>45657</x:v>
      </x:c>
      <x:c r="P3046" t="str">
        <x:v>False</x:v>
      </x:c>
      <x:c r="Q3046" t="str">
        <x:v>573f266eaebe16204c58a9dadb3dcdaa6152ac3917c11c554f66009c97884879</x:v>
      </x:c>
      <x:c r="R3046" t="str">
        <x:v>5c2cc694c9832735f982261b31d37532714d82e03b78684a246e3a97c2429987</x:v>
      </x:c>
      <x:c r="S3046" t="n">
        <x:v>6</x:v>
      </x:c>
      <x:c r="T3046" t="str">
        <x:v>2018-12-31|2019-12-31|2020-12-31|2021-12-31|2022-12-31|2023-12-31|2024-12-31</x:v>
      </x:c>
      <x:c r="U3046" s="57" t="n">
        <x:v>8989.47960606312</x:v>
      </x:c>
      <x:c r="V3046" s="57" t="n">
        <x:v>2.0166038946520533</x:v>
      </x:c>
      <x:c r="W3046" t="n">
        <x:v>5</x:v>
      </x:c>
      <x:c r="X3046" t="n">
        <x:v>1</x:v>
      </x:c>
      <x:c r="Y3046" s="38" t="n">
        <x:v>0.6409090909090909</x:v>
      </x:c>
      <x:c r="Z3046" s="38" t="n">
        <x:v>0.674716089310188</x:v>
      </x:c>
      <x:c r="AA3046"/>
    </x:row>
    <x:row r="3047">
      <x:c r="A3047" s="54" t="n">
        <x:v>45747</x:v>
      </x:c>
      <x:c r="B3047" t="n">
        <x:v>45747.624999988424</x:v>
      </x:c>
      <x:c r="C3047" t="str">
        <x:v>020760</x:v>
      </x:c>
      <x:c r="D3047" t="str">
        <x:v>일진디스플</x:v>
      </x:c>
      <x:c r="E3047" t="str">
        <x:v>KOSPI</x:v>
      </x:c>
      <x:c r="F3047" t="str">
        <x:v>SMALL</x:v>
      </x:c>
      <x:c r="G3047" t="str">
        <x:v>DCF_SCREENING_EXCLUSION</x:v>
      </x:c>
      <x:c r="H3047" t="str">
        <x:v>NON_POSITIVE_ENTERPRISE_VALUE|NON_POSITIVE_EQUITY_VALUE|NON_POSITIVE_TERMINAL_FCF</x:v>
      </x:c>
      <x:c r="I3047" s="54" t="n">
        <x:v>45747</x:v>
      </x:c>
      <x:c r="J3047" s="55" t="n">
        <x:v>786</x:v>
      </x:c>
      <x:c r="K3047" s="55" t="n">
        <x:v>40489800426</x:v>
      </x:c>
      <x:c r="L3047" s="55" t="n">
        <x:v>51513741</x:v>
      </x:c>
      <x:c r="M3047" t="str">
        <x:v>20250320000779</x:v>
      </x:c>
      <x:c r="N3047" t="n">
        <x:v>45736.624999988424</x:v>
      </x:c>
      <x:c r="O3047" s="54" t="n">
        <x:v>45657</x:v>
      </x:c>
      <x:c r="P3047" t="str">
        <x:v>False</x:v>
      </x:c>
      <x:c r="Q3047" t="str">
        <x:v>16b8835561dc517a9382bd570df752c796d3792b155120b70f5f9625f768f5cf</x:v>
      </x:c>
      <x:c r="R3047" t="str">
        <x:v>bcfeb149ae389f115043d549814c300b4b0db4c5de38e3a26d6d3ef0be62ff18</x:v>
      </x:c>
      <x:c r="S3047" t="n">
        <x:v>6</x:v>
      </x:c>
      <x:c r="T3047" t="str">
        <x:v>2018-12-31|2019-12-31|2020-12-31|2021-12-31|2022-12-31|2023-12-31|2024-12-31</x:v>
      </x:c>
      <x:c r="U3047" s="57" t="n">
        <x:v>-1878.0025515690484</x:v>
      </x:c>
      <x:c r="V3047" s="57" t="n">
        <x:v>-3.3893162233702907</x:v>
      </x:c>
      <x:c r="W3047"/>
      <x:c r="X3047"/>
      <x:c r="Y3047" s="38" t="n">
        <x:v>0.6409090909090909</x:v>
      </x:c>
      <x:c r="Z3047" s="38" t="n">
        <x:v>0.8007232961037322</x:v>
      </x:c>
      <x:c r="AA3047" t="str">
        <x:v>NON_POSITIVE_ENTERPRISE_VALUE|NON_POSITIVE_EQUITY_VALUE|NON_POSITIVE_TERMINAL_FCF</x:v>
      </x:c>
    </x:row>
    <x:row r="3048">
      <x:c r="A3048" s="54" t="n">
        <x:v>45747</x:v>
      </x:c>
      <x:c r="B3048" t="n">
        <x:v>45747.624999988424</x:v>
      </x:c>
      <x:c r="C3048" t="str">
        <x:v>069640</x:v>
      </x:c>
      <x:c r="D3048" t="str">
        <x:v>한세엠케이</x:v>
      </x:c>
      <x:c r="E3048" t="str">
        <x:v>KOSPI</x:v>
      </x:c>
      <x:c r="F3048" t="str">
        <x:v>SMALL</x:v>
      </x:c>
      <x:c r="G3048" t="str">
        <x:v>DCF_SCREENING_EXCLUSION</x:v>
      </x:c>
      <x:c r="H3048" t="str">
        <x:v>NON_POSITIVE_ENTERPRISE_VALUE|NON_POSITIVE_EQUITY_VALUE|NON_POSITIVE_TERMINAL_FCF</x:v>
      </x:c>
      <x:c r="I3048" s="54" t="n">
        <x:v>45747</x:v>
      </x:c>
      <x:c r="J3048" s="55" t="n">
        <x:v>1106</x:v>
      </x:c>
      <x:c r="K3048" s="55" t="n">
        <x:v>33297791212</x:v>
      </x:c>
      <x:c r="L3048" s="55" t="n">
        <x:v>30106502</x:v>
      </x:c>
      <x:c r="M3048" t="str">
        <x:v>20250318000981</x:v>
      </x:c>
      <x:c r="N3048" t="n">
        <x:v>45734.624999988424</x:v>
      </x:c>
      <x:c r="O3048" s="54" t="n">
        <x:v>45657</x:v>
      </x:c>
      <x:c r="P3048" t="str">
        <x:v>False</x:v>
      </x:c>
      <x:c r="Q3048" t="str">
        <x:v>9c58323ae1aac5c3f40ffa8edf007ceee6686444a02103d418f1ed14604a5192</x:v>
      </x:c>
      <x:c r="R3048" t="str">
        <x:v>fe0eb01acddbc7e8e59dc02117ad9b76925ce6c97658cb38a2196272fc052398</x:v>
      </x:c>
      <x:c r="S3048" t="n">
        <x:v>6</x:v>
      </x:c>
      <x:c r="T3048" t="str">
        <x:v>2018-12-31|2019-12-31|2020-12-31|2021-12-31|2022-12-31|2023-12-31|2024-12-31</x:v>
      </x:c>
      <x:c r="U3048" s="57" t="n">
        <x:v>-9714.1172164225</x:v>
      </x:c>
      <x:c r="V3048" s="57" t="n">
        <x:v>-9.78310779061709</x:v>
      </x:c>
      <x:c r="W3048"/>
      <x:c r="X3048"/>
      <x:c r="Y3048" s="38" t="n">
        <x:v>0.6409090909090909</x:v>
      </x:c>
      <x:c r="Z3048" s="38" t="n">
        <x:v>0.6496510441218734</x:v>
      </x:c>
      <x:c r="AA3048" t="str">
        <x:v>NON_POSITIVE_ENTERPRISE_VALUE|NON_POSITIVE_EQUITY_VALUE|NON_POSITIVE_TERMINAL_FCF</x:v>
      </x:c>
    </x:row>
    <x:row r="3049">
      <x:c r="A3049" s="54" t="n">
        <x:v>45747</x:v>
      </x:c>
      <x:c r="B3049" t="n">
        <x:v>45747.624999988424</x:v>
      </x:c>
      <x:c r="C3049" t="str">
        <x:v>000040</x:v>
      </x:c>
      <x:c r="D3049" t="str">
        <x:v>KR모터스</x:v>
      </x:c>
      <x:c r="E3049" t="str">
        <x:v>KOSPI</x:v>
      </x:c>
      <x:c r="F3049" t="str">
        <x:v>SMALL</x:v>
      </x:c>
      <x:c r="G3049" t="str">
        <x:v>DCF_SCREENING_EXCLUSION</x:v>
      </x:c>
      <x:c r="H3049" t="str">
        <x:v>NON_POSITIVE_ENTERPRISE_VALUE|NON_POSITIVE_EQUITY_VALUE|NON_POSITIVE_TERMINAL_FCF</x:v>
      </x:c>
      <x:c r="I3049" s="54" t="n">
        <x:v>45747</x:v>
      </x:c>
      <x:c r="J3049" s="55" t="n">
        <x:v>375</x:v>
      </x:c>
      <x:c r="K3049" s="55" t="n">
        <x:v>22549825500</x:v>
      </x:c>
      <x:c r="L3049" s="55" t="n">
        <x:v>60132868</x:v>
      </x:c>
      <x:c r="M3049" t="str">
        <x:v>20250319000576</x:v>
      </x:c>
      <x:c r="N3049" t="n">
        <x:v>45735.624999988424</x:v>
      </x:c>
      <x:c r="O3049" s="54" t="n">
        <x:v>45657</x:v>
      </x:c>
      <x:c r="P3049" t="str">
        <x:v>False</x:v>
      </x:c>
      <x:c r="Q3049" t="str">
        <x:v>4f5ab78e7a1b7476add909277456c1a4491388edb5f660301b186880dd65de8a</x:v>
      </x:c>
      <x:c r="R3049" t="str">
        <x:v>4788091e9dcdc8bc2510aeb6ed40fcfc22bdbd3141a793fe3bc85d445b2507cf</x:v>
      </x:c>
      <x:c r="S3049" t="n">
        <x:v>6</x:v>
      </x:c>
      <x:c r="T3049" t="str">
        <x:v>2018-12-31|2019-12-31|2020-12-31|2021-12-31|2022-12-31|2023-12-31|2024-12-31</x:v>
      </x:c>
      <x:c r="U3049" s="57" t="n">
        <x:v>-623.4667450650402</x:v>
      </x:c>
      <x:c r="V3049" s="57" t="n">
        <x:v>-2.662577986840107</x:v>
      </x:c>
      <x:c r="W3049"/>
      <x:c r="X3049"/>
      <x:c r="Y3049" s="38" t="n">
        <x:v>0.6409090909090909</x:v>
      </x:c>
      <x:c r="Z3049" s="38" t="n">
        <x:v>0.5996076659126696</x:v>
      </x:c>
      <x:c r="AA3049" t="str">
        <x:v>NON_POSITIVE_ENTERPRISE_VALUE|NON_POSITIVE_EQUITY_VALUE|NON_POSITIVE_TERMINAL_FCF</x:v>
      </x:c>
    </x:row>
    <x:row r="3050">
      <x:c r="A3050" s="54" t="n">
        <x:v>45747</x:v>
      </x:c>
      <x:c r="B3050" t="n">
        <x:v>45747.624999988424</x:v>
      </x:c>
      <x:c r="C3050" t="str">
        <x:v>003680</x:v>
      </x:c>
      <x:c r="D3050" t="str">
        <x:v>한성기업</x:v>
      </x:c>
      <x:c r="E3050" t="str">
        <x:v>KOSPI</x:v>
      </x:c>
      <x:c r="F3050" t="str">
        <x:v>SMALL</x:v>
      </x:c>
      <x:c r="G3050" t="str">
        <x:v>ELIGIBLE</x:v>
      </x:c>
      <x:c r="H3050"/>
      <x:c r="I3050" s="54" t="n">
        <x:v>45747</x:v>
      </x:c>
      <x:c r="J3050" s="55" t="n">
        <x:v>4765</x:v>
      </x:c>
      <x:c r="K3050" s="55" t="n">
        <x:v>29588338975</x:v>
      </x:c>
      <x:c r="L3050" s="55" t="n">
        <x:v>6209515</x:v>
      </x:c>
      <x:c r="M3050" t="str">
        <x:v>20250318001322</x:v>
      </x:c>
      <x:c r="N3050" t="n">
        <x:v>45734.624999988424</x:v>
      </x:c>
      <x:c r="O3050" s="54" t="n">
        <x:v>45657</x:v>
      </x:c>
      <x:c r="P3050" t="str">
        <x:v>False</x:v>
      </x:c>
      <x:c r="Q3050" t="str">
        <x:v>5241605bdc758e0ffb8ed8129cf39dcec770d090d1f4fc731e1e9cf1bc134878</x:v>
      </x:c>
      <x:c r="R3050" t="str">
        <x:v>46dca6e7e2b5dcf66ade73d250129a28e775eaeefea52bebe6e134b3485e8e6f</x:v>
      </x:c>
      <x:c r="S3050" t="n">
        <x:v>7</x:v>
      </x:c>
      <x:c r="T3050" t="str">
        <x:v>2018-12-31|2019-12-31|2020-12-31|2021-12-31|2022-12-31|2023-12-31|2024-12-31</x:v>
      </x:c>
      <x:c r="U3050" s="57" t="n">
        <x:v>6589.2841745280675</x:v>
      </x:c>
      <x:c r="V3050" s="57" t="n">
        <x:v>0.3828508236155441</x:v>
      </x:c>
      <x:c r="W3050" t="n">
        <x:v>20</x:v>
      </x:c>
      <x:c r="X3050" t="n">
        <x:v>2</x:v>
      </x:c>
      <x:c r="Y3050" s="38" t="n">
        <x:v>0.6409090909090909</x:v>
      </x:c>
      <x:c r="Z3050" s="38" t="n">
        <x:v>0.5604404041626484</x:v>
      </x:c>
      <x:c r="AA3050"/>
    </x:row>
    <x:row r="3051">
      <x:c r="A3051" s="54" t="n">
        <x:v>45747</x:v>
      </x:c>
      <x:c r="B3051" t="n">
        <x:v>45747.624999988424</x:v>
      </x:c>
      <x:c r="C3051" t="str">
        <x:v>008600</x:v>
      </x:c>
      <x:c r="D3051" t="str">
        <x:v>윌비스</x:v>
      </x:c>
      <x:c r="E3051" t="str">
        <x:v>KOSPI</x:v>
      </x:c>
      <x:c r="F3051" t="str">
        <x:v>SMALL</x:v>
      </x:c>
      <x:c r="G3051" t="str">
        <x:v>DCF_SCREENING_EXCLUSION</x:v>
      </x:c>
      <x:c r="H3051" t="str">
        <x:v>NON_POSITIVE_ENTERPRISE_VALUE|NON_POSITIVE_EQUITY_VALUE|NON_POSITIVE_TERMINAL_FCF</x:v>
      </x:c>
      <x:c r="I3051" s="54" t="n">
        <x:v>45747</x:v>
      </x:c>
      <x:c r="J3051" s="55" t="n">
        <x:v>507</x:v>
      </x:c>
      <x:c r="K3051" s="55" t="n">
        <x:v>34088671773</x:v>
      </x:c>
      <x:c r="L3051" s="55" t="n">
        <x:v>67236039</x:v>
      </x:c>
      <x:c r="M3051" t="str">
        <x:v>20250327001289</x:v>
      </x:c>
      <x:c r="N3051" t="n">
        <x:v>45743.624999988424</x:v>
      </x:c>
      <x:c r="O3051" s="54" t="n">
        <x:v>45657</x:v>
      </x:c>
      <x:c r="P3051" t="str">
        <x:v>False</x:v>
      </x:c>
      <x:c r="Q3051" t="str">
        <x:v>568775c89ab7f3228b1a6d38af4e2946d92cf0673716b3c18208ea502609ef38</x:v>
      </x:c>
      <x:c r="R3051" t="str">
        <x:v>d956a0c82704e8133e88cfa62430f585474645b847691fe88b454e58037d3dd4</x:v>
      </x:c>
      <x:c r="S3051" t="n">
        <x:v>6</x:v>
      </x:c>
      <x:c r="T3051" t="str">
        <x:v>2018-12-31|2019-12-31|2020-12-31|2021-12-31|2022-12-31|2023-12-31|2024-12-31</x:v>
      </x:c>
      <x:c r="U3051" s="57" t="n">
        <x:v>-2844.6925454416023</x:v>
      </x:c>
      <x:c r="V3051" s="57" t="n">
        <x:v>-6.610833422961741</x:v>
      </x:c>
      <x:c r="W3051"/>
      <x:c r="X3051"/>
      <x:c r="Y3051" s="38" t="n">
        <x:v>0.6409090909090909</x:v>
      </x:c>
      <x:c r="Z3051" s="38" t="n">
        <x:v>0.4646642476024235</x:v>
      </x:c>
      <x:c r="AA3051" t="str">
        <x:v>NON_POSITIVE_ENTERPRISE_VALUE|NON_POSITIVE_EQUITY_VALUE|NON_POSITIVE_TERMINAL_FCF</x:v>
      </x:c>
    </x:row>
    <x:row r="3052">
      <x:c r="A3052" s="54" t="n">
        <x:v>45747</x:v>
      </x:c>
      <x:c r="B3052" t="n">
        <x:v>45747.624999988424</x:v>
      </x:c>
      <x:c r="C3052" t="str">
        <x:v>018310</x:v>
      </x:c>
      <x:c r="D3052" t="str">
        <x:v>삼목에스폼</x:v>
      </x:c>
      <x:c r="E3052" t="str">
        <x:v>KOSDAQ</x:v>
      </x:c>
      <x:c r="F3052" t="str">
        <x:v>MID</x:v>
      </x:c>
      <x:c r="G3052" t="str">
        <x:v>ELIGIBLE</x:v>
      </x:c>
      <x:c r="H3052"/>
      <x:c r="I3052" s="54" t="n">
        <x:v>45747</x:v>
      </x:c>
      <x:c r="J3052" s="55" t="n">
        <x:v>19650</x:v>
      </x:c>
      <x:c r="K3052" s="55" t="n">
        <x:v>288855000000</x:v>
      </x:c>
      <x:c r="L3052" s="55" t="n">
        <x:v>14700000</x:v>
      </x:c>
      <x:c r="M3052" t="str">
        <x:v>20250320001557</x:v>
      </x:c>
      <x:c r="N3052" t="n">
        <x:v>45736.624999988424</x:v>
      </x:c>
      <x:c r="O3052" s="54" t="n">
        <x:v>45657</x:v>
      </x:c>
      <x:c r="P3052" t="str">
        <x:v>False</x:v>
      </x:c>
      <x:c r="Q3052" t="str">
        <x:v>143b4484fd75ff7a47f5cc16f19390bb5cc41a3582e07f0208e5f7daafbac63c</x:v>
      </x:c>
      <x:c r="R3052" t="str">
        <x:v>878ba03abda96cfd7fd3a85c53ade97321db7faf3ccc10122c5d3cf6b7a576eb</x:v>
      </x:c>
      <x:c r="S3052" t="n">
        <x:v>7</x:v>
      </x:c>
      <x:c r="T3052" t="str">
        <x:v>2018-12-31|2019-12-31|2020-12-31|2021-12-31|2022-12-31|2023-12-31|2024-12-31</x:v>
      </x:c>
      <x:c r="U3052" s="57" t="n">
        <x:v>77823.44787466203</x:v>
      </x:c>
      <x:c r="V3052" s="57" t="n">
        <x:v>2.9604808078708413</x:v>
      </x:c>
      <x:c r="W3052" t="n">
        <x:v>2</x:v>
      </x:c>
      <x:c r="X3052" t="n">
        <x:v>1</x:v>
      </x:c>
      <x:c r="Y3052" s="38" t="n">
        <x:v>0.6409090909090909</x:v>
      </x:c>
      <x:c r="Z3052" s="38" t="n">
        <x:v>0.6923848310222026</x:v>
      </x:c>
      <x:c r="AA3052"/>
    </x:row>
    <x:row r="3053">
      <x:c r="A3053" s="54" t="n">
        <x:v>45747</x:v>
      </x:c>
      <x:c r="B3053" t="n">
        <x:v>45747.624999988424</x:v>
      </x:c>
      <x:c r="C3053" t="str">
        <x:v>090360</x:v>
      </x:c>
      <x:c r="D3053" t="str">
        <x:v>로보스타</x:v>
      </x:c>
      <x:c r="E3053" t="str">
        <x:v>KOSDAQ</x:v>
      </x:c>
      <x:c r="F3053" t="str">
        <x:v>MID</x:v>
      </x:c>
      <x:c r="G3053" t="str">
        <x:v>DCF_SCREENING_EXCLUSION</x:v>
      </x:c>
      <x:c r="H3053" t="str">
        <x:v>NON_POSITIVE_ENTERPRISE_VALUE|NON_POSITIVE_TERMINAL_FCF|UNRELIABLE_TERMINAL_VALUE_SHARE</x:v>
      </x:c>
      <x:c r="I3053" s="54" t="n">
        <x:v>45747</x:v>
      </x:c>
      <x:c r="J3053" s="55" t="n">
        <x:v>22000</x:v>
      </x:c>
      <x:c r="K3053" s="55" t="n">
        <x:v>214500000000</x:v>
      </x:c>
      <x:c r="L3053" s="55" t="n">
        <x:v>9750000</x:v>
      </x:c>
      <x:c r="M3053" t="str">
        <x:v>20250313001105</x:v>
      </x:c>
      <x:c r="N3053" t="n">
        <x:v>45729.624999988424</x:v>
      </x:c>
      <x:c r="O3053" s="54" t="n">
        <x:v>45657</x:v>
      </x:c>
      <x:c r="P3053" t="str">
        <x:v>False</x:v>
      </x:c>
      <x:c r="Q3053" t="str">
        <x:v>26e45c537b6f2838a2381bc66ab038990f5de805ff8e8ecc9feb364708303158</x:v>
      </x:c>
      <x:c r="R3053" t="str">
        <x:v>75b05092f616451ff27bdd03babb1cfb602383368bedb95d27ef0de6f7bcaf85</x:v>
      </x:c>
      <x:c r="S3053" t="n">
        <x:v>5</x:v>
      </x:c>
      <x:c r="T3053" t="str">
        <x:v>2018-12-31|2019-12-31|2020-12-31|2021-12-31|2022-12-31|2023-12-31|2024-12-31</x:v>
      </x:c>
      <x:c r="U3053" s="57" t="n">
        <x:v>2662.2609233060643</x:v>
      </x:c>
      <x:c r="V3053" s="57" t="n">
        <x:v>-0.8789881398497243</x:v>
      </x:c>
      <x:c r="W3053"/>
      <x:c r="X3053"/>
      <x:c r="Y3053" s="38" t="n">
        <x:v>0.6409090909090909</x:v>
      </x:c>
      <x:c r="Z3053" s="38" t="n">
        <x:v>0.8762995317786666</x:v>
      </x:c>
      <x:c r="AA3053" t="str">
        <x:v>NON_POSITIVE_ENTERPRISE_VALUE|NON_POSITIVE_TERMINAL_FCF|UNRELIABLE_TERMINAL_VALUE_SHARE</x:v>
      </x:c>
    </x:row>
    <x:row r="3054">
      <x:c r="A3054" s="54" t="n">
        <x:v>45747</x:v>
      </x:c>
      <x:c r="B3054" t="n">
        <x:v>45747.624999988424</x:v>
      </x:c>
      <x:c r="C3054" t="str">
        <x:v>144960</x:v>
      </x:c>
      <x:c r="D3054" t="str">
        <x:v>뉴파워프라즈마</x:v>
      </x:c>
      <x:c r="E3054" t="str">
        <x:v>KOSDAQ</x:v>
      </x:c>
      <x:c r="F3054" t="str">
        <x:v>MID</x:v>
      </x:c>
      <x:c r="G3054" t="str">
        <x:v>ELIGIBLE</x:v>
      </x:c>
      <x:c r="H3054"/>
      <x:c r="I3054" s="54" t="n">
        <x:v>45747</x:v>
      </x:c>
      <x:c r="J3054" s="55" t="n">
        <x:v>4500</x:v>
      </x:c>
      <x:c r="K3054" s="55" t="n">
        <x:v>196616808000</x:v>
      </x:c>
      <x:c r="L3054" s="55" t="n">
        <x:v>43692624</x:v>
      </x:c>
      <x:c r="M3054" t="str">
        <x:v>20250324000690</x:v>
      </x:c>
      <x:c r="N3054" t="n">
        <x:v>45740.624999988424</x:v>
      </x:c>
      <x:c r="O3054" s="54" t="n">
        <x:v>45657</x:v>
      </x:c>
      <x:c r="P3054" t="str">
        <x:v>True</x:v>
      </x:c>
      <x:c r="Q3054" t="str">
        <x:v>0f78d90a8c907ce591baf7d7c77329193639e9c00e10cc7031b2492324fb5443</x:v>
      </x:c>
      <x:c r="R3054" t="str">
        <x:v>5dbe41559ac546aed42726eb6edc56bba1e9e7097927de2b5ab6c6309a185e9f</x:v>
      </x:c>
      <x:c r="S3054" t="n">
        <x:v>6</x:v>
      </x:c>
      <x:c r="T3054" t="str">
        <x:v>2018-12-31|2019-12-31|2020-12-31|2021-12-31|2022-12-31|2023-12-31|2024-12-31</x:v>
      </x:c>
      <x:c r="U3054" s="57" t="n">
        <x:v>85.04589892434575</x:v>
      </x:c>
      <x:c r="V3054" s="57" t="n">
        <x:v>-0.9811009113501454</x:v>
      </x:c>
      <x:c r="W3054" t="n">
        <x:v>66</x:v>
      </x:c>
      <x:c r="X3054" t="n">
        <x:v>5</x:v>
      </x:c>
      <x:c r="Y3054" s="38" t="n">
        <x:v>0.6409090909090909</x:v>
      </x:c>
      <x:c r="Z3054" s="38" t="n">
        <x:v>0.8401481986839568</x:v>
      </x:c>
      <x:c r="AA3054"/>
    </x:row>
    <x:row r="3055">
      <x:c r="A3055" s="54" t="n">
        <x:v>45747</x:v>
      </x:c>
      <x:c r="B3055" t="n">
        <x:v>45747.624999988424</x:v>
      </x:c>
      <x:c r="C3055" t="str">
        <x:v>065660</x:v>
      </x:c>
      <x:c r="D3055" t="str">
        <x:v>안트로젠</x:v>
      </x:c>
      <x:c r="E3055" t="str">
        <x:v>KOSDAQ</x:v>
      </x:c>
      <x:c r="F3055" t="str">
        <x:v>MID</x:v>
      </x:c>
      <x:c r="G3055" t="str">
        <x:v>DCF_SCREENING_EXCLUSION</x:v>
      </x:c>
      <x:c r="H3055" t="str">
        <x:v>NON_POSITIVE_ENTERPRISE_VALUE|NON_POSITIVE_EQUITY_VALUE|NON_POSITIVE_TERMINAL_FCF</x:v>
      </x:c>
      <x:c r="I3055" s="54" t="n">
        <x:v>45747</x:v>
      </x:c>
      <x:c r="J3055" s="55" t="n">
        <x:v>18870</x:v>
      </x:c>
      <x:c r="K3055" s="55" t="n">
        <x:v>188815107000</x:v>
      </x:c>
      <x:c r="L3055" s="55" t="n">
        <x:v>10006100</x:v>
      </x:c>
      <x:c r="M3055" t="str">
        <x:v>20250313000775</x:v>
      </x:c>
      <x:c r="N3055" t="n">
        <x:v>45729.624999988424</x:v>
      </x:c>
      <x:c r="O3055" s="54" t="n">
        <x:v>45657</x:v>
      </x:c>
      <x:c r="P3055" t="str">
        <x:v>False</x:v>
      </x:c>
      <x:c r="Q3055" t="str">
        <x:v>2ceafd4c116814e005a848414a49b25b5e40b06da9996819312c999815f64e29</x:v>
      </x:c>
      <x:c r="R3055" t="str">
        <x:v>9b5b9838fa482c6784ee24360dcfd1395efba84f779a56d46ce617ea3d57451b</x:v>
      </x:c>
      <x:c r="S3055" t="n">
        <x:v>5</x:v>
      </x:c>
      <x:c r="T3055" t="str">
        <x:v>2018-12-31|2019-12-31|2020-12-31|2021-12-31|2023-12-31|2024-12-31</x:v>
      </x:c>
      <x:c r="U3055" s="57" t="n">
        <x:v>-1756.5817853233727</x:v>
      </x:c>
      <x:c r="V3055" s="57" t="n">
        <x:v>-1.0930885948767024</x:v>
      </x:c>
      <x:c r="W3055"/>
      <x:c r="X3055"/>
      <x:c r="Y3055" s="38" t="n">
        <x:v>0.6409090909090909</x:v>
      </x:c>
      <x:c r="Z3055" s="38" t="n">
        <x:v>0.6671375319521345</x:v>
      </x:c>
      <x:c r="AA3055" t="str">
        <x:v>NON_POSITIVE_ENTERPRISE_VALUE|NON_POSITIVE_EQUITY_VALUE|NON_POSITIVE_TERMINAL_FCF</x:v>
      </x:c>
    </x:row>
    <x:row r="3056">
      <x:c r="A3056" s="54" t="n">
        <x:v>45747</x:v>
      </x:c>
      <x:c r="B3056" t="n">
        <x:v>45747.624999988424</x:v>
      </x:c>
      <x:c r="C3056" t="str">
        <x:v>255220</x:v>
      </x:c>
      <x:c r="D3056" t="str">
        <x:v>SG</x:v>
      </x:c>
      <x:c r="E3056" t="str">
        <x:v>KOSDAQ</x:v>
      </x:c>
      <x:c r="F3056" t="str">
        <x:v>MID</x:v>
      </x:c>
      <x:c r="G3056" t="str">
        <x:v>DCF_SCREENING_EXCLUSION</x:v>
      </x:c>
      <x:c r="H3056" t="str">
        <x:v>NON_POSITIVE_ENTERPRISE_VALUE|NON_POSITIVE_EQUITY_VALUE|NON_POSITIVE_TERMINAL_FCF</x:v>
      </x:c>
      <x:c r="I3056" s="54" t="n">
        <x:v>45747</x:v>
      </x:c>
      <x:c r="J3056" s="55" t="n">
        <x:v>2225</x:v>
      </x:c>
      <x:c r="K3056" s="55" t="n">
        <x:v>218951125000</x:v>
      </x:c>
      <x:c r="L3056" s="55" t="n">
        <x:v>98405000</x:v>
      </x:c>
      <x:c r="M3056" t="str">
        <x:v>20250318000939</x:v>
      </x:c>
      <x:c r="N3056" t="n">
        <x:v>45734.624999988424</x:v>
      </x:c>
      <x:c r="O3056" s="54" t="n">
        <x:v>45657</x:v>
      </x:c>
      <x:c r="P3056" t="str">
        <x:v>False</x:v>
      </x:c>
      <x:c r="Q3056" t="str">
        <x:v>21161b34d363c761ec9ff6a75d7ced575dcfc9cefd8742cfc9677930b6f8f357</x:v>
      </x:c>
      <x:c r="R3056" t="str">
        <x:v>b2c23fcc790a88c59740dd4a0b037902930a79739124629b243596a67c738508</x:v>
      </x:c>
      <x:c r="S3056" t="n">
        <x:v>6</x:v>
      </x:c>
      <x:c r="T3056" t="str">
        <x:v>2018-12-31|2019-12-31|2020-12-31|2021-12-31|2022-12-31|2023-12-31|2024-12-31</x:v>
      </x:c>
      <x:c r="U3056" s="57" t="n">
        <x:v>-358.1522795172187</x:v>
      </x:c>
      <x:c r="V3056" s="57" t="n">
        <x:v>-1.1609673166369523</x:v>
      </x:c>
      <x:c r="W3056"/>
      <x:c r="X3056"/>
      <x:c r="Y3056" s="38" t="n">
        <x:v>0.6409090909090909</x:v>
      </x:c>
      <x:c r="Z3056" s="38" t="n">
        <x:v>0.4427730011554671</x:v>
      </x:c>
      <x:c r="AA3056" t="str">
        <x:v>NON_POSITIVE_ENTERPRISE_VALUE|NON_POSITIVE_EQUITY_VALUE|NON_POSITIVE_TERMINAL_FCF</x:v>
      </x:c>
    </x:row>
    <x:row r="3057">
      <x:c r="A3057" s="54" t="n">
        <x:v>45747</x:v>
      </x:c>
      <x:c r="B3057" t="n">
        <x:v>45747.624999988424</x:v>
      </x:c>
      <x:c r="C3057" t="str">
        <x:v>356680</x:v>
      </x:c>
      <x:c r="D3057" t="str">
        <x:v>엑스게이트</x:v>
      </x:c>
      <x:c r="E3057" t="str">
        <x:v>KOSDAQ</x:v>
      </x:c>
      <x:c r="F3057" t="str">
        <x:v>MID</x:v>
      </x:c>
      <x:c r="G3057" t="str">
        <x:v>DCF_SCREENING_EXCLUSION</x:v>
      </x:c>
      <x:c r="H3057" t="str">
        <x:v>UNRELIABLE_TERMINAL_VALUE_SHARE</x:v>
      </x:c>
      <x:c r="I3057" s="54" t="n">
        <x:v>45747</x:v>
      </x:c>
      <x:c r="J3057" s="55" t="n">
        <x:v>6720</x:v>
      </x:c>
      <x:c r="K3057" s="55" t="n">
        <x:v>191812266240</x:v>
      </x:c>
      <x:c r="L3057" s="55" t="n">
        <x:v>28543492</x:v>
      </x:c>
      <x:c r="M3057" t="str">
        <x:v>20250319000691</x:v>
      </x:c>
      <x:c r="N3057" t="n">
        <x:v>45735.624999988424</x:v>
      </x:c>
      <x:c r="O3057" s="54" t="n">
        <x:v>45657</x:v>
      </x:c>
      <x:c r="P3057" t="str">
        <x:v>False</x:v>
      </x:c>
      <x:c r="Q3057" t="str">
        <x:v>1e727de7b15978db733b6e32a6e9c0f1eb8a5e18e2753f9463f12a17d4198a0d</x:v>
      </x:c>
      <x:c r="R3057" t="str">
        <x:v>3b4e2b9ea53c4f1c474fcc31a5f13c06037396ed3946f7a4dc016d49d9f20655</x:v>
      </x:c>
      <x:c r="S3057" t="n">
        <x:v>7</x:v>
      </x:c>
      <x:c r="T3057" t="str">
        <x:v>2022-12-31|2023-12-31|2024-12-31</x:v>
      </x:c>
      <x:c r="U3057" s="57" t="n">
        <x:v>456.07271545457144</x:v>
      </x:c>
      <x:c r="V3057" s="57" t="n">
        <x:v>-0.9321320363906888</x:v>
      </x:c>
      <x:c r="W3057"/>
      <x:c r="X3057"/>
      <x:c r="Y3057" s="38" t="n">
        <x:v>0.6409090909090909</x:v>
      </x:c>
      <x:c r="Z3057" s="38" t="n">
        <x:v>1.8777652303190557</x:v>
      </x:c>
      <x:c r="AA3057" t="str">
        <x:v>UNRELIABLE_TERMINAL_VALUE_SHARE</x:v>
      </x:c>
    </x:row>
    <x:row r="3058">
      <x:c r="A3058" s="54" t="n">
        <x:v>45747</x:v>
      </x:c>
      <x:c r="B3058" t="n">
        <x:v>45747.624999988424</x:v>
      </x:c>
      <x:c r="C3058" t="str">
        <x:v>038390</x:v>
      </x:c>
      <x:c r="D3058" t="str">
        <x:v>레드캡투어</x:v>
      </x:c>
      <x:c r="E3058" t="str">
        <x:v>KOSDAQ</x:v>
      </x:c>
      <x:c r="F3058" t="str">
        <x:v>MID</x:v>
      </x:c>
      <x:c r="G3058" t="str">
        <x:v>ELIGIBLE</x:v>
      </x:c>
      <x:c r="H3058"/>
      <x:c r="I3058" s="54" t="n">
        <x:v>45747</x:v>
      </x:c>
      <x:c r="J3058" s="55" t="n">
        <x:v>9320</x:v>
      </x:c>
      <x:c r="K3058" s="55" t="n">
        <x:v>155838061040</x:v>
      </x:c>
      <x:c r="L3058" s="55" t="n">
        <x:v>16720822</x:v>
      </x:c>
      <x:c r="M3058" t="str">
        <x:v>20250320001478</x:v>
      </x:c>
      <x:c r="N3058" t="n">
        <x:v>45736.624999988424</x:v>
      </x:c>
      <x:c r="O3058" s="54" t="n">
        <x:v>45657</x:v>
      </x:c>
      <x:c r="P3058" t="str">
        <x:v>False</x:v>
      </x:c>
      <x:c r="Q3058" t="str">
        <x:v>67bcd6369c58872313ac6b33e13c53a0fb84018ffd14618f38a855bd1550dfb8</x:v>
      </x:c>
      <x:c r="R3058" t="str">
        <x:v>a51e0b54ef9de954b8905f61c83ec02bc19a394780ef932fca0a829af4ea0563</x:v>
      </x:c>
      <x:c r="S3058" t="n">
        <x:v>7</x:v>
      </x:c>
      <x:c r="T3058" t="str">
        <x:v>2018-12-31|2019-12-31|2020-12-31|2021-12-31|2022-12-31|2023-12-31|2024-12-31</x:v>
      </x:c>
      <x:c r="U3058" s="57" t="n">
        <x:v>27403.972015623454</x:v>
      </x:c>
      <x:c r="V3058" s="57" t="n">
        <x:v>1.940340345023976</x:v>
      </x:c>
      <x:c r="W3058" t="n">
        <x:v>6</x:v>
      </x:c>
      <x:c r="X3058" t="n">
        <x:v>1</x:v>
      </x:c>
      <x:c r="Y3058" s="38" t="n">
        <x:v>0.6409090909090909</x:v>
      </x:c>
      <x:c r="Z3058" s="38" t="n">
        <x:v>0.6692880839920571</x:v>
      </x:c>
      <x:c r="AA3058"/>
    </x:row>
    <x:row r="3059">
      <x:c r="A3059" s="54" t="n">
        <x:v>45747</x:v>
      </x:c>
      <x:c r="B3059" t="n">
        <x:v>45747.624999988424</x:v>
      </x:c>
      <x:c r="C3059" t="str">
        <x:v>083930</x:v>
      </x:c>
      <x:c r="D3059" t="str">
        <x:v>아바코</x:v>
      </x:c>
      <x:c r="E3059" t="str">
        <x:v>KOSDAQ</x:v>
      </x:c>
      <x:c r="F3059" t="str">
        <x:v>MID</x:v>
      </x:c>
      <x:c r="G3059" t="str">
        <x:v>ELIGIBLE</x:v>
      </x:c>
      <x:c r="H3059"/>
      <x:c r="I3059" s="54" t="n">
        <x:v>45747</x:v>
      </x:c>
      <x:c r="J3059" s="55" t="n">
        <x:v>13690</x:v>
      </x:c>
      <x:c r="K3059" s="55" t="n">
        <x:v>204156204620</x:v>
      </x:c>
      <x:c r="L3059" s="55" t="n">
        <x:v>14912798</x:v>
      </x:c>
      <x:c r="M3059" t="str">
        <x:v>20250318000894</x:v>
      </x:c>
      <x:c r="N3059" t="n">
        <x:v>45734.624999988424</x:v>
      </x:c>
      <x:c r="O3059" s="54" t="n">
        <x:v>45657</x:v>
      </x:c>
      <x:c r="P3059" t="str">
        <x:v>False</x:v>
      </x:c>
      <x:c r="Q3059" t="str">
        <x:v>b3521e2205b2704514c3d0d24f9120d5e83e77d950050eafddbc363b8ff42145</x:v>
      </x:c>
      <x:c r="R3059" t="str">
        <x:v>3942dcd76e00ca6982a75db5c2bc052948e293fe5cfcea7fa7e42b3159381c7a</x:v>
      </x:c>
      <x:c r="S3059" t="n">
        <x:v>7</x:v>
      </x:c>
      <x:c r="T3059" t="str">
        <x:v>2018-12-31|2019-12-31|2020-12-31|2021-12-31|2022-12-31|2023-12-31|2024-12-31</x:v>
      </x:c>
      <x:c r="U3059" s="57" t="n">
        <x:v>9750.156347757274</x:v>
      </x:c>
      <x:c r="V3059" s="57" t="n">
        <x:v>-0.2877898942470946</x:v>
      </x:c>
      <x:c r="W3059" t="n">
        <x:v>35</x:v>
      </x:c>
      <x:c r="X3059" t="n">
        <x:v>3</x:v>
      </x:c>
      <x:c r="Y3059" s="38" t="n">
        <x:v>0.6409090909090909</x:v>
      </x:c>
      <x:c r="Z3059" s="38" t="n">
        <x:v>0.5546297344265984</x:v>
      </x:c>
      <x:c r="AA3059"/>
    </x:row>
    <x:row r="3060">
      <x:c r="A3060" s="54" t="n">
        <x:v>45747</x:v>
      </x:c>
      <x:c r="B3060" t="n">
        <x:v>45747.624999988424</x:v>
      </x:c>
      <x:c r="C3060" t="str">
        <x:v>089600</x:v>
      </x:c>
      <x:c r="D3060" t="str">
        <x:v>KT나스미디어</x:v>
      </x:c>
      <x:c r="E3060" t="str">
        <x:v>KOSDAQ</x:v>
      </x:c>
      <x:c r="F3060" t="str">
        <x:v>MID</x:v>
      </x:c>
      <x:c r="G3060" t="str">
        <x:v>ELIGIBLE</x:v>
      </x:c>
      <x:c r="H3060"/>
      <x:c r="I3060" s="54" t="n">
        <x:v>45747</x:v>
      </x:c>
      <x:c r="J3060" s="55" t="n">
        <x:v>13700</x:v>
      </x:c>
      <x:c r="K3060" s="55" t="n">
        <x:v>158483833100</x:v>
      </x:c>
      <x:c r="L3060" s="55" t="n">
        <x:v>11568163</x:v>
      </x:c>
      <x:c r="M3060" t="str">
        <x:v>20250320000791</x:v>
      </x:c>
      <x:c r="N3060" t="n">
        <x:v>45736.624999988424</x:v>
      </x:c>
      <x:c r="O3060" s="54" t="n">
        <x:v>45657</x:v>
      </x:c>
      <x:c r="P3060" t="str">
        <x:v>False</x:v>
      </x:c>
      <x:c r="Q3060" t="str">
        <x:v>fd1f109f4067daa35bc799c7548aa8684ddaaf17ee92db1ee9f7eef8be9771fe</x:v>
      </x:c>
      <x:c r="R3060" t="str">
        <x:v>632be81c57e6db7cf7303cff961a215690db511ca245d0f8956f8cba104a8c88</x:v>
      </x:c>
      <x:c r="S3060" t="n">
        <x:v>6</x:v>
      </x:c>
      <x:c r="T3060" t="str">
        <x:v>2019-12-31|2020-12-31|2021-12-31|2022-12-31|2023-12-31|2024-12-31</x:v>
      </x:c>
      <x:c r="U3060" s="57" t="n">
        <x:v>24511.501692637525</x:v>
      </x:c>
      <x:c r="V3060" s="57" t="n">
        <x:v>0.78916070749179</x:v>
      </x:c>
      <x:c r="W3060" t="n">
        <x:v>15</x:v>
      </x:c>
      <x:c r="X3060" t="n">
        <x:v>2</x:v>
      </x:c>
      <x:c r="Y3060" s="38" t="n">
        <x:v>0.6409090909090909</x:v>
      </x:c>
      <x:c r="Z3060" s="38" t="n">
        <x:v>0.7087130694190394</x:v>
      </x:c>
      <x:c r="AA3060"/>
    </x:row>
    <x:row r="3061">
      <x:c r="A3061" s="54" t="n">
        <x:v>45747</x:v>
      </x:c>
      <x:c r="B3061" t="n">
        <x:v>45747.624999988424</x:v>
      </x:c>
      <x:c r="C3061" t="str">
        <x:v>091120</x:v>
      </x:c>
      <x:c r="D3061" t="str">
        <x:v>이엠텍</x:v>
      </x:c>
      <x:c r="E3061" t="str">
        <x:v>KOSDAQ</x:v>
      </x:c>
      <x:c r="F3061" t="str">
        <x:v>MID</x:v>
      </x:c>
      <x:c r="G3061" t="str">
        <x:v>DCF_SCREENING_EXCLUSION</x:v>
      </x:c>
      <x:c r="H3061" t="str">
        <x:v>NON_POSITIVE_ENTERPRISE_VALUE|NON_POSITIVE_EQUITY_VALUE|NON_POSITIVE_TERMINAL_FCF</x:v>
      </x:c>
      <x:c r="I3061" s="54" t="n">
        <x:v>45747</x:v>
      </x:c>
      <x:c r="J3061" s="55" t="n">
        <x:v>12300</x:v>
      </x:c>
      <x:c r="K3061" s="55" t="n">
        <x:v>210735112800</x:v>
      </x:c>
      <x:c r="L3061" s="55" t="n">
        <x:v>17132936</x:v>
      </x:c>
      <x:c r="M3061" t="str">
        <x:v>20250318000325</x:v>
      </x:c>
      <x:c r="N3061" t="n">
        <x:v>45734.624999988424</x:v>
      </x:c>
      <x:c r="O3061" s="54" t="n">
        <x:v>45657</x:v>
      </x:c>
      <x:c r="P3061" t="str">
        <x:v>False</x:v>
      </x:c>
      <x:c r="Q3061" t="str">
        <x:v>bbde6b801951bfd9e20218a2f6879cba531f6607e02452bbc79ed0261a6fa116</x:v>
      </x:c>
      <x:c r="R3061" t="str">
        <x:v>9b1e85619d70832b303b32748eff0677f25cf8c11c7f183f42bd5e0b596b20e9</x:v>
      </x:c>
      <x:c r="S3061" t="n">
        <x:v>6</x:v>
      </x:c>
      <x:c r="T3061" t="str">
        <x:v>2018-12-31|2019-12-31|2020-12-31|2021-12-31|2022-12-31|2023-12-31|2024-12-31</x:v>
      </x:c>
      <x:c r="U3061" s="57" t="n">
        <x:v>-8240.993846715857</x:v>
      </x:c>
      <x:c r="V3061" s="57" t="n">
        <x:v>-1.6699994997329966</x:v>
      </x:c>
      <x:c r="W3061"/>
      <x:c r="X3061"/>
      <x:c r="Y3061" s="38" t="n">
        <x:v>0.6409090909090909</x:v>
      </x:c>
      <x:c r="Z3061" s="38" t="n">
        <x:v>0.31463718232834725</x:v>
      </x:c>
      <x:c r="AA3061" t="str">
        <x:v>NON_POSITIVE_ENTERPRISE_VALUE|NON_POSITIVE_EQUITY_VALUE|NON_POSITIVE_TERMINAL_FCF</x:v>
      </x:c>
    </x:row>
    <x:row r="3062">
      <x:c r="A3062" s="54" t="n">
        <x:v>45747</x:v>
      </x:c>
      <x:c r="B3062" t="n">
        <x:v>45747.624999988424</x:v>
      </x:c>
      <x:c r="C3062" t="str">
        <x:v>353810</x:v>
      </x:c>
      <x:c r="D3062" t="str">
        <x:v>이지바이오</x:v>
      </x:c>
      <x:c r="E3062" t="str">
        <x:v>KOSDAQ</x:v>
      </x:c>
      <x:c r="F3062" t="str">
        <x:v>MID</x:v>
      </x:c>
      <x:c r="G3062" t="str">
        <x:v>ELIGIBLE</x:v>
      </x:c>
      <x:c r="H3062"/>
      <x:c r="I3062" s="54" t="n">
        <x:v>45747</x:v>
      </x:c>
      <x:c r="J3062" s="55" t="n">
        <x:v>4890</x:v>
      </x:c>
      <x:c r="K3062" s="55" t="n">
        <x:v>167197510800</x:v>
      </x:c>
      <x:c r="L3062" s="55" t="n">
        <x:v>34191720</x:v>
      </x:c>
      <x:c r="M3062" t="str">
        <x:v>20250321001235</x:v>
      </x:c>
      <x:c r="N3062" t="n">
        <x:v>45737.624999988424</x:v>
      </x:c>
      <x:c r="O3062" s="54" t="n">
        <x:v>45657</x:v>
      </x:c>
      <x:c r="P3062" t="str">
        <x:v>False</x:v>
      </x:c>
      <x:c r="Q3062" t="str">
        <x:v>6d5cc301a2efa14d095945ce06813f062cc6629607e4357cc387c49d3e4eb2e2</x:v>
      </x:c>
      <x:c r="R3062" t="str">
        <x:v>bd3cbb712d512794e2bf3e90c8463e503e9fd766af29ec309fac626c46833185</x:v>
      </x:c>
      <x:c r="S3062" t="n">
        <x:v>6</x:v>
      </x:c>
      <x:c r="T3062" t="str">
        <x:v>2021-12-31|2022-12-31|2023-12-31|2024-12-31</x:v>
      </x:c>
      <x:c r="U3062" s="57" t="n">
        <x:v>12936.829667734844</x:v>
      </x:c>
      <x:c r="V3062" s="57" t="n">
        <x:v>1.6455684392095797</x:v>
      </x:c>
      <x:c r="W3062" t="n">
        <x:v>7</x:v>
      </x:c>
      <x:c r="X3062" t="n">
        <x:v>1</x:v>
      </x:c>
      <x:c r="Y3062" s="38" t="n">
        <x:v>0.6409090909090909</x:v>
      </x:c>
      <x:c r="Z3062" s="38" t="n">
        <x:v>0.742395009509296</x:v>
      </x:c>
      <x:c r="AA3062"/>
    </x:row>
    <x:row r="3063">
      <x:c r="A3063" s="54" t="n">
        <x:v>45747</x:v>
      </x:c>
      <x:c r="B3063" t="n">
        <x:v>45747.624999988424</x:v>
      </x:c>
      <x:c r="C3063" t="str">
        <x:v>203650</x:v>
      </x:c>
      <x:c r="D3063" t="str">
        <x:v>드림시큐리티</x:v>
      </x:c>
      <x:c r="E3063" t="str">
        <x:v>KOSDAQ</x:v>
      </x:c>
      <x:c r="F3063" t="str">
        <x:v>MID</x:v>
      </x:c>
      <x:c r="G3063" t="str">
        <x:v>ELIGIBLE</x:v>
      </x:c>
      <x:c r="H3063"/>
      <x:c r="I3063" s="54" t="n">
        <x:v>45747</x:v>
      </x:c>
      <x:c r="J3063" s="55" t="n">
        <x:v>3125</x:v>
      </x:c>
      <x:c r="K3063" s="55" t="n">
        <x:v>158142981250</x:v>
      </x:c>
      <x:c r="L3063" s="55" t="n">
        <x:v>50605754</x:v>
      </x:c>
      <x:c r="M3063" t="str">
        <x:v>20250318001191</x:v>
      </x:c>
      <x:c r="N3063" t="n">
        <x:v>45734.624999988424</x:v>
      </x:c>
      <x:c r="O3063" s="54" t="n">
        <x:v>45657</x:v>
      </x:c>
      <x:c r="P3063" t="str">
        <x:v>False</x:v>
      </x:c>
      <x:c r="Q3063" t="str">
        <x:v>cad166863b3f1de651893c7b9a29d8a1830030233da004d22717f0480b318624</x:v>
      </x:c>
      <x:c r="R3063" t="str">
        <x:v>0905aab91f9578264a1b97c7ff21ad61d9afebb4e0e862cf931b15a5f00b0843</x:v>
      </x:c>
      <x:c r="S3063" t="n">
        <x:v>6</x:v>
      </x:c>
      <x:c r="T3063" t="str">
        <x:v>2018-12-31|2019-12-31|2020-12-31|2021-12-31|2022-12-31|2023-12-31|2024-12-31</x:v>
      </x:c>
      <x:c r="U3063" s="57" t="n">
        <x:v>2898.2179980814967</x:v>
      </x:c>
      <x:c r="V3063" s="57" t="n">
        <x:v>-0.07257024061392105</x:v>
      </x:c>
      <x:c r="W3063" t="n">
        <x:v>25</x:v>
      </x:c>
      <x:c r="X3063" t="n">
        <x:v>2</x:v>
      </x:c>
      <x:c r="Y3063" s="38" t="n">
        <x:v>0.6409090909090909</x:v>
      </x:c>
      <x:c r="Z3063" s="38" t="n">
        <x:v>0.6847587029208964</x:v>
      </x:c>
      <x:c r="AA3063"/>
    </x:row>
    <x:row r="3064">
      <x:c r="A3064" s="54" t="n">
        <x:v>45747</x:v>
      </x:c>
      <x:c r="B3064" t="n">
        <x:v>45747.624999988424</x:v>
      </x:c>
      <x:c r="C3064" t="str">
        <x:v>251120</x:v>
      </x:c>
      <x:c r="D3064" t="str">
        <x:v>바이오에프디엔씨</x:v>
      </x:c>
      <x:c r="E3064" t="str">
        <x:v>KOSDAQ</x:v>
      </x:c>
      <x:c r="F3064" t="str">
        <x:v>MID</x:v>
      </x:c>
      <x:c r="G3064" t="str">
        <x:v>ELIGIBLE</x:v>
      </x:c>
      <x:c r="H3064"/>
      <x:c r="I3064" s="54" t="n">
        <x:v>45747</x:v>
      </x:c>
      <x:c r="J3064" s="55" t="n">
        <x:v>13000</x:v>
      </x:c>
      <x:c r="K3064" s="55" t="n">
        <x:v>113044100000</x:v>
      </x:c>
      <x:c r="L3064" s="55" t="n">
        <x:v>8695700</x:v>
      </x:c>
      <x:c r="M3064" t="str">
        <x:v>20250321000230</x:v>
      </x:c>
      <x:c r="N3064" t="n">
        <x:v>45737.624999988424</x:v>
      </x:c>
      <x:c r="O3064" s="54" t="n">
        <x:v>45657</x:v>
      </x:c>
      <x:c r="P3064" t="str">
        <x:v>False</x:v>
      </x:c>
      <x:c r="Q3064" t="str">
        <x:v>d0f48fe65ea1aa6baee499ea4c8f4acc42b5257c44ca056d1566dc44f41d3969</x:v>
      </x:c>
      <x:c r="R3064" t="str">
        <x:v>fdd9ea590ab0df6027795c1e40f39723911233c5f95773f81cccad7cd756e288</x:v>
      </x:c>
      <x:c r="S3064" t="n">
        <x:v>5</x:v>
      </x:c>
      <x:c r="T3064" t="str">
        <x:v>2021-12-31|2022-12-31|2023-12-31|2024-12-31</x:v>
      </x:c>
      <x:c r="U3064" s="57" t="n">
        <x:v>5849.461093195673</x:v>
      </x:c>
      <x:c r="V3064" s="57" t="n">
        <x:v>-0.5500414543695636</x:v>
      </x:c>
      <x:c r="W3064" t="n">
        <x:v>49</x:v>
      </x:c>
      <x:c r="X3064" t="n">
        <x:v>4</x:v>
      </x:c>
      <x:c r="Y3064" s="38" t="n">
        <x:v>0.6409090909090909</x:v>
      </x:c>
      <x:c r="Z3064" s="38" t="n">
        <x:v>0.6732997062168055</x:v>
      </x:c>
      <x:c r="AA3064"/>
    </x:row>
    <x:row r="3065">
      <x:c r="A3065" s="54" t="n">
        <x:v>45747</x:v>
      </x:c>
      <x:c r="B3065" t="n">
        <x:v>45747.624999988424</x:v>
      </x:c>
      <x:c r="C3065" t="str">
        <x:v>094820</x:v>
      </x:c>
      <x:c r="D3065" t="str">
        <x:v>일진파워</x:v>
      </x:c>
      <x:c r="E3065" t="str">
        <x:v>KOSDAQ</x:v>
      </x:c>
      <x:c r="F3065" t="str">
        <x:v>MID</x:v>
      </x:c>
      <x:c r="G3065" t="str">
        <x:v>ELIGIBLE</x:v>
      </x:c>
      <x:c r="H3065"/>
      <x:c r="I3065" s="54" t="n">
        <x:v>45747</x:v>
      </x:c>
      <x:c r="J3065" s="55" t="n">
        <x:v>8250</x:v>
      </x:c>
      <x:c r="K3065" s="55" t="n">
        <x:v>124399349250</x:v>
      </x:c>
      <x:c r="L3065" s="55" t="n">
        <x:v>15078709</x:v>
      </x:c>
      <x:c r="M3065" t="str">
        <x:v>20250320000993</x:v>
      </x:c>
      <x:c r="N3065" t="n">
        <x:v>45736.624999988424</x:v>
      </x:c>
      <x:c r="O3065" s="54" t="n">
        <x:v>45657</x:v>
      </x:c>
      <x:c r="P3065" t="str">
        <x:v>False</x:v>
      </x:c>
      <x:c r="Q3065" t="str">
        <x:v>3c9d1f0a624ce515fe91a52c12aed6702977299d8b0e262ece292b4ff2b83ab9</x:v>
      </x:c>
      <x:c r="R3065" t="str">
        <x:v>fc48d3eeb6d44a9e2d9192b7cca407bdf7f0b62d7c2090573c0845635ffb82da</x:v>
      </x:c>
      <x:c r="S3065" t="n">
        <x:v>6</x:v>
      </x:c>
      <x:c r="T3065" t="str">
        <x:v>2018-12-31|2019-12-31|2020-12-31|2021-12-31|2022-12-31|2023-12-31|2024-12-31</x:v>
      </x:c>
      <x:c r="U3065" s="57" t="n">
        <x:v>9203.134979044744</x:v>
      </x:c>
      <x:c r="V3065" s="57" t="n">
        <x:v>0.11553151261148413</x:v>
      </x:c>
      <x:c r="W3065" t="n">
        <x:v>22</x:v>
      </x:c>
      <x:c r="X3065" t="n">
        <x:v>2</x:v>
      </x:c>
      <x:c r="Y3065" s="38" t="n">
        <x:v>0.6409090909090909</x:v>
      </x:c>
      <x:c r="Z3065" s="38" t="n">
        <x:v>0.7227852830123499</x:v>
      </x:c>
      <x:c r="AA3065"/>
    </x:row>
    <x:row r="3066">
      <x:c r="A3066" s="54" t="n">
        <x:v>45747</x:v>
      </x:c>
      <x:c r="B3066" t="n">
        <x:v>45747.624999988424</x:v>
      </x:c>
      <x:c r="C3066" t="str">
        <x:v>333430</x:v>
      </x:c>
      <x:c r="D3066" t="str">
        <x:v>일승</x:v>
      </x:c>
      <x:c r="E3066" t="str">
        <x:v>KOSDAQ</x:v>
      </x:c>
      <x:c r="F3066" t="str">
        <x:v>MID</x:v>
      </x:c>
      <x:c r="G3066" t="str">
        <x:v>ELIGIBLE</x:v>
      </x:c>
      <x:c r="H3066"/>
      <x:c r="I3066" s="54" t="n">
        <x:v>45747</x:v>
      </x:c>
      <x:c r="J3066" s="55" t="n">
        <x:v>3905</x:v>
      </x:c>
      <x:c r="K3066" s="55" t="n">
        <x:v>119987947035</x:v>
      </x:c>
      <x:c r="L3066" s="55" t="n">
        <x:v>30726747</x:v>
      </x:c>
      <x:c r="M3066" t="str">
        <x:v>20250321001525</x:v>
      </x:c>
      <x:c r="N3066" t="n">
        <x:v>45737.624999988424</x:v>
      </x:c>
      <x:c r="O3066" s="54" t="n">
        <x:v>45657</x:v>
      </x:c>
      <x:c r="P3066" t="str">
        <x:v>False</x:v>
      </x:c>
      <x:c r="Q3066" t="str">
        <x:v>c597fc54279d091bc090c43da4388f028e09b9f2883c277fa3953555ea6b15ae</x:v>
      </x:c>
      <x:c r="R3066" t="str">
        <x:v>22a70044ce308ef649f306a121c5f5198fed14ad02648bc34c478907d0aa8784</x:v>
      </x:c>
      <x:c r="S3066" t="n">
        <x:v>6</x:v>
      </x:c>
      <x:c r="T3066" t="str">
        <x:v>2021-12-31|2022-12-31|2023-12-31|2024-12-31</x:v>
      </x:c>
      <x:c r="U3066" s="57" t="n">
        <x:v>2137.453351095315</x:v>
      </x:c>
      <x:c r="V3066" s="57" t="n">
        <x:v>-0.4526367858910845</x:v>
      </x:c>
      <x:c r="W3066" t="n">
        <x:v>45</x:v>
      </x:c>
      <x:c r="X3066" t="n">
        <x:v>4</x:v>
      </x:c>
      <x:c r="Y3066" s="38" t="n">
        <x:v>0.6409090909090909</x:v>
      </x:c>
      <x:c r="Z3066" s="38" t="n">
        <x:v>0.5746767150889374</x:v>
      </x:c>
      <x:c r="AA3066"/>
    </x:row>
    <x:row r="3067">
      <x:c r="A3067" s="54" t="n">
        <x:v>45747</x:v>
      </x:c>
      <x:c r="B3067" t="n">
        <x:v>45747.624999988424</x:v>
      </x:c>
      <x:c r="C3067" t="str">
        <x:v>041440</x:v>
      </x:c>
      <x:c r="D3067" t="str">
        <x:v>현대에버다임</x:v>
      </x:c>
      <x:c r="E3067" t="str">
        <x:v>KOSDAQ</x:v>
      </x:c>
      <x:c r="F3067" t="str">
        <x:v>MID</x:v>
      </x:c>
      <x:c r="G3067" t="str">
        <x:v>DCF_SCREENING_EXCLUSION</x:v>
      </x:c>
      <x:c r="H3067" t="str">
        <x:v>NON_POSITIVE_EQUITY_VALUE</x:v>
      </x:c>
      <x:c r="I3067" s="54" t="n">
        <x:v>45747</x:v>
      </x:c>
      <x:c r="J3067" s="55" t="n">
        <x:v>7980</x:v>
      </x:c>
      <x:c r="K3067" s="55" t="n">
        <x:v>142969233120</x:v>
      </x:c>
      <x:c r="L3067" s="55" t="n">
        <x:v>17915944</x:v>
      </x:c>
      <x:c r="M3067" t="str">
        <x:v>20250311001079</x:v>
      </x:c>
      <x:c r="N3067" t="n">
        <x:v>45727.624999988424</x:v>
      </x:c>
      <x:c r="O3067" s="54" t="n">
        <x:v>45657</x:v>
      </x:c>
      <x:c r="P3067" t="str">
        <x:v>False</x:v>
      </x:c>
      <x:c r="Q3067" t="str">
        <x:v>81d5fd43b90bdb7ca7256d6dbf2b9d8d1466c124a6bfcb5ea34bc23b10f34184</x:v>
      </x:c>
      <x:c r="R3067" t="str">
        <x:v>af782e98f72d55d525c2e1b1db4f793b3cd080d80a947690cf1d9c78d68ac79c</x:v>
      </x:c>
      <x:c r="S3067" t="n">
        <x:v>7</x:v>
      </x:c>
      <x:c r="T3067" t="str">
        <x:v>2018-12-31|2019-12-31|2020-12-31|2021-12-31|2022-12-31|2023-12-31|2024-12-31</x:v>
      </x:c>
      <x:c r="U3067" s="57" t="n">
        <x:v>-696.0624146515481</x:v>
      </x:c>
      <x:c r="V3067" s="57" t="n">
        <x:v>-1.0872258664976877</x:v>
      </x:c>
      <x:c r="W3067"/>
      <x:c r="X3067"/>
      <x:c r="Y3067" s="38" t="n">
        <x:v>0.6409090909090909</x:v>
      </x:c>
      <x:c r="Z3067" s="38" t="n">
        <x:v>0.7238262460833904</x:v>
      </x:c>
      <x:c r="AA3067" t="str">
        <x:v>NON_POSITIVE_EQUITY_VALUE</x:v>
      </x:c>
    </x:row>
    <x:row r="3068">
      <x:c r="A3068" s="54" t="n">
        <x:v>45747</x:v>
      </x:c>
      <x:c r="B3068" t="n">
        <x:v>45747.624999988424</x:v>
      </x:c>
      <x:c r="C3068" t="str">
        <x:v>067990</x:v>
      </x:c>
      <x:c r="D3068" t="str">
        <x:v>도이치모터스</x:v>
      </x:c>
      <x:c r="E3068" t="str">
        <x:v>KOSDAQ</x:v>
      </x:c>
      <x:c r="F3068" t="str">
        <x:v>MID</x:v>
      </x:c>
      <x:c r="G3068" t="str">
        <x:v>DCF_SCREENING_EXCLUSION</x:v>
      </x:c>
      <x:c r="H3068" t="str">
        <x:v>UNRELIABLE_TERMINAL_VALUE_SHARE</x:v>
      </x:c>
      <x:c r="I3068" s="54" t="n">
        <x:v>45747</x:v>
      </x:c>
      <x:c r="J3068" s="55" t="n">
        <x:v>4300</x:v>
      </x:c>
      <x:c r="K3068" s="55" t="n">
        <x:v>125480665000</x:v>
      </x:c>
      <x:c r="L3068" s="55" t="n">
        <x:v>29181550</x:v>
      </x:c>
      <x:c r="M3068" t="str">
        <x:v>20250321001755</x:v>
      </x:c>
      <x:c r="N3068" t="n">
        <x:v>45737.624999988424</x:v>
      </x:c>
      <x:c r="O3068" s="54" t="n">
        <x:v>45657</x:v>
      </x:c>
      <x:c r="P3068" t="str">
        <x:v>False</x:v>
      </x:c>
      <x:c r="Q3068" t="str">
        <x:v>178076c4e3fddc7cfa7179478f88d8aed054ffd596228c75f12dd2c904e25473</x:v>
      </x:c>
      <x:c r="R3068" t="str">
        <x:v>3c32482a44035b482a6faa83bcb00b78917f4db97e61d8254eb0ee6e1706ac92</x:v>
      </x:c>
      <x:c r="S3068" t="n">
        <x:v>7</x:v>
      </x:c>
      <x:c r="T3068" t="str">
        <x:v>2016-12-31|2018-12-31|2019-12-31|2020-12-31|2021-12-31|2022-12-31|2023-12-31|2024-12-31</x:v>
      </x:c>
      <x:c r="U3068" s="57" t="n">
        <x:v>19478.198742155677</x:v>
      </x:c>
      <x:c r="V3068" s="57" t="n">
        <x:v>3.529813660966436</x:v>
      </x:c>
      <x:c r="W3068"/>
      <x:c r="X3068"/>
      <x:c r="Y3068" s="38" t="n">
        <x:v>0.6409090909090909</x:v>
      </x:c>
      <x:c r="Z3068" s="38" t="n">
        <x:v>0.8811067697239441</x:v>
      </x:c>
      <x:c r="AA3068" t="str">
        <x:v>UNRELIABLE_TERMINAL_VALUE_SHARE</x:v>
      </x:c>
    </x:row>
    <x:row r="3069">
      <x:c r="A3069" s="54" t="n">
        <x:v>45747</x:v>
      </x:c>
      <x:c r="B3069" t="n">
        <x:v>45747.624999988424</x:v>
      </x:c>
      <x:c r="C3069" t="str">
        <x:v>037070</x:v>
      </x:c>
      <x:c r="D3069" t="str">
        <x:v>파세코</x:v>
      </x:c>
      <x:c r="E3069" t="str">
        <x:v>KOSDAQ</x:v>
      </x:c>
      <x:c r="F3069" t="str">
        <x:v>MID</x:v>
      </x:c>
      <x:c r="G3069" t="str">
        <x:v>DCF_SCREENING_EXCLUSION</x:v>
      </x:c>
      <x:c r="H3069" t="str">
        <x:v>UNRELIABLE_TERMINAL_VALUE_SHARE</x:v>
      </x:c>
      <x:c r="I3069" s="54" t="n">
        <x:v>45747</x:v>
      </x:c>
      <x:c r="J3069" s="55" t="n">
        <x:v>5670</x:v>
      </x:c>
      <x:c r="K3069" s="55" t="n">
        <x:v>113400000000</x:v>
      </x:c>
      <x:c r="L3069" s="55" t="n">
        <x:v>20000000</x:v>
      </x:c>
      <x:c r="M3069" t="str">
        <x:v>20250320000469</x:v>
      </x:c>
      <x:c r="N3069" t="n">
        <x:v>45736.624999988424</x:v>
      </x:c>
      <x:c r="O3069" s="54" t="n">
        <x:v>45657</x:v>
      </x:c>
      <x:c r="P3069" t="str">
        <x:v>False</x:v>
      </x:c>
      <x:c r="Q3069" t="str">
        <x:v>539674eab56ffa57c5f02a24fc1f87bedff775d8e823d4b9621f80e0c991c37c</x:v>
      </x:c>
      <x:c r="R3069" t="str">
        <x:v>b99f2859db57c98dd4809f7f904a1d3e1506141243a6c2e32cd3bc8019c874a5</x:v>
      </x:c>
      <x:c r="S3069" t="n">
        <x:v>6</x:v>
      </x:c>
      <x:c r="T3069" t="str">
        <x:v>2018-12-31|2019-12-31|2020-12-31|2021-12-31|2022-12-31|2023-12-31|2024-12-31</x:v>
      </x:c>
      <x:c r="U3069" s="57" t="n">
        <x:v>1569.2972000747948</x:v>
      </x:c>
      <x:c r="V3069" s="57" t="n">
        <x:v>-0.7232280070414824</x:v>
      </x:c>
      <x:c r="W3069"/>
      <x:c r="X3069"/>
      <x:c r="Y3069" s="38" t="n">
        <x:v>0.6409090909090909</x:v>
      </x:c>
      <x:c r="Z3069" s="38" t="n">
        <x:v>2.1036943942426674</x:v>
      </x:c>
      <x:c r="AA3069" t="str">
        <x:v>UNRELIABLE_TERMINAL_VALUE_SHARE</x:v>
      </x:c>
    </x:row>
    <x:row r="3070">
      <x:c r="A3070" s="54" t="n">
        <x:v>45747</x:v>
      </x:c>
      <x:c r="B3070" t="n">
        <x:v>45747.624999988424</x:v>
      </x:c>
      <x:c r="C3070" t="str">
        <x:v>365330</x:v>
      </x:c>
      <x:c r="D3070" t="str">
        <x:v>에스와이스틸텍</x:v>
      </x:c>
      <x:c r="E3070" t="str">
        <x:v>KOSDAQ</x:v>
      </x:c>
      <x:c r="F3070" t="str">
        <x:v>MID</x:v>
      </x:c>
      <x:c r="G3070" t="str">
        <x:v>ELIGIBLE</x:v>
      </x:c>
      <x:c r="H3070"/>
      <x:c r="I3070" s="54" t="n">
        <x:v>45747</x:v>
      </x:c>
      <x:c r="J3070" s="55" t="n">
        <x:v>5120</x:v>
      </x:c>
      <x:c r="K3070" s="55" t="n">
        <x:v>156723200000</x:v>
      </x:c>
      <x:c r="L3070" s="55" t="n">
        <x:v>30610000</x:v>
      </x:c>
      <x:c r="M3070" t="str">
        <x:v>20250318001018</x:v>
      </x:c>
      <x:c r="N3070" t="n">
        <x:v>45734.624999988424</x:v>
      </x:c>
      <x:c r="O3070" s="54" t="n">
        <x:v>45657</x:v>
      </x:c>
      <x:c r="P3070" t="str">
        <x:v>False</x:v>
      </x:c>
      <x:c r="Q3070" t="str">
        <x:v>c2ebdd487bcabf223f276738367d6daf30f5f1d14de41aa06973b8bfcce75956</x:v>
      </x:c>
      <x:c r="R3070" t="str">
        <x:v>7a7508eeb8d1a23d43a096bf5fd3e0fea30be794877dafe2b9b0a53a2df4d736</x:v>
      </x:c>
      <x:c r="S3070" t="n">
        <x:v>6</x:v>
      </x:c>
      <x:c r="T3070" t="str">
        <x:v>2023-12-31|2024-12-31</x:v>
      </x:c>
      <x:c r="U3070" s="57" t="n">
        <x:v>2112.3095657966533</x:v>
      </x:c>
      <x:c r="V3070" s="57" t="n">
        <x:v>-0.5874395379303411</x:v>
      </x:c>
      <x:c r="W3070" t="n">
        <x:v>53</x:v>
      </x:c>
      <x:c r="X3070" t="n">
        <x:v>4</x:v>
      </x:c>
      <x:c r="Y3070" s="38" t="n">
        <x:v>0.6409090909090909</x:v>
      </x:c>
      <x:c r="Z3070" s="38" t="n">
        <x:v>0.6860657024721134</x:v>
      </x:c>
      <x:c r="AA3070"/>
    </x:row>
    <x:row r="3071">
      <x:c r="A3071" s="54" t="n">
        <x:v>45747</x:v>
      </x:c>
      <x:c r="B3071" t="n">
        <x:v>45747.624999988424</x:v>
      </x:c>
      <x:c r="C3071" t="str">
        <x:v>086960</x:v>
      </x:c>
      <x:c r="D3071" t="str">
        <x:v>MDS테크</x:v>
      </x:c>
      <x:c r="E3071" t="str">
        <x:v>KOSDAQ</x:v>
      </x:c>
      <x:c r="F3071" t="str">
        <x:v>MID</x:v>
      </x:c>
      <x:c r="G3071" t="str">
        <x:v>ELIGIBLE</x:v>
      </x:c>
      <x:c r="H3071"/>
      <x:c r="I3071" s="54" t="n">
        <x:v>45747</x:v>
      </x:c>
      <x:c r="J3071" s="55" t="n">
        <x:v>1054</x:v>
      </x:c>
      <x:c r="K3071" s="55" t="n">
        <x:v>97834164552</x:v>
      </x:c>
      <x:c r="L3071" s="55" t="n">
        <x:v>92821788</x:v>
      </x:c>
      <x:c r="M3071" t="str">
        <x:v>20250320001212</x:v>
      </x:c>
      <x:c r="N3071" t="n">
        <x:v>45736.624999988424</x:v>
      </x:c>
      <x:c r="O3071" s="54" t="n">
        <x:v>45657</x:v>
      </x:c>
      <x:c r="P3071" t="str">
        <x:v>False</x:v>
      </x:c>
      <x:c r="Q3071" t="str">
        <x:v>08b172732dfb38e585826cf691b0a0ec896aee6ddb150e7efe20babfa81057c7</x:v>
      </x:c>
      <x:c r="R3071" t="str">
        <x:v>1e0d5c83137cfc143b7f10f3067871a7502b72edd69ea5b29af3ef1e488a9810</x:v>
      </x:c>
      <x:c r="S3071" t="n">
        <x:v>6</x:v>
      </x:c>
      <x:c r="T3071" t="str">
        <x:v>2018-12-31|2019-12-31|2020-12-31|2021-12-31|2022-12-31|2023-12-31|2024-12-31</x:v>
      </x:c>
      <x:c r="U3071" s="57" t="n">
        <x:v>947.2098814790393</x:v>
      </x:c>
      <x:c r="V3071" s="57" t="n">
        <x:v>-0.10131889802747697</x:v>
      </x:c>
      <x:c r="W3071" t="n">
        <x:v>28</x:v>
      </x:c>
      <x:c r="X3071" t="n">
        <x:v>3</x:v>
      </x:c>
      <x:c r="Y3071" s="38" t="n">
        <x:v>0.6409090909090909</x:v>
      </x:c>
      <x:c r="Z3071" s="38" t="n">
        <x:v>0.6532825883664135</x:v>
      </x:c>
      <x:c r="AA3071"/>
    </x:row>
    <x:row r="3072">
      <x:c r="A3072" s="54" t="n">
        <x:v>45747</x:v>
      </x:c>
      <x:c r="B3072" t="n">
        <x:v>45747.624999988424</x:v>
      </x:c>
      <x:c r="C3072" t="str">
        <x:v>014970</x:v>
      </x:c>
      <x:c r="D3072" t="str">
        <x:v>삼륭물산</x:v>
      </x:c>
      <x:c r="E3072" t="str">
        <x:v>KOSDAQ</x:v>
      </x:c>
      <x:c r="F3072" t="str">
        <x:v>MID</x:v>
      </x:c>
      <x:c r="G3072" t="str">
        <x:v>DCF_SCREENING_EXCLUSION</x:v>
      </x:c>
      <x:c r="H3072" t="str">
        <x:v>NON_POSITIVE_EQUITY_VALUE|NON_POSITIVE_TERMINAL_FCF|UNRELIABLE_TERMINAL_VALUE_SHARE</x:v>
      </x:c>
      <x:c r="I3072" s="54" t="n">
        <x:v>45747</x:v>
      </x:c>
      <x:c r="J3072" s="55" t="n">
        <x:v>2540</x:v>
      </x:c>
      <x:c r="K3072" s="55" t="n">
        <x:v>38417500000</x:v>
      </x:c>
      <x:c r="L3072" s="55" t="n">
        <x:v>15125000</x:v>
      </x:c>
      <x:c r="M3072" t="str">
        <x:v>20250320000980</x:v>
      </x:c>
      <x:c r="N3072" t="n">
        <x:v>45736.624999988424</x:v>
      </x:c>
      <x:c r="O3072" s="54" t="n">
        <x:v>45657</x:v>
      </x:c>
      <x:c r="P3072" t="str">
        <x:v>False</x:v>
      </x:c>
      <x:c r="Q3072" t="str">
        <x:v>6f8e7f5705f2643cef863a875ec2d297c25be06befeaed9c6d2cff396f19384d</x:v>
      </x:c>
      <x:c r="R3072" t="str">
        <x:v>e1951eaefee2d83e805b2da8ec68816c01f25d73acefe6285da78c79a4153983</x:v>
      </x:c>
      <x:c r="S3072" t="n">
        <x:v>6</x:v>
      </x:c>
      <x:c r="T3072" t="str">
        <x:v>2018-12-31|2019-12-31|2020-12-31|2021-12-31|2022-12-31|2023-12-31|2024-12-31</x:v>
      </x:c>
      <x:c r="U3072" s="57" t="n">
        <x:v>-753.213884159769</x:v>
      </x:c>
      <x:c r="V3072" s="57" t="n">
        <x:v>-1.2965408992754996</x:v>
      </x:c>
      <x:c r="W3072"/>
      <x:c r="X3072"/>
      <x:c r="Y3072" s="38" t="n">
        <x:v>0.6409090909090909</x:v>
      </x:c>
      <x:c r="Z3072" s="38" t="n">
        <x:v>-0.12816825399384127</x:v>
      </x:c>
      <x:c r="AA3072" t="str">
        <x:v>NON_POSITIVE_EQUITY_VALUE|NON_POSITIVE_TERMINAL_FCF|UNRELIABLE_TERMINAL_VALUE_SHARE</x:v>
      </x:c>
    </x:row>
    <x:row r="3073">
      <x:c r="A3073" s="54" t="n">
        <x:v>45747</x:v>
      </x:c>
      <x:c r="B3073" t="n">
        <x:v>45747.624999988424</x:v>
      </x:c>
      <x:c r="C3073" t="str">
        <x:v>088390</x:v>
      </x:c>
      <x:c r="D3073" t="str">
        <x:v>이녹스</x:v>
      </x:c>
      <x:c r="E3073" t="str">
        <x:v>KOSDAQ</x:v>
      </x:c>
      <x:c r="F3073" t="str">
        <x:v>MID</x:v>
      </x:c>
      <x:c r="G3073" t="str">
        <x:v>ELIGIBLE</x:v>
      </x:c>
      <x:c r="H3073"/>
      <x:c r="I3073" s="54" t="n">
        <x:v>45747</x:v>
      </x:c>
      <x:c r="J3073" s="55" t="n">
        <x:v>7400</x:v>
      </x:c>
      <x:c r="K3073" s="55" t="n">
        <x:v>69455245600</x:v>
      </x:c>
      <x:c r="L3073" s="55" t="n">
        <x:v>9385844</x:v>
      </x:c>
      <x:c r="M3073" t="str">
        <x:v>20250318001304</x:v>
      </x:c>
      <x:c r="N3073" t="n">
        <x:v>45734.624999988424</x:v>
      </x:c>
      <x:c r="O3073" s="54" t="n">
        <x:v>45657</x:v>
      </x:c>
      <x:c r="P3073" t="str">
        <x:v>False</x:v>
      </x:c>
      <x:c r="Q3073" t="str">
        <x:v>f01a446f03e59a219c219c23e90ed08b1bdc3759eef2ddb7e02dc2e9b28f9bd2</x:v>
      </x:c>
      <x:c r="R3073" t="str">
        <x:v>9738421b76fb9ca6a9f321c55160042641f1d329c511181a00022f62b2e62a17</x:v>
      </x:c>
      <x:c r="S3073" t="n">
        <x:v>6</x:v>
      </x:c>
      <x:c r="T3073" t="str">
        <x:v>2018-12-31|2019-12-31|2020-12-31|2021-12-31|2022-12-31|2023-12-31|2024-12-31</x:v>
      </x:c>
      <x:c r="U3073" s="57" t="n">
        <x:v>5731.424757990951</x:v>
      </x:c>
      <x:c r="V3073" s="57" t="n">
        <x:v>-0.22548314081203374</x:v>
      </x:c>
      <x:c r="W3073" t="n">
        <x:v>32</x:v>
      </x:c>
      <x:c r="X3073" t="n">
        <x:v>3</x:v>
      </x:c>
      <x:c r="Y3073" s="38" t="n">
        <x:v>0.6409090909090909</x:v>
      </x:c>
      <x:c r="Z3073" s="38" t="n">
        <x:v>0.6606635726672196</x:v>
      </x:c>
      <x:c r="AA3073"/>
    </x:row>
    <x:row r="3074">
      <x:c r="A3074" s="54" t="n">
        <x:v>45747</x:v>
      </x:c>
      <x:c r="B3074" t="n">
        <x:v>45747.624999988424</x:v>
      </x:c>
      <x:c r="C3074" t="str">
        <x:v>170920</x:v>
      </x:c>
      <x:c r="D3074" t="str">
        <x:v>엘티씨</x:v>
      </x:c>
      <x:c r="E3074" t="str">
        <x:v>KOSDAQ</x:v>
      </x:c>
      <x:c r="F3074" t="str">
        <x:v>MID</x:v>
      </x:c>
      <x:c r="G3074" t="str">
        <x:v>ELIGIBLE</x:v>
      </x:c>
      <x:c r="H3074"/>
      <x:c r="I3074" s="54" t="n">
        <x:v>45747</x:v>
      </x:c>
      <x:c r="J3074" s="55" t="n">
        <x:v>9090</x:v>
      </x:c>
      <x:c r="K3074" s="55" t="n">
        <x:v>90238357080</x:v>
      </x:c>
      <x:c r="L3074" s="55" t="n">
        <x:v>9927212</x:v>
      </x:c>
      <x:c r="M3074" t="str">
        <x:v>20250328001821</x:v>
      </x:c>
      <x:c r="N3074" t="n">
        <x:v>45744.624999988424</x:v>
      </x:c>
      <x:c r="O3074" s="54" t="n">
        <x:v>45657</x:v>
      </x:c>
      <x:c r="P3074" t="str">
        <x:v>True</x:v>
      </x:c>
      <x:c r="Q3074" t="str">
        <x:v>82f68014fed9ea6560d91cda820e865233a89c2f8e6699ddffef307623ef241e</x:v>
      </x:c>
      <x:c r="R3074" t="str">
        <x:v>8512cd29ddbc45f0c751330f10f75690ebfb9a5b566e7673f904eaf3693bf3cc</x:v>
      </x:c>
      <x:c r="S3074" t="n">
        <x:v>6</x:v>
      </x:c>
      <x:c r="T3074" t="str">
        <x:v>2018-12-31|2019-12-31|2020-12-31|2021-12-31|2022-12-31|2023-12-31|2024-12-31</x:v>
      </x:c>
      <x:c r="U3074" s="57" t="n">
        <x:v>2680.980005269189</x:v>
      </x:c>
      <x:c r="V3074" s="57" t="n">
        <x:v>-0.7050627056909583</x:v>
      </x:c>
      <x:c r="W3074" t="n">
        <x:v>59</x:v>
      </x:c>
      <x:c r="X3074" t="n">
        <x:v>5</x:v>
      </x:c>
      <x:c r="Y3074" s="38" t="n">
        <x:v>0.6409090909090909</x:v>
      </x:c>
      <x:c r="Z3074" s="38" t="n">
        <x:v>0.43281158465940023</x:v>
      </x:c>
      <x:c r="AA3074"/>
    </x:row>
    <x:row r="3075">
      <x:c r="A3075" s="54" t="n">
        <x:v>45747</x:v>
      </x:c>
      <x:c r="B3075" t="n">
        <x:v>45747.624999988424</x:v>
      </x:c>
      <x:c r="C3075" t="str">
        <x:v>021080</x:v>
      </x:c>
      <x:c r="D3075" t="str">
        <x:v>에이티넘인베스트</x:v>
      </x:c>
      <x:c r="E3075" t="str">
        <x:v>KOSDAQ</x:v>
      </x:c>
      <x:c r="F3075" t="str">
        <x:v>MID</x:v>
      </x:c>
      <x:c r="G3075" t="str">
        <x:v>ELIGIBLE</x:v>
      </x:c>
      <x:c r="H3075"/>
      <x:c r="I3075" s="54" t="n">
        <x:v>45747</x:v>
      </x:c>
      <x:c r="J3075" s="55" t="n">
        <x:v>2000</x:v>
      </x:c>
      <x:c r="K3075" s="55" t="n">
        <x:v>96000000000</x:v>
      </x:c>
      <x:c r="L3075" s="55" t="n">
        <x:v>48000000</x:v>
      </x:c>
      <x:c r="M3075" t="str">
        <x:v>20250311001310</x:v>
      </x:c>
      <x:c r="N3075" t="n">
        <x:v>45728.624999988424</x:v>
      </x:c>
      <x:c r="O3075" s="54" t="n">
        <x:v>45657</x:v>
      </x:c>
      <x:c r="P3075" t="str">
        <x:v>False</x:v>
      </x:c>
      <x:c r="Q3075" t="str">
        <x:v>a1603c2fcc2068336a7bc3fa9b8a19fe892ed585a8ab7a4b2703f28f5085be47</x:v>
      </x:c>
      <x:c r="R3075" t="str">
        <x:v>2c96946943f799db2b9961595886975f5db8e595b3abee09ebfc8cccc943cf57</x:v>
      </x:c>
      <x:c r="S3075" t="n">
        <x:v>5</x:v>
      </x:c>
      <x:c r="T3075" t="str">
        <x:v>2018-12-31|2019-12-31|2020-12-31|2021-12-31|2022-12-31|2023-12-31|2024-12-31</x:v>
      </x:c>
      <x:c r="U3075" s="57" t="n">
        <x:v>4850.450445377758</x:v>
      </x:c>
      <x:c r="V3075" s="57" t="n">
        <x:v>1.425225222688879</x:v>
      </x:c>
      <x:c r="W3075" t="n">
        <x:v>10</x:v>
      </x:c>
      <x:c r="X3075" t="n">
        <x:v>1</x:v>
      </x:c>
      <x:c r="Y3075" s="38" t="n">
        <x:v>0.6409090909090909</x:v>
      </x:c>
      <x:c r="Z3075" s="38" t="n">
        <x:v>0.7149988896107878</x:v>
      </x:c>
      <x:c r="AA3075"/>
    </x:row>
    <x:row r="3076">
      <x:c r="A3076" s="54" t="n">
        <x:v>45747</x:v>
      </x:c>
      <x:c r="B3076" t="n">
        <x:v>45747.624999988424</x:v>
      </x:c>
      <x:c r="C3076" t="str">
        <x:v>302550</x:v>
      </x:c>
      <x:c r="D3076" t="str">
        <x:v>리메드</x:v>
      </x:c>
      <x:c r="E3076" t="str">
        <x:v>KOSDAQ</x:v>
      </x:c>
      <x:c r="F3076" t="str">
        <x:v>MID</x:v>
      </x:c>
      <x:c r="G3076" t="str">
        <x:v>ELIGIBLE</x:v>
      </x:c>
      <x:c r="H3076"/>
      <x:c r="I3076" s="54" t="n">
        <x:v>45747</x:v>
      </x:c>
      <x:c r="J3076" s="55" t="n">
        <x:v>3120</x:v>
      </x:c>
      <x:c r="K3076" s="55" t="n">
        <x:v>95590809600</x:v>
      </x:c>
      <x:c r="L3076" s="55" t="n">
        <x:v>30638080</x:v>
      </x:c>
      <x:c r="M3076" t="str">
        <x:v>20250318001367</x:v>
      </x:c>
      <x:c r="N3076" t="n">
        <x:v>45734.624999988424</x:v>
      </x:c>
      <x:c r="O3076" s="54" t="n">
        <x:v>45657</x:v>
      </x:c>
      <x:c r="P3076" t="str">
        <x:v>False</x:v>
      </x:c>
      <x:c r="Q3076" t="str">
        <x:v>c8e33df87c4c63d21435004c0981ab7b1302f4e8ec074b819926d7d755c09a34</x:v>
      </x:c>
      <x:c r="R3076" t="str">
        <x:v>98fc5c22e0d19f51c1a9370ef8f02898af69daad21c6905236ab144b6322b99b</x:v>
      </x:c>
      <x:c r="S3076" t="n">
        <x:v>5</x:v>
      </x:c>
      <x:c r="T3076" t="str">
        <x:v>2019-12-31|2020-12-31|2021-12-31|2022-12-31|2024-12-31</x:v>
      </x:c>
      <x:c r="U3076" s="57" t="n">
        <x:v>928.489188232458</x:v>
      </x:c>
      <x:c r="V3076" s="57" t="n">
        <x:v>-0.7024073114639557</x:v>
      </x:c>
      <x:c r="W3076" t="n">
        <x:v>58</x:v>
      </x:c>
      <x:c r="X3076" t="n">
        <x:v>5</x:v>
      </x:c>
      <x:c r="Y3076" s="38" t="n">
        <x:v>0.6409090909090909</x:v>
      </x:c>
      <x:c r="Z3076" s="38" t="n">
        <x:v>0.7960827540725356</x:v>
      </x:c>
      <x:c r="AA3076"/>
    </x:row>
    <x:row r="3077">
      <x:c r="A3077" s="54" t="n">
        <x:v>45747</x:v>
      </x:c>
      <x:c r="B3077" t="n">
        <x:v>45747.624999988424</x:v>
      </x:c>
      <x:c r="C3077" t="str">
        <x:v>011760</x:v>
      </x:c>
      <x:c r="D3077" t="str">
        <x:v>현대코퍼레이션</x:v>
      </x:c>
      <x:c r="E3077" t="str">
        <x:v>KOSPI</x:v>
      </x:c>
      <x:c r="F3077" t="str">
        <x:v>MID</x:v>
      </x:c>
      <x:c r="G3077" t="str">
        <x:v>DCF_SCREENING_EXCLUSION</x:v>
      </x:c>
      <x:c r="H3077" t="str">
        <x:v>NON_POSITIVE_ENTERPRISE_VALUE|NON_POSITIVE_TERMINAL_FCF</x:v>
      </x:c>
      <x:c r="I3077" s="54" t="n">
        <x:v>45747</x:v>
      </x:c>
      <x:c r="J3077" s="55" t="n">
        <x:v>21900</x:v>
      </x:c>
      <x:c r="K3077" s="55" t="n">
        <x:v>289714355400</x:v>
      </x:c>
      <x:c r="L3077" s="55" t="n">
        <x:v>13228966</x:v>
      </x:c>
      <x:c r="M3077" t="str">
        <x:v>20250324000696</x:v>
      </x:c>
      <x:c r="N3077" t="n">
        <x:v>45740.624999988424</x:v>
      </x:c>
      <x:c r="O3077" s="54" t="n">
        <x:v>45657</x:v>
      </x:c>
      <x:c r="P3077" t="str">
        <x:v>True</x:v>
      </x:c>
      <x:c r="Q3077" t="str">
        <x:v>68ee43a0174ac144c0fe7ab9f51033c2bd53b706db9c4bdc3128edce16e5e12f</x:v>
      </x:c>
      <x:c r="R3077" t="str">
        <x:v>55f2a3f3d0bcbbf7f2182fc4f7fdc29ada8d243d4334cac43043e0c6ab108d5c</x:v>
      </x:c>
      <x:c r="S3077" t="n">
        <x:v>7</x:v>
      </x:c>
      <x:c r="T3077" t="str">
        <x:v>2018-12-31|2019-12-31|2020-12-31|2021-12-31|2022-12-31|2023-12-31|2024-12-31</x:v>
      </x:c>
      <x:c r="U3077" s="57" t="n">
        <x:v>15119.610637335732</x:v>
      </x:c>
      <x:c r="V3077" s="57" t="n">
        <x:v>-0.3096068202129803</x:v>
      </x:c>
      <x:c r="W3077"/>
      <x:c r="X3077"/>
      <x:c r="Y3077" s="38" t="n">
        <x:v>0.6409090909090909</x:v>
      </x:c>
      <x:c r="Z3077" s="38" t="n">
        <x:v>0.2921718857711688</x:v>
      </x:c>
      <x:c r="AA3077" t="str">
        <x:v>NON_POSITIVE_ENTERPRISE_VALUE|NON_POSITIVE_TERMINAL_FCF</x:v>
      </x:c>
    </x:row>
    <x:row r="3078">
      <x:c r="A3078" s="54" t="n">
        <x:v>45747</x:v>
      </x:c>
      <x:c r="B3078" t="n">
        <x:v>45747.624999988424</x:v>
      </x:c>
      <x:c r="C3078" t="str">
        <x:v>010690</x:v>
      </x:c>
      <x:c r="D3078" t="str">
        <x:v>화신</x:v>
      </x:c>
      <x:c r="E3078" t="str">
        <x:v>KOSPI</x:v>
      </x:c>
      <x:c r="F3078" t="str">
        <x:v>MID</x:v>
      </x:c>
      <x:c r="G3078" t="str">
        <x:v>DCF_SCREENING_EXCLUSION</x:v>
      </x:c>
      <x:c r="H3078" t="str">
        <x:v>NON_POSITIVE_ENTERPRISE_VALUE|NON_POSITIVE_EQUITY_VALUE|NON_POSITIVE_TERMINAL_FCF</x:v>
      </x:c>
      <x:c r="I3078" s="54" t="n">
        <x:v>45747</x:v>
      </x:c>
      <x:c r="J3078" s="55" t="n">
        <x:v>7690</x:v>
      </x:c>
      <x:c r="K3078" s="55" t="n">
        <x:v>268537952900</x:v>
      </x:c>
      <x:c r="L3078" s="55" t="n">
        <x:v>34920410</x:v>
      </x:c>
      <x:c r="M3078" t="str">
        <x:v>20250317000376</x:v>
      </x:c>
      <x:c r="N3078" t="n">
        <x:v>45733.624999988424</x:v>
      </x:c>
      <x:c r="O3078" s="54" t="n">
        <x:v>45657</x:v>
      </x:c>
      <x:c r="P3078" t="str">
        <x:v>False</x:v>
      </x:c>
      <x:c r="Q3078" t="str">
        <x:v>da0f0eb8f18c5a7098923d744bc237781b32caed397bc9058d80382937d77299</x:v>
      </x:c>
      <x:c r="R3078" t="str">
        <x:v>03073b3d74461b169c46638dac3e04b7110b3d52b5eac0bcd1ebd01d561ee241</x:v>
      </x:c>
      <x:c r="S3078" t="n">
        <x:v>6</x:v>
      </x:c>
      <x:c r="T3078" t="str">
        <x:v>2018-12-31|2019-12-31|2020-12-31|2021-12-31|2022-12-31|2023-12-31|2024-12-31</x:v>
      </x:c>
      <x:c r="U3078" s="57" t="n">
        <x:v>-8861.949437601435</x:v>
      </x:c>
      <x:c r="V3078" s="57" t="n">
        <x:v>-2.152399146632176</x:v>
      </x:c>
      <x:c r="W3078"/>
      <x:c r="X3078"/>
      <x:c r="Y3078" s="38" t="n">
        <x:v>0.6409090909090909</x:v>
      </x:c>
      <x:c r="Z3078" s="38" t="n">
        <x:v>0.8291622965175354</x:v>
      </x:c>
      <x:c r="AA3078" t="str">
        <x:v>NON_POSITIVE_ENTERPRISE_VALUE|NON_POSITIVE_EQUITY_VALUE|NON_POSITIVE_TERMINAL_FCF</x:v>
      </x:c>
    </x:row>
    <x:row r="3079">
      <x:c r="A3079" s="54" t="n">
        <x:v>45747</x:v>
      </x:c>
      <x:c r="B3079" t="n">
        <x:v>45747.624999988424</x:v>
      </x:c>
      <x:c r="C3079" t="str">
        <x:v>029460</x:v>
      </x:c>
      <x:c r="D3079" t="str">
        <x:v>케이씨</x:v>
      </x:c>
      <x:c r="E3079" t="str">
        <x:v>KOSPI</x:v>
      </x:c>
      <x:c r="F3079" t="str">
        <x:v>MID</x:v>
      </x:c>
      <x:c r="G3079" t="str">
        <x:v>ELIGIBLE</x:v>
      </x:c>
      <x:c r="H3079"/>
      <x:c r="I3079" s="54" t="n">
        <x:v>45747</x:v>
      </x:c>
      <x:c r="J3079" s="55" t="n">
        <x:v>17740</x:v>
      </x:c>
      <x:c r="K3079" s="55" t="n">
        <x:v>234722605620</x:v>
      </x:c>
      <x:c r="L3079" s="55" t="n">
        <x:v>13231263</x:v>
      </x:c>
      <x:c r="M3079" t="str">
        <x:v>20250318001395</x:v>
      </x:c>
      <x:c r="N3079" t="n">
        <x:v>45734.624999988424</x:v>
      </x:c>
      <x:c r="O3079" s="54" t="n">
        <x:v>45657</x:v>
      </x:c>
      <x:c r="P3079" t="str">
        <x:v>False</x:v>
      </x:c>
      <x:c r="Q3079" t="str">
        <x:v>464d0555151422c07764d16729d174af7e0cb1d5907de9408a81802340081853</x:v>
      </x:c>
      <x:c r="R3079" t="str">
        <x:v>c2032c08046026aff128df41622f5bffe7b5f774a8bfa88eeeb7ed85354f0bf1</x:v>
      </x:c>
      <x:c r="S3079" t="n">
        <x:v>7</x:v>
      </x:c>
      <x:c r="T3079" t="str">
        <x:v>2018-12-31|2019-12-31|2020-12-31|2021-12-31|2022-12-31|2023-12-31|2024-12-31</x:v>
      </x:c>
      <x:c r="U3079" s="57" t="n">
        <x:v>40329.13587582702</x:v>
      </x:c>
      <x:c r="V3079" s="57" t="n">
        <x:v>1.2733447506103168</x:v>
      </x:c>
      <x:c r="W3079" t="n">
        <x:v>11</x:v>
      </x:c>
      <x:c r="X3079" t="n">
        <x:v>1</x:v>
      </x:c>
      <x:c r="Y3079" s="38" t="n">
        <x:v>0.6409090909090909</x:v>
      </x:c>
      <x:c r="Z3079" s="38" t="n">
        <x:v>0.7980834065611973</x:v>
      </x:c>
      <x:c r="AA3079"/>
    </x:row>
    <x:row r="3080">
      <x:c r="A3080" s="54" t="n">
        <x:v>45747</x:v>
      </x:c>
      <x:c r="B3080" t="n">
        <x:v>45747.624999988424</x:v>
      </x:c>
      <x:c r="C3080" t="str">
        <x:v>122900</x:v>
      </x:c>
      <x:c r="D3080" t="str">
        <x:v>아이마켓코리아</x:v>
      </x:c>
      <x:c r="E3080" t="str">
        <x:v>KOSPI</x:v>
      </x:c>
      <x:c r="F3080" t="str">
        <x:v>MID</x:v>
      </x:c>
      <x:c r="G3080" t="str">
        <x:v>ELIGIBLE</x:v>
      </x:c>
      <x:c r="H3080"/>
      <x:c r="I3080" s="54" t="n">
        <x:v>45747</x:v>
      </x:c>
      <x:c r="J3080" s="55" t="n">
        <x:v>7750</x:v>
      </x:c>
      <x:c r="K3080" s="55" t="n">
        <x:v>259073510000</x:v>
      </x:c>
      <x:c r="L3080" s="55" t="n">
        <x:v>33428840</x:v>
      </x:c>
      <x:c r="M3080" t="str">
        <x:v>20250320001632</x:v>
      </x:c>
      <x:c r="N3080" t="n">
        <x:v>45736.624999988424</x:v>
      </x:c>
      <x:c r="O3080" s="54" t="n">
        <x:v>45657</x:v>
      </x:c>
      <x:c r="P3080" t="str">
        <x:v>False</x:v>
      </x:c>
      <x:c r="Q3080" t="str">
        <x:v>e212963ad9bde643af10aa0bd891a52d33878d6d9b4a9c8cd0ebe1baf7a67fd9</x:v>
      </x:c>
      <x:c r="R3080" t="str">
        <x:v>081c47b6392b818d1ef0875c1b8bacccac5d14ebdbc7f40e7fc9af0e62e4fe8c</x:v>
      </x:c>
      <x:c r="S3080" t="n">
        <x:v>7</x:v>
      </x:c>
      <x:c r="T3080" t="str">
        <x:v>2018-12-31|2019-12-31|2020-12-31|2021-12-31|2022-12-31|2023-12-31|2024-12-31</x:v>
      </x:c>
      <x:c r="U3080" s="57" t="n">
        <x:v>4334.757476567481</x:v>
      </x:c>
      <x:c r="V3080" s="57" t="n">
        <x:v>-0.44067645463645405</x:v>
      </x:c>
      <x:c r="W3080" t="n">
        <x:v>42</x:v>
      </x:c>
      <x:c r="X3080" t="n">
        <x:v>4</x:v>
      </x:c>
      <x:c r="Y3080" s="38" t="n">
        <x:v>0.6409090909090909</x:v>
      </x:c>
      <x:c r="Z3080" s="38" t="n">
        <x:v>0.4285933385330603</x:v>
      </x:c>
      <x:c r="AA3080"/>
    </x:row>
    <x:row r="3081">
      <x:c r="A3081" s="54" t="n">
        <x:v>45747</x:v>
      </x:c>
      <x:c r="B3081" t="n">
        <x:v>45747.624999988424</x:v>
      </x:c>
      <x:c r="C3081" t="str">
        <x:v>001820</x:v>
      </x:c>
      <x:c r="D3081" t="str">
        <x:v>삼화콘덴서</x:v>
      </x:c>
      <x:c r="E3081" t="str">
        <x:v>KOSPI</x:v>
      </x:c>
      <x:c r="F3081" t="str">
        <x:v>MID</x:v>
      </x:c>
      <x:c r="G3081" t="str">
        <x:v>ELIGIBLE</x:v>
      </x:c>
      <x:c r="H3081"/>
      <x:c r="I3081" s="54" t="n">
        <x:v>45747</x:v>
      </x:c>
      <x:c r="J3081" s="55" t="n">
        <x:v>25000</x:v>
      </x:c>
      <x:c r="K3081" s="55" t="n">
        <x:v>259875000000</x:v>
      </x:c>
      <x:c r="L3081" s="55" t="n">
        <x:v>10395000</x:v>
      </x:c>
      <x:c r="M3081" t="str">
        <x:v>20250313000953</x:v>
      </x:c>
      <x:c r="N3081" t="n">
        <x:v>45729.624999988424</x:v>
      </x:c>
      <x:c r="O3081" s="54" t="n">
        <x:v>45657</x:v>
      </x:c>
      <x:c r="P3081" t="str">
        <x:v>False</x:v>
      </x:c>
      <x:c r="Q3081" t="str">
        <x:v>32de5b8671fddcc7842aa2a95ef1033b7dc5f72e59b2acf4984c3969a0094970</x:v>
      </x:c>
      <x:c r="R3081" t="str">
        <x:v>fed592dfa2d91e9fcab52960c37c24f80f97645071e2dde2510e13867fbb84b3</x:v>
      </x:c>
      <x:c r="S3081" t="n">
        <x:v>5</x:v>
      </x:c>
      <x:c r="T3081" t="str">
        <x:v>2018-12-31|2019-12-31|2020-12-31|2021-12-31|2022-12-31|2023-12-31|2024-12-31</x:v>
      </x:c>
      <x:c r="U3081" s="57" t="n">
        <x:v>20075.75881827716</x:v>
      </x:c>
      <x:c r="V3081" s="57" t="n">
        <x:v>-0.19696964726891358</x:v>
      </x:c>
      <x:c r="W3081" t="n">
        <x:v>30</x:v>
      </x:c>
      <x:c r="X3081" t="n">
        <x:v>3</x:v>
      </x:c>
      <x:c r="Y3081" s="38" t="n">
        <x:v>0.6409090909090909</x:v>
      </x:c>
      <x:c r="Z3081" s="38" t="n">
        <x:v>0.7774307287133866</x:v>
      </x:c>
      <x:c r="AA3081"/>
    </x:row>
    <x:row r="3082">
      <x:c r="A3082" s="54" t="n">
        <x:v>45747</x:v>
      </x:c>
      <x:c r="B3082" t="n">
        <x:v>45747.624999988424</x:v>
      </x:c>
      <x:c r="C3082" t="str">
        <x:v>001790</x:v>
      </x:c>
      <x:c r="D3082" t="str">
        <x:v>대한제당</x:v>
      </x:c>
      <x:c r="E3082" t="str">
        <x:v>KOSPI</x:v>
      </x:c>
      <x:c r="F3082" t="str">
        <x:v>MID</x:v>
      </x:c>
      <x:c r="G3082" t="str">
        <x:v>ELIGIBLE</x:v>
      </x:c>
      <x:c r="H3082"/>
      <x:c r="I3082" s="54" t="n">
        <x:v>45747</x:v>
      </x:c>
      <x:c r="J3082" s="55" t="n">
        <x:v>2730</x:v>
      </x:c>
      <x:c r="K3082" s="55" t="n">
        <x:v>244871663400</x:v>
      </x:c>
      <x:c r="L3082" s="55" t="n">
        <x:v>89696580</x:v>
      </x:c>
      <x:c r="M3082" t="str">
        <x:v>20250313001084</x:v>
      </x:c>
      <x:c r="N3082" t="n">
        <x:v>45729.624999988424</x:v>
      </x:c>
      <x:c r="O3082" s="54" t="n">
        <x:v>45657</x:v>
      </x:c>
      <x:c r="P3082" t="str">
        <x:v>False</x:v>
      </x:c>
      <x:c r="Q3082" t="str">
        <x:v>70a71fdd9a89f3ec8ece67cee20f991f14f95880a59c9b0273b79524d818c498</x:v>
      </x:c>
      <x:c r="R3082" t="str">
        <x:v>11994b75602dcb258bf28fb74f6b0631f80d4850bfe39ed8327b39358517a61a</x:v>
      </x:c>
      <x:c r="S3082" t="n">
        <x:v>7</x:v>
      </x:c>
      <x:c r="T3082" t="str">
        <x:v>2018-12-31|2019-12-31|2020-12-31|2021-12-31|2022-12-31|2023-12-31|2024-12-31</x:v>
      </x:c>
      <x:c r="U3082" s="57" t="n">
        <x:v>894.4676888036394</x:v>
      </x:c>
      <x:c r="V3082" s="57" t="n">
        <x:v>-0.6723561579473848</x:v>
      </x:c>
      <x:c r="W3082" t="n">
        <x:v>54</x:v>
      </x:c>
      <x:c r="X3082" t="n">
        <x:v>5</x:v>
      </x:c>
      <x:c r="Y3082" s="38" t="n">
        <x:v>0.6409090909090909</x:v>
      </x:c>
      <x:c r="Z3082" s="38" t="n">
        <x:v>0.6733915242702966</x:v>
      </x:c>
      <x:c r="AA3082"/>
    </x:row>
    <x:row r="3083">
      <x:c r="A3083" s="54" t="n">
        <x:v>45747</x:v>
      </x:c>
      <x:c r="B3083" t="n">
        <x:v>45747.624999988424</x:v>
      </x:c>
      <x:c r="C3083" t="str">
        <x:v>001340</x:v>
      </x:c>
      <x:c r="D3083" t="str">
        <x:v>PKC</x:v>
      </x:c>
      <x:c r="E3083" t="str">
        <x:v>KOSPI</x:v>
      </x:c>
      <x:c r="F3083" t="str">
        <x:v>MID</x:v>
      </x:c>
      <x:c r="G3083" t="str">
        <x:v>DCF_SCREENING_EXCLUSION</x:v>
      </x:c>
      <x:c r="H3083" t="str">
        <x:v>NON_POSITIVE_EQUITY_VALUE|UNRELIABLE_TERMINAL_VALUE_SHARE</x:v>
      </x:c>
      <x:c r="I3083" s="54" t="n">
        <x:v>45747</x:v>
      </x:c>
      <x:c r="J3083" s="55" t="n">
        <x:v>6080</x:v>
      </x:c>
      <x:c r="K3083" s="55" t="n">
        <x:v>273103914560</x:v>
      </x:c>
      <x:c r="L3083" s="55" t="n">
        <x:v>44918407</x:v>
      </x:c>
      <x:c r="M3083" t="str">
        <x:v>20250318001326</x:v>
      </x:c>
      <x:c r="N3083" t="n">
        <x:v>45734.624999988424</x:v>
      </x:c>
      <x:c r="O3083" s="54" t="n">
        <x:v>45657</x:v>
      </x:c>
      <x:c r="P3083" t="str">
        <x:v>False</x:v>
      </x:c>
      <x:c r="Q3083" t="str">
        <x:v>448422d0b664c1641c1409a6b550302ed7843caaad8693595fcf64767a2bf153</x:v>
      </x:c>
      <x:c r="R3083" t="str">
        <x:v>d7f4e26fd2d59a2733a35c8f825adbcbfe131ec6897357144d8cd186caa2ccea</x:v>
      </x:c>
      <x:c r="S3083" t="n">
        <x:v>6</x:v>
      </x:c>
      <x:c r="T3083" t="str">
        <x:v>2016-12-31|2017-12-31|2018-12-31|2019-12-31|2020-12-31|2021-12-31|2022-12-31|2023-12-31|2024-12-31</x:v>
      </x:c>
      <x:c r="U3083" s="57" t="n">
        <x:v>-1931.2583769092985</x:v>
      </x:c>
      <x:c r="V3083" s="57" t="n">
        <x:v>-1.3176411804127135</x:v>
      </x:c>
      <x:c r="W3083"/>
      <x:c r="X3083"/>
      <x:c r="Y3083" s="38" t="n">
        <x:v>0.6409090909090909</x:v>
      </x:c>
      <x:c r="Z3083" s="38" t="n">
        <x:v>1.077545612439398</x:v>
      </x:c>
      <x:c r="AA3083" t="str">
        <x:v>NON_POSITIVE_EQUITY_VALUE|UNRELIABLE_TERMINAL_VALUE_SHARE</x:v>
      </x:c>
    </x:row>
    <x:row r="3084">
      <x:c r="A3084" s="54" t="n">
        <x:v>45747</x:v>
      </x:c>
      <x:c r="B3084" t="n">
        <x:v>45747.624999988424</x:v>
      </x:c>
      <x:c r="C3084" t="str">
        <x:v>096760</x:v>
      </x:c>
      <x:c r="D3084" t="str">
        <x:v>JW홀딩스</x:v>
      </x:c>
      <x:c r="E3084" t="str">
        <x:v>KOSPI</x:v>
      </x:c>
      <x:c r="F3084" t="str">
        <x:v>MID</x:v>
      </x:c>
      <x:c r="G3084" t="str">
        <x:v>EXCLUDED_ARCHETYPE</x:v>
      </x:c>
      <x:c r="H3084" t="str">
        <x:v>FCFF_NOT_COMPARABLE_FOR_FINANCE_OR_HOLDING_HINT</x:v>
      </x:c>
      <x:c r="I3084" s="54"/>
      <x:c r="J3084" s="55"/>
      <x:c r="K3084" s="55"/>
      <x:c r="L3084" s="55"/>
      <x:c r="M3084"/>
      <x:c r="N3084"/>
      <x:c r="O3084" s="54"/>
      <x:c r="P3084"/>
      <x:c r="Q3084"/>
      <x:c r="R3084"/>
      <x:c r="S3084"/>
      <x:c r="T3084"/>
      <x:c r="U3084" s="57"/>
      <x:c r="V3084" s="57"/>
      <x:c r="W3084"/>
      <x:c r="X3084"/>
      <x:c r="Y3084" s="38"/>
      <x:c r="Z3084" s="38"/>
      <x:c r="AA3084"/>
    </x:row>
    <x:row r="3085">
      <x:c r="A3085" s="54" t="n">
        <x:v>45747</x:v>
      </x:c>
      <x:c r="B3085" t="n">
        <x:v>45747.624999988424</x:v>
      </x:c>
      <x:c r="C3085" t="str">
        <x:v>005010</x:v>
      </x:c>
      <x:c r="D3085" t="str">
        <x:v>휴스틸</x:v>
      </x:c>
      <x:c r="E3085" t="str">
        <x:v>KOSPI</x:v>
      </x:c>
      <x:c r="F3085" t="str">
        <x:v>MID</x:v>
      </x:c>
      <x:c r="G3085" t="str">
        <x:v>ELIGIBLE</x:v>
      </x:c>
      <x:c r="H3085"/>
      <x:c r="I3085" s="54" t="n">
        <x:v>45747</x:v>
      </x:c>
      <x:c r="J3085" s="55" t="n">
        <x:v>5070</x:v>
      </x:c>
      <x:c r="K3085" s="55" t="n">
        <x:v>284873540250</x:v>
      </x:c>
      <x:c r="L3085" s="55" t="n">
        <x:v>56188075</x:v>
      </x:c>
      <x:c r="M3085" t="str">
        <x:v>20250318001178</x:v>
      </x:c>
      <x:c r="N3085" t="n">
        <x:v>45734.624999988424</x:v>
      </x:c>
      <x:c r="O3085" s="54" t="n">
        <x:v>45657</x:v>
      </x:c>
      <x:c r="P3085" t="str">
        <x:v>False</x:v>
      </x:c>
      <x:c r="Q3085" t="str">
        <x:v>ebd1bae8300c69238e0a9e599d93730f19c06298ae3de9f1e44a88d3bcc9c46c</x:v>
      </x:c>
      <x:c r="R3085" t="str">
        <x:v>8b598b2a34d56804b2da12e7baeabc6a6f5137d2326d7baa9c526ed2e79a06c5</x:v>
      </x:c>
      <x:c r="S3085" t="n">
        <x:v>7</x:v>
      </x:c>
      <x:c r="T3085" t="str">
        <x:v>2018-12-31|2019-12-31|2020-12-31|2021-12-31|2022-12-31|2023-12-31|2024-12-31</x:v>
      </x:c>
      <x:c r="U3085" s="57" t="n">
        <x:v>2225.32104209166</x:v>
      </x:c>
      <x:c r="V3085" s="57" t="n">
        <x:v>-0.5610806623093374</x:v>
      </x:c>
      <x:c r="W3085" t="n">
        <x:v>52</x:v>
      </x:c>
      <x:c r="X3085" t="n">
        <x:v>4</x:v>
      </x:c>
      <x:c r="Y3085" s="38" t="n">
        <x:v>0.6409090909090909</x:v>
      </x:c>
      <x:c r="Z3085" s="38" t="n">
        <x:v>0.54988561429415</x:v>
      </x:c>
      <x:c r="AA3085"/>
    </x:row>
    <x:row r="3086">
      <x:c r="A3086" s="54" t="n">
        <x:v>45747</x:v>
      </x:c>
      <x:c r="B3086" t="n">
        <x:v>45747.624999988424</x:v>
      </x:c>
      <x:c r="C3086" t="str">
        <x:v>001630</x:v>
      </x:c>
      <x:c r="D3086" t="str">
        <x:v>종근당홀딩스</x:v>
      </x:c>
      <x:c r="E3086" t="str">
        <x:v>KOSPI</x:v>
      </x:c>
      <x:c r="F3086" t="str">
        <x:v>MID</x:v>
      </x:c>
      <x:c r="G3086" t="str">
        <x:v>EXCLUDED_ARCHETYPE</x:v>
      </x:c>
      <x:c r="H3086" t="str">
        <x:v>FCFF_NOT_COMPARABLE_FOR_FINANCE_OR_HOLDING_HINT</x:v>
      </x:c>
      <x:c r="I3086" s="54"/>
      <x:c r="J3086" s="55"/>
      <x:c r="K3086" s="55"/>
      <x:c r="L3086" s="55"/>
      <x:c r="M3086"/>
      <x:c r="N3086"/>
      <x:c r="O3086" s="54"/>
      <x:c r="P3086"/>
      <x:c r="Q3086"/>
      <x:c r="R3086"/>
      <x:c r="S3086"/>
      <x:c r="T3086"/>
      <x:c r="U3086" s="57"/>
      <x:c r="V3086" s="57"/>
      <x:c r="W3086"/>
      <x:c r="X3086"/>
      <x:c r="Y3086" s="38"/>
      <x:c r="Z3086" s="38"/>
      <x:c r="AA3086"/>
    </x:row>
    <x:row r="3087">
      <x:c r="A3087" s="54" t="n">
        <x:v>45747</x:v>
      </x:c>
      <x:c r="B3087" t="n">
        <x:v>45747.624999988424</x:v>
      </x:c>
      <x:c r="C3087" t="str">
        <x:v>005680</x:v>
      </x:c>
      <x:c r="D3087" t="str">
        <x:v>삼영전자</x:v>
      </x:c>
      <x:c r="E3087" t="str">
        <x:v>KOSPI</x:v>
      </x:c>
      <x:c r="F3087" t="str">
        <x:v>MID</x:v>
      </x:c>
      <x:c r="G3087" t="str">
        <x:v>ELIGIBLE</x:v>
      </x:c>
      <x:c r="H3087"/>
      <x:c r="I3087" s="54" t="n">
        <x:v>45747</x:v>
      </x:c>
      <x:c r="J3087" s="55" t="n">
        <x:v>10030</x:v>
      </x:c>
      <x:c r="K3087" s="55" t="n">
        <x:v>200600000000</x:v>
      </x:c>
      <x:c r="L3087" s="55" t="n">
        <x:v>20000000</x:v>
      </x:c>
      <x:c r="M3087" t="str">
        <x:v>20250320001464</x:v>
      </x:c>
      <x:c r="N3087" t="n">
        <x:v>45736.624999988424</x:v>
      </x:c>
      <x:c r="O3087" s="54" t="n">
        <x:v>45657</x:v>
      </x:c>
      <x:c r="P3087" t="str">
        <x:v>True</x:v>
      </x:c>
      <x:c r="Q3087" t="str">
        <x:v>cfa68a3e5b0fd8673d21354705fac8384fabebe6413b9d8e922db8dd5ac307a9</x:v>
      </x:c>
      <x:c r="R3087" t="str">
        <x:v>f26000ddb6d0698789eab6fc0b9208c592530321b1e323298d356eb9d6515620</x:v>
      </x:c>
      <x:c r="S3087" t="n">
        <x:v>6</x:v>
      </x:c>
      <x:c r="T3087" t="str">
        <x:v>2018-12-31|2019-12-31|2020-12-31|2021-12-31|2022-12-31|2023-12-31|2024-12-31</x:v>
      </x:c>
      <x:c r="U3087" s="57" t="n">
        <x:v>3180.700331297927</x:v>
      </x:c>
      <x:c r="V3087" s="57" t="n">
        <x:v>-0.6828813229015028</x:v>
      </x:c>
      <x:c r="W3087" t="n">
        <x:v>56</x:v>
      </x:c>
      <x:c r="X3087" t="n">
        <x:v>5</x:v>
      </x:c>
      <x:c r="Y3087" s="38" t="n">
        <x:v>0.6409090909090909</x:v>
      </x:c>
      <x:c r="Z3087" s="38" t="n">
        <x:v>0.5248739212793108</x:v>
      </x:c>
      <x:c r="AA3087"/>
    </x:row>
    <x:row r="3088">
      <x:c r="A3088" s="54" t="n">
        <x:v>45747</x:v>
      </x:c>
      <x:c r="B3088" t="n">
        <x:v>45747.624999988424</x:v>
      </x:c>
      <x:c r="C3088" t="str">
        <x:v>028100</x:v>
      </x:c>
      <x:c r="D3088" t="str">
        <x:v>동아지질</x:v>
      </x:c>
      <x:c r="E3088" t="str">
        <x:v>KOSPI</x:v>
      </x:c>
      <x:c r="F3088" t="str">
        <x:v>MID</x:v>
      </x:c>
      <x:c r="G3088" t="str">
        <x:v>DCF_SCREENING_EXCLUSION</x:v>
      </x:c>
      <x:c r="H3088" t="str">
        <x:v>NON_POSITIVE_ENTERPRISE_VALUE|NON_POSITIVE_TERMINAL_FCF</x:v>
      </x:c>
      <x:c r="I3088" s="54" t="n">
        <x:v>45747</x:v>
      </x:c>
      <x:c r="J3088" s="55" t="n">
        <x:v>12930</x:v>
      </x:c>
      <x:c r="K3088" s="55" t="n">
        <x:v>173126260860</x:v>
      </x:c>
      <x:c r="L3088" s="55" t="n">
        <x:v>13389502</x:v>
      </x:c>
      <x:c r="M3088" t="str">
        <x:v>20250318001360</x:v>
      </x:c>
      <x:c r="N3088" t="n">
        <x:v>45734.624999988424</x:v>
      </x:c>
      <x:c r="O3088" s="54" t="n">
        <x:v>45657</x:v>
      </x:c>
      <x:c r="P3088" t="str">
        <x:v>False</x:v>
      </x:c>
      <x:c r="Q3088" t="str">
        <x:v>f6bacead7a4d3b599928357c954aad469daae675f91bf79ee168c6b32f9e14f5</x:v>
      </x:c>
      <x:c r="R3088" t="str">
        <x:v>041444595e8a8661a4e5e5976021743d01fdeaa9915767ccf69256de9fd453b0</x:v>
      </x:c>
      <x:c r="S3088" t="n">
        <x:v>6</x:v>
      </x:c>
      <x:c r="T3088" t="str">
        <x:v>2018-12-31|2019-12-31|2020-12-31|2021-12-31|2022-12-31|2023-12-31|2024-12-31</x:v>
      </x:c>
      <x:c r="U3088" s="57" t="n">
        <x:v>4992.707269123689</x:v>
      </x:c>
      <x:c r="V3088" s="57" t="n">
        <x:v>-0.6138664138342081</x:v>
      </x:c>
      <x:c r="W3088"/>
      <x:c r="X3088"/>
      <x:c r="Y3088" s="38" t="n">
        <x:v>0.6409090909090909</x:v>
      </x:c>
      <x:c r="Z3088" s="38" t="n">
        <x:v>0.8226680380877903</x:v>
      </x:c>
      <x:c r="AA3088" t="str">
        <x:v>NON_POSITIVE_ENTERPRISE_VALUE|NON_POSITIVE_TERMINAL_FCF</x:v>
      </x:c>
    </x:row>
    <x:row r="3089">
      <x:c r="A3089" s="54" t="n">
        <x:v>45747</x:v>
      </x:c>
      <x:c r="B3089" t="n">
        <x:v>45747.624999988424</x:v>
      </x:c>
      <x:c r="C3089" t="str">
        <x:v>001750</x:v>
      </x:c>
      <x:c r="D3089" t="str">
        <x:v>한양증권</x:v>
      </x:c>
      <x:c r="E3089" t="str">
        <x:v>KOSPI</x:v>
      </x:c>
      <x:c r="F3089" t="str">
        <x:v>MID</x:v>
      </x:c>
      <x:c r="G3089" t="str">
        <x:v>EXCLUDED_ARCHETYPE</x:v>
      </x:c>
      <x:c r="H3089" t="str">
        <x:v>FCFF_NOT_COMPARABLE_FOR_FINANCE_OR_HOLDING_HINT</x:v>
      </x:c>
      <x:c r="I3089" s="54"/>
      <x:c r="J3089" s="55"/>
      <x:c r="K3089" s="55"/>
      <x:c r="L3089" s="55"/>
      <x:c r="M3089"/>
      <x:c r="N3089"/>
      <x:c r="O3089" s="54"/>
      <x:c r="P3089"/>
      <x:c r="Q3089"/>
      <x:c r="R3089"/>
      <x:c r="S3089"/>
      <x:c r="T3089"/>
      <x:c r="U3089" s="57"/>
      <x:c r="V3089" s="57"/>
      <x:c r="W3089"/>
      <x:c r="X3089"/>
      <x:c r="Y3089" s="38"/>
      <x:c r="Z3089" s="38"/>
      <x:c r="AA3089"/>
    </x:row>
    <x:row r="3090">
      <x:c r="A3090" s="54" t="n">
        <x:v>45747</x:v>
      </x:c>
      <x:c r="B3090" t="n">
        <x:v>45747.624999988424</x:v>
      </x:c>
      <x:c r="C3090" t="str">
        <x:v>102460</x:v>
      </x:c>
      <x:c r="D3090" t="str">
        <x:v>이연제약</x:v>
      </x:c>
      <x:c r="E3090" t="str">
        <x:v>KOSPI</x:v>
      </x:c>
      <x:c r="F3090" t="str">
        <x:v>MID</x:v>
      </x:c>
      <x:c r="G3090" t="str">
        <x:v>DCF_SCREENING_EXCLUSION</x:v>
      </x:c>
      <x:c r="H3090" t="str">
        <x:v>UNRELIABLE_TERMINAL_VALUE_SHARE</x:v>
      </x:c>
      <x:c r="I3090" s="54" t="n">
        <x:v>45747</x:v>
      </x:c>
      <x:c r="J3090" s="55" t="n">
        <x:v>11210</x:v>
      </x:c>
      <x:c r="K3090" s="55" t="n">
        <x:v>208358151310</x:v>
      </x:c>
      <x:c r="L3090" s="55" t="n">
        <x:v>18586811</x:v>
      </x:c>
      <x:c r="M3090" t="str">
        <x:v>20250324000741</x:v>
      </x:c>
      <x:c r="N3090" t="n">
        <x:v>45740.624999988424</x:v>
      </x:c>
      <x:c r="O3090" s="54" t="n">
        <x:v>45657</x:v>
      </x:c>
      <x:c r="P3090" t="str">
        <x:v>True</x:v>
      </x:c>
      <x:c r="Q3090" t="str">
        <x:v>99bb13dce29c16a81da63c823b01f3f9eed73a9b4b9ab666bd47242bb9c14dc6</x:v>
      </x:c>
      <x:c r="R3090" t="str">
        <x:v>ae8d10b731dea304c9b39e5aab975b9cd90adfaa43029bad8f062ed490eb010a</x:v>
      </x:c>
      <x:c r="S3090" t="n">
        <x:v>4</x:v>
      </x:c>
      <x:c r="T3090" t="str">
        <x:v>2018-12-31|2019-12-31|2020-12-31|2021-12-31|2022-12-31|2023-12-31|2024-12-31</x:v>
      </x:c>
      <x:c r="U3090" s="57" t="n">
        <x:v>863.8027586973582</x:v>
      </x:c>
      <x:c r="V3090" s="57" t="n">
        <x:v>-0.9229435540858735</x:v>
      </x:c>
      <x:c r="W3090"/>
      <x:c r="X3090"/>
      <x:c r="Y3090" s="38" t="n">
        <x:v>0.6409090909090909</x:v>
      </x:c>
      <x:c r="Z3090" s="38" t="n">
        <x:v>1.4736293116330543</x:v>
      </x:c>
      <x:c r="AA3090" t="str">
        <x:v>UNRELIABLE_TERMINAL_VALUE_SHARE</x:v>
      </x:c>
    </x:row>
    <x:row r="3091">
      <x:c r="A3091" s="54" t="n">
        <x:v>45747</x:v>
      </x:c>
      <x:c r="B3091" t="n">
        <x:v>45747.624999988424</x:v>
      </x:c>
      <x:c r="C3091" t="str">
        <x:v>053690</x:v>
      </x:c>
      <x:c r="D3091" t="str">
        <x:v>한미글로벌</x:v>
      </x:c>
      <x:c r="E3091" t="str">
        <x:v>KOSPI</x:v>
      </x:c>
      <x:c r="F3091" t="str">
        <x:v>MID</x:v>
      </x:c>
      <x:c r="G3091" t="str">
        <x:v>ELIGIBLE</x:v>
      </x:c>
      <x:c r="H3091"/>
      <x:c r="I3091" s="54" t="n">
        <x:v>45747</x:v>
      </x:c>
      <x:c r="J3091" s="55" t="n">
        <x:v>14940</x:v>
      </x:c>
      <x:c r="K3091" s="55" t="n">
        <x:v>163705797000</x:v>
      </x:c>
      <x:c r="L3091" s="55" t="n">
        <x:v>10957550</x:v>
      </x:c>
      <x:c r="M3091" t="str">
        <x:v>20250313001417</x:v>
      </x:c>
      <x:c r="N3091" t="n">
        <x:v>45729.624999988424</x:v>
      </x:c>
      <x:c r="O3091" s="54" t="n">
        <x:v>45657</x:v>
      </x:c>
      <x:c r="P3091" t="str">
        <x:v>False</x:v>
      </x:c>
      <x:c r="Q3091" t="str">
        <x:v>51b2be5f40d3d82d5d370531fbcd7363769b64cf6191200b8167c52397c99b27</x:v>
      </x:c>
      <x:c r="R3091" t="str">
        <x:v>650f18deaa35fe6125d5ad8b4ba612039a448f3cd435a6475c179c31f87ed519</x:v>
      </x:c>
      <x:c r="S3091" t="n">
        <x:v>6</x:v>
      </x:c>
      <x:c r="T3091" t="str">
        <x:v>2018-12-31|2019-12-31|2020-12-31|2021-12-31|2022-12-31|2023-12-31|2024-12-31</x:v>
      </x:c>
      <x:c r="U3091" s="57" t="n">
        <x:v>25669.93652281849</x:v>
      </x:c>
      <x:c r="V3091" s="57" t="n">
        <x:v>0.7182019091578642</x:v>
      </x:c>
      <x:c r="W3091" t="n">
        <x:v>16</x:v>
      </x:c>
      <x:c r="X3091" t="n">
        <x:v>2</x:v>
      </x:c>
      <x:c r="Y3091" s="38" t="n">
        <x:v>0.6409090909090909</x:v>
      </x:c>
      <x:c r="Z3091" s="38" t="n">
        <x:v>0.6713982026034973</x:v>
      </x:c>
      <x:c r="AA3091"/>
    </x:row>
    <x:row r="3092">
      <x:c r="A3092" s="54" t="n">
        <x:v>45747</x:v>
      </x:c>
      <x:c r="B3092" t="n">
        <x:v>45747.624999988424</x:v>
      </x:c>
      <x:c r="C3092" t="str">
        <x:v>213500</x:v>
      </x:c>
      <x:c r="D3092" t="str">
        <x:v>한솔제지</x:v>
      </x:c>
      <x:c r="E3092" t="str">
        <x:v>KOSPI</x:v>
      </x:c>
      <x:c r="F3092" t="str">
        <x:v>MID</x:v>
      </x:c>
      <x:c r="G3092" t="str">
        <x:v>ELIGIBLE</x:v>
      </x:c>
      <x:c r="H3092"/>
      <x:c r="I3092" s="54" t="n">
        <x:v>45747</x:v>
      </x:c>
      <x:c r="J3092" s="55" t="n">
        <x:v>8110</x:v>
      </x:c>
      <x:c r="K3092" s="55" t="n">
        <x:v>193022671360</x:v>
      </x:c>
      <x:c r="L3092" s="55" t="n">
        <x:v>23800576</x:v>
      </x:c>
      <x:c r="M3092" t="str">
        <x:v>20250314001432</x:v>
      </x:c>
      <x:c r="N3092" t="n">
        <x:v>45730.624999988424</x:v>
      </x:c>
      <x:c r="O3092" s="54" t="n">
        <x:v>45657</x:v>
      </x:c>
      <x:c r="P3092" t="str">
        <x:v>False</x:v>
      </x:c>
      <x:c r="Q3092" t="str">
        <x:v>d0978a0d36a431723ed04405f703f04ac71e2d1dbff5bb3f5397b1e6ec83fb20</x:v>
      </x:c>
      <x:c r="R3092" t="str">
        <x:v>ed373e46bae1d3c657a1613bfcbee15625037781b008f63df173a1e11209b7b0</x:v>
      </x:c>
      <x:c r="S3092" t="n">
        <x:v>7</x:v>
      </x:c>
      <x:c r="T3092" t="str">
        <x:v>2018-12-31|2019-12-31|2020-12-31|2021-12-31|2022-12-31|2023-12-31|2024-12-31</x:v>
      </x:c>
      <x:c r="U3092" s="57" t="n">
        <x:v>5671.430230340832</x:v>
      </x:c>
      <x:c r="V3092" s="57" t="n">
        <x:v>-0.3006867780097618</x:v>
      </x:c>
      <x:c r="W3092" t="n">
        <x:v>36</x:v>
      </x:c>
      <x:c r="X3092" t="n">
        <x:v>3</x:v>
      </x:c>
      <x:c r="Y3092" s="38" t="n">
        <x:v>0.6409090909090909</x:v>
      </x:c>
      <x:c r="Z3092" s="38" t="n">
        <x:v>0.7998796037584048</x:v>
      </x:c>
      <x:c r="AA3092"/>
    </x:row>
    <x:row r="3093">
      <x:c r="A3093" s="54" t="n">
        <x:v>45747</x:v>
      </x:c>
      <x:c r="B3093" t="n">
        <x:v>45747.624999988424</x:v>
      </x:c>
      <x:c r="C3093" t="str">
        <x:v>005430</x:v>
      </x:c>
      <x:c r="D3093" t="str">
        <x:v>한국공항</x:v>
      </x:c>
      <x:c r="E3093" t="str">
        <x:v>KOSPI</x:v>
      </x:c>
      <x:c r="F3093" t="str">
        <x:v>MID</x:v>
      </x:c>
      <x:c r="G3093" t="str">
        <x:v>ELIGIBLE</x:v>
      </x:c>
      <x:c r="H3093"/>
      <x:c r="I3093" s="54" t="n">
        <x:v>45747</x:v>
      </x:c>
      <x:c r="J3093" s="55" t="n">
        <x:v>47900</x:v>
      </x:c>
      <x:c r="K3093" s="55" t="n">
        <x:v>151668404500</x:v>
      </x:c>
      <x:c r="L3093" s="55" t="n">
        <x:v>3166355</x:v>
      </x:c>
      <x:c r="M3093" t="str">
        <x:v>20250318000741</x:v>
      </x:c>
      <x:c r="N3093" t="n">
        <x:v>45734.624999988424</x:v>
      </x:c>
      <x:c r="O3093" s="54" t="n">
        <x:v>45657</x:v>
      </x:c>
      <x:c r="P3093" t="str">
        <x:v>False</x:v>
      </x:c>
      <x:c r="Q3093" t="str">
        <x:v>96c22147bc0b6b2724a33264dc05abcad0e492329dcdf2014cd880db88c6a714</x:v>
      </x:c>
      <x:c r="R3093" t="str">
        <x:v>c881c5fe66bed1fa063450b028b0795c4fb4761a902f6bfde68499129e317f5d</x:v>
      </x:c>
      <x:c r="S3093" t="n">
        <x:v>7</x:v>
      </x:c>
      <x:c r="T3093" t="str">
        <x:v>2018-12-31|2019-12-31|2020-12-31|2021-12-31|2022-12-31|2023-12-31|2024-12-31</x:v>
      </x:c>
      <x:c r="U3093" s="57" t="n">
        <x:v>119764.62363728922</x:v>
      </x:c>
      <x:c r="V3093" s="57" t="n">
        <x:v>1.500305295141737</x:v>
      </x:c>
      <x:c r="W3093" t="n">
        <x:v>9</x:v>
      </x:c>
      <x:c r="X3093" t="n">
        <x:v>1</x:v>
      </x:c>
      <x:c r="Y3093" s="38" t="n">
        <x:v>0.6409090909090909</x:v>
      </x:c>
      <x:c r="Z3093" s="38" t="n">
        <x:v>0.6100815592248533</x:v>
      </x:c>
      <x:c r="AA3093"/>
    </x:row>
    <x:row r="3094">
      <x:c r="A3094" s="54" t="n">
        <x:v>45747</x:v>
      </x:c>
      <x:c r="B3094" t="n">
        <x:v>45747.624999988424</x:v>
      </x:c>
      <x:c r="C3094" t="str">
        <x:v>003460</x:v>
      </x:c>
      <x:c r="D3094" t="str">
        <x:v>유화증권</x:v>
      </x:c>
      <x:c r="E3094" t="str">
        <x:v>KOSPI</x:v>
      </x:c>
      <x:c r="F3094" t="str">
        <x:v>MID</x:v>
      </x:c>
      <x:c r="G3094" t="str">
        <x:v>EXCLUDED_ARCHETYPE</x:v>
      </x:c>
      <x:c r="H3094" t="str">
        <x:v>FCFF_NOT_COMPARABLE_FOR_FINANCE_OR_HOLDING_HINT</x:v>
      </x:c>
      <x:c r="I3094" s="54"/>
      <x:c r="J3094" s="55"/>
      <x:c r="K3094" s="55"/>
      <x:c r="L3094" s="55"/>
      <x:c r="M3094"/>
      <x:c r="N3094"/>
      <x:c r="O3094" s="54"/>
      <x:c r="P3094"/>
      <x:c r="Q3094"/>
      <x:c r="R3094"/>
      <x:c r="S3094"/>
      <x:c r="T3094"/>
      <x:c r="U3094" s="57"/>
      <x:c r="V3094" s="57"/>
      <x:c r="W3094"/>
      <x:c r="X3094"/>
      <x:c r="Y3094" s="38"/>
      <x:c r="Z3094" s="38"/>
      <x:c r="AA3094"/>
    </x:row>
    <x:row r="3095">
      <x:c r="A3095" s="54" t="n">
        <x:v>45747</x:v>
      </x:c>
      <x:c r="B3095" t="n">
        <x:v>45747.624999988424</x:v>
      </x:c>
      <x:c r="C3095" t="str">
        <x:v>004140</x:v>
      </x:c>
      <x:c r="D3095" t="str">
        <x:v>동방</x:v>
      </x:c>
      <x:c r="E3095" t="str">
        <x:v>KOSPI</x:v>
      </x:c>
      <x:c r="F3095" t="str">
        <x:v>MID</x:v>
      </x:c>
      <x:c r="G3095" t="str">
        <x:v>DCF_SCREENING_EXCLUSION</x:v>
      </x:c>
      <x:c r="H3095" t="str">
        <x:v>NON_POSITIVE_ENTERPRISE_VALUE|NON_POSITIVE_TERMINAL_FCF|UNRELIABLE_TERMINAL_VALUE_SHARE</x:v>
      </x:c>
      <x:c r="I3095" s="54" t="n">
        <x:v>45747</x:v>
      </x:c>
      <x:c r="J3095" s="55" t="n">
        <x:v>2085</x:v>
      </x:c>
      <x:c r="K3095" s="55" t="n">
        <x:v>100021132110</x:v>
      </x:c>
      <x:c r="L3095" s="55" t="n">
        <x:v>47971766</x:v>
      </x:c>
      <x:c r="M3095" t="str">
        <x:v>20250320001398</x:v>
      </x:c>
      <x:c r="N3095" t="n">
        <x:v>45736.624999988424</x:v>
      </x:c>
      <x:c r="O3095" s="54" t="n">
        <x:v>45657</x:v>
      </x:c>
      <x:c r="P3095" t="str">
        <x:v>False</x:v>
      </x:c>
      <x:c r="Q3095" t="str">
        <x:v>f5c84d1176c3bde373541e8a79d93c72b302ce811ccd9f329af5275bc0793557</x:v>
      </x:c>
      <x:c r="R3095" t="str">
        <x:v>9af185b2febf5374cc86bf236d00af680b0237c328db8eb8dd3b49288c0fcf44</x:v>
      </x:c>
      <x:c r="S3095" t="n">
        <x:v>7</x:v>
      </x:c>
      <x:c r="T3095" t="str">
        <x:v>2013-12-31|2014-12-31|2015-12-31|2016-12-31|2018-12-31|2019-12-31|2020-12-31|2021-12-31|2022-12-31|2023-12-31|2024-12-31</x:v>
      </x:c>
      <x:c r="U3095" s="57" t="n">
        <x:v>23.453197098881997</x:v>
      </x:c>
      <x:c r="V3095" s="57" t="n">
        <x:v>-0.9887514642211597</x:v>
      </x:c>
      <x:c r="W3095"/>
      <x:c r="X3095"/>
      <x:c r="Y3095" s="38" t="n">
        <x:v>0.6409090909090909</x:v>
      </x:c>
      <x:c r="Z3095" s="38" t="n">
        <x:v>0.9762425382103627</x:v>
      </x:c>
      <x:c r="AA3095" t="str">
        <x:v>NON_POSITIVE_ENTERPRISE_VALUE|NON_POSITIVE_TERMINAL_FCF|UNRELIABLE_TERMINAL_VALUE_SHARE</x:v>
      </x:c>
    </x:row>
    <x:row r="3096">
      <x:c r="A3096" s="54" t="n">
        <x:v>45747</x:v>
      </x:c>
      <x:c r="B3096" t="n">
        <x:v>45747.624999988424</x:v>
      </x:c>
      <x:c r="C3096" t="str">
        <x:v>317400</x:v>
      </x:c>
      <x:c r="D3096" t="str">
        <x:v>자이에스앤디</x:v>
      </x:c>
      <x:c r="E3096" t="str">
        <x:v>KOSPI</x:v>
      </x:c>
      <x:c r="F3096" t="str">
        <x:v>MID</x:v>
      </x:c>
      <x:c r="G3096" t="str">
        <x:v>DCF_SCREENING_EXCLUSION</x:v>
      </x:c>
      <x:c r="H3096" t="str">
        <x:v>UNRELIABLE_TERMINAL_VALUE_SHARE</x:v>
      </x:c>
      <x:c r="I3096" s="54" t="n">
        <x:v>45747</x:v>
      </x:c>
      <x:c r="J3096" s="55" t="n">
        <x:v>3170</x:v>
      </x:c>
      <x:c r="K3096" s="55" t="n">
        <x:v>122940588400</x:v>
      </x:c>
      <x:c r="L3096" s="55" t="n">
        <x:v>38782520</x:v>
      </x:c>
      <x:c r="M3096" t="str">
        <x:v>20250317000915</x:v>
      </x:c>
      <x:c r="N3096" t="n">
        <x:v>45733.624999988424</x:v>
      </x:c>
      <x:c r="O3096" s="54" t="n">
        <x:v>45657</x:v>
      </x:c>
      <x:c r="P3096" t="str">
        <x:v>False</x:v>
      </x:c>
      <x:c r="Q3096" t="str">
        <x:v>29acffc462c30f15419c42d97f1ecb93bcf4b93db37250a125f7255f078e1292</x:v>
      </x:c>
      <x:c r="R3096" t="str">
        <x:v>717ae5cb67dbf646f553f56cbe154e1e45b2dc7915c3e63f16ed8104bc53466b</x:v>
      </x:c>
      <x:c r="S3096" t="n">
        <x:v>7</x:v>
      </x:c>
      <x:c r="T3096" t="str">
        <x:v>2019-12-31|2020-12-31|2021-12-31|2022-12-31|2023-12-31|2024-12-31</x:v>
      </x:c>
      <x:c r="U3096" s="57" t="n">
        <x:v>23861.006194453326</x:v>
      </x:c>
      <x:c r="V3096" s="57" t="n">
        <x:v>6.527131291625655</x:v>
      </x:c>
      <x:c r="W3096"/>
      <x:c r="X3096"/>
      <x:c r="Y3096" s="38" t="n">
        <x:v>0.6409090909090909</x:v>
      </x:c>
      <x:c r="Z3096" s="38" t="n">
        <x:v>0.9375254827577386</x:v>
      </x:c>
      <x:c r="AA3096" t="str">
        <x:v>UNRELIABLE_TERMINAL_VALUE_SHARE</x:v>
      </x:c>
    </x:row>
    <x:row r="3097">
      <x:c r="A3097" s="54" t="n">
        <x:v>45747</x:v>
      </x:c>
      <x:c r="B3097" t="n">
        <x:v>45747.624999988424</x:v>
      </x:c>
      <x:c r="C3097" t="str">
        <x:v>077500</x:v>
      </x:c>
      <x:c r="D3097" t="str">
        <x:v>유니퀘스트</x:v>
      </x:c>
      <x:c r="E3097" t="str">
        <x:v>KOSPI</x:v>
      </x:c>
      <x:c r="F3097" t="str">
        <x:v>MID</x:v>
      </x:c>
      <x:c r="G3097" t="str">
        <x:v>ELIGIBLE</x:v>
      </x:c>
      <x:c r="H3097"/>
      <x:c r="I3097" s="54" t="n">
        <x:v>45747</x:v>
      </x:c>
      <x:c r="J3097" s="55" t="n">
        <x:v>5220</x:v>
      </x:c>
      <x:c r="K3097" s="55" t="n">
        <x:v>112752532440</x:v>
      </x:c>
      <x:c r="L3097" s="55" t="n">
        <x:v>21600102</x:v>
      </x:c>
      <x:c r="M3097" t="str">
        <x:v>20250320001187</x:v>
      </x:c>
      <x:c r="N3097" t="n">
        <x:v>45736.624999988424</x:v>
      </x:c>
      <x:c r="O3097" s="54" t="n">
        <x:v>45657</x:v>
      </x:c>
      <x:c r="P3097" t="str">
        <x:v>False</x:v>
      </x:c>
      <x:c r="Q3097" t="str">
        <x:v>20fef9a32a94d25e12a224707b2024d167c2ea3f7355313aaafaecad0b5664a9</x:v>
      </x:c>
      <x:c r="R3097" t="str">
        <x:v>addd5aac89175dc9fe81f0df423580bfce3794b20725d2900fe98bd1a2373756</x:v>
      </x:c>
      <x:c r="S3097" t="n">
        <x:v>6</x:v>
      </x:c>
      <x:c r="T3097" t="str">
        <x:v>2011-12-31|2012-12-31|2013-12-31|2014-12-31|2015-12-31|2016-12-31|2017-12-31|2018-12-31|2019-12-31|2020-12-31|2021-12-31|2022-12-31|2023-12-31|2024-12-31</x:v>
      </x:c>
      <x:c r="U3097" s="57" t="n">
        <x:v>4709.8188552567735</x:v>
      </x:c>
      <x:c r="V3097" s="57" t="n">
        <x:v>-0.0977358514833768</x:v>
      </x:c>
      <x:c r="W3097" t="n">
        <x:v>27</x:v>
      </x:c>
      <x:c r="X3097" t="n">
        <x:v>2</x:v>
      </x:c>
      <x:c r="Y3097" s="38" t="n">
        <x:v>0.6409090909090909</x:v>
      </x:c>
      <x:c r="Z3097" s="38" t="n">
        <x:v>0.644083878682151</x:v>
      </x:c>
      <x:c r="AA3097"/>
    </x:row>
    <x:row r="3098">
      <x:c r="A3098" s="54" t="n">
        <x:v>45747</x:v>
      </x:c>
      <x:c r="B3098" t="n">
        <x:v>45747.624999988424</x:v>
      </x:c>
      <x:c r="C3098" t="str">
        <x:v>012800</x:v>
      </x:c>
      <x:c r="D3098" t="str">
        <x:v>대창</x:v>
      </x:c>
      <x:c r="E3098" t="str">
        <x:v>KOSPI</x:v>
      </x:c>
      <x:c r="F3098" t="str">
        <x:v>MID</x:v>
      </x:c>
      <x:c r="G3098" t="str">
        <x:v>DCF_SCREENING_EXCLUSION</x:v>
      </x:c>
      <x:c r="H3098" t="str">
        <x:v>NON_POSITIVE_EQUITY_VALUE</x:v>
      </x:c>
      <x:c r="I3098" s="54" t="n">
        <x:v>45747</x:v>
      </x:c>
      <x:c r="J3098" s="55" t="n">
        <x:v>1282</x:v>
      </x:c>
      <x:c r="K3098" s="55" t="n">
        <x:v>116842119718</x:v>
      </x:c>
      <x:c r="L3098" s="55" t="n">
        <x:v>91140499</x:v>
      </x:c>
      <x:c r="M3098" t="str">
        <x:v>20250318001233</x:v>
      </x:c>
      <x:c r="N3098" t="n">
        <x:v>45734.624999988424</x:v>
      </x:c>
      <x:c r="O3098" s="54" t="n">
        <x:v>45657</x:v>
      </x:c>
      <x:c r="P3098" t="str">
        <x:v>True</x:v>
      </x:c>
      <x:c r="Q3098" t="str">
        <x:v>50647b987ecda3afdcc18e9b6df35eb05d3bbdf3edbbc98616b0e8fd56b8a9ba</x:v>
      </x:c>
      <x:c r="R3098" t="str">
        <x:v>dca155884fae78e9fd54b2f49c324e4712bfcd13aff3cc960af63af6a36197fa</x:v>
      </x:c>
      <x:c r="S3098" t="n">
        <x:v>7</x:v>
      </x:c>
      <x:c r="T3098" t="str">
        <x:v>2018-12-31|2019-12-31|2020-12-31|2021-12-31|2022-12-31|2023-12-31|2024-12-31</x:v>
      </x:c>
      <x:c r="U3098" s="57" t="n">
        <x:v>-2397.047614700418</x:v>
      </x:c>
      <x:c r="V3098" s="57" t="n">
        <x:v>-2.8697719303435396</x:v>
      </x:c>
      <x:c r="W3098"/>
      <x:c r="X3098"/>
      <x:c r="Y3098" s="38" t="n">
        <x:v>0.6409090909090909</x:v>
      </x:c>
      <x:c r="Z3098" s="38" t="n">
        <x:v>0.611114804315932</x:v>
      </x:c>
      <x:c r="AA3098" t="str">
        <x:v>NON_POSITIVE_EQUITY_VALUE</x:v>
      </x:c>
    </x:row>
    <x:row r="3099">
      <x:c r="A3099" s="54" t="n">
        <x:v>45747</x:v>
      </x:c>
      <x:c r="B3099" t="n">
        <x:v>45747.624999988424</x:v>
      </x:c>
      <x:c r="C3099" t="str">
        <x:v>063160</x:v>
      </x:c>
      <x:c r="D3099" t="str">
        <x:v>종근당바이오</x:v>
      </x:c>
      <x:c r="E3099" t="str">
        <x:v>KOSPI</x:v>
      </x:c>
      <x:c r="F3099" t="str">
        <x:v>MID</x:v>
      </x:c>
      <x:c r="G3099" t="str">
        <x:v>DCF_SCREENING_EXCLUSION</x:v>
      </x:c>
      <x:c r="H3099" t="str">
        <x:v>NON_POSITIVE_ENTERPRISE_VALUE|NON_POSITIVE_EQUITY_VALUE|NON_POSITIVE_TERMINAL_FCF</x:v>
      </x:c>
      <x:c r="I3099" s="54" t="n">
        <x:v>45747</x:v>
      </x:c>
      <x:c r="J3099" s="55" t="n">
        <x:v>19890</x:v>
      </x:c>
      <x:c r="K3099" s="55" t="n">
        <x:v>109115784180</x:v>
      </x:c>
      <x:c r="L3099" s="55" t="n">
        <x:v>5485962</x:v>
      </x:c>
      <x:c r="M3099" t="str">
        <x:v>20250318001004</x:v>
      </x:c>
      <x:c r="N3099" t="n">
        <x:v>45734.624999988424</x:v>
      </x:c>
      <x:c r="O3099" s="54" t="n">
        <x:v>45657</x:v>
      </x:c>
      <x:c r="P3099" t="str">
        <x:v>False</x:v>
      </x:c>
      <x:c r="Q3099" t="str">
        <x:v>0e8d2a3f1976dcaf071cc8cc3046914ccc349e2d2d61de9afc116da12bd09fd2</x:v>
      </x:c>
      <x:c r="R3099" t="str">
        <x:v>bea30eaf5f780a405f9f61afc14f9b67ec246b241bfeca6b820aab8ee9ed3075</x:v>
      </x:c>
      <x:c r="S3099" t="n">
        <x:v>6</x:v>
      </x:c>
      <x:c r="T3099" t="str">
        <x:v>2018-12-31|2019-12-31|2020-12-31|2021-12-31|2022-12-31|2023-12-31|2024-12-31</x:v>
      </x:c>
      <x:c r="U3099" s="57" t="n">
        <x:v>-16092.188461958165</x:v>
      </x:c>
      <x:c r="V3099" s="57" t="n">
        <x:v>-1.809059248967228</x:v>
      </x:c>
      <x:c r="W3099"/>
      <x:c r="X3099"/>
      <x:c r="Y3099" s="38" t="n">
        <x:v>0.6409090909090909</x:v>
      </x:c>
      <x:c r="Z3099" s="38" t="n">
        <x:v>0.4517788473237937</x:v>
      </x:c>
      <x:c r="AA3099" t="str">
        <x:v>NON_POSITIVE_ENTERPRISE_VALUE|NON_POSITIVE_EQUITY_VALUE|NON_POSITIVE_TERMINAL_FCF</x:v>
      </x:c>
    </x:row>
    <x:row r="3100">
      <x:c r="A3100" s="54" t="n">
        <x:v>45747</x:v>
      </x:c>
      <x:c r="B3100" t="n">
        <x:v>45747.624999988424</x:v>
      </x:c>
      <x:c r="C3100" t="str">
        <x:v>013570</x:v>
      </x:c>
      <x:c r="D3100" t="str">
        <x:v>디와이</x:v>
      </x:c>
      <x:c r="E3100" t="str">
        <x:v>KOSPI</x:v>
      </x:c>
      <x:c r="F3100" t="str">
        <x:v>MID</x:v>
      </x:c>
      <x:c r="G3100" t="str">
        <x:v>ELIGIBLE</x:v>
      </x:c>
      <x:c r="H3100"/>
      <x:c r="I3100" s="54" t="n">
        <x:v>45747</x:v>
      </x:c>
      <x:c r="J3100" s="55" t="n">
        <x:v>3790</x:v>
      </x:c>
      <x:c r="K3100" s="55" t="n">
        <x:v>99751409070</x:v>
      </x:c>
      <x:c r="L3100" s="55" t="n">
        <x:v>26319633</x:v>
      </x:c>
      <x:c r="M3100" t="str">
        <x:v>20250312001047</x:v>
      </x:c>
      <x:c r="N3100" t="n">
        <x:v>45728.624999988424</x:v>
      </x:c>
      <x:c r="O3100" s="54" t="n">
        <x:v>45657</x:v>
      </x:c>
      <x:c r="P3100" t="str">
        <x:v>False</x:v>
      </x:c>
      <x:c r="Q3100" t="str">
        <x:v>32c954e8e3027a04b5264076321f2793542bdc91dc4aedb110a2663defeb0d3f</x:v>
      </x:c>
      <x:c r="R3100" t="str">
        <x:v>e3239a1e1ab0b87c9ced172a39df12620775beece85508ada6cd43f3d579ab30</x:v>
      </x:c>
      <x:c r="S3100" t="n">
        <x:v>6</x:v>
      </x:c>
      <x:c r="T3100" t="str">
        <x:v>2018-12-31|2019-12-31|2020-12-31|2021-12-31|2022-12-31|2023-12-31|2024-12-31</x:v>
      </x:c>
      <x:c r="U3100" s="57" t="n">
        <x:v>7927.346157614621</x:v>
      </x:c>
      <x:c r="V3100" s="57" t="n">
        <x:v>1.0916480626951506</x:v>
      </x:c>
      <x:c r="W3100" t="n">
        <x:v>13</x:v>
      </x:c>
      <x:c r="X3100" t="n">
        <x:v>1</x:v>
      </x:c>
      <x:c r="Y3100" s="38" t="n">
        <x:v>0.6409090909090909</x:v>
      </x:c>
      <x:c r="Z3100" s="38" t="n">
        <x:v>0.7969349027262828</x:v>
      </x:c>
      <x:c r="AA3100"/>
    </x:row>
    <x:row r="3101">
      <x:c r="A3101" s="54" t="n">
        <x:v>45747</x:v>
      </x:c>
      <x:c r="B3101" t="n">
        <x:v>45747.624999988424</x:v>
      </x:c>
      <x:c r="C3101" t="str">
        <x:v>227840</x:v>
      </x:c>
      <x:c r="D3101" t="str">
        <x:v>현대코퍼레이션홀딩스</x:v>
      </x:c>
      <x:c r="E3101" t="str">
        <x:v>KOSPI</x:v>
      </x:c>
      <x:c r="F3101" t="str">
        <x:v>MID</x:v>
      </x:c>
      <x:c r="G3101" t="str">
        <x:v>EXCLUDED_ARCHETYPE</x:v>
      </x:c>
      <x:c r="H3101" t="str">
        <x:v>FCFF_NOT_COMPARABLE_FOR_FINANCE_OR_HOLDING_HINT</x:v>
      </x:c>
      <x:c r="I3101" s="54"/>
      <x:c r="J3101" s="55"/>
      <x:c r="K3101" s="55"/>
      <x:c r="L3101" s="55"/>
      <x:c r="M3101"/>
      <x:c r="N3101"/>
      <x:c r="O3101" s="54"/>
      <x:c r="P3101"/>
      <x:c r="Q3101"/>
      <x:c r="R3101"/>
      <x:c r="S3101"/>
      <x:c r="T3101"/>
      <x:c r="U3101" s="57"/>
      <x:c r="V3101" s="57"/>
      <x:c r="W3101"/>
      <x:c r="X3101"/>
      <x:c r="Y3101" s="38"/>
      <x:c r="Z3101" s="38"/>
      <x:c r="AA3101"/>
    </x:row>
    <x:row r="3102">
      <x:c r="A3102" s="54" t="n">
        <x:v>45747</x:v>
      </x:c>
      <x:c r="B3102" t="n">
        <x:v>45747.624999988424</x:v>
      </x:c>
      <x:c r="C3102" t="str">
        <x:v>247540</x:v>
      </x:c>
      <x:c r="D3102" t="str">
        <x:v>에코프로비엠</x:v>
      </x:c>
      <x:c r="E3102" t="str">
        <x:v>KOSDAQ</x:v>
      </x:c>
      <x:c r="F3102" t="str">
        <x:v>LARGE</x:v>
      </x:c>
      <x:c r="G3102" t="str">
        <x:v>DCF_SCREENING_EXCLUSION</x:v>
      </x:c>
      <x:c r="H3102" t="str">
        <x:v>NON_POSITIVE_ENTERPRISE_VALUE|NON_POSITIVE_EQUITY_VALUE|NON_POSITIVE_TERMINAL_FCF</x:v>
      </x:c>
      <x:c r="I3102" s="54" t="n">
        <x:v>45747</x:v>
      </x:c>
      <x:c r="J3102" s="55" t="n">
        <x:v>96200</x:v>
      </x:c>
      <x:c r="K3102" s="55" t="n">
        <x:v>9408489292800</x:v>
      </x:c>
      <x:c r="L3102" s="55" t="n">
        <x:v>97801344</x:v>
      </x:c>
      <x:c r="M3102" t="str">
        <x:v>20250325000761</x:v>
      </x:c>
      <x:c r="N3102" t="n">
        <x:v>45741.624999988424</x:v>
      </x:c>
      <x:c r="O3102" s="54" t="n">
        <x:v>45657</x:v>
      </x:c>
      <x:c r="P3102" t="str">
        <x:v>True</x:v>
      </x:c>
      <x:c r="Q3102" t="str">
        <x:v>51465b76d94edd32029c405c6b9d711705e90e7de71e157dde30c2309abc411c</x:v>
      </x:c>
      <x:c r="R3102" t="str">
        <x:v>c614ffd12312e158a9a83be9dd44996720ce8c92352d8f5fedc0bebc94ca563c</x:v>
      </x:c>
      <x:c r="S3102" t="n">
        <x:v>7</x:v>
      </x:c>
      <x:c r="T3102" t="str">
        <x:v>2018-12-31|2019-12-31|2020-12-31|2021-12-31|2022-12-31|2023-12-31|2024-12-31</x:v>
      </x:c>
      <x:c r="U3102" s="57" t="n">
        <x:v>-56640.88059222847</x:v>
      </x:c>
      <x:c r="V3102" s="57" t="n">
        <x:v>-1.5887825425387574</x:v>
      </x:c>
      <x:c r="W3102"/>
      <x:c r="X3102"/>
      <x:c r="Y3102" s="38" t="n">
        <x:v>0.6409090909090909</x:v>
      </x:c>
      <x:c r="Z3102" s="38" t="n">
        <x:v>0.6026277944725961</x:v>
      </x:c>
      <x:c r="AA3102" t="str">
        <x:v>NON_POSITIVE_ENTERPRISE_VALUE|NON_POSITIVE_EQUITY_VALUE|NON_POSITIVE_TERMINAL_FCF</x:v>
      </x:c>
    </x:row>
    <x:row r="3103">
      <x:c r="A3103" s="54" t="n">
        <x:v>45747</x:v>
      </x:c>
      <x:c r="B3103" t="n">
        <x:v>45747.624999988424</x:v>
      </x:c>
      <x:c r="C3103" t="str">
        <x:v>086520</x:v>
      </x:c>
      <x:c r="D3103" t="str">
        <x:v>에코프로</x:v>
      </x:c>
      <x:c r="E3103" t="str">
        <x:v>KOSDAQ</x:v>
      </x:c>
      <x:c r="F3103" t="str">
        <x:v>LARGE</x:v>
      </x:c>
      <x:c r="G3103" t="str">
        <x:v>DCF_SCREENING_EXCLUSION</x:v>
      </x:c>
      <x:c r="H3103" t="str">
        <x:v>NON_POSITIVE_ENTERPRISE_VALUE|NON_POSITIVE_EQUITY_VALUE|NON_POSITIVE_TERMINAL_FCF</x:v>
      </x:c>
      <x:c r="I3103" s="54" t="n">
        <x:v>45747</x:v>
      </x:c>
      <x:c r="J3103" s="55" t="n">
        <x:v>49650</x:v>
      </x:c>
      <x:c r="K3103" s="55" t="n">
        <x:v>6610318581000</x:v>
      </x:c>
      <x:c r="L3103" s="55" t="n">
        <x:v>133138340</x:v>
      </x:c>
      <x:c r="M3103" t="str">
        <x:v>20250318001116</x:v>
      </x:c>
      <x:c r="N3103" t="n">
        <x:v>45734.624999988424</x:v>
      </x:c>
      <x:c r="O3103" s="54" t="n">
        <x:v>45657</x:v>
      </x:c>
      <x:c r="P3103" t="str">
        <x:v>False</x:v>
      </x:c>
      <x:c r="Q3103" t="str">
        <x:v>9878f62437ba0f8822ab58907dd3dbfbb9f34be5e9e9b68a45c1eb2944f46745</x:v>
      </x:c>
      <x:c r="R3103" t="str">
        <x:v>7aac01ad95c2630588ab73067ae7c9d8b3ed2b356db73c401bd42524dbe1de93</x:v>
      </x:c>
      <x:c r="S3103" t="n">
        <x:v>7</x:v>
      </x:c>
      <x:c r="T3103" t="str">
        <x:v>2018-12-31|2019-12-31|2020-12-31|2021-12-31|2022-12-31|2023-12-31|2024-12-31</x:v>
      </x:c>
      <x:c r="U3103" s="57" t="n">
        <x:v>-44522.35809728092</x:v>
      </x:c>
      <x:c r="V3103" s="57" t="n">
        <x:v>-1.8967242315665847</x:v>
      </x:c>
      <x:c r="W3103"/>
      <x:c r="X3103"/>
      <x:c r="Y3103" s="38" t="n">
        <x:v>0.6409090909090909</x:v>
      </x:c>
      <x:c r="Z3103" s="38" t="n">
        <x:v>0.4535277148782437</x:v>
      </x:c>
      <x:c r="AA3103" t="str">
        <x:v>NON_POSITIVE_ENTERPRISE_VALUE|NON_POSITIVE_EQUITY_VALUE|NON_POSITIVE_TERMINAL_FCF</x:v>
      </x:c>
    </x:row>
    <x:row r="3104">
      <x:c r="A3104" s="54" t="n">
        <x:v>45747</x:v>
      </x:c>
      <x:c r="B3104" t="n">
        <x:v>45747.624999988424</x:v>
      </x:c>
      <x:c r="C3104" t="str">
        <x:v>214450</x:v>
      </x:c>
      <x:c r="D3104" t="str">
        <x:v>파마리서치</x:v>
      </x:c>
      <x:c r="E3104" t="str">
        <x:v>KOSDAQ</x:v>
      </x:c>
      <x:c r="F3104" t="str">
        <x:v>LARGE</x:v>
      </x:c>
      <x:c r="G3104" t="str">
        <x:v>ELIGIBLE</x:v>
      </x:c>
      <x:c r="H3104"/>
      <x:c r="I3104" s="54" t="n">
        <x:v>45747</x:v>
      </x:c>
      <x:c r="J3104" s="55" t="n">
        <x:v>332000</x:v>
      </x:c>
      <x:c r="K3104" s="55" t="n">
        <x:v>3489187200000</x:v>
      </x:c>
      <x:c r="L3104" s="55" t="n">
        <x:v>10509600</x:v>
      </x:c>
      <x:c r="M3104" t="str">
        <x:v>20250317000758</x:v>
      </x:c>
      <x:c r="N3104" t="n">
        <x:v>45733.624999988424</x:v>
      </x:c>
      <x:c r="O3104" s="54" t="n">
        <x:v>45657</x:v>
      </x:c>
      <x:c r="P3104" t="str">
        <x:v>False</x:v>
      </x:c>
      <x:c r="Q3104" t="str">
        <x:v>faede7d4d9274326deaf57222c12b3d69bbcfd2224dd7dec2d7337ca1f5e466d</x:v>
      </x:c>
      <x:c r="R3104" t="str">
        <x:v>4ae010ce987a6cc14a859c4cda502b3cb52e693e353b9dcfea71841eda794183</x:v>
      </x:c>
      <x:c r="S3104" t="n">
        <x:v>6</x:v>
      </x:c>
      <x:c r="T3104" t="str">
        <x:v>2018-12-31|2019-12-31|2020-12-31|2021-12-31|2022-12-31|2023-12-31|2024-12-31</x:v>
      </x:c>
      <x:c r="U3104" s="57" t="n">
        <x:v>146281.34729476724</x:v>
      </x:c>
      <x:c r="V3104" s="57" t="n">
        <x:v>-0.559393532244677</x:v>
      </x:c>
      <x:c r="W3104" t="n">
        <x:v>50</x:v>
      </x:c>
      <x:c r="X3104" t="n">
        <x:v>4</x:v>
      </x:c>
      <x:c r="Y3104" s="38" t="n">
        <x:v>0.6409090909090909</x:v>
      </x:c>
      <x:c r="Z3104" s="38" t="n">
        <x:v>0.7180092749573916</x:v>
      </x:c>
      <x:c r="AA3104"/>
    </x:row>
    <x:row r="3105">
      <x:c r="A3105" s="54" t="n">
        <x:v>45747</x:v>
      </x:c>
      <x:c r="B3105" t="n">
        <x:v>45747.624999988424</x:v>
      </x:c>
      <x:c r="C3105" t="str">
        <x:v>277810</x:v>
      </x:c>
      <x:c r="D3105" t="str">
        <x:v>레인보우로보틱스</x:v>
      </x:c>
      <x:c r="E3105" t="str">
        <x:v>KOSDAQ</x:v>
      </x:c>
      <x:c r="F3105" t="str">
        <x:v>LARGE</x:v>
      </x:c>
      <x:c r="G3105" t="str">
        <x:v>DCF_SCREENING_EXCLUSION</x:v>
      </x:c>
      <x:c r="H3105" t="str">
        <x:v>NON_POSITIVE_ENTERPRISE_VALUE|NON_POSITIVE_TERMINAL_FCF</x:v>
      </x:c>
      <x:c r="I3105" s="54" t="n">
        <x:v>45747</x:v>
      </x:c>
      <x:c r="J3105" s="55" t="n">
        <x:v>264000</x:v>
      </x:c>
      <x:c r="K3105" s="55" t="n">
        <x:v>5121562512000</x:v>
      </x:c>
      <x:c r="L3105" s="55" t="n">
        <x:v>19399858</x:v>
      </x:c>
      <x:c r="M3105" t="str">
        <x:v>20250321000789</x:v>
      </x:c>
      <x:c r="N3105" t="n">
        <x:v>45737.624999988424</x:v>
      </x:c>
      <x:c r="O3105" s="54" t="n">
        <x:v>45657</x:v>
      </x:c>
      <x:c r="P3105" t="str">
        <x:v>False</x:v>
      </x:c>
      <x:c r="Q3105" t="str">
        <x:v>e6883fdcd7f1008f3646e6d3c9a646aa2f0d88421e0ac936f34864f07c90a8dc</x:v>
      </x:c>
      <x:c r="R3105" t="str">
        <x:v>8fb928fffa149a73727058899aacc04ee801073e3ba7b1072cc2d35868c7e5ea</x:v>
      </x:c>
      <x:c r="S3105" t="n">
        <x:v>6</x:v>
      </x:c>
      <x:c r="T3105" t="str">
        <x:v>2020-12-31|2021-12-31|2022-12-31|2023-12-31|2024-12-31</x:v>
      </x:c>
      <x:c r="U3105" s="57" t="n">
        <x:v>681.784394704917</x:v>
      </x:c>
      <x:c r="V3105" s="57" t="n">
        <x:v>-0.9974174833533904</x:v>
      </x:c>
      <x:c r="W3105"/>
      <x:c r="X3105"/>
      <x:c r="Y3105" s="38" t="n">
        <x:v>0.6409090909090909</x:v>
      </x:c>
      <x:c r="Z3105" s="38" t="n">
        <x:v>0.6883890650287107</x:v>
      </x:c>
      <x:c r="AA3105" t="str">
        <x:v>NON_POSITIVE_ENTERPRISE_VALUE|NON_POSITIVE_TERMINAL_FCF</x:v>
      </x:c>
    </x:row>
    <x:row r="3106">
      <x:c r="A3106" s="54" t="n">
        <x:v>45747</x:v>
      </x:c>
      <x:c r="B3106" t="n">
        <x:v>45747.624999988424</x:v>
      </x:c>
      <x:c r="C3106" t="str">
        <x:v>310210</x:v>
      </x:c>
      <x:c r="D3106" t="str">
        <x:v>보로노이</x:v>
      </x:c>
      <x:c r="E3106" t="str">
        <x:v>KOSDAQ</x:v>
      </x:c>
      <x:c r="F3106" t="str">
        <x:v>LARGE</x:v>
      </x:c>
      <x:c r="G3106" t="str">
        <x:v>DCF_SCREENING_EXCLUSION</x:v>
      </x:c>
      <x:c r="H3106" t="str">
        <x:v>NON_POSITIVE_ENTERPRISE_VALUE|NON_POSITIVE_EQUITY_VALUE|NON_POSITIVE_TERMINAL_FCF</x:v>
      </x:c>
      <x:c r="I3106" s="54" t="n">
        <x:v>45747</x:v>
      </x:c>
      <x:c r="J3106" s="55" t="n">
        <x:v>106200</x:v>
      </x:c>
      <x:c r="K3106" s="55" t="n">
        <x:v>1950873503400</x:v>
      </x:c>
      <x:c r="L3106" s="55" t="n">
        <x:v>18369807</x:v>
      </x:c>
      <x:c r="M3106" t="str">
        <x:v>20230323001447</x:v>
      </x:c>
      <x:c r="N3106" t="n">
        <x:v>45008.624999988424</x:v>
      </x:c>
      <x:c r="O3106" s="54" t="n">
        <x:v>44926</x:v>
      </x:c>
      <x:c r="P3106" t="str">
        <x:v>False</x:v>
      </x:c>
      <x:c r="Q3106" t="str">
        <x:v>38d2b1f5e9c968f4f6fa965d42cb2f1a325c069332624c3eed7a50315d302dcc</x:v>
      </x:c>
      <x:c r="R3106" t="str">
        <x:v>576c97c4daed21efafcbd8890e5b797da413a5a092541c93f1595fcf7c74e341</x:v>
      </x:c>
      <x:c r="S3106" t="n">
        <x:v>5</x:v>
      </x:c>
      <x:c r="T3106" t="str">
        <x:v>2022-12-31</x:v>
      </x:c>
      <x:c r="U3106" s="57" t="n">
        <x:v>-2022.115432104431</x:v>
      </x:c>
      <x:c r="V3106" s="57" t="n">
        <x:v>-1.0190406349539023</x:v>
      </x:c>
      <x:c r="W3106"/>
      <x:c r="X3106"/>
      <x:c r="Y3106" s="38" t="n">
        <x:v>0.6409090909090909</x:v>
      </x:c>
      <x:c r="Z3106" s="38" t="n">
        <x:v>0.7013426708992583</x:v>
      </x:c>
      <x:c r="AA3106" t="str">
        <x:v>NON_POSITIVE_ENTERPRISE_VALUE|NON_POSITIVE_EQUITY_VALUE|NON_POSITIVE_TERMINAL_FCF</x:v>
      </x:c>
    </x:row>
    <x:row r="3107">
      <x:c r="A3107" s="54" t="n">
        <x:v>45747</x:v>
      </x:c>
      <x:c r="B3107" t="n">
        <x:v>45747.624999988424</x:v>
      </x:c>
      <x:c r="C3107" t="str">
        <x:v>195940</x:v>
      </x:c>
      <x:c r="D3107" t="str">
        <x:v>HK이노엔</x:v>
      </x:c>
      <x:c r="E3107" t="str">
        <x:v>KOSDAQ</x:v>
      </x:c>
      <x:c r="F3107" t="str">
        <x:v>LARGE</x:v>
      </x:c>
      <x:c r="G3107" t="str">
        <x:v>ELIGIBLE</x:v>
      </x:c>
      <x:c r="H3107"/>
      <x:c r="I3107" s="54" t="n">
        <x:v>45747</x:v>
      </x:c>
      <x:c r="J3107" s="55" t="n">
        <x:v>34800</x:v>
      </x:c>
      <x:c r="K3107" s="55" t="n">
        <x:v>985880206800</x:v>
      </x:c>
      <x:c r="L3107" s="55" t="n">
        <x:v>28329891</x:v>
      </x:c>
      <x:c r="M3107" t="str">
        <x:v>20250318000969</x:v>
      </x:c>
      <x:c r="N3107" t="n">
        <x:v>45734.624999988424</x:v>
      </x:c>
      <x:c r="O3107" s="54" t="n">
        <x:v>45657</x:v>
      </x:c>
      <x:c r="P3107" t="str">
        <x:v>False</x:v>
      </x:c>
      <x:c r="Q3107" t="str">
        <x:v>fa16614ba7e691a8e0ad69d03120bca6d70d738ed51702fd890920569f20dab5</x:v>
      </x:c>
      <x:c r="R3107" t="str">
        <x:v>bcaf1cd53ad4ef7e9662441842e5225b7cba3d1b628aabe6c7bcce31a7013557</x:v>
      </x:c>
      <x:c r="S3107" t="n">
        <x:v>7</x:v>
      </x:c>
      <x:c r="T3107" t="str">
        <x:v>2021-12-31|2022-12-31|2023-12-31|2024-12-31</x:v>
      </x:c>
      <x:c r="U3107" s="57" t="n">
        <x:v>22281.19024435669</x:v>
      </x:c>
      <x:c r="V3107" s="57" t="n">
        <x:v>-0.3597359125184859</x:v>
      </x:c>
      <x:c r="W3107" t="n">
        <x:v>37</x:v>
      </x:c>
      <x:c r="X3107" t="n">
        <x:v>3</x:v>
      </x:c>
      <x:c r="Y3107" s="38" t="n">
        <x:v>0.6409090909090909</x:v>
      </x:c>
      <x:c r="Z3107" s="38" t="n">
        <x:v>0.7063661785712254</x:v>
      </x:c>
      <x:c r="AA3107"/>
    </x:row>
    <x:row r="3108">
      <x:c r="A3108" s="54" t="n">
        <x:v>45747</x:v>
      </x:c>
      <x:c r="B3108" t="n">
        <x:v>45747.624999988424</x:v>
      </x:c>
      <x:c r="C3108" t="str">
        <x:v>039200</x:v>
      </x:c>
      <x:c r="D3108" t="str">
        <x:v>오스코텍</x:v>
      </x:c>
      <x:c r="E3108" t="str">
        <x:v>KOSDAQ</x:v>
      </x:c>
      <x:c r="F3108" t="str">
        <x:v>LARGE</x:v>
      </x:c>
      <x:c r="G3108" t="str">
        <x:v>DCF_SCREENING_EXCLUSION</x:v>
      </x:c>
      <x:c r="H3108" t="str">
        <x:v>NON_POSITIVE_ENTERPRISE_VALUE|NON_POSITIVE_EQUITY_VALUE|NON_POSITIVE_TERMINAL_FCF</x:v>
      </x:c>
      <x:c r="I3108" s="54" t="n">
        <x:v>45747</x:v>
      </x:c>
      <x:c r="J3108" s="55" t="n">
        <x:v>30050</x:v>
      </x:c>
      <x:c r="K3108" s="55" t="n">
        <x:v>1149357688800</x:v>
      </x:c>
      <x:c r="L3108" s="55" t="n">
        <x:v>38248176</x:v>
      </x:c>
      <x:c r="M3108" t="str">
        <x:v>20250319000506</x:v>
      </x:c>
      <x:c r="N3108" t="n">
        <x:v>45735.624999988424</x:v>
      </x:c>
      <x:c r="O3108" s="54" t="n">
        <x:v>45657</x:v>
      </x:c>
      <x:c r="P3108" t="str">
        <x:v>False</x:v>
      </x:c>
      <x:c r="Q3108" t="str">
        <x:v>d0b01686a5b2c173bba03211ce153f285e1b311afae7f6fe450fba08a95f8340</x:v>
      </x:c>
      <x:c r="R3108" t="str">
        <x:v>069fd5ee2c2bcb3fff3bb5b8431aab412e3b552b5e0ec2cdaacace69207c2d16</x:v>
      </x:c>
      <x:c r="S3108" t="n">
        <x:v>6</x:v>
      </x:c>
      <x:c r="T3108" t="str">
        <x:v>2018-12-31|2019-12-31|2020-12-31|2021-12-31|2022-12-31|2023-12-31|2024-12-31</x:v>
      </x:c>
      <x:c r="U3108" s="57" t="n">
        <x:v>-2036.2262027052511</x:v>
      </x:c>
      <x:c r="V3108" s="57" t="n">
        <x:v>-1.0677612713046674</x:v>
      </x:c>
      <x:c r="W3108"/>
      <x:c r="X3108"/>
      <x:c r="Y3108" s="38" t="n">
        <x:v>0.6409090909090909</x:v>
      </x:c>
      <x:c r="Z3108" s="38" t="n">
        <x:v>0.75819577858392</x:v>
      </x:c>
      <x:c r="AA3108" t="str">
        <x:v>NON_POSITIVE_ENTERPRISE_VALUE|NON_POSITIVE_EQUITY_VALUE|NON_POSITIVE_TERMINAL_FCF</x:v>
      </x:c>
    </x:row>
    <x:row r="3109">
      <x:c r="A3109" s="54" t="n">
        <x:v>45747</x:v>
      </x:c>
      <x:c r="B3109" t="n">
        <x:v>45747.624999988424</x:v>
      </x:c>
      <x:c r="C3109" t="str">
        <x:v>084370</x:v>
      </x:c>
      <x:c r="D3109" t="str">
        <x:v>유진테크</x:v>
      </x:c>
      <x:c r="E3109" t="str">
        <x:v>KOSDAQ</x:v>
      </x:c>
      <x:c r="F3109" t="str">
        <x:v>LARGE</x:v>
      </x:c>
      <x:c r="G3109" t="str">
        <x:v>ELIGIBLE</x:v>
      </x:c>
      <x:c r="H3109"/>
      <x:c r="I3109" s="54" t="n">
        <x:v>45747</x:v>
      </x:c>
      <x:c r="J3109" s="55" t="n">
        <x:v>38150</x:v>
      </x:c>
      <x:c r="K3109" s="55" t="n">
        <x:v>874247002300</x:v>
      </x:c>
      <x:c r="L3109" s="55" t="n">
        <x:v>22916042</x:v>
      </x:c>
      <x:c r="M3109" t="str">
        <x:v>20250320000992</x:v>
      </x:c>
      <x:c r="N3109" t="n">
        <x:v>45736.624999988424</x:v>
      </x:c>
      <x:c r="O3109" s="54" t="n">
        <x:v>45657</x:v>
      </x:c>
      <x:c r="P3109" t="str">
        <x:v>False</x:v>
      </x:c>
      <x:c r="Q3109" t="str">
        <x:v>b8f5e0d2e85cbb6d73c81da8d4fb35b8690fc78357d8faaca3eb4ea344ac2018</x:v>
      </x:c>
      <x:c r="R3109" t="str">
        <x:v>d57eacb77cdee02e41cc8175f933c4c721c08b5edf05aea9431bb01f1a149447</x:v>
      </x:c>
      <x:c r="S3109" t="n">
        <x:v>6</x:v>
      </x:c>
      <x:c r="T3109" t="str">
        <x:v>2018-12-31|2019-12-31|2020-12-31|2021-12-31|2022-12-31|2023-12-31|2024-12-31</x:v>
      </x:c>
      <x:c r="U3109" s="57" t="n">
        <x:v>20147.300899521157</x:v>
      </x:c>
      <x:c r="V3109" s="57" t="n">
        <x:v>-0.4718925059103235</x:v>
      </x:c>
      <x:c r="W3109" t="n">
        <x:v>46</x:v>
      </x:c>
      <x:c r="X3109" t="n">
        <x:v>4</x:v>
      </x:c>
      <x:c r="Y3109" s="38" t="n">
        <x:v>0.6409090909090909</x:v>
      </x:c>
      <x:c r="Z3109" s="38" t="n">
        <x:v>0.6706572910224177</x:v>
      </x:c>
      <x:c r="AA3109"/>
    </x:row>
    <x:row r="3110">
      <x:c r="A3110" s="54" t="n">
        <x:v>45747</x:v>
      </x:c>
      <x:c r="B3110" t="n">
        <x:v>45747.624999988424</x:v>
      </x:c>
      <x:c r="C3110" t="str">
        <x:v>160190</x:v>
      </x:c>
      <x:c r="D3110" t="str">
        <x:v>하이젠알앤엠</x:v>
      </x:c>
      <x:c r="E3110" t="str">
        <x:v>KOSDAQ</x:v>
      </x:c>
      <x:c r="F3110" t="str">
        <x:v>LARGE</x:v>
      </x:c>
      <x:c r="G3110" t="str">
        <x:v>DCF_SCREENING_EXCLUSION</x:v>
      </x:c>
      <x:c r="H3110" t="str">
        <x:v>NON_POSITIVE_ENTERPRISE_VALUE|NON_POSITIVE_EQUITY_VALUE|NON_POSITIVE_TERMINAL_FCF</x:v>
      </x:c>
      <x:c r="I3110" s="54" t="n">
        <x:v>45747</x:v>
      </x:c>
      <x:c r="J3110" s="55" t="n">
        <x:v>29400</x:v>
      </x:c>
      <x:c r="K3110" s="55" t="n">
        <x:v>908107200000</x:v>
      </x:c>
      <x:c r="L3110" s="55" t="n">
        <x:v>30888000</x:v>
      </x:c>
      <x:c r="M3110" t="str">
        <x:v>20250318000179</x:v>
      </x:c>
      <x:c r="N3110" t="n">
        <x:v>45734.624999988424</x:v>
      </x:c>
      <x:c r="O3110" s="54" t="n">
        <x:v>45657</x:v>
      </x:c>
      <x:c r="P3110" t="str">
        <x:v>False</x:v>
      </x:c>
      <x:c r="Q3110" t="str">
        <x:v>785fa493d232b623cf536acbb22e4935d57d3b39fc0f7e9a572e373b080005ac</x:v>
      </x:c>
      <x:c r="R3110" t="str">
        <x:v>5801f6f6c76620401327c5c077200387545ebc6df06c641bbdd735148b6f6d24</x:v>
      </x:c>
      <x:c r="S3110" t="n">
        <x:v>6</x:v>
      </x:c>
      <x:c r="T3110" t="str">
        <x:v>2024-12-31</x:v>
      </x:c>
      <x:c r="U3110" s="57" t="n">
        <x:v>-841.427289365881</x:v>
      </x:c>
      <x:c r="V3110" s="57" t="n">
        <x:v>-1.0286199758287715</x:v>
      </x:c>
      <x:c r="W3110"/>
      <x:c r="X3110"/>
      <x:c r="Y3110" s="38" t="n">
        <x:v>0.6409090909090909</x:v>
      </x:c>
      <x:c r="Z3110" s="38" t="n">
        <x:v>0.7013426708992583</x:v>
      </x:c>
      <x:c r="AA3110" t="str">
        <x:v>NON_POSITIVE_ENTERPRISE_VALUE|NON_POSITIVE_EQUITY_VALUE|NON_POSITIVE_TERMINAL_FCF</x:v>
      </x:c>
    </x:row>
    <x:row r="3111">
      <x:c r="A3111" s="54" t="n">
        <x:v>45747</x:v>
      </x:c>
      <x:c r="B3111" t="n">
        <x:v>45747.624999988424</x:v>
      </x:c>
      <x:c r="C3111" t="str">
        <x:v>281740</x:v>
      </x:c>
      <x:c r="D3111" t="str">
        <x:v>레이크머티리얼즈</x:v>
      </x:c>
      <x:c r="E3111" t="str">
        <x:v>KOSDAQ</x:v>
      </x:c>
      <x:c r="F3111" t="str">
        <x:v>LARGE</x:v>
      </x:c>
      <x:c r="G3111" t="str">
        <x:v>ELIGIBLE</x:v>
      </x:c>
      <x:c r="H3111"/>
      <x:c r="I3111" s="54" t="n">
        <x:v>45747</x:v>
      </x:c>
      <x:c r="J3111" s="55" t="n">
        <x:v>13870</x:v>
      </x:c>
      <x:c r="K3111" s="55" t="n">
        <x:v>911682700760</x:v>
      </x:c>
      <x:c r="L3111" s="55" t="n">
        <x:v>65730548</x:v>
      </x:c>
      <x:c r="M3111" t="str">
        <x:v>20250318000856</x:v>
      </x:c>
      <x:c r="N3111" t="n">
        <x:v>45734.624999988424</x:v>
      </x:c>
      <x:c r="O3111" s="54" t="n">
        <x:v>45657</x:v>
      </x:c>
      <x:c r="P3111" t="str">
        <x:v>False</x:v>
      </x:c>
      <x:c r="Q3111" t="str">
        <x:v>96207983627f79563bdb5775f63541cd8d82061603c54b74443f6e2ae5e0f70e</x:v>
      </x:c>
      <x:c r="R3111" t="str">
        <x:v>f1e89ef6494ba28eda6c9530a162f799209849c9b925872513700cd2ed1beec6</x:v>
      </x:c>
      <x:c r="S3111" t="n">
        <x:v>6</x:v>
      </x:c>
      <x:c r="T3111" t="str">
        <x:v>2020-12-31|2021-12-31|2022-12-31|2023-12-31|2024-12-31</x:v>
      </x:c>
      <x:c r="U3111" s="57" t="n">
        <x:v>3574.2287652768405</x:v>
      </x:c>
      <x:c r="V3111" s="57" t="n">
        <x:v>-0.7423050637868176</x:v>
      </x:c>
      <x:c r="W3111" t="n">
        <x:v>61</x:v>
      </x:c>
      <x:c r="X3111" t="n">
        <x:v>5</x:v>
      </x:c>
      <x:c r="Y3111" s="38" t="n">
        <x:v>0.6409090909090909</x:v>
      </x:c>
      <x:c r="Z3111" s="38" t="n">
        <x:v>0.8076641449266643</x:v>
      </x:c>
      <x:c r="AA3111"/>
    </x:row>
    <x:row r="3112">
      <x:c r="A3112" s="54" t="n">
        <x:v>45747</x:v>
      </x:c>
      <x:c r="B3112" t="n">
        <x:v>45747.624999988424</x:v>
      </x:c>
      <x:c r="C3112" t="str">
        <x:v>078130</x:v>
      </x:c>
      <x:c r="D3112" t="str">
        <x:v>국일제지</x:v>
      </x:c>
      <x:c r="E3112" t="str">
        <x:v>KOSDAQ</x:v>
      </x:c>
      <x:c r="F3112" t="str">
        <x:v>LARGE</x:v>
      </x:c>
      <x:c r="G3112" t="str">
        <x:v>DCF_SCREENING_EXCLUSION</x:v>
      </x:c>
      <x:c r="H3112" t="str">
        <x:v>NON_POSITIVE_ENTERPRISE_VALUE|NON_POSITIVE_EQUITY_VALUE|NON_POSITIVE_TERMINAL_FCF</x:v>
      </x:c>
      <x:c r="I3112" s="54" t="n">
        <x:v>45747</x:v>
      </x:c>
      <x:c r="J3112" s="55" t="n">
        <x:v>800</x:v>
      </x:c>
      <x:c r="K3112" s="55" t="n">
        <x:v>901924696800</x:v>
      </x:c>
      <x:c r="L3112" s="55" t="n">
        <x:v>1127405871</x:v>
      </x:c>
      <x:c r="M3112" t="str">
        <x:v>20250320001247</x:v>
      </x:c>
      <x:c r="N3112" t="n">
        <x:v>45736.624999988424</x:v>
      </x:c>
      <x:c r="O3112" s="54" t="n">
        <x:v>45657</x:v>
      </x:c>
      <x:c r="P3112" t="str">
        <x:v>False</x:v>
      </x:c>
      <x:c r="Q3112" t="str">
        <x:v>e52d9735838ac309b7ba8a7a9bac0f863b22bd63c425fe2b4f206d8e24431620</x:v>
      </x:c>
      <x:c r="R3112" t="str">
        <x:v>04840ac0a2a964ec7f0ca43a02e39ac55182c21e3c7ad85b76f8f677094eec06</x:v>
      </x:c>
      <x:c r="S3112" t="n">
        <x:v>6</x:v>
      </x:c>
      <x:c r="T3112" t="str">
        <x:v>2018-12-31|2019-12-31|2020-12-31|2021-12-31|2022-12-31|2023-12-31|2024-12-31</x:v>
      </x:c>
      <x:c r="U3112" s="57" t="n">
        <x:v>-7.35376792191045</x:v>
      </x:c>
      <x:c r="V3112" s="57" t="n">
        <x:v>-1.009192209902388</x:v>
      </x:c>
      <x:c r="W3112"/>
      <x:c r="X3112"/>
      <x:c r="Y3112" s="38" t="n">
        <x:v>0.6409090909090909</x:v>
      </x:c>
      <x:c r="Z3112" s="38" t="n">
        <x:v>0.6508519834576526</x:v>
      </x:c>
      <x:c r="AA3112" t="str">
        <x:v>NON_POSITIVE_ENTERPRISE_VALUE|NON_POSITIVE_EQUITY_VALUE|NON_POSITIVE_TERMINAL_FCF</x:v>
      </x:c>
    </x:row>
    <x:row r="3113">
      <x:c r="A3113" s="54" t="n">
        <x:v>45747</x:v>
      </x:c>
      <x:c r="B3113" t="n">
        <x:v>45747.624999988424</x:v>
      </x:c>
      <x:c r="C3113" t="str">
        <x:v>131970</x:v>
      </x:c>
      <x:c r="D3113" t="str">
        <x:v>두산테스나</x:v>
      </x:c>
      <x:c r="E3113" t="str">
        <x:v>KOSDAQ</x:v>
      </x:c>
      <x:c r="F3113" t="str">
        <x:v>LARGE</x:v>
      </x:c>
      <x:c r="G3113" t="str">
        <x:v>ELIGIBLE</x:v>
      </x:c>
      <x:c r="H3113"/>
      <x:c r="I3113" s="54" t="n">
        <x:v>45747</x:v>
      </x:c>
      <x:c r="J3113" s="55" t="n">
        <x:v>25000</x:v>
      </x:c>
      <x:c r="K3113" s="55" t="n">
        <x:v>483180950000</x:v>
      </x:c>
      <x:c r="L3113" s="55" t="n">
        <x:v>19327238</x:v>
      </x:c>
      <x:c r="M3113" t="str">
        <x:v>20250318001201</x:v>
      </x:c>
      <x:c r="N3113" t="n">
        <x:v>45734.624999988424</x:v>
      </x:c>
      <x:c r="O3113" s="54" t="n">
        <x:v>45657</x:v>
      </x:c>
      <x:c r="P3113" t="str">
        <x:v>False</x:v>
      </x:c>
      <x:c r="Q3113" t="str">
        <x:v>c2af22c03970d694f284e8dac9306adb8450aa0cf42e0d34d052e650f8b74965</x:v>
      </x:c>
      <x:c r="R3113" t="str">
        <x:v>0eeb9313148467311a1e4135195446df6da79ccd9975c28c01390f5b8c8b29d4</x:v>
      </x:c>
      <x:c r="S3113" t="n">
        <x:v>7</x:v>
      </x:c>
      <x:c r="T3113" t="str">
        <x:v>2018-12-31|2019-12-31|2020-12-31|2021-12-31|2022-12-31|2023-12-31|2024-12-31</x:v>
      </x:c>
      <x:c r="U3113" s="57" t="n">
        <x:v>37130.689760392816</x:v>
      </x:c>
      <x:c r="V3113" s="57" t="n">
        <x:v>0.4852275904157125</x:v>
      </x:c>
      <x:c r="W3113" t="n">
        <x:v>19</x:v>
      </x:c>
      <x:c r="X3113" t="n">
        <x:v>2</x:v>
      </x:c>
      <x:c r="Y3113" s="38" t="n">
        <x:v>0.6409090909090909</x:v>
      </x:c>
      <x:c r="Z3113" s="38" t="n">
        <x:v>0.8060538608591259</x:v>
      </x:c>
      <x:c r="AA3113"/>
    </x:row>
    <x:row r="3114">
      <x:c r="A3114" s="54" t="n">
        <x:v>45747</x:v>
      </x:c>
      <x:c r="B3114" t="n">
        <x:v>45747.624999988424</x:v>
      </x:c>
      <x:c r="C3114" t="str">
        <x:v>025320</x:v>
      </x:c>
      <x:c r="D3114" t="str">
        <x:v>시노펙스</x:v>
      </x:c>
      <x:c r="E3114" t="str">
        <x:v>KOSDAQ</x:v>
      </x:c>
      <x:c r="F3114" t="str">
        <x:v>LARGE</x:v>
      </x:c>
      <x:c r="G3114" t="str">
        <x:v>ELIGIBLE</x:v>
      </x:c>
      <x:c r="H3114"/>
      <x:c r="I3114" s="54" t="n">
        <x:v>45747</x:v>
      </x:c>
      <x:c r="J3114" s="55" t="n">
        <x:v>6940</x:v>
      </x:c>
      <x:c r="K3114" s="55" t="n">
        <x:v>610661495800</x:v>
      </x:c>
      <x:c r="L3114" s="55" t="n">
        <x:v>87991570</x:v>
      </x:c>
      <x:c r="M3114" t="str">
        <x:v>20250318001412</x:v>
      </x:c>
      <x:c r="N3114" t="n">
        <x:v>45734.624999988424</x:v>
      </x:c>
      <x:c r="O3114" s="54" t="n">
        <x:v>45657</x:v>
      </x:c>
      <x:c r="P3114" t="str">
        <x:v>False</x:v>
      </x:c>
      <x:c r="Q3114" t="str">
        <x:v>3276bbb06edd646a72ee9fe00dcadce30bb3a9570058a941d49d1e5511491869</x:v>
      </x:c>
      <x:c r="R3114" t="str">
        <x:v>3f247a009f5e30ddc81af11433caf7dd013c37707f26827d32846b5198497226</x:v>
      </x:c>
      <x:c r="S3114" t="n">
        <x:v>5</x:v>
      </x:c>
      <x:c r="T3114" t="str">
        <x:v>2018-12-31|2019-12-31|2020-12-31|2021-12-31|2022-12-31|2023-12-31|2024-12-31</x:v>
      </x:c>
      <x:c r="U3114" s="57" t="n">
        <x:v>748.9895124449556</x:v>
      </x:c>
      <x:c r="V3114" s="57" t="n">
        <x:v>-0.892076439128969</x:v>
      </x:c>
      <x:c r="W3114" t="n">
        <x:v>65</x:v>
      </x:c>
      <x:c r="X3114" t="n">
        <x:v>5</x:v>
      </x:c>
      <x:c r="Y3114" s="38" t="n">
        <x:v>0.6409090909090909</x:v>
      </x:c>
      <x:c r="Z3114" s="38" t="n">
        <x:v>0.5208940068707834</x:v>
      </x:c>
      <x:c r="AA3114"/>
    </x:row>
    <x:row r="3115">
      <x:c r="A3115" s="54" t="n">
        <x:v>45747</x:v>
      </x:c>
      <x:c r="B3115" t="n">
        <x:v>45747.624999988424</x:v>
      </x:c>
      <x:c r="C3115" t="str">
        <x:v>347700</x:v>
      </x:c>
      <x:c r="D3115" t="str">
        <x:v>스피어</x:v>
      </x:c>
      <x:c r="E3115" t="str">
        <x:v>KOSDAQ</x:v>
      </x:c>
      <x:c r="F3115" t="str">
        <x:v>LARGE</x:v>
      </x:c>
      <x:c r="G3115" t="str">
        <x:v>DCF_SCREENING_EXCLUSION</x:v>
      </x:c>
      <x:c r="H3115" t="str">
        <x:v>NON_POSITIVE_ENTERPRISE_VALUE|NON_POSITIVE_TERMINAL_FCF</x:v>
      </x:c>
      <x:c r="I3115" s="54" t="n">
        <x:v>45747</x:v>
      </x:c>
      <x:c r="J3115" s="55" t="n">
        <x:v>7370</x:v>
      </x:c>
      <x:c r="K3115" s="55" t="n">
        <x:v>283751758290</x:v>
      </x:c>
      <x:c r="L3115" s="55" t="n">
        <x:v>38500917</x:v>
      </x:c>
      <x:c r="M3115" t="str">
        <x:v>20250317000467</x:v>
      </x:c>
      <x:c r="N3115" t="n">
        <x:v>45733.624999988424</x:v>
      </x:c>
      <x:c r="O3115" s="54" t="n">
        <x:v>45657</x:v>
      </x:c>
      <x:c r="P3115" t="str">
        <x:v>False</x:v>
      </x:c>
      <x:c r="Q3115" t="str">
        <x:v>1fb88dd7fdba6996b26c8497f311b0e9b8d9a11ac4649a7e4228554c31e82bc8</x:v>
      </x:c>
      <x:c r="R3115" t="str">
        <x:v>977a4e07020c8f299a9a9e2524396d8ee9b57be2da539d759a4daa254520f7c2</x:v>
      </x:c>
      <x:c r="S3115" t="n">
        <x:v>6</x:v>
      </x:c>
      <x:c r="T3115" t="str">
        <x:v>2020-12-31|2021-12-31|2022-12-31|2023-12-31|2024-12-31</x:v>
      </x:c>
      <x:c r="U3115" s="57" t="n">
        <x:v>344.89676865382336</x:v>
      </x:c>
      <x:c r="V3115" s="57" t="n">
        <x:v>-0.9532026094092506</x:v>
      </x:c>
      <x:c r="W3115"/>
      <x:c r="X3115"/>
      <x:c r="Y3115" s="38" t="n">
        <x:v>0.6409090909090909</x:v>
      </x:c>
      <x:c r="Z3115" s="38" t="n">
        <x:v>0.6959960630715714</x:v>
      </x:c>
      <x:c r="AA3115" t="str">
        <x:v>NON_POSITIVE_ENTERPRISE_VALUE|NON_POSITIVE_TERMINAL_FCF</x:v>
      </x:c>
    </x:row>
    <x:row r="3116">
      <x:c r="A3116" s="54" t="n">
        <x:v>45747</x:v>
      </x:c>
      <x:c r="B3116" t="n">
        <x:v>45747.624999988424</x:v>
      </x:c>
      <x:c r="C3116" t="str">
        <x:v>119850</x:v>
      </x:c>
      <x:c r="D3116" t="str">
        <x:v>지엔씨에너지</x:v>
      </x:c>
      <x:c r="E3116" t="str">
        <x:v>KOSDAQ</x:v>
      </x:c>
      <x:c r="F3116" t="str">
        <x:v>LARGE</x:v>
      </x:c>
      <x:c r="G3116" t="str">
        <x:v>ELIGIBLE</x:v>
      </x:c>
      <x:c r="H3116"/>
      <x:c r="I3116" s="54" t="n">
        <x:v>45747</x:v>
      </x:c>
      <x:c r="J3116" s="55" t="n">
        <x:v>14230</x:v>
      </x:c>
      <x:c r="K3116" s="55" t="n">
        <x:v>234067975070</x:v>
      </x:c>
      <x:c r="L3116" s="55" t="n">
        <x:v>16448909</x:v>
      </x:c>
      <x:c r="M3116" t="str">
        <x:v>20250318000086</x:v>
      </x:c>
      <x:c r="N3116" t="n">
        <x:v>45734.624999988424</x:v>
      </x:c>
      <x:c r="O3116" s="54" t="n">
        <x:v>45657</x:v>
      </x:c>
      <x:c r="P3116" t="str">
        <x:v>False</x:v>
      </x:c>
      <x:c r="Q3116" t="str">
        <x:v>b0f3bf964c96ab4e0838151ad0e4945f1ede0900a7752e8995b7a1e29a574cd0</x:v>
      </x:c>
      <x:c r="R3116" t="str">
        <x:v>12c487df615f00a03228ed8aeac5159c4578a133c05d21fc20a213d87c4e4a7e</x:v>
      </x:c>
      <x:c r="S3116" t="n">
        <x:v>5</x:v>
      </x:c>
      <x:c r="T3116" t="str">
        <x:v>2018-12-31|2019-12-31|2020-12-31|2021-12-31|2022-12-31|2023-12-31|2024-12-31</x:v>
      </x:c>
      <x:c r="U3116" s="57" t="n">
        <x:v>11384.776464072384</x:v>
      </x:c>
      <x:c r="V3116" s="57" t="n">
        <x:v>-0.19994543471030332</x:v>
      </x:c>
      <x:c r="W3116" t="n">
        <x:v>31</x:v>
      </x:c>
      <x:c r="X3116" t="n">
        <x:v>3</x:v>
      </x:c>
      <x:c r="Y3116" s="38" t="n">
        <x:v>0.6409090909090909</x:v>
      </x:c>
      <x:c r="Z3116" s="38" t="n">
        <x:v>0.5409169755441574</x:v>
      </x:c>
      <x:c r="AA3116"/>
    </x:row>
    <x:row r="3117">
      <x:c r="A3117" s="54" t="n">
        <x:v>45747</x:v>
      </x:c>
      <x:c r="B3117" t="n">
        <x:v>45747.624999988424</x:v>
      </x:c>
      <x:c r="C3117" t="str">
        <x:v>084110</x:v>
      </x:c>
      <x:c r="D3117" t="str">
        <x:v>휴온스글로벌</x:v>
      </x:c>
      <x:c r="E3117" t="str">
        <x:v>KOSDAQ</x:v>
      </x:c>
      <x:c r="F3117" t="str">
        <x:v>LARGE</x:v>
      </x:c>
      <x:c r="G3117" t="str">
        <x:v>ELIGIBLE</x:v>
      </x:c>
      <x:c r="H3117"/>
      <x:c r="I3117" s="54" t="n">
        <x:v>45747</x:v>
      </x:c>
      <x:c r="J3117" s="55" t="n">
        <x:v>40200</x:v>
      </x:c>
      <x:c r="K3117" s="55" t="n">
        <x:v>508000164000</x:v>
      </x:c>
      <x:c r="L3117" s="55" t="n">
        <x:v>12636820</x:v>
      </x:c>
      <x:c r="M3117" t="str">
        <x:v>20250320001575</x:v>
      </x:c>
      <x:c r="N3117" t="n">
        <x:v>45736.624999988424</x:v>
      </x:c>
      <x:c r="O3117" s="54" t="n">
        <x:v>45657</x:v>
      </x:c>
      <x:c r="P3117" t="str">
        <x:v>False</x:v>
      </x:c>
      <x:c r="Q3117" t="str">
        <x:v>d2ef7e702bbe00b1be5055d52e77fcb173caa3c16b1fca53833f2fee74aece2d</x:v>
      </x:c>
      <x:c r="R3117" t="str">
        <x:v>30f5793bb6a010da03074c610ac1a91edf54d4a19ab7cce790198f2bdcde6730</x:v>
      </x:c>
      <x:c r="S3117" t="n">
        <x:v>6</x:v>
      </x:c>
      <x:c r="T3117" t="str">
        <x:v>2018-12-31|2019-12-31|2020-12-31|2021-12-31|2022-12-31|2023-12-31|2024-12-31</x:v>
      </x:c>
      <x:c r="U3117" s="57" t="n">
        <x:v>83276.51534302453</x:v>
      </x:c>
      <x:c r="V3117" s="57" t="n">
        <x:v>1.071555108035436</x:v>
      </x:c>
      <x:c r="W3117" t="n">
        <x:v>14</x:v>
      </x:c>
      <x:c r="X3117" t="n">
        <x:v>1</x:v>
      </x:c>
      <x:c r="Y3117" s="38" t="n">
        <x:v>0.6409090909090909</x:v>
      </x:c>
      <x:c r="Z3117" s="38" t="n">
        <x:v>0.771307681924768</x:v>
      </x:c>
      <x:c r="AA3117"/>
    </x:row>
    <x:row r="3118">
      <x:c r="A3118" s="54" t="n">
        <x:v>45747</x:v>
      </x:c>
      <x:c r="B3118" t="n">
        <x:v>45747.624999988424</x:v>
      </x:c>
      <x:c r="C3118" t="str">
        <x:v>206650</x:v>
      </x:c>
      <x:c r="D3118" t="str">
        <x:v>유바이오로직스</x:v>
      </x:c>
      <x:c r="E3118" t="str">
        <x:v>KOSDAQ</x:v>
      </x:c>
      <x:c r="F3118" t="str">
        <x:v>LARGE</x:v>
      </x:c>
      <x:c r="G3118" t="str">
        <x:v>ELIGIBLE</x:v>
      </x:c>
      <x:c r="H3118"/>
      <x:c r="I3118" s="54" t="n">
        <x:v>45747</x:v>
      </x:c>
      <x:c r="J3118" s="55" t="n">
        <x:v>11180</x:v>
      </x:c>
      <x:c r="K3118" s="55" t="n">
        <x:v>408453552260</x:v>
      </x:c>
      <x:c r="L3118" s="55" t="n">
        <x:v>36534307</x:v>
      </x:c>
      <x:c r="M3118" t="str">
        <x:v>20250318000779</x:v>
      </x:c>
      <x:c r="N3118" t="n">
        <x:v>45734.624999988424</x:v>
      </x:c>
      <x:c r="O3118" s="54" t="n">
        <x:v>45657</x:v>
      </x:c>
      <x:c r="P3118" t="str">
        <x:v>False</x:v>
      </x:c>
      <x:c r="Q3118" t="str">
        <x:v>7ed8b42069b2f1f00ed70e5b56578e1ef96bab66a862c835768cf4d7aa4c0b70</x:v>
      </x:c>
      <x:c r="R3118" t="str">
        <x:v>802123ad6811ed3e30d119adde1c42caac0aea14d6be7b06bc79edee41123ff9</x:v>
      </x:c>
      <x:c r="S3118" t="n">
        <x:v>4</x:v>
      </x:c>
      <x:c r="T3118" t="str">
        <x:v>2018-12-31|2019-12-31|2020-12-31|2021-12-31|2022-12-31|2023-12-31|2024-12-31</x:v>
      </x:c>
      <x:c r="U3118" s="57" t="n">
        <x:v>4923.1518849822005</x:v>
      </x:c>
      <x:c r="V3118" s="57" t="n">
        <x:v>-0.5596465219157244</x:v>
      </x:c>
      <x:c r="W3118" t="n">
        <x:v>51</x:v>
      </x:c>
      <x:c r="X3118" t="n">
        <x:v>4</x:v>
      </x:c>
      <x:c r="Y3118" s="38" t="n">
        <x:v>0.6409090909090909</x:v>
      </x:c>
      <x:c r="Z3118" s="38" t="n">
        <x:v>0.5469478377967314</x:v>
      </x:c>
      <x:c r="AA3118"/>
    </x:row>
    <x:row r="3119">
      <x:c r="A3119" s="54" t="n">
        <x:v>45747</x:v>
      </x:c>
      <x:c r="B3119" t="n">
        <x:v>45747.624999988424</x:v>
      </x:c>
      <x:c r="C3119" t="str">
        <x:v>365340</x:v>
      </x:c>
      <x:c r="D3119" t="str">
        <x:v>성일하이텍</x:v>
      </x:c>
      <x:c r="E3119" t="str">
        <x:v>KOSDAQ</x:v>
      </x:c>
      <x:c r="F3119" t="str">
        <x:v>LARGE</x:v>
      </x:c>
      <x:c r="G3119" t="str">
        <x:v>DCF_SCREENING_EXCLUSION</x:v>
      </x:c>
      <x:c r="H3119" t="str">
        <x:v>NON_POSITIVE_ENTERPRISE_VALUE|NON_POSITIVE_EQUITY_VALUE|NON_POSITIVE_TERMINAL_FCF</x:v>
      </x:c>
      <x:c r="I3119" s="54" t="n">
        <x:v>45747</x:v>
      </x:c>
      <x:c r="J3119" s="55" t="n">
        <x:v>32300</x:v>
      </x:c>
      <x:c r="K3119" s="55" t="n">
        <x:v>392380400000</x:v>
      </x:c>
      <x:c r="L3119" s="55" t="n">
        <x:v>12148000</x:v>
      </x:c>
      <x:c r="M3119" t="str">
        <x:v>20250327001024</x:v>
      </x:c>
      <x:c r="N3119" t="n">
        <x:v>45743.624999988424</x:v>
      </x:c>
      <x:c r="O3119" s="54" t="n">
        <x:v>45657</x:v>
      </x:c>
      <x:c r="P3119" t="str">
        <x:v>True</x:v>
      </x:c>
      <x:c r="Q3119" t="str">
        <x:v>c9b13b25f1b9c21edc562dbebf6215913214c722274a09bebe9193569f0386ad</x:v>
      </x:c>
      <x:c r="R3119" t="str">
        <x:v>25de11627cef9a72d64bd5f073e5547e4df7355ff669be6a41bc5255002ae658</x:v>
      </x:c>
      <x:c r="S3119" t="n">
        <x:v>7</x:v>
      </x:c>
      <x:c r="T3119" t="str">
        <x:v>2022-12-31|2023-12-31|2024-12-31</x:v>
      </x:c>
      <x:c r="U3119" s="57" t="n">
        <x:v>-35617.55080994742</x:v>
      </x:c>
      <x:c r="V3119" s="57" t="n">
        <x:v>-2.102710551391561</x:v>
      </x:c>
      <x:c r="W3119"/>
      <x:c r="X3119"/>
      <x:c r="Y3119" s="38" t="n">
        <x:v>0.6409090909090909</x:v>
      </x:c>
      <x:c r="Z3119" s="38" t="n">
        <x:v>0.6351637731811425</x:v>
      </x:c>
      <x:c r="AA3119" t="str">
        <x:v>NON_POSITIVE_ENTERPRISE_VALUE|NON_POSITIVE_EQUITY_VALUE|NON_POSITIVE_TERMINAL_FCF</x:v>
      </x:c>
    </x:row>
    <x:row r="3120">
      <x:c r="A3120" s="54" t="n">
        <x:v>45747</x:v>
      </x:c>
      <x:c r="B3120" t="n">
        <x:v>45747.624999988424</x:v>
      </x:c>
      <x:c r="C3120" t="str">
        <x:v>030530</x:v>
      </x:c>
      <x:c r="D3120" t="str">
        <x:v>원익홀딩스</x:v>
      </x:c>
      <x:c r="E3120" t="str">
        <x:v>KOSDAQ</x:v>
      </x:c>
      <x:c r="F3120" t="str">
        <x:v>LARGE</x:v>
      </x:c>
      <x:c r="G3120" t="str">
        <x:v>EXCLUDED_ARCHETYPE</x:v>
      </x:c>
      <x:c r="H3120" t="str">
        <x:v>FCFF_NOT_COMPARABLE_FOR_FINANCE_OR_HOLDING_HINT</x:v>
      </x:c>
      <x:c r="I3120" s="54"/>
      <x:c r="J3120" s="55"/>
      <x:c r="K3120" s="55"/>
      <x:c r="L3120" s="55"/>
      <x:c r="M3120"/>
      <x:c r="N3120"/>
      <x:c r="O3120" s="54"/>
      <x:c r="P3120"/>
      <x:c r="Q3120"/>
      <x:c r="R3120"/>
      <x:c r="S3120"/>
      <x:c r="T3120"/>
      <x:c r="U3120" s="57"/>
      <x:c r="V3120" s="57"/>
      <x:c r="W3120"/>
      <x:c r="X3120"/>
      <x:c r="Y3120" s="38"/>
      <x:c r="Z3120" s="38"/>
      <x:c r="AA3120"/>
    </x:row>
    <x:row r="3121">
      <x:c r="A3121" s="54" t="n">
        <x:v>45747</x:v>
      </x:c>
      <x:c r="B3121" t="n">
        <x:v>45747.624999988424</x:v>
      </x:c>
      <x:c r="C3121" t="str">
        <x:v>220100</x:v>
      </x:c>
      <x:c r="D3121" t="str">
        <x:v>퓨쳐켐</x:v>
      </x:c>
      <x:c r="E3121" t="str">
        <x:v>KOSDAQ</x:v>
      </x:c>
      <x:c r="F3121" t="str">
        <x:v>LARGE</x:v>
      </x:c>
      <x:c r="G3121" t="str">
        <x:v>DCF_SCREENING_EXCLUSION</x:v>
      </x:c>
      <x:c r="H3121" t="str">
        <x:v>NON_POSITIVE_ENTERPRISE_VALUE|NON_POSITIVE_EQUITY_VALUE|NON_POSITIVE_TERMINAL_FCF</x:v>
      </x:c>
      <x:c r="I3121" s="54" t="n">
        <x:v>45747</x:v>
      </x:c>
      <x:c r="J3121" s="55" t="n">
        <x:v>21250</x:v>
      </x:c>
      <x:c r="K3121" s="55" t="n">
        <x:v>469670793750</x:v>
      </x:c>
      <x:c r="L3121" s="55" t="n">
        <x:v>22102155</x:v>
      </x:c>
      <x:c r="M3121" t="str">
        <x:v>20250314001135</x:v>
      </x:c>
      <x:c r="N3121" t="n">
        <x:v>45730.624999988424</x:v>
      </x:c>
      <x:c r="O3121" s="54" t="n">
        <x:v>45657</x:v>
      </x:c>
      <x:c r="P3121" t="str">
        <x:v>False</x:v>
      </x:c>
      <x:c r="Q3121" t="str">
        <x:v>9160d527e898f1ac5ff291b963a277612306fd7e3bea0732f5200d5b6472defb</x:v>
      </x:c>
      <x:c r="R3121" t="str">
        <x:v>d1ac13024fcc858849e34fc96549f736948e89b2614ed37866fd62664284fb7d</x:v>
      </x:c>
      <x:c r="S3121" t="n">
        <x:v>5</x:v>
      </x:c>
      <x:c r="T3121" t="str">
        <x:v>2018-12-31|2019-12-31|2020-12-31|2021-12-31|2022-12-31|2023-12-31|2024-12-31</x:v>
      </x:c>
      <x:c r="U3121" s="57" t="n">
        <x:v>-2621.3200697678176</x:v>
      </x:c>
      <x:c r="V3121" s="57" t="n">
        <x:v>-1.123356238577309</x:v>
      </x:c>
      <x:c r="W3121"/>
      <x:c r="X3121"/>
      <x:c r="Y3121" s="38" t="n">
        <x:v>0.6409090909090909</x:v>
      </x:c>
      <x:c r="Z3121" s="38" t="n">
        <x:v>0.7032586259402178</x:v>
      </x:c>
      <x:c r="AA3121" t="str">
        <x:v>NON_POSITIVE_ENTERPRISE_VALUE|NON_POSITIVE_EQUITY_VALUE|NON_POSITIVE_TERMINAL_FCF</x:v>
      </x:c>
    </x:row>
    <x:row r="3122">
      <x:c r="A3122" s="54" t="n">
        <x:v>45747</x:v>
      </x:c>
      <x:c r="B3122" t="n">
        <x:v>45747.624999988424</x:v>
      </x:c>
      <x:c r="C3122" t="str">
        <x:v>416180</x:v>
      </x:c>
      <x:c r="D3122" t="str">
        <x:v>신성에스티</x:v>
      </x:c>
      <x:c r="E3122" t="str">
        <x:v>KOSDAQ</x:v>
      </x:c>
      <x:c r="F3122" t="str">
        <x:v>LARGE</x:v>
      </x:c>
      <x:c r="G3122" t="str">
        <x:v>ELIGIBLE</x:v>
      </x:c>
      <x:c r="H3122"/>
      <x:c r="I3122" s="54" t="n">
        <x:v>45747</x:v>
      </x:c>
      <x:c r="J3122" s="55" t="n">
        <x:v>29050</x:v>
      </x:c>
      <x:c r="K3122" s="55" t="n">
        <x:v>262605550900</x:v>
      </x:c>
      <x:c r="L3122" s="55" t="n">
        <x:v>9039778</x:v>
      </x:c>
      <x:c r="M3122" t="str">
        <x:v>20240318000868</x:v>
      </x:c>
      <x:c r="N3122" t="n">
        <x:v>45369.624999988424</x:v>
      </x:c>
      <x:c r="O3122" s="54" t="n">
        <x:v>45291</x:v>
      </x:c>
      <x:c r="P3122" t="str">
        <x:v>True</x:v>
      </x:c>
      <x:c r="Q3122" t="str">
        <x:v>83365fda00f2859a3b0ddff8c98389930a65a5f3d9df38e420f7d88759a900f9</x:v>
      </x:c>
      <x:c r="R3122" t="str">
        <x:v>62eb0976f911e83b581cf67eda351f7a58d22f66167afead8dd2901cc6c187eb</x:v>
      </x:c>
      <x:c r="S3122" t="n">
        <x:v>6</x:v>
      </x:c>
      <x:c r="T3122" t="str">
        <x:v>2023-12-31</x:v>
      </x:c>
      <x:c r="U3122" s="57" t="n">
        <x:v>5107.11562013138</x:v>
      </x:c>
      <x:c r="V3122" s="57" t="n">
        <x:v>-0.8241956757269749</x:v>
      </x:c>
      <x:c r="W3122" t="n">
        <x:v>63</x:v>
      </x:c>
      <x:c r="X3122" t="n">
        <x:v>5</x:v>
      </x:c>
      <x:c r="Y3122" s="38" t="n">
        <x:v>0.6409090909090909</x:v>
      </x:c>
      <x:c r="Z3122" s="38" t="n">
        <x:v>0.7013426708992583</x:v>
      </x:c>
      <x:c r="AA3122"/>
    </x:row>
    <x:row r="3123">
      <x:c r="A3123" s="54" t="n">
        <x:v>45747</x:v>
      </x:c>
      <x:c r="B3123" t="n">
        <x:v>45747.624999988424</x:v>
      </x:c>
      <x:c r="C3123" t="str">
        <x:v>082800</x:v>
      </x:c>
      <x:c r="D3123" t="str">
        <x:v>비보존제약</x:v>
      </x:c>
      <x:c r="E3123" t="str">
        <x:v>KOSDAQ</x:v>
      </x:c>
      <x:c r="F3123" t="str">
        <x:v>LARGE</x:v>
      </x:c>
      <x:c r="G3123" t="str">
        <x:v>DCF_SCREENING_EXCLUSION</x:v>
      </x:c>
      <x:c r="H3123" t="str">
        <x:v>NON_POSITIVE_ENTERPRISE_VALUE|NON_POSITIVE_EQUITY_VALUE|NON_POSITIVE_TERMINAL_FCF</x:v>
      </x:c>
      <x:c r="I3123" s="54" t="n">
        <x:v>45747</x:v>
      </x:c>
      <x:c r="J3123" s="55" t="n">
        <x:v>6310</x:v>
      </x:c>
      <x:c r="K3123" s="55" t="n">
        <x:v>316160442460</x:v>
      </x:c>
      <x:c r="L3123" s="55" t="n">
        <x:v>50104666</x:v>
      </x:c>
      <x:c r="M3123" t="str">
        <x:v>20250320000978</x:v>
      </x:c>
      <x:c r="N3123" t="n">
        <x:v>45736.624999988424</x:v>
      </x:c>
      <x:c r="O3123" s="54" t="n">
        <x:v>45657</x:v>
      </x:c>
      <x:c r="P3123" t="str">
        <x:v>False</x:v>
      </x:c>
      <x:c r="Q3123" t="str">
        <x:v>980702fbc807af1df7f06c52957cd1642b4bbc0d57004bb8bd77d4b1dc51328c</x:v>
      </x:c>
      <x:c r="R3123" t="str">
        <x:v>e625a80c6da5c6eb9fa963d6d81681f5bf9f18eeb28117ee633882dcbe75d7db</x:v>
      </x:c>
      <x:c r="S3123" t="n">
        <x:v>7</x:v>
      </x:c>
      <x:c r="T3123" t="str">
        <x:v>2018-12-31|2019-12-31|2020-12-31|2021-12-31|2022-12-31|2023-12-31|2024-12-31</x:v>
      </x:c>
      <x:c r="U3123" s="57" t="n">
        <x:v>-7108.28328118157</x:v>
      </x:c>
      <x:c r="V3123" s="57" t="n">
        <x:v>-2.1265108211064296</x:v>
      </x:c>
      <x:c r="W3123"/>
      <x:c r="X3123"/>
      <x:c r="Y3123" s="38" t="n">
        <x:v>0.6409090909090909</x:v>
      </x:c>
      <x:c r="Z3123" s="38" t="n">
        <x:v>0.786860626943266</x:v>
      </x:c>
      <x:c r="AA3123" t="str">
        <x:v>NON_POSITIVE_ENTERPRISE_VALUE|NON_POSITIVE_EQUITY_VALUE|NON_POSITIVE_TERMINAL_FCF</x:v>
      </x:c>
    </x:row>
    <x:row r="3124">
      <x:c r="A3124" s="54" t="n">
        <x:v>45747</x:v>
      </x:c>
      <x:c r="B3124" t="n">
        <x:v>45747.624999988424</x:v>
      </x:c>
      <x:c r="C3124" t="str">
        <x:v>204620</x:v>
      </x:c>
      <x:c r="D3124" t="str">
        <x:v>글로벌텍스프리</x:v>
      </x:c>
      <x:c r="E3124" t="str">
        <x:v>KOSDAQ</x:v>
      </x:c>
      <x:c r="F3124" t="str">
        <x:v>LARGE</x:v>
      </x:c>
      <x:c r="G3124" t="str">
        <x:v>ELIGIBLE</x:v>
      </x:c>
      <x:c r="H3124"/>
      <x:c r="I3124" s="54" t="n">
        <x:v>45747</x:v>
      </x:c>
      <x:c r="J3124" s="55" t="n">
        <x:v>4735</x:v>
      </x:c>
      <x:c r="K3124" s="55" t="n">
        <x:v>332791567550</x:v>
      </x:c>
      <x:c r="L3124" s="55" t="n">
        <x:v>70283330</x:v>
      </x:c>
      <x:c r="M3124" t="str">
        <x:v>20250321001335</x:v>
      </x:c>
      <x:c r="N3124" t="n">
        <x:v>45737.624999988424</x:v>
      </x:c>
      <x:c r="O3124" s="54" t="n">
        <x:v>45657</x:v>
      </x:c>
      <x:c r="P3124" t="str">
        <x:v>False</x:v>
      </x:c>
      <x:c r="Q3124" t="str">
        <x:v>0e5d9e6d3c4ef309ebcb70e5a09fd9e49025023855ba79ec1b0e1e6b003a26d1</x:v>
      </x:c>
      <x:c r="R3124" t="str">
        <x:v>48a31cfd4b1465e52d88c2d5b1314e0e2cb8d4627b36f6772b14b1ce1044e949</x:v>
      </x:c>
      <x:c r="S3124" t="n">
        <x:v>7</x:v>
      </x:c>
      <x:c r="T3124" t="str">
        <x:v>2018-12-31|2019-12-31|2020-12-31|2021-12-31|2022-12-31|2023-12-31|2024-12-31</x:v>
      </x:c>
      <x:c r="U3124" s="57" t="n">
        <x:v>1519.356744276805</x:v>
      </x:c>
      <x:c r="V3124" s="57" t="n">
        <x:v>-0.6791221237007804</x:v>
      </x:c>
      <x:c r="W3124" t="n">
        <x:v>55</x:v>
      </x:c>
      <x:c r="X3124" t="n">
        <x:v>5</x:v>
      </x:c>
      <x:c r="Y3124" s="38" t="n">
        <x:v>0.6409090909090909</x:v>
      </x:c>
      <x:c r="Z3124" s="38" t="n">
        <x:v>0.02468295195308349</x:v>
      </x:c>
      <x:c r="AA3124"/>
    </x:row>
    <x:row r="3125">
      <x:c r="A3125" s="54" t="n">
        <x:v>45747</x:v>
      </x:c>
      <x:c r="B3125" t="n">
        <x:v>45747.624999988424</x:v>
      </x:c>
      <x:c r="C3125" t="str">
        <x:v>445090</x:v>
      </x:c>
      <x:c r="D3125" t="str">
        <x:v>에이직랜드</x:v>
      </x:c>
      <x:c r="E3125" t="str">
        <x:v>KOSDAQ</x:v>
      </x:c>
      <x:c r="F3125" t="str">
        <x:v>LARGE</x:v>
      </x:c>
      <x:c r="G3125" t="str">
        <x:v>DCF_SCREENING_EXCLUSION</x:v>
      </x:c>
      <x:c r="H3125" t="str">
        <x:v>NON_POSITIVE_ENTERPRISE_VALUE|NON_POSITIVE_EQUITY_VALUE|NON_POSITIVE_TERMINAL_FCF</x:v>
      </x:c>
      <x:c r="I3125" s="54" t="n">
        <x:v>45747</x:v>
      </x:c>
      <x:c r="J3125" s="55" t="n">
        <x:v>26750</x:v>
      </x:c>
      <x:c r="K3125" s="55" t="n">
        <x:v>290816905000</x:v>
      </x:c>
      <x:c r="L3125" s="55" t="n">
        <x:v>10871660</x:v>
      </x:c>
      <x:c r="M3125" t="str">
        <x:v>20250320001224</x:v>
      </x:c>
      <x:c r="N3125" t="n">
        <x:v>45736.624999988424</x:v>
      </x:c>
      <x:c r="O3125" s="54" t="n">
        <x:v>45657</x:v>
      </x:c>
      <x:c r="P3125" t="str">
        <x:v>False</x:v>
      </x:c>
      <x:c r="Q3125" t="str">
        <x:v>6311c5bbafe414c061a70e6cfe9da5601a7f52393ced872c9948ba03bb6734aa</x:v>
      </x:c>
      <x:c r="R3125" t="str">
        <x:v>ca4d78bb09441d0c7ea98be3b0ff43afee6b025abf66961a2ab6debe6fd71dbf</x:v>
      </x:c>
      <x:c r="S3125" t="n">
        <x:v>6</x:v>
      </x:c>
      <x:c r="T3125" t="str">
        <x:v>2023-12-31|2024-12-31</x:v>
      </x:c>
      <x:c r="U3125" s="57" t="n">
        <x:v>-13508.912025047946</x:v>
      </x:c>
      <x:c r="V3125" s="57" t="n">
        <x:v>-1.505006057011138</x:v>
      </x:c>
      <x:c r="W3125"/>
      <x:c r="X3125"/>
      <x:c r="Y3125" s="38" t="n">
        <x:v>0.6409090909090909</x:v>
      </x:c>
      <x:c r="Z3125" s="38" t="n">
        <x:v>0.6285335813099816</x:v>
      </x:c>
      <x:c r="AA3125" t="str">
        <x:v>NON_POSITIVE_ENTERPRISE_VALUE|NON_POSITIVE_EQUITY_VALUE|NON_POSITIVE_TERMINAL_FCF</x:v>
      </x:c>
    </x:row>
    <x:row r="3126">
      <x:c r="A3126" s="54" t="n">
        <x:v>45747</x:v>
      </x:c>
      <x:c r="B3126" t="n">
        <x:v>45747.624999988424</x:v>
      </x:c>
      <x:c r="C3126" t="str">
        <x:v>115450</x:v>
      </x:c>
      <x:c r="D3126" t="str">
        <x:v>HLB테라퓨틱스</x:v>
      </x:c>
      <x:c r="E3126" t="str">
        <x:v>KOSDAQ</x:v>
      </x:c>
      <x:c r="F3126" t="str">
        <x:v>LARGE</x:v>
      </x:c>
      <x:c r="G3126" t="str">
        <x:v>DCF_SCREENING_EXCLUSION</x:v>
      </x:c>
      <x:c r="H3126" t="str">
        <x:v>NON_POSITIVE_ENTERPRISE_VALUE|NON_POSITIVE_EQUITY_VALUE|NON_POSITIVE_TERMINAL_FCF</x:v>
      </x:c>
      <x:c r="I3126" s="54" t="n">
        <x:v>45747</x:v>
      </x:c>
      <x:c r="J3126" s="55" t="n">
        <x:v>8660</x:v>
      </x:c>
      <x:c r="K3126" s="55" t="n">
        <x:v>728585899860</x:v>
      </x:c>
      <x:c r="L3126" s="55" t="n">
        <x:v>84132321</x:v>
      </x:c>
      <x:c r="M3126" t="str">
        <x:v>20250317000746</x:v>
      </x:c>
      <x:c r="N3126" t="n">
        <x:v>45733.624999988424</x:v>
      </x:c>
      <x:c r="O3126" s="54" t="n">
        <x:v>45657</x:v>
      </x:c>
      <x:c r="P3126" t="str">
        <x:v>False</x:v>
      </x:c>
      <x:c r="Q3126" t="str">
        <x:v>4a9834cf94263e883d962f28801d19d7cbd9c84e1ada844f9e111815c1047846</x:v>
      </x:c>
      <x:c r="R3126" t="str">
        <x:v>f6e580d88347f4ffbcfd72db926e5093d4e19fc399edff9710656873ff8ee354</x:v>
      </x:c>
      <x:c r="S3126" t="n">
        <x:v>6</x:v>
      </x:c>
      <x:c r="T3126" t="str">
        <x:v>2018-12-31|2019-12-31|2020-12-31|2021-12-31|2022-12-31|2023-12-31|2024-12-31</x:v>
      </x:c>
      <x:c r="U3126" s="57" t="n">
        <x:v>-1574.9870230272895</x:v>
      </x:c>
      <x:c r="V3126" s="57" t="n">
        <x:v>-1.1818691712502645</x:v>
      </x:c>
      <x:c r="W3126"/>
      <x:c r="X3126"/>
      <x:c r="Y3126" s="38" t="n">
        <x:v>0.6409090909090909</x:v>
      </x:c>
      <x:c r="Z3126" s="38" t="n">
        <x:v>0.7184861005782028</x:v>
      </x:c>
      <x:c r="AA3126" t="str">
        <x:v>NON_POSITIVE_ENTERPRISE_VALUE|NON_POSITIVE_EQUITY_VALUE|NON_POSITIVE_TERMINAL_FCF</x:v>
      </x:c>
    </x:row>
    <x:row r="3127">
      <x:c r="A3127" s="54" t="n">
        <x:v>45747</x:v>
      </x:c>
      <x:c r="B3127" t="n">
        <x:v>45747.624999988424</x:v>
      </x:c>
      <x:c r="C3127" t="str">
        <x:v>035420</x:v>
      </x:c>
      <x:c r="D3127" t="str">
        <x:v>NAVER</x:v>
      </x:c>
      <x:c r="E3127" t="str">
        <x:v>KOSPI</x:v>
      </x:c>
      <x:c r="F3127" t="str">
        <x:v>LARGE</x:v>
      </x:c>
      <x:c r="G3127" t="str">
        <x:v>ELIGIBLE</x:v>
      </x:c>
      <x:c r="H3127"/>
      <x:c r="I3127" s="54" t="n">
        <x:v>45747</x:v>
      </x:c>
      <x:c r="J3127" s="55" t="n">
        <x:v>191000</x:v>
      </x:c>
      <x:c r="K3127" s="55" t="n">
        <x:v>30261468528000</x:v>
      </x:c>
      <x:c r="L3127" s="55" t="n">
        <x:v>158437008</x:v>
      </x:c>
      <x:c r="M3127" t="str">
        <x:v>20250318000645</x:v>
      </x:c>
      <x:c r="N3127" t="n">
        <x:v>45734.624999988424</x:v>
      </x:c>
      <x:c r="O3127" s="54" t="n">
        <x:v>45657</x:v>
      </x:c>
      <x:c r="P3127" t="str">
        <x:v>False</x:v>
      </x:c>
      <x:c r="Q3127" t="str">
        <x:v>a85826144ceacd19a02ef384c763d0459caf9668afced616a750f5ac3d18cb8c</x:v>
      </x:c>
      <x:c r="R3127" t="str">
        <x:v>e6e16d0634967c48ca4406a57fb344eb1b3dcf2a950de904e13eb2bf91ca6fd6</x:v>
      </x:c>
      <x:c r="S3127" t="n">
        <x:v>7</x:v>
      </x:c>
      <x:c r="T3127" t="str">
        <x:v>2018-12-31|2019-12-31|2020-12-31|2021-12-31|2022-12-31|2023-12-31|2024-12-31</x:v>
      </x:c>
      <x:c r="U3127" s="57" t="n">
        <x:v>105789.5571448271</x:v>
      </x:c>
      <x:c r="V3127" s="57" t="n">
        <x:v>-0.4461279730637325</x:v>
      </x:c>
      <x:c r="W3127" t="n">
        <x:v>43</x:v>
      </x:c>
      <x:c r="X3127" t="n">
        <x:v>4</x:v>
      </x:c>
      <x:c r="Y3127" s="38" t="n">
        <x:v>0.6409090909090909</x:v>
      </x:c>
      <x:c r="Z3127" s="38" t="n">
        <x:v>0.7001662832851766</x:v>
      </x:c>
      <x:c r="AA3127"/>
    </x:row>
    <x:row r="3128">
      <x:c r="A3128" s="54" t="n">
        <x:v>45747</x:v>
      </x:c>
      <x:c r="B3128" t="n">
        <x:v>45747.624999988424</x:v>
      </x:c>
      <x:c r="C3128" t="str">
        <x:v>030200</x:v>
      </x:c>
      <x:c r="D3128" t="str">
        <x:v>KT</x:v>
      </x:c>
      <x:c r="E3128" t="str">
        <x:v>KOSPI</x:v>
      </x:c>
      <x:c r="F3128" t="str">
        <x:v>LARGE</x:v>
      </x:c>
      <x:c r="G3128" t="str">
        <x:v>ELIGIBLE</x:v>
      </x:c>
      <x:c r="H3128"/>
      <x:c r="I3128" s="54" t="n">
        <x:v>45747</x:v>
      </x:c>
      <x:c r="J3128" s="55" t="n">
        <x:v>49600</x:v>
      </x:c>
      <x:c r="K3128" s="55" t="n">
        <x:v>12500275576000</x:v>
      </x:c>
      <x:c r="L3128" s="55" t="n">
        <x:v>252021685</x:v>
      </x:c>
      <x:c r="M3128" t="str">
        <x:v>20250321001834</x:v>
      </x:c>
      <x:c r="N3128" t="n">
        <x:v>45737.624999988424</x:v>
      </x:c>
      <x:c r="O3128" s="54" t="n">
        <x:v>45657</x:v>
      </x:c>
      <x:c r="P3128" t="str">
        <x:v>False</x:v>
      </x:c>
      <x:c r="Q3128" t="str">
        <x:v>2cd77c6d3ffcf35acaf991259fabd1c1426c31e69eeab4ed4170d57306f9a924</x:v>
      </x:c>
      <x:c r="R3128" t="str">
        <x:v>bca8d9e2cbcbf46206cafcc3a2afe60f36b55e170bda366fb9d5f222b68afeee</x:v>
      </x:c>
      <x:c r="S3128" t="n">
        <x:v>7</x:v>
      </x:c>
      <x:c r="T3128" t="str">
        <x:v>2018-12-31|2019-12-31|2020-12-31|2021-12-31|2022-12-31|2023-12-31|2024-12-31</x:v>
      </x:c>
      <x:c r="U3128" s="57" t="n">
        <x:v>172148.73250012912</x:v>
      </x:c>
      <x:c r="V3128" s="57" t="n">
        <x:v>2.470740574599377</x:v>
      </x:c>
      <x:c r="W3128" t="n">
        <x:v>3</x:v>
      </x:c>
      <x:c r="X3128" t="n">
        <x:v>1</x:v>
      </x:c>
      <x:c r="Y3128" s="38" t="n">
        <x:v>0.6409090909090909</x:v>
      </x:c>
      <x:c r="Z3128" s="38" t="n">
        <x:v>0.7167453067916509</x:v>
      </x:c>
      <x:c r="AA3128"/>
    </x:row>
    <x:row r="3129">
      <x:c r="A3129" s="54" t="n">
        <x:v>45747</x:v>
      </x:c>
      <x:c r="B3129" t="n">
        <x:v>45747.624999988424</x:v>
      </x:c>
      <x:c r="C3129" t="str">
        <x:v>018260</x:v>
      </x:c>
      <x:c r="D3129" t="str">
        <x:v>삼성에스디에스</x:v>
      </x:c>
      <x:c r="E3129" t="str">
        <x:v>KOSPI</x:v>
      </x:c>
      <x:c r="F3129" t="str">
        <x:v>LARGE</x:v>
      </x:c>
      <x:c r="G3129" t="str">
        <x:v>ELIGIBLE</x:v>
      </x:c>
      <x:c r="H3129"/>
      <x:c r="I3129" s="54" t="n">
        <x:v>45747</x:v>
      </x:c>
      <x:c r="J3129" s="55" t="n">
        <x:v>116200</x:v>
      </x:c>
      <x:c r="K3129" s="55" t="n">
        <x:v>8991300360000</x:v>
      </x:c>
      <x:c r="L3129" s="55" t="n">
        <x:v>77377800</x:v>
      </x:c>
      <x:c r="M3129" t="str">
        <x:v>20250311001129</x:v>
      </x:c>
      <x:c r="N3129" t="n">
        <x:v>45727.624999988424</x:v>
      </x:c>
      <x:c r="O3129" s="54" t="n">
        <x:v>45657</x:v>
      </x:c>
      <x:c r="P3129" t="str">
        <x:v>False</x:v>
      </x:c>
      <x:c r="Q3129" t="str">
        <x:v>964f5d921b8bd95821c63a2537a38f6deaee5352f47d9d9400c853f660f7b5d3</x:v>
      </x:c>
      <x:c r="R3129" t="str">
        <x:v>e71c3c08c200d66bdb03c52076c8de700aa47c7ab032fb7bb1f50bbb5f43297b</x:v>
      </x:c>
      <x:c r="S3129" t="n">
        <x:v>7</x:v>
      </x:c>
      <x:c r="T3129" t="str">
        <x:v>2018-12-31|2019-12-31|2020-12-31|2021-12-31|2022-12-31|2023-12-31|2024-12-31</x:v>
      </x:c>
      <x:c r="U3129" s="57" t="n">
        <x:v>74311.71610337417</x:v>
      </x:c>
      <x:c r="V3129" s="57" t="n">
        <x:v>-0.36048437088318264</x:v>
      </x:c>
      <x:c r="W3129" t="n">
        <x:v>38</x:v>
      </x:c>
      <x:c r="X3129" t="n">
        <x:v>3</x:v>
      </x:c>
      <x:c r="Y3129" s="38" t="n">
        <x:v>0.6409090909090909</x:v>
      </x:c>
      <x:c r="Z3129" s="38" t="n">
        <x:v>0.7128653806949979</x:v>
      </x:c>
      <x:c r="AA3129"/>
    </x:row>
    <x:row r="3130">
      <x:c r="A3130" s="54" t="n">
        <x:v>45747</x:v>
      </x:c>
      <x:c r="B3130" t="n">
        <x:v>45747.624999988424</x:v>
      </x:c>
      <x:c r="C3130" t="str">
        <x:v>090430</x:v>
      </x:c>
      <x:c r="D3130" t="str">
        <x:v>아모레퍼시픽</x:v>
      </x:c>
      <x:c r="E3130" t="str">
        <x:v>KOSPI</x:v>
      </x:c>
      <x:c r="F3130" t="str">
        <x:v>LARGE</x:v>
      </x:c>
      <x:c r="G3130" t="str">
        <x:v>ELIGIBLE</x:v>
      </x:c>
      <x:c r="H3130"/>
      <x:c r="I3130" s="54" t="n">
        <x:v>45747</x:v>
      </x:c>
      <x:c r="J3130" s="55" t="n">
        <x:v>101400</x:v>
      </x:c>
      <x:c r="K3130" s="55" t="n">
        <x:v>5931165762600</x:v>
      </x:c>
      <x:c r="L3130" s="55" t="n">
        <x:v>58492759</x:v>
      </x:c>
      <x:c r="M3130" t="str">
        <x:v>20250317000429</x:v>
      </x:c>
      <x:c r="N3130" t="n">
        <x:v>45733.624999988424</x:v>
      </x:c>
      <x:c r="O3130" s="54" t="n">
        <x:v>45657</x:v>
      </x:c>
      <x:c r="P3130" t="str">
        <x:v>False</x:v>
      </x:c>
      <x:c r="Q3130" t="str">
        <x:v>5d3cfcde18449c3ab740528bb60555324e517a243671e3ad383bceaa22098b7f</x:v>
      </x:c>
      <x:c r="R3130" t="str">
        <x:v>7f92390547f264a95fbf5655fb46ece4de5b1972a66c501d67b8ea077592702c</x:v>
      </x:c>
      <x:c r="S3130" t="n">
        <x:v>7</x:v>
      </x:c>
      <x:c r="T3130" t="str">
        <x:v>2018-12-31|2019-12-31|2020-12-31|2021-12-31|2022-12-31|2023-12-31|2024-12-31</x:v>
      </x:c>
      <x:c r="U3130" s="57" t="n">
        <x:v>55725.71542506561</x:v>
      </x:c>
      <x:c r="V3130" s="57" t="n">
        <x:v>-0.4504367315082287</x:v>
      </x:c>
      <x:c r="W3130" t="n">
        <x:v>44</x:v>
      </x:c>
      <x:c r="X3130" t="n">
        <x:v>4</x:v>
      </x:c>
      <x:c r="Y3130" s="38" t="n">
        <x:v>0.6409090909090909</x:v>
      </x:c>
      <x:c r="Z3130" s="38" t="n">
        <x:v>0.6751050756958316</x:v>
      </x:c>
      <x:c r="AA3130"/>
    </x:row>
    <x:row r="3131">
      <x:c r="A3131" s="54" t="n">
        <x:v>45747</x:v>
      </x:c>
      <x:c r="B3131" t="n">
        <x:v>45747.624999988424</x:v>
      </x:c>
      <x:c r="C3131" t="str">
        <x:v>278470</x:v>
      </x:c>
      <x:c r="D3131" t="str">
        <x:v>에이피알</x:v>
      </x:c>
      <x:c r="E3131" t="str">
        <x:v>KOSPI</x:v>
      </x:c>
      <x:c r="F3131" t="str">
        <x:v>LARGE</x:v>
      </x:c>
      <x:c r="G3131" t="str">
        <x:v>ELIGIBLE</x:v>
      </x:c>
      <x:c r="H3131"/>
      <x:c r="I3131" s="54" t="n">
        <x:v>45747</x:v>
      </x:c>
      <x:c r="J3131" s="55" t="n">
        <x:v>69800</x:v>
      </x:c>
      <x:c r="K3131" s="55" t="n">
        <x:v>2599460539000</x:v>
      </x:c>
      <x:c r="L3131" s="55" t="n">
        <x:v>37241555</x:v>
      </x:c>
      <x:c r="M3131" t="str">
        <x:v>20250321001576</x:v>
      </x:c>
      <x:c r="N3131" t="n">
        <x:v>45737.624999988424</x:v>
      </x:c>
      <x:c r="O3131" s="54" t="n">
        <x:v>45657</x:v>
      </x:c>
      <x:c r="P3131" t="str">
        <x:v>False</x:v>
      </x:c>
      <x:c r="Q3131" t="str">
        <x:v>f7609415bf5ce4b11e77eb1d00c4fc74b4eb78a4969bb64576bca9efb0ed1049</x:v>
      </x:c>
      <x:c r="R3131" t="str">
        <x:v>a122a65065319d8563a5b5c6657e626da8e30a57fe454ee441ed9747c4fa0c0c</x:v>
      </x:c>
      <x:c r="S3131" t="n">
        <x:v>7</x:v>
      </x:c>
      <x:c r="T3131" t="str">
        <x:v>2019-12-31|2020-12-31|2021-12-31|2022-12-31|2023-12-31|2024-12-31</x:v>
      </x:c>
      <x:c r="U3131" s="57" t="n">
        <x:v>19195.58630679943</x:v>
      </x:c>
      <x:c r="V3131" s="57" t="n">
        <x:v>-0.7249916001891199</x:v>
      </x:c>
      <x:c r="W3131" t="n">
        <x:v>60</x:v>
      </x:c>
      <x:c r="X3131" t="n">
        <x:v>5</x:v>
      </x:c>
      <x:c r="Y3131" s="38" t="n">
        <x:v>0.6409090909090909</x:v>
      </x:c>
      <x:c r="Z3131" s="38" t="n">
        <x:v>0.6171119873468349</x:v>
      </x:c>
      <x:c r="AA3131"/>
    </x:row>
    <x:row r="3132">
      <x:c r="A3132" s="54" t="n">
        <x:v>45747</x:v>
      </x:c>
      <x:c r="B3132" t="n">
        <x:v>45747.624999988424</x:v>
      </x:c>
      <x:c r="C3132" t="str">
        <x:v>006260</x:v>
      </x:c>
      <x:c r="D3132" t="str">
        <x:v>LS</x:v>
      </x:c>
      <x:c r="E3132" t="str">
        <x:v>KOSPI</x:v>
      </x:c>
      <x:c r="F3132" t="str">
        <x:v>LARGE</x:v>
      </x:c>
      <x:c r="G3132" t="str">
        <x:v>DCF_SCREENING_EXCLUSION</x:v>
      </x:c>
      <x:c r="H3132" t="str">
        <x:v>UNRELIABLE_TERMINAL_VALUE_SHARE</x:v>
      </x:c>
      <x:c r="I3132" s="54" t="n">
        <x:v>45747</x:v>
      </x:c>
      <x:c r="J3132" s="55" t="n">
        <x:v>105200</x:v>
      </x:c>
      <x:c r="K3132" s="55" t="n">
        <x:v>3387440000000</x:v>
      </x:c>
      <x:c r="L3132" s="55" t="n">
        <x:v>32200000</x:v>
      </x:c>
      <x:c r="M3132" t="str">
        <x:v>20250326000601</x:v>
      </x:c>
      <x:c r="N3132" t="n">
        <x:v>45742.624999988424</x:v>
      </x:c>
      <x:c r="O3132" s="54" t="n">
        <x:v>45657</x:v>
      </x:c>
      <x:c r="P3132" t="str">
        <x:v>True</x:v>
      </x:c>
      <x:c r="Q3132" t="str">
        <x:v>33c95972b51db6c4ad361222c6e1af5f8a1c53d32ce70480d4099ed38f56276f</x:v>
      </x:c>
      <x:c r="R3132" t="str">
        <x:v>04c6e6d456f340191183a9ff2295e0224e58ec77af66e83990bbbc629e1bdfd8</x:v>
      </x:c>
      <x:c r="S3132" t="n">
        <x:v>7</x:v>
      </x:c>
      <x:c r="T3132" t="str">
        <x:v>2017-12-31|2018-12-31|2019-12-31|2020-12-31|2021-12-31|2022-12-31|2023-12-31|2024-12-31</x:v>
      </x:c>
      <x:c r="U3132" s="57" t="n">
        <x:v>90909.31643697644</x:v>
      </x:c>
      <x:c r="V3132" s="57" t="n">
        <x:v>-0.13584299964851299</x:v>
      </x:c>
      <x:c r="W3132"/>
      <x:c r="X3132"/>
      <x:c r="Y3132" s="38" t="n">
        <x:v>0.6409090909090909</x:v>
      </x:c>
      <x:c r="Z3132" s="38" t="n">
        <x:v>2.196652180568711</x:v>
      </x:c>
      <x:c r="AA3132" t="str">
        <x:v>UNRELIABLE_TERMINAL_VALUE_SHARE</x:v>
      </x:c>
    </x:row>
    <x:row r="3133">
      <x:c r="A3133" s="54" t="n">
        <x:v>45747</x:v>
      </x:c>
      <x:c r="B3133" t="n">
        <x:v>45747.624999988424</x:v>
      </x:c>
      <x:c r="C3133" t="str">
        <x:v>454910</x:v>
      </x:c>
      <x:c r="D3133" t="str">
        <x:v>두산로보틱스</x:v>
      </x:c>
      <x:c r="E3133" t="str">
        <x:v>KOSPI</x:v>
      </x:c>
      <x:c r="F3133" t="str">
        <x:v>LARGE</x:v>
      </x:c>
      <x:c r="G3133" t="str">
        <x:v>DCF_SCREENING_EXCLUSION</x:v>
      </x:c>
      <x:c r="H3133" t="str">
        <x:v>NON_POSITIVE_ENTERPRISE_VALUE|NON_POSITIVE_TERMINAL_FCF</x:v>
      </x:c>
      <x:c r="I3133" s="54" t="n">
        <x:v>45747</x:v>
      </x:c>
      <x:c r="J3133" s="55" t="n">
        <x:v>50200</x:v>
      </x:c>
      <x:c r="K3133" s="55" t="n">
        <x:v>3253962996000</x:v>
      </x:c>
      <x:c r="L3133" s="55" t="n">
        <x:v>64819980</x:v>
      </x:c>
      <x:c r="M3133" t="str">
        <x:v>20250321001817</x:v>
      </x:c>
      <x:c r="N3133" t="n">
        <x:v>45737.624999988424</x:v>
      </x:c>
      <x:c r="O3133" s="54" t="n">
        <x:v>45657</x:v>
      </x:c>
      <x:c r="P3133" t="str">
        <x:v>False</x:v>
      </x:c>
      <x:c r="Q3133" t="str">
        <x:v>d135448b29a66178c61f4ddc3802970762ebb00ebe201b81843842ce6a2586f9</x:v>
      </x:c>
      <x:c r="R3133" t="str">
        <x:v>3d5ad658078dec7b1dcae6ff524ae197c61130b5742c691b8c038680e9fd4719</x:v>
      </x:c>
      <x:c r="S3133" t="n">
        <x:v>6</x:v>
      </x:c>
      <x:c r="T3133" t="str">
        <x:v>2023-12-31|2024-12-31</x:v>
      </x:c>
      <x:c r="U3133" s="57" t="n">
        <x:v>2608.7559516523133</x:v>
      </x:c>
      <x:c r="V3133" s="57" t="n">
        <x:v>-0.9480327499670854</x:v>
      </x:c>
      <x:c r="W3133"/>
      <x:c r="X3133"/>
      <x:c r="Y3133" s="38" t="n">
        <x:v>0.6409090909090909</x:v>
      </x:c>
      <x:c r="Z3133" s="38" t="n">
        <x:v>0.7138439567509429</x:v>
      </x:c>
      <x:c r="AA3133" t="str">
        <x:v>NON_POSITIVE_ENTERPRISE_VALUE|NON_POSITIVE_TERMINAL_FCF</x:v>
      </x:c>
    </x:row>
    <x:row r="3134">
      <x:c r="A3134" s="54" t="n">
        <x:v>45747</x:v>
      </x:c>
      <x:c r="B3134" t="n">
        <x:v>45747.624999988424</x:v>
      </x:c>
      <x:c r="C3134" t="str">
        <x:v>012750</x:v>
      </x:c>
      <x:c r="D3134" t="str">
        <x:v>에스원</x:v>
      </x:c>
      <x:c r="E3134" t="str">
        <x:v>KOSPI</x:v>
      </x:c>
      <x:c r="F3134" t="str">
        <x:v>LARGE</x:v>
      </x:c>
      <x:c r="G3134" t="str">
        <x:v>ELIGIBLE</x:v>
      </x:c>
      <x:c r="H3134"/>
      <x:c r="I3134" s="54" t="n">
        <x:v>45747</x:v>
      </x:c>
      <x:c r="J3134" s="55" t="n">
        <x:v>64400</x:v>
      </x:c>
      <x:c r="K3134" s="55" t="n">
        <x:v>2447147063200</x:v>
      </x:c>
      <x:c r="L3134" s="55" t="n">
        <x:v>37999178</x:v>
      </x:c>
      <x:c r="M3134" t="str">
        <x:v>20250312000984</x:v>
      </x:c>
      <x:c r="N3134" t="n">
        <x:v>45728.624999988424</x:v>
      </x:c>
      <x:c r="O3134" s="54" t="n">
        <x:v>45657</x:v>
      </x:c>
      <x:c r="P3134" t="str">
        <x:v>False</x:v>
      </x:c>
      <x:c r="Q3134" t="str">
        <x:v>d1cf5dfb618d09ffc1359f28ad1fdc885c2c3911cc2af33bdac89bd6a3bdca65</x:v>
      </x:c>
      <x:c r="R3134" t="str">
        <x:v>da34f2257201badec5be64f4d3247e9d82573fb11d0f62a37f9cf258ee7604c9</x:v>
      </x:c>
      <x:c r="S3134" t="n">
        <x:v>7</x:v>
      </x:c>
      <x:c r="T3134" t="str">
        <x:v>2018-12-31|2019-12-31|2020-12-31|2021-12-31|2022-12-31|2023-12-31|2024-12-31</x:v>
      </x:c>
      <x:c r="U3134" s="57" t="n">
        <x:v>69046.64547965034</x:v>
      </x:c>
      <x:c r="V3134" s="57" t="n">
        <x:v>0.07215288011879405</x:v>
      </x:c>
      <x:c r="W3134" t="n">
        <x:v>23</x:v>
      </x:c>
      <x:c r="X3134" t="n">
        <x:v>2</x:v>
      </x:c>
      <x:c r="Y3134" s="38" t="n">
        <x:v>0.6409090909090909</x:v>
      </x:c>
      <x:c r="Z3134" s="38" t="n">
        <x:v>0.7174252575953354</x:v>
      </x:c>
      <x:c r="AA3134"/>
    </x:row>
    <x:row r="3135">
      <x:c r="A3135" s="54" t="n">
        <x:v>45747</x:v>
      </x:c>
      <x:c r="B3135" t="n">
        <x:v>45747.624999988424</x:v>
      </x:c>
      <x:c r="C3135" t="str">
        <x:v>081660</x:v>
      </x:c>
      <x:c r="D3135" t="str">
        <x:v>미스토홀딩스</x:v>
      </x:c>
      <x:c r="E3135" t="str">
        <x:v>KOSPI</x:v>
      </x:c>
      <x:c r="F3135" t="str">
        <x:v>LARGE</x:v>
      </x:c>
      <x:c r="G3135" t="str">
        <x:v>EXCLUDED_ARCHETYPE</x:v>
      </x:c>
      <x:c r="H3135" t="str">
        <x:v>FCFF_NOT_COMPARABLE_FOR_FINANCE_OR_HOLDING_HINT</x:v>
      </x:c>
      <x:c r="I3135" s="54"/>
      <x:c r="J3135" s="55"/>
      <x:c r="K3135" s="55"/>
      <x:c r="L3135" s="55"/>
      <x:c r="M3135"/>
      <x:c r="N3135"/>
      <x:c r="O3135" s="54"/>
      <x:c r="P3135"/>
      <x:c r="Q3135"/>
      <x:c r="R3135"/>
      <x:c r="S3135"/>
      <x:c r="T3135"/>
      <x:c r="U3135" s="57"/>
      <x:c r="V3135" s="57"/>
      <x:c r="W3135"/>
      <x:c r="X3135"/>
      <x:c r="Y3135" s="38"/>
      <x:c r="Z3135" s="38"/>
      <x:c r="AA3135"/>
    </x:row>
    <x:row r="3136">
      <x:c r="A3136" s="54" t="n">
        <x:v>45747</x:v>
      </x:c>
      <x:c r="B3136" t="n">
        <x:v>45747.624999988424</x:v>
      </x:c>
      <x:c r="C3136" t="str">
        <x:v>282330</x:v>
      </x:c>
      <x:c r="D3136" t="str">
        <x:v>BGF리테일</x:v>
      </x:c>
      <x:c r="E3136" t="str">
        <x:v>KOSPI</x:v>
      </x:c>
      <x:c r="F3136" t="str">
        <x:v>LARGE</x:v>
      </x:c>
      <x:c r="G3136" t="str">
        <x:v>ELIGIBLE</x:v>
      </x:c>
      <x:c r="H3136"/>
      <x:c r="I3136" s="54" t="n">
        <x:v>45747</x:v>
      </x:c>
      <x:c r="J3136" s="55" t="n">
        <x:v>109400</x:v>
      </x:c>
      <x:c r="K3136" s="55" t="n">
        <x:v>1890859316400</x:v>
      </x:c>
      <x:c r="L3136" s="55" t="n">
        <x:v>17283906</x:v>
      </x:c>
      <x:c r="M3136" t="str">
        <x:v>20250318000733</x:v>
      </x:c>
      <x:c r="N3136" t="n">
        <x:v>45734.624999988424</x:v>
      </x:c>
      <x:c r="O3136" s="54" t="n">
        <x:v>45657</x:v>
      </x:c>
      <x:c r="P3136" t="str">
        <x:v>False</x:v>
      </x:c>
      <x:c r="Q3136" t="str">
        <x:v>083efd2dee44b4a786970c0c389a46a610dc9a7977b06d3b9ad488970ad89861</x:v>
      </x:c>
      <x:c r="R3136" t="str">
        <x:v>56ffa1711ceebcefa7355b1524c61d7de5c48bb0a74b0d64a5a9c289e7378174</x:v>
      </x:c>
      <x:c r="S3136" t="n">
        <x:v>7</x:v>
      </x:c>
      <x:c r="T3136" t="str">
        <x:v>2018-12-31|2019-12-31|2020-12-31|2021-12-31|2022-12-31|2023-12-31|2024-12-31</x:v>
      </x:c>
      <x:c r="U3136" s="57" t="n">
        <x:v>97369.65699428694</x:v>
      </x:c>
      <x:c r="V3136" s="57" t="n">
        <x:v>-0.10996657226428762</x:v>
      </x:c>
      <x:c r="W3136" t="n">
        <x:v>29</x:v>
      </x:c>
      <x:c r="X3136" t="n">
        <x:v>3</x:v>
      </x:c>
      <x:c r="Y3136" s="38" t="n">
        <x:v>0.6409090909090909</x:v>
      </x:c>
      <x:c r="Z3136" s="38" t="n">
        <x:v>0.7160245016630836</x:v>
      </x:c>
      <x:c r="AA3136"/>
    </x:row>
    <x:row r="3137">
      <x:c r="A3137" s="54" t="n">
        <x:v>45747</x:v>
      </x:c>
      <x:c r="B3137" t="n">
        <x:v>45747.624999988424</x:v>
      </x:c>
      <x:c r="C3137" t="str">
        <x:v>023590</x:v>
      </x:c>
      <x:c r="D3137" t="str">
        <x:v>다우기술</x:v>
      </x:c>
      <x:c r="E3137" t="str">
        <x:v>KOSPI</x:v>
      </x:c>
      <x:c r="F3137" t="str">
        <x:v>LARGE</x:v>
      </x:c>
      <x:c r="G3137" t="str">
        <x:v>ELIGIBLE</x:v>
      </x:c>
      <x:c r="H3137"/>
      <x:c r="I3137" s="54" t="n">
        <x:v>45747</x:v>
      </x:c>
      <x:c r="J3137" s="55" t="n">
        <x:v>19740</x:v>
      </x:c>
      <x:c r="K3137" s="55" t="n">
        <x:v>885667019580</x:v>
      </x:c>
      <x:c r="L3137" s="55" t="n">
        <x:v>44866617</x:v>
      </x:c>
      <x:c r="M3137" t="str">
        <x:v>20250318001202</x:v>
      </x:c>
      <x:c r="N3137" t="n">
        <x:v>45734.624999988424</x:v>
      </x:c>
      <x:c r="O3137" s="54" t="n">
        <x:v>45657</x:v>
      </x:c>
      <x:c r="P3137" t="str">
        <x:v>False</x:v>
      </x:c>
      <x:c r="Q3137" t="str">
        <x:v>259f89c3cf719530f4a45f36ebe82e9d42a2958b3a0bad4250982534efa965bf</x:v>
      </x:c>
      <x:c r="R3137" t="str">
        <x:v>f162e810ea5b1ec6181873739395cc55f53c015bda2f3eeeb43957d9146b406c</x:v>
      </x:c>
      <x:c r="S3137" t="n">
        <x:v>7</x:v>
      </x:c>
      <x:c r="T3137" t="str">
        <x:v>2015-12-31|2016-12-31|2017-12-31|2018-12-31|2019-12-31|2020-12-31|2021-12-31|2022-12-31|2023-12-31|2024-12-31</x:v>
      </x:c>
      <x:c r="U3137" s="57" t="n">
        <x:v>59589.212266086324</x:v>
      </x:c>
      <x:c r="V3137" s="57" t="n">
        <x:v>2.0187037622130863</x:v>
      </x:c>
      <x:c r="W3137" t="n">
        <x:v>4</x:v>
      </x:c>
      <x:c r="X3137" t="n">
        <x:v>1</x:v>
      </x:c>
      <x:c r="Y3137" s="38" t="n">
        <x:v>0.6409090909090909</x:v>
      </x:c>
      <x:c r="Z3137" s="38" t="n">
        <x:v>0.7691050447178945</x:v>
      </x:c>
      <x:c r="AA3137"/>
    </x:row>
    <x:row r="3138">
      <x:c r="A3138" s="54" t="n">
        <x:v>45747</x:v>
      </x:c>
      <x:c r="B3138" t="n">
        <x:v>45747.624999988424</x:v>
      </x:c>
      <x:c r="C3138" t="str">
        <x:v>300720</x:v>
      </x:c>
      <x:c r="D3138" t="str">
        <x:v>한일시멘트</x:v>
      </x:c>
      <x:c r="E3138" t="str">
        <x:v>KOSPI</x:v>
      </x:c>
      <x:c r="F3138" t="str">
        <x:v>LARGE</x:v>
      </x:c>
      <x:c r="G3138" t="str">
        <x:v>ELIGIBLE</x:v>
      </x:c>
      <x:c r="H3138"/>
      <x:c r="I3138" s="54" t="n">
        <x:v>45747</x:v>
      </x:c>
      <x:c r="J3138" s="55" t="n">
        <x:v>15870</x:v>
      </x:c>
      <x:c r="K3138" s="55" t="n">
        <x:v>1099180639800</x:v>
      </x:c>
      <x:c r="L3138" s="55" t="n">
        <x:v>69261540</x:v>
      </x:c>
      <x:c r="M3138" t="str">
        <x:v>20250317000951</x:v>
      </x:c>
      <x:c r="N3138" t="n">
        <x:v>45733.624999988424</x:v>
      </x:c>
      <x:c r="O3138" s="54" t="n">
        <x:v>45657</x:v>
      </x:c>
      <x:c r="P3138" t="str">
        <x:v>False</x:v>
      </x:c>
      <x:c r="Q3138" t="str">
        <x:v>30911143bec8cf6aff9f304bfd90906a82c9bec558d8c441b591e891325d0ae9</x:v>
      </x:c>
      <x:c r="R3138" t="str">
        <x:v>b37e74697d4529b317f1bdd4feab19c6cb7bf451a88dfded78cc6fe862b70595</x:v>
      </x:c>
      <x:c r="S3138" t="n">
        <x:v>7</x:v>
      </x:c>
      <x:c r="T3138" t="str">
        <x:v>2019-12-31|2020-12-31|2021-12-31|2022-12-31|2023-12-31|2024-12-31</x:v>
      </x:c>
      <x:c r="U3138" s="57" t="n">
        <x:v>25694.968065037032</x:v>
      </x:c>
      <x:c r="V3138" s="57" t="n">
        <x:v>0.6190906153142428</x:v>
      </x:c>
      <x:c r="W3138" t="n">
        <x:v>18</x:v>
      </x:c>
      <x:c r="X3138" t="n">
        <x:v>2</x:v>
      </x:c>
      <x:c r="Y3138" s="38" t="n">
        <x:v>0.6409090909090909</x:v>
      </x:c>
      <x:c r="Z3138" s="38" t="n">
        <x:v>0.7202822282990681</x:v>
      </x:c>
      <x:c r="AA3138"/>
    </x:row>
    <x:row r="3139">
      <x:c r="A3139" s="54" t="n">
        <x:v>45747</x:v>
      </x:c>
      <x:c r="B3139" t="n">
        <x:v>45747.624999988424</x:v>
      </x:c>
      <x:c r="C3139" t="str">
        <x:v>007070</x:v>
      </x:c>
      <x:c r="D3139" t="str">
        <x:v>GS리테일</x:v>
      </x:c>
      <x:c r="E3139" t="str">
        <x:v>KOSPI</x:v>
      </x:c>
      <x:c r="F3139" t="str">
        <x:v>LARGE</x:v>
      </x:c>
      <x:c r="G3139" t="str">
        <x:v>DCF_SCREENING_EXCLUSION</x:v>
      </x:c>
      <x:c r="H3139" t="str">
        <x:v>NON_POSITIVE_EQUITY_VALUE</x:v>
      </x:c>
      <x:c r="I3139" s="54" t="n">
        <x:v>45747</x:v>
      </x:c>
      <x:c r="J3139" s="55" t="n">
        <x:v>14260</x:v>
      </x:c>
      <x:c r="K3139" s="55" t="n">
        <x:v>1192241737900</x:v>
      </x:c>
      <x:c r="L3139" s="55" t="n">
        <x:v>83607415</x:v>
      </x:c>
      <x:c r="M3139" t="str">
        <x:v>20250312000991</x:v>
      </x:c>
      <x:c r="N3139" t="n">
        <x:v>45728.624999988424</x:v>
      </x:c>
      <x:c r="O3139" s="54" t="n">
        <x:v>45657</x:v>
      </x:c>
      <x:c r="P3139" t="str">
        <x:v>False</x:v>
      </x:c>
      <x:c r="Q3139" t="str">
        <x:v>b39e4b05ee59ed223056a91ca94074746528599728a5aa52d8931551e3faec1a</x:v>
      </x:c>
      <x:c r="R3139" t="str">
        <x:v>e06b50f8e71b363b781c7cedcc96ea7badc3c3bf4eba389e440fb48179232105</x:v>
      </x:c>
      <x:c r="S3139" t="n">
        <x:v>7</x:v>
      </x:c>
      <x:c r="T3139" t="str">
        <x:v>2018-12-31|2019-12-31|2020-12-31|2021-12-31|2022-12-31|2023-12-31|2024-12-31</x:v>
      </x:c>
      <x:c r="U3139" s="57" t="n">
        <x:v>-212.79090083230065</x:v>
      </x:c>
      <x:c r="V3139" s="57" t="n">
        <x:v>-1.0149222230597685</x:v>
      </x:c>
      <x:c r="W3139"/>
      <x:c r="X3139"/>
      <x:c r="Y3139" s="38" t="n">
        <x:v>0.6409090909090909</x:v>
      </x:c>
      <x:c r="Z3139" s="38" t="n">
        <x:v>0.7064171070380114</x:v>
      </x:c>
      <x:c r="AA3139" t="str">
        <x:v>NON_POSITIVE_EQUITY_VALUE</x:v>
      </x:c>
    </x:row>
    <x:row r="3140">
      <x:c r="A3140" s="54" t="n">
        <x:v>45747</x:v>
      </x:c>
      <x:c r="B3140" t="n">
        <x:v>45747.624999988424</x:v>
      </x:c>
      <x:c r="C3140" t="str">
        <x:v>280360</x:v>
      </x:c>
      <x:c r="D3140" t="str">
        <x:v>롯데웰푸드</x:v>
      </x:c>
      <x:c r="E3140" t="str">
        <x:v>KOSPI</x:v>
      </x:c>
      <x:c r="F3140" t="str">
        <x:v>LARGE</x:v>
      </x:c>
      <x:c r="G3140" t="str">
        <x:v>DCF_SCREENING_EXCLUSION</x:v>
      </x:c>
      <x:c r="H3140" t="str">
        <x:v>NON_POSITIVE_ENTERPRISE_VALUE|NON_POSITIVE_EQUITY_VALUE|NON_POSITIVE_TERMINAL_FCF</x:v>
      </x:c>
      <x:c r="I3140" s="54" t="n">
        <x:v>45747</x:v>
      </x:c>
      <x:c r="J3140" s="55" t="n">
        <x:v>116400</x:v>
      </x:c>
      <x:c r="K3140" s="55" t="n">
        <x:v>1098184413600</x:v>
      </x:c>
      <x:c r="L3140" s="55" t="n">
        <x:v>9434574</x:v>
      </x:c>
      <x:c r="M3140" t="str">
        <x:v>20250317000383</x:v>
      </x:c>
      <x:c r="N3140" t="n">
        <x:v>45733.624999988424</x:v>
      </x:c>
      <x:c r="O3140" s="54" t="n">
        <x:v>45657</x:v>
      </x:c>
      <x:c r="P3140" t="str">
        <x:v>False</x:v>
      </x:c>
      <x:c r="Q3140" t="str">
        <x:v>9ecbdfec7ec1b3ef582316eeb231242e368b5fcd3348c6d24c490a52eb20a7c4</x:v>
      </x:c>
      <x:c r="R3140" t="str">
        <x:v>e99d8e19e3c4f33bdd91a9d4150107ae2416cf7f8b8c29e6acc64571214aaf79</x:v>
      </x:c>
      <x:c r="S3140" t="n">
        <x:v>7</x:v>
      </x:c>
      <x:c r="T3140" t="str">
        <x:v>2018-12-31|2019-12-31|2020-12-31|2021-12-31|2022-12-31|2023-12-31|2024-12-31</x:v>
      </x:c>
      <x:c r="U3140" s="57" t="n">
        <x:v>-22061.784782492276</x:v>
      </x:c>
      <x:c r="V3140" s="57" t="n">
        <x:v>-1.189534233526566</x:v>
      </x:c>
      <x:c r="W3140"/>
      <x:c r="X3140"/>
      <x:c r="Y3140" s="38" t="n">
        <x:v>0.6409090909090909</x:v>
      </x:c>
      <x:c r="Z3140" s="38" t="n">
        <x:v>0.13113410707304196</x:v>
      </x:c>
      <x:c r="AA3140" t="str">
        <x:v>NON_POSITIVE_ENTERPRISE_VALUE|NON_POSITIVE_EQUITY_VALUE|NON_POSITIVE_TERMINAL_FCF</x:v>
      </x:c>
    </x:row>
    <x:row r="3141">
      <x:c r="A3141" s="54" t="n">
        <x:v>45747</x:v>
      </x:c>
      <x:c r="B3141" t="n">
        <x:v>45747.624999988424</x:v>
      </x:c>
      <x:c r="C3141" t="str">
        <x:v>039130</x:v>
      </x:c>
      <x:c r="D3141" t="str">
        <x:v>하나투어</x:v>
      </x:c>
      <x:c r="E3141" t="str">
        <x:v>KOSPI</x:v>
      </x:c>
      <x:c r="F3141" t="str">
        <x:v>LARGE</x:v>
      </x:c>
      <x:c r="G3141" t="str">
        <x:v>DCF_SCREENING_EXCLUSION</x:v>
      </x:c>
      <x:c r="H3141" t="str">
        <x:v>NON_POSITIVE_ENTERPRISE_VALUE|NON_POSITIVE_EQUITY_VALUE|NON_POSITIVE_TERMINAL_FCF|UNRELIABLE_TERMINAL_VALUE_SHARE</x:v>
      </x:c>
      <x:c r="I3141" s="54" t="n">
        <x:v>45747</x:v>
      </x:c>
      <x:c r="J3141" s="55" t="n">
        <x:v>53800</x:v>
      </x:c>
      <x:c r="K3141" s="55" t="n">
        <x:v>862908153000</x:v>
      </x:c>
      <x:c r="L3141" s="55" t="n">
        <x:v>16039185</x:v>
      </x:c>
      <x:c r="M3141" t="str">
        <x:v>20250320001129</x:v>
      </x:c>
      <x:c r="N3141" t="n">
        <x:v>45736.624999988424</x:v>
      </x:c>
      <x:c r="O3141" s="54" t="n">
        <x:v>45657</x:v>
      </x:c>
      <x:c r="P3141" t="str">
        <x:v>False</x:v>
      </x:c>
      <x:c r="Q3141" t="str">
        <x:v>2ce285ed4b9f246b62f3b829f8c279ca2708a0b849dba277787845940694cb64</x:v>
      </x:c>
      <x:c r="R3141" t="str">
        <x:v>ba19a4b0051f53e52a8148c95f9e25c1fbfdd9b2d77734956f4b16f9117ce20c</x:v>
      </x:c>
      <x:c r="S3141" t="n">
        <x:v>5</x:v>
      </x:c>
      <x:c r="T3141" t="str">
        <x:v>2018-12-31|2019-12-31|2020-12-31|2021-12-31|2022-12-31|2023-12-31|2024-12-31</x:v>
      </x:c>
      <x:c r="U3141" s="57" t="n">
        <x:v>-68340.06537993463</x:v>
      </x:c>
      <x:c r="V3141" s="57" t="n">
        <x:v>-2.270261438288748</x:v>
      </x:c>
      <x:c r="W3141"/>
      <x:c r="X3141"/>
      <x:c r="Y3141" s="38" t="n">
        <x:v>0.6409090909090909</x:v>
      </x:c>
      <x:c r="Z3141" s="38" t="n">
        <x:v>0.8912188126147009</x:v>
      </x:c>
      <x:c r="AA3141" t="str">
        <x:v>NON_POSITIVE_ENTERPRISE_VALUE|NON_POSITIVE_EQUITY_VALUE|NON_POSITIVE_TERMINAL_FCF|UNRELIABLE_TERMINAL_VALUE_SHARE</x:v>
      </x:c>
    </x:row>
    <x:row r="3142">
      <x:c r="A3142" s="54" t="n">
        <x:v>45747</x:v>
      </x:c>
      <x:c r="B3142" t="n">
        <x:v>45747.624999988424</x:v>
      </x:c>
      <x:c r="C3142" t="str">
        <x:v>005690</x:v>
      </x:c>
      <x:c r="D3142" t="str">
        <x:v>파미셀</x:v>
      </x:c>
      <x:c r="E3142" t="str">
        <x:v>KOSPI</x:v>
      </x:c>
      <x:c r="F3142" t="str">
        <x:v>LARGE</x:v>
      </x:c>
      <x:c r="G3142" t="str">
        <x:v>DCF_SCREENING_EXCLUSION</x:v>
      </x:c>
      <x:c r="H3142" t="str">
        <x:v>UNRELIABLE_TERMINAL_VALUE_SHARE</x:v>
      </x:c>
      <x:c r="I3142" s="54" t="n">
        <x:v>45747</x:v>
      </x:c>
      <x:c r="J3142" s="55" t="n">
        <x:v>10140</x:v>
      </x:c>
      <x:c r="K3142" s="55" t="n">
        <x:v>608572014960</x:v>
      </x:c>
      <x:c r="L3142" s="55" t="n">
        <x:v>60016964</x:v>
      </x:c>
      <x:c r="M3142" t="str">
        <x:v>20250318000319</x:v>
      </x:c>
      <x:c r="N3142" t="n">
        <x:v>45734.624999988424</x:v>
      </x:c>
      <x:c r="O3142" s="54" t="n">
        <x:v>45657</x:v>
      </x:c>
      <x:c r="P3142" t="str">
        <x:v>False</x:v>
      </x:c>
      <x:c r="Q3142" t="str">
        <x:v>42ff16ba9237176276669aa358fe722d193606b88ed2444c597a8b4ce70c168a</x:v>
      </x:c>
      <x:c r="R3142" t="str">
        <x:v>7a369e43887f437d83aa84ba3a337136f087db50887d1d81e7d5caf1e6ce1e5f</x:v>
      </x:c>
      <x:c r="S3142" t="n">
        <x:v>6</x:v>
      </x:c>
      <x:c r="T3142" t="str">
        <x:v>2018-12-31|2019-12-31|2020-12-31|2021-12-31|2022-12-31|2023-12-31|2024-12-31</x:v>
      </x:c>
      <x:c r="U3142" s="57" t="n">
        <x:v>446.73762574244665</x:v>
      </x:c>
      <x:c r="V3142" s="57" t="n">
        <x:v>-0.9559430349366423</x:v>
      </x:c>
      <x:c r="W3142"/>
      <x:c r="X3142"/>
      <x:c r="Y3142" s="38" t="n">
        <x:v>0.6409090909090909</x:v>
      </x:c>
      <x:c r="Z3142" s="38" t="n">
        <x:v>0.9691769014163357</x:v>
      </x:c>
      <x:c r="AA3142" t="str">
        <x:v>UNRELIABLE_TERMINAL_VALUE_SHARE</x:v>
      </x:c>
    </x:row>
    <x:row r="3143">
      <x:c r="A3143" s="54" t="n">
        <x:v>45747</x:v>
      </x:c>
      <x:c r="B3143" t="n">
        <x:v>45747.624999988424</x:v>
      </x:c>
      <x:c r="C3143" t="str">
        <x:v>002030</x:v>
      </x:c>
      <x:c r="D3143" t="str">
        <x:v>아세아</x:v>
      </x:c>
      <x:c r="E3143" t="str">
        <x:v>KOSPI</x:v>
      </x:c>
      <x:c r="F3143" t="str">
        <x:v>LARGE</x:v>
      </x:c>
      <x:c r="G3143" t="str">
        <x:v>ELIGIBLE</x:v>
      </x:c>
      <x:c r="H3143"/>
      <x:c r="I3143" s="54" t="n">
        <x:v>45747</x:v>
      </x:c>
      <x:c r="J3143" s="55" t="n">
        <x:v>260000</x:v>
      </x:c>
      <x:c r="K3143" s="55" t="n">
        <x:v>545891840000</x:v>
      </x:c>
      <x:c r="L3143" s="55" t="n">
        <x:v>2099584</x:v>
      </x:c>
      <x:c r="M3143" t="str">
        <x:v>20250312000788</x:v>
      </x:c>
      <x:c r="N3143" t="n">
        <x:v>45728.624999988424</x:v>
      </x:c>
      <x:c r="O3143" s="54" t="n">
        <x:v>45657</x:v>
      </x:c>
      <x:c r="P3143" t="str">
        <x:v>False</x:v>
      </x:c>
      <x:c r="Q3143" t="str">
        <x:v>ea5f66da053d7b0f7058512e5d1ecb22d92df4af7e139ef4c7f13fee4d63099d</x:v>
      </x:c>
      <x:c r="R3143" t="str">
        <x:v>59ac1b52b451f2c299528bff970cce98f0bab8470a65b9cb2222276d3d445eca</x:v>
      </x:c>
      <x:c r="S3143" t="n">
        <x:v>6</x:v>
      </x:c>
      <x:c r="T3143" t="str">
        <x:v>2018-12-31|2019-12-31|2020-12-31|2021-12-31|2022-12-31|2023-12-31|2024-12-31</x:v>
      </x:c>
      <x:c r="U3143" s="57" t="n">
        <x:v>562442.8644457458</x:v>
      </x:c>
      <x:c r="V3143" s="57" t="n">
        <x:v>1.1632417863297917</x:v>
      </x:c>
      <x:c r="W3143" t="n">
        <x:v>12</x:v>
      </x:c>
      <x:c r="X3143" t="n">
        <x:v>1</x:v>
      </x:c>
      <x:c r="Y3143" s="38" t="n">
        <x:v>0.6409090909090909</x:v>
      </x:c>
      <x:c r="Z3143" s="38" t="n">
        <x:v>0.7385757163606029</x:v>
      </x:c>
      <x:c r="AA3143"/>
    </x:row>
    <x:row r="3144">
      <x:c r="A3144" s="54" t="n">
        <x:v>45747</x:v>
      </x:c>
      <x:c r="B3144" t="n">
        <x:v>45747.624999988424</x:v>
      </x:c>
      <x:c r="C3144" t="str">
        <x:v>009410</x:v>
      </x:c>
      <x:c r="D3144" t="str">
        <x:v>태영건설</x:v>
      </x:c>
      <x:c r="E3144" t="str">
        <x:v>KOSPI</x:v>
      </x:c>
      <x:c r="F3144" t="str">
        <x:v>LARGE</x:v>
      </x:c>
      <x:c r="G3144" t="str">
        <x:v>DCF_SCREENING_EXCLUSION</x:v>
      </x:c>
      <x:c r="H3144" t="str">
        <x:v>NON_POSITIVE_EQUITY_VALUE</x:v>
      </x:c>
      <x:c r="I3144" s="54" t="n">
        <x:v>45747</x:v>
      </x:c>
      <x:c r="J3144" s="55" t="n">
        <x:v>2555</x:v>
      </x:c>
      <x:c r="K3144" s="55" t="n">
        <x:v>751357940690</x:v>
      </x:c>
      <x:c r="L3144" s="55" t="n">
        <x:v>294073558</x:v>
      </x:c>
      <x:c r="M3144" t="str">
        <x:v>20250319000934</x:v>
      </x:c>
      <x:c r="N3144" t="n">
        <x:v>45735.624999988424</x:v>
      </x:c>
      <x:c r="O3144" s="54" t="n">
        <x:v>45657</x:v>
      </x:c>
      <x:c r="P3144" t="str">
        <x:v>False</x:v>
      </x:c>
      <x:c r="Q3144" t="str">
        <x:v>1ff734330124fbb0d4b03cbae75c4c3a7f4badc19e3b195241e4c04c09ee4381</x:v>
      </x:c>
      <x:c r="R3144" t="str">
        <x:v>fe3fa931b8b52576d35471ea5e9891644f9f6a7571c57e657f3d22cbe4613149</x:v>
      </x:c>
      <x:c r="S3144" t="n">
        <x:v>7</x:v>
      </x:c>
      <x:c r="T3144" t="str">
        <x:v>2018-12-31|2019-12-31|2020-12-31|2021-12-31|2022-12-31|2023-12-31|2024-12-31</x:v>
      </x:c>
      <x:c r="U3144" s="57" t="n">
        <x:v>-578.0823708143553</x:v>
      </x:c>
      <x:c r="V3144" s="57" t="n">
        <x:v>-1.2262553310428004</x:v>
      </x:c>
      <x:c r="W3144"/>
      <x:c r="X3144"/>
      <x:c r="Y3144" s="38" t="n">
        <x:v>0.6409090909090909</x:v>
      </x:c>
      <x:c r="Z3144" s="38" t="n">
        <x:v>0.8239185671113427</x:v>
      </x:c>
      <x:c r="AA3144" t="str">
        <x:v>NON_POSITIVE_EQUITY_VALUE</x:v>
      </x:c>
    </x:row>
    <x:row r="3145">
      <x:c r="A3145" s="54" t="n">
        <x:v>45747</x:v>
      </x:c>
      <x:c r="B3145" t="n">
        <x:v>45747.624999988424</x:v>
      </x:c>
      <x:c r="C3145" t="str">
        <x:v>010780</x:v>
      </x:c>
      <x:c r="D3145" t="str">
        <x:v>아이에스동서</x:v>
      </x:c>
      <x:c r="E3145" t="str">
        <x:v>KOSPI</x:v>
      </x:c>
      <x:c r="F3145" t="str">
        <x:v>LARGE</x:v>
      </x:c>
      <x:c r="G3145" t="str">
        <x:v>ELIGIBLE</x:v>
      </x:c>
      <x:c r="H3145"/>
      <x:c r="I3145" s="54" t="n">
        <x:v>45747</x:v>
      </x:c>
      <x:c r="J3145" s="55" t="n">
        <x:v>16200</x:v>
      </x:c>
      <x:c r="K3145" s="55" t="n">
        <x:v>489029011200</x:v>
      </x:c>
      <x:c r="L3145" s="55" t="n">
        <x:v>30186976</x:v>
      </x:c>
      <x:c r="M3145" t="str">
        <x:v>20250319001050</x:v>
      </x:c>
      <x:c r="N3145" t="n">
        <x:v>45735.624999988424</x:v>
      </x:c>
      <x:c r="O3145" s="54" t="n">
        <x:v>45657</x:v>
      </x:c>
      <x:c r="P3145" t="str">
        <x:v>False</x:v>
      </x:c>
      <x:c r="Q3145" t="str">
        <x:v>62e562302d3f77018b083978563c92264fa7f7698b9b0c4d599d79705442146f</x:v>
      </x:c>
      <x:c r="R3145" t="str">
        <x:v>86742e5429646e5c4be52e0c193aef44dc4ae24353f965dc1dee721ec0906729</x:v>
      </x:c>
      <x:c r="S3145" t="n">
        <x:v>7</x:v>
      </x:c>
      <x:c r="T3145" t="str">
        <x:v>2018-12-31|2019-12-31|2020-12-31|2021-12-31|2022-12-31|2023-12-31|2024-12-31</x:v>
      </x:c>
      <x:c r="U3145" s="57" t="n">
        <x:v>85297.6743389066</x:v>
      </x:c>
      <x:c r="V3145" s="57" t="n">
        <x:v>4.265288539438679</x:v>
      </x:c>
      <x:c r="W3145" t="n">
        <x:v>1</x:v>
      </x:c>
      <x:c r="X3145" t="n">
        <x:v>1</x:v>
      </x:c>
      <x:c r="Y3145" s="38" t="n">
        <x:v>0.6409090909090909</x:v>
      </x:c>
      <x:c r="Z3145" s="38" t="n">
        <x:v>0.7661732178613974</x:v>
      </x:c>
      <x:c r="AA3145"/>
    </x:row>
    <x:row r="3146">
      <x:c r="A3146" s="54" t="n">
        <x:v>45747</x:v>
      </x:c>
      <x:c r="B3146" t="n">
        <x:v>45747.624999988424</x:v>
      </x:c>
      <x:c r="C3146" t="str">
        <x:v>453340</x:v>
      </x:c>
      <x:c r="D3146" t="str">
        <x:v>현대그린푸드</x:v>
      </x:c>
      <x:c r="E3146" t="str">
        <x:v>KOSPI</x:v>
      </x:c>
      <x:c r="F3146" t="str">
        <x:v>LARGE</x:v>
      </x:c>
      <x:c r="G3146" t="str">
        <x:v>ELIGIBLE</x:v>
      </x:c>
      <x:c r="H3146"/>
      <x:c r="I3146" s="54" t="n">
        <x:v>45747</x:v>
      </x:c>
      <x:c r="J3146" s="55" t="n">
        <x:v>14280</x:v>
      </x:c>
      <x:c r="K3146" s="55" t="n">
        <x:v>473175511200</x:v>
      </x:c>
      <x:c r="L3146" s="55" t="n">
        <x:v>33135540</x:v>
      </x:c>
      <x:c r="M3146" t="str">
        <x:v>20250314000805</x:v>
      </x:c>
      <x:c r="N3146" t="n">
        <x:v>45730.624999988424</x:v>
      </x:c>
      <x:c r="O3146" s="54" t="n">
        <x:v>45657</x:v>
      </x:c>
      <x:c r="P3146" t="str">
        <x:v>False</x:v>
      </x:c>
      <x:c r="Q3146" t="str">
        <x:v>fbe3ca9d89bb15e710f3e0aca8fd1d56d5a9ceeba6889a66337454494774bd61</x:v>
      </x:c>
      <x:c r="R3146" t="str">
        <x:v>4b272bcdd24e4c4a3acef2a99e73f17c4a2922de23aac7db272de915f65e8e3e</x:v>
      </x:c>
      <x:c r="S3146" t="n">
        <x:v>7</x:v>
      </x:c>
      <x:c r="T3146" t="str">
        <x:v>2024-12-31</x:v>
      </x:c>
      <x:c r="U3146" s="57" t="n">
        <x:v>37642.143899229246</x:v>
      </x:c>
      <x:c r="V3146" s="57" t="n">
        <x:v>1.6360044747359417</x:v>
      </x:c>
      <x:c r="W3146" t="n">
        <x:v>8</x:v>
      </x:c>
      <x:c r="X3146" t="n">
        <x:v>1</x:v>
      </x:c>
      <x:c r="Y3146" s="38" t="n">
        <x:v>0.6409090909090909</x:v>
      </x:c>
      <x:c r="Z3146" s="38" t="n">
        <x:v>0.7013426708992583</x:v>
      </x:c>
      <x:c r="AA3146"/>
    </x:row>
    <x:row r="3147">
      <x:c r="A3147" s="54" t="n">
        <x:v>45747</x:v>
      </x:c>
      <x:c r="B3147" t="n">
        <x:v>45747.624999988424</x:v>
      </x:c>
      <x:c r="C3147" t="str">
        <x:v>006220</x:v>
      </x:c>
      <x:c r="D3147" t="str">
        <x:v>제주은행</x:v>
      </x:c>
      <x:c r="E3147" t="str">
        <x:v>KOSPI</x:v>
      </x:c>
      <x:c r="F3147" t="str">
        <x:v>LARGE</x:v>
      </x:c>
      <x:c r="G3147" t="str">
        <x:v>EXCLUDED_ARCHETYPE</x:v>
      </x:c>
      <x:c r="H3147" t="str">
        <x:v>FCFF_NOT_COMPARABLE_FOR_FINANCE_OR_HOLDING_HINT</x:v>
      </x:c>
      <x:c r="I3147" s="54"/>
      <x:c r="J3147" s="55"/>
      <x:c r="K3147" s="55"/>
      <x:c r="L3147" s="55"/>
      <x:c r="M3147"/>
      <x:c r="N3147"/>
      <x:c r="O3147" s="54"/>
      <x:c r="P3147"/>
      <x:c r="Q3147"/>
      <x:c r="R3147"/>
      <x:c r="S3147"/>
      <x:c r="T3147"/>
      <x:c r="U3147" s="57"/>
      <x:c r="V3147" s="57"/>
      <x:c r="W3147"/>
      <x:c r="X3147"/>
      <x:c r="Y3147" s="38"/>
      <x:c r="Z3147" s="38"/>
      <x:c r="AA3147"/>
    </x:row>
    <x:row r="3148">
      <x:c r="A3148" s="54" t="n">
        <x:v>45747</x:v>
      </x:c>
      <x:c r="B3148" t="n">
        <x:v>45747.624999988424</x:v>
      </x:c>
      <x:c r="C3148" t="str">
        <x:v>094800</x:v>
      </x:c>
      <x:c r="D3148" t="str">
        <x:v>맵스리얼티1</x:v>
      </x:c>
      <x:c r="E3148" t="str">
        <x:v>KOSPI</x:v>
      </x:c>
      <x:c r="F3148" t="str">
        <x:v>LARGE</x:v>
      </x:c>
      <x:c r="G3148" t="str">
        <x:v>NO_PIT_FINANCIALS</x:v>
      </x:c>
      <x:c r="H3148"/>
      <x:c r="I3148" s="54" t="n">
        <x:v>45747</x:v>
      </x:c>
      <x:c r="J3148" s="55" t="n">
        <x:v>4185</x:v>
      </x:c>
      <x:c r="K3148" s="55" t="n">
        <x:v>388511675235</x:v>
      </x:c>
      <x:c r="L3148" s="55" t="n">
        <x:v>92834331</x:v>
      </x:c>
      <x:c r="M3148"/>
      <x:c r="N3148"/>
      <x:c r="O3148" s="54"/>
      <x:c r="P3148"/>
      <x:c r="Q3148"/>
      <x:c r="R3148"/>
      <x:c r="S3148"/>
      <x:c r="T3148"/>
      <x:c r="U3148" s="57"/>
      <x:c r="V3148" s="57"/>
      <x:c r="W3148"/>
      <x:c r="X3148"/>
      <x:c r="Y3148" s="38"/>
      <x:c r="Z3148" s="38"/>
      <x:c r="AA3148"/>
    </x:row>
    <x:row r="3149">
      <x:c r="A3149" s="54" t="n">
        <x:v>45747</x:v>
      </x:c>
      <x:c r="B3149" t="n">
        <x:v>45747.624999988424</x:v>
      </x:c>
      <x:c r="C3149" t="str">
        <x:v>003160</x:v>
      </x:c>
      <x:c r="D3149" t="str">
        <x:v>디아이</x:v>
      </x:c>
      <x:c r="E3149" t="str">
        <x:v>KOSPI</x:v>
      </x:c>
      <x:c r="F3149" t="str">
        <x:v>LARGE</x:v>
      </x:c>
      <x:c r="G3149" t="str">
        <x:v>DCF_SCREENING_EXCLUSION</x:v>
      </x:c>
      <x:c r="H3149" t="str">
        <x:v>UNRELIABLE_TERMINAL_VALUE_SHARE</x:v>
      </x:c>
      <x:c r="I3149" s="54" t="n">
        <x:v>45747</x:v>
      </x:c>
      <x:c r="J3149" s="55" t="n">
        <x:v>12730</x:v>
      </x:c>
      <x:c r="K3149" s="55" t="n">
        <x:v>360259000000</x:v>
      </x:c>
      <x:c r="L3149" s="55" t="n">
        <x:v>28300000</x:v>
      </x:c>
      <x:c r="M3149" t="str">
        <x:v>20250313001050</x:v>
      </x:c>
      <x:c r="N3149" t="n">
        <x:v>45729.624999988424</x:v>
      </x:c>
      <x:c r="O3149" s="54" t="n">
        <x:v>45657</x:v>
      </x:c>
      <x:c r="P3149" t="str">
        <x:v>False</x:v>
      </x:c>
      <x:c r="Q3149" t="str">
        <x:v>91d1825c460d7d8f335099ca4043798440a5f26e8ff6eb24b51ef1a396a0230b</x:v>
      </x:c>
      <x:c r="R3149" t="str">
        <x:v>c9028f29495b2e3fb282e3fe3777fabd37bb53b56b66277b995b4614a0246cd1</x:v>
      </x:c>
      <x:c r="S3149" t="n">
        <x:v>6</x:v>
      </x:c>
      <x:c r="T3149" t="str">
        <x:v>2013-12-31|2014-12-31|2015-12-31|2016-12-31|2017-12-31|2018-12-31|2019-12-31|2020-12-31|2021-12-31|2022-12-31|2023-12-31|2024-12-31</x:v>
      </x:c>
      <x:c r="U3149" s="57" t="n">
        <x:v>832.3837869659055</x:v>
      </x:c>
      <x:c r="V3149" s="57" t="n">
        <x:v>-0.9346124283608872</x:v>
      </x:c>
      <x:c r="W3149"/>
      <x:c r="X3149"/>
      <x:c r="Y3149" s="38" t="n">
        <x:v>0.6409090909090909</x:v>
      </x:c>
      <x:c r="Z3149" s="38" t="n">
        <x:v>0.9136713076408913</x:v>
      </x:c>
      <x:c r="AA3149" t="str">
        <x:v>UNRELIABLE_TERMINAL_VALUE_SHARE</x:v>
      </x:c>
    </x:row>
    <x:row r="3150">
      <x:c r="A3150" s="54" t="n">
        <x:v>45747</x:v>
      </x:c>
      <x:c r="B3150" t="n">
        <x:v>45747.624999988424</x:v>
      </x:c>
      <x:c r="C3150" t="str">
        <x:v>001940</x:v>
      </x:c>
      <x:c r="D3150" t="str">
        <x:v>KISCO홀딩스</x:v>
      </x:c>
      <x:c r="E3150" t="str">
        <x:v>KOSPI</x:v>
      </x:c>
      <x:c r="F3150" t="str">
        <x:v>LARGE</x:v>
      </x:c>
      <x:c r="G3150" t="str">
        <x:v>EXCLUDED_ARCHETYPE</x:v>
      </x:c>
      <x:c r="H3150" t="str">
        <x:v>FCFF_NOT_COMPARABLE_FOR_FINANCE_OR_HOLDING_HINT</x:v>
      </x:c>
      <x:c r="I3150" s="54"/>
      <x:c r="J3150" s="55"/>
      <x:c r="K3150" s="55"/>
      <x:c r="L3150" s="55"/>
      <x:c r="M3150"/>
      <x:c r="N3150"/>
      <x:c r="O3150" s="54"/>
      <x:c r="P3150"/>
      <x:c r="Q3150"/>
      <x:c r="R3150"/>
      <x:c r="S3150"/>
      <x:c r="T3150"/>
      <x:c r="U3150" s="57"/>
      <x:c r="V3150" s="57"/>
      <x:c r="W3150"/>
      <x:c r="X3150"/>
      <x:c r="Y3150" s="38"/>
      <x:c r="Z3150" s="38"/>
      <x:c r="AA3150"/>
    </x:row>
    <x:row r="3151">
      <x:c r="A3151" s="54" t="n">
        <x:v>45747</x:v>
      </x:c>
      <x:c r="B3151" t="n">
        <x:v>45747.624999988424</x:v>
      </x:c>
      <x:c r="C3151" t="str">
        <x:v>009290</x:v>
      </x:c>
      <x:c r="D3151" t="str">
        <x:v>광동제약</x:v>
      </x:c>
      <x:c r="E3151" t="str">
        <x:v>KOSPI</x:v>
      </x:c>
      <x:c r="F3151" t="str">
        <x:v>LARGE</x:v>
      </x:c>
      <x:c r="G3151" t="str">
        <x:v>DCF_SCREENING_EXCLUSION</x:v>
      </x:c>
      <x:c r="H3151" t="str">
        <x:v>UNRELIABLE_TERMINAL_VALUE_SHARE</x:v>
      </x:c>
      <x:c r="I3151" s="54" t="n">
        <x:v>45747</x:v>
      </x:c>
      <x:c r="J3151" s="55" t="n">
        <x:v>5150</x:v>
      </x:c>
      <x:c r="K3151" s="55" t="n">
        <x:v>269967382650</x:v>
      </x:c>
      <x:c r="L3151" s="55" t="n">
        <x:v>52420851</x:v>
      </x:c>
      <x:c r="M3151" t="str">
        <x:v>20250325000803</x:v>
      </x:c>
      <x:c r="N3151" t="n">
        <x:v>45741.624999988424</x:v>
      </x:c>
      <x:c r="O3151" s="54" t="n">
        <x:v>45657</x:v>
      </x:c>
      <x:c r="P3151" t="str">
        <x:v>True</x:v>
      </x:c>
      <x:c r="Q3151" t="str">
        <x:v>84aab52ebef21452eb2d69ee9c9e84dce7390ceb539013762f3b4c3aa4ce1b99</x:v>
      </x:c>
      <x:c r="R3151" t="str">
        <x:v>b0e962f211fd428c8adc3db262d78ec70d91bdb30ab9708b22ac0208b97e7471</x:v>
      </x:c>
      <x:c r="S3151" t="n">
        <x:v>7</x:v>
      </x:c>
      <x:c r="T3151" t="str">
        <x:v>2018-12-31|2019-12-31|2020-12-31|2021-12-31|2022-12-31|2023-12-31|2024-12-31</x:v>
      </x:c>
      <x:c r="U3151" s="57" t="n">
        <x:v>205.89426200916276</x:v>
      </x:c>
      <x:c r="V3151" s="57" t="n">
        <x:v>-0.9600205316487063</x:v>
      </x:c>
      <x:c r="W3151"/>
      <x:c r="X3151"/>
      <x:c r="Y3151" s="38" t="n">
        <x:v>0.6409090909090909</x:v>
      </x:c>
      <x:c r="Z3151" s="38" t="n">
        <x:v>1.0678437497655486</x:v>
      </x:c>
      <x:c r="AA3151" t="str">
        <x:v>UNRELIABLE_TERMINAL_VALUE_SHARE</x:v>
      </x:c>
    </x:row>
    <x:row r="3152">
      <x:c r="A3152" s="54" t="n">
        <x:v>45838</x:v>
      </x:c>
      <x:c r="B3152" t="n">
        <x:v>45838.624999988424</x:v>
      </x:c>
      <x:c r="C3152" t="str">
        <x:v>168330</x:v>
      </x:c>
      <x:c r="D3152" t="str">
        <x:v>내츄럴엔도텍</x:v>
      </x:c>
      <x:c r="E3152" t="str">
        <x:v>KOSDAQ</x:v>
      </x:c>
      <x:c r="F3152" t="str">
        <x:v>SMALL</x:v>
      </x:c>
      <x:c r="G3152" t="str">
        <x:v>DCF_SCREENING_EXCLUSION</x:v>
      </x:c>
      <x:c r="H3152" t="str">
        <x:v>NON_POSITIVE_ENTERPRISE_VALUE|NON_POSITIVE_EQUITY_VALUE|NON_POSITIVE_TERMINAL_FCF</x:v>
      </x:c>
      <x:c r="I3152" s="54" t="n">
        <x:v>45838</x:v>
      </x:c>
      <x:c r="J3152" s="55" t="n">
        <x:v>3400</x:v>
      </x:c>
      <x:c r="K3152" s="55" t="n">
        <x:v>107966660000</x:v>
      </x:c>
      <x:c r="L3152" s="55" t="n">
        <x:v>31754900</x:v>
      </x:c>
      <x:c r="M3152" t="str">
        <x:v>20250317000636</x:v>
      </x:c>
      <x:c r="N3152" t="n">
        <x:v>45733.624999988424</x:v>
      </x:c>
      <x:c r="O3152" s="54" t="n">
        <x:v>45657</x:v>
      </x:c>
      <x:c r="P3152" t="str">
        <x:v>False</x:v>
      </x:c>
      <x:c r="Q3152" t="str">
        <x:v>393ad1ebed59ff0a68ab860026d67ed5b866581a0a55b4e163d664af6eeaa809</x:v>
      </x:c>
      <x:c r="R3152" t="str">
        <x:v>52e7b7bde18a6fc17259e78093bf80f6e5652a2efa734f9c999114cecdc394a5</x:v>
      </x:c>
      <x:c r="S3152" t="n">
        <x:v>6</x:v>
      </x:c>
      <x:c r="T3152" t="str">
        <x:v>2018-12-31|2019-12-31|2020-12-31|2021-12-31|2022-12-31|2023-12-31|2024-12-31</x:v>
      </x:c>
      <x:c r="U3152" s="57" t="n">
        <x:v>-1708.5379863226567</x:v>
      </x:c>
      <x:c r="V3152" s="57" t="n">
        <x:v>-1.5025111724478402</x:v>
      </x:c>
      <x:c r="W3152"/>
      <x:c r="X3152"/>
      <x:c r="Y3152" s="38" t="n">
        <x:v>0.6409090909090909</x:v>
      </x:c>
      <x:c r="Z3152" s="38" t="n">
        <x:v>0.6435800796882589</x:v>
      </x:c>
      <x:c r="AA3152" t="str">
        <x:v>NON_POSITIVE_ENTERPRISE_VALUE|NON_POSITIVE_EQUITY_VALUE|NON_POSITIVE_TERMINAL_FCF</x:v>
      </x:c>
    </x:row>
    <x:row r="3153">
      <x:c r="A3153" s="54" t="n">
        <x:v>45838</x:v>
      </x:c>
      <x:c r="B3153" t="n">
        <x:v>45838.624999988424</x:v>
      </x:c>
      <x:c r="C3153" t="str">
        <x:v>120240</x:v>
      </x:c>
      <x:c r="D3153" t="str">
        <x:v>대정화금</x:v>
      </x:c>
      <x:c r="E3153" t="str">
        <x:v>KOSDAQ</x:v>
      </x:c>
      <x:c r="F3153" t="str">
        <x:v>SMALL</x:v>
      </x:c>
      <x:c r="G3153" t="str">
        <x:v>ELIGIBLE</x:v>
      </x:c>
      <x:c r="H3153"/>
      <x:c r="I3153" s="54" t="n">
        <x:v>45838</x:v>
      </x:c>
      <x:c r="J3153" s="55" t="n">
        <x:v>14090</x:v>
      </x:c>
      <x:c r="K3153" s="55" t="n">
        <x:v>101312609190</x:v>
      </x:c>
      <x:c r="L3153" s="55" t="n">
        <x:v>7190391</x:v>
      </x:c>
      <x:c r="M3153" t="str">
        <x:v>20250318000203</x:v>
      </x:c>
      <x:c r="N3153" t="n">
        <x:v>45734.624999988424</x:v>
      </x:c>
      <x:c r="O3153" s="54" t="n">
        <x:v>45657</x:v>
      </x:c>
      <x:c r="P3153" t="str">
        <x:v>False</x:v>
      </x:c>
      <x:c r="Q3153" t="str">
        <x:v>7216f09b05b9d473c473d743a0010bcf9b2607b5e87344d2c7ab446105736111</x:v>
      </x:c>
      <x:c r="R3153" t="str">
        <x:v>35bdf81b8888be551aaa8d4a0e3601d9047dadc062d97e5ecf6afa94cdc03df7</x:v>
      </x:c>
      <x:c r="S3153" t="n">
        <x:v>6</x:v>
      </x:c>
      <x:c r="T3153" t="str">
        <x:v>2018-12-31|2019-12-31|2020-12-31|2021-12-31|2022-12-31|2023-12-31|2024-12-31</x:v>
      </x:c>
      <x:c r="U3153" s="57" t="n">
        <x:v>11359.177652950648</x:v>
      </x:c>
      <x:c r="V3153" s="57" t="n">
        <x:v>-0.193812799648641</x:v>
      </x:c>
      <x:c r="W3153" t="n">
        <x:v>24</x:v>
      </x:c>
      <x:c r="X3153" t="n">
        <x:v>2</x:v>
      </x:c>
      <x:c r="Y3153" s="38" t="n">
        <x:v>0.6409090909090909</x:v>
      </x:c>
      <x:c r="Z3153" s="38" t="n">
        <x:v>0.6688178188384037</x:v>
      </x:c>
      <x:c r="AA3153"/>
    </x:row>
    <x:row r="3154">
      <x:c r="A3154" s="54" t="n">
        <x:v>45838</x:v>
      </x:c>
      <x:c r="B3154" t="n">
        <x:v>45838.624999988424</x:v>
      </x:c>
      <x:c r="C3154" t="str">
        <x:v>348350</x:v>
      </x:c>
      <x:c r="D3154" t="str">
        <x:v>위드텍</x:v>
      </x:c>
      <x:c r="E3154" t="str">
        <x:v>KOSDAQ</x:v>
      </x:c>
      <x:c r="F3154" t="str">
        <x:v>SMALL</x:v>
      </x:c>
      <x:c r="G3154" t="str">
        <x:v>ELIGIBLE</x:v>
      </x:c>
      <x:c r="H3154"/>
      <x:c r="I3154" s="54" t="n">
        <x:v>45838</x:v>
      </x:c>
      <x:c r="J3154" s="55" t="n">
        <x:v>11200</x:v>
      </x:c>
      <x:c r="K3154" s="55" t="n">
        <x:v>114056320000</x:v>
      </x:c>
      <x:c r="L3154" s="55" t="n">
        <x:v>10183600</x:v>
      </x:c>
      <x:c r="M3154" t="str">
        <x:v>20250314000933</x:v>
      </x:c>
      <x:c r="N3154" t="n">
        <x:v>45730.624999988424</x:v>
      </x:c>
      <x:c r="O3154" s="54" t="n">
        <x:v>45657</x:v>
      </x:c>
      <x:c r="P3154" t="str">
        <x:v>False</x:v>
      </x:c>
      <x:c r="Q3154" t="str">
        <x:v>6f709e5476961867f728a25c98f9935b5c9fe6eca8bd2928bd137fdd8b044c62</x:v>
      </x:c>
      <x:c r="R3154" t="str">
        <x:v>10775d4ef7a6033d3d0841bb87b9f9105baa7495e6eab4d085e9ffd61428bc76</x:v>
      </x:c>
      <x:c r="S3154" t="n">
        <x:v>5</x:v>
      </x:c>
      <x:c r="T3154" t="str">
        <x:v>2020-12-31|2021-12-31|2022-12-31|2023-12-31|2024-12-31</x:v>
      </x:c>
      <x:c r="U3154" s="57" t="n">
        <x:v>4884.9173136747495</x:v>
      </x:c>
      <x:c r="V3154" s="57" t="n">
        <x:v>-0.5638466684218973</x:v>
      </x:c>
      <x:c r="W3154" t="n">
        <x:v>46</x:v>
      </x:c>
      <x:c r="X3154" t="n">
        <x:v>4</x:v>
      </x:c>
      <x:c r="Y3154" s="38" t="n">
        <x:v>0.6409090909090909</x:v>
      </x:c>
      <x:c r="Z3154" s="38" t="n">
        <x:v>0.7444495230472721</x:v>
      </x:c>
      <x:c r="AA3154"/>
    </x:row>
    <x:row r="3155">
      <x:c r="A3155" s="54" t="n">
        <x:v>45838</x:v>
      </x:c>
      <x:c r="B3155" t="n">
        <x:v>45838.624999988424</x:v>
      </x:c>
      <x:c r="C3155" t="str">
        <x:v>226330</x:v>
      </x:c>
      <x:c r="D3155" t="str">
        <x:v>신테카바이오</x:v>
      </x:c>
      <x:c r="E3155" t="str">
        <x:v>KOSDAQ</x:v>
      </x:c>
      <x:c r="F3155" t="str">
        <x:v>SMALL</x:v>
      </x:c>
      <x:c r="G3155" t="str">
        <x:v>DCF_SCREENING_EXCLUSION</x:v>
      </x:c>
      <x:c r="H3155" t="str">
        <x:v>NON_POSITIVE_ENTERPRISE_VALUE|NON_POSITIVE_TERMINAL_FCF</x:v>
      </x:c>
      <x:c r="I3155" s="54" t="n">
        <x:v>45838</x:v>
      </x:c>
      <x:c r="J3155" s="55" t="n">
        <x:v>7460</x:v>
      </x:c>
      <x:c r="K3155" s="55" t="n">
        <x:v>113828223500</x:v>
      </x:c>
      <x:c r="L3155" s="55" t="n">
        <x:v>15258475</x:v>
      </x:c>
      <x:c r="M3155" t="str">
        <x:v>20250320001651</x:v>
      </x:c>
      <x:c r="N3155" t="n">
        <x:v>45736.624999988424</x:v>
      </x:c>
      <x:c r="O3155" s="54" t="n">
        <x:v>45657</x:v>
      </x:c>
      <x:c r="P3155" t="str">
        <x:v>False</x:v>
      </x:c>
      <x:c r="Q3155" t="str">
        <x:v>5e568a6cfc0ecc41eadf0ac856699c13d11f15d8cb1dd1b3012929e4b06d02ed</x:v>
      </x:c>
      <x:c r="R3155" t="str">
        <x:v>c843bdeef174882cfaba482b6af66fafbf7c7131eede1d9c56e897c4eac272ed</x:v>
      </x:c>
      <x:c r="S3155" t="n">
        <x:v>5</x:v>
      </x:c>
      <x:c r="T3155" t="str">
        <x:v>2019-12-31|2020-12-31|2021-12-31|2022-12-31|2023-12-31|2024-12-31</x:v>
      </x:c>
      <x:c r="U3155" s="57" t="n">
        <x:v>301.5966734730804</x:v>
      </x:c>
      <x:c r="V3155" s="57" t="n">
        <x:v>-0.9595714914915442</x:v>
      </x:c>
      <x:c r="W3155"/>
      <x:c r="X3155"/>
      <x:c r="Y3155" s="38" t="n">
        <x:v>0.6409090909090909</x:v>
      </x:c>
      <x:c r="Z3155" s="38" t="n">
        <x:v>0.6095054406520231</x:v>
      </x:c>
      <x:c r="AA3155" t="str">
        <x:v>NON_POSITIVE_ENTERPRISE_VALUE|NON_POSITIVE_TERMINAL_FCF</x:v>
      </x:c>
    </x:row>
    <x:row r="3156">
      <x:c r="A3156" s="54" t="n">
        <x:v>45838</x:v>
      </x:c>
      <x:c r="B3156" t="n">
        <x:v>45838.624999988424</x:v>
      </x:c>
      <x:c r="C3156" t="str">
        <x:v>215090</x:v>
      </x:c>
      <x:c r="D3156" t="str">
        <x:v>솔디펜스</x:v>
      </x:c>
      <x:c r="E3156" t="str">
        <x:v>KOSDAQ</x:v>
      </x:c>
      <x:c r="F3156" t="str">
        <x:v>SMALL</x:v>
      </x:c>
      <x:c r="G3156" t="str">
        <x:v>DCF_SCREENING_EXCLUSION</x:v>
      </x:c>
      <x:c r="H3156" t="str">
        <x:v>NON_POSITIVE_ENTERPRISE_VALUE|NON_POSITIVE_EQUITY_VALUE|NON_POSITIVE_TERMINAL_FCF|UNRELIABLE_TERMINAL_VALUE_SHARE</x:v>
      </x:c>
      <x:c r="I3156" s="54" t="n">
        <x:v>45838</x:v>
      </x:c>
      <x:c r="J3156" s="55" t="n">
        <x:v>737</x:v>
      </x:c>
      <x:c r="K3156" s="55" t="n">
        <x:v>85328610785</x:v>
      </x:c>
      <x:c r="L3156" s="55" t="n">
        <x:v>115778305</x:v>
      </x:c>
      <x:c r="M3156" t="str">
        <x:v>20250410002409</x:v>
      </x:c>
      <x:c r="N3156" t="n">
        <x:v>45757.624999988424</x:v>
      </x:c>
      <x:c r="O3156" s="54" t="n">
        <x:v>45657</x:v>
      </x:c>
      <x:c r="P3156" t="str">
        <x:v>True</x:v>
      </x:c>
      <x:c r="Q3156" t="str">
        <x:v>e6e031ae32511dff6d039798f9f54063f3e197b1140cd8d9c4ed803e53a66f52</x:v>
      </x:c>
      <x:c r="R3156" t="str">
        <x:v>bff5757f02e266b11a8a15eabd61d5807c371fe388196197f9b07e713e8034b4</x:v>
      </x:c>
      <x:c r="S3156" t="n">
        <x:v>6</x:v>
      </x:c>
      <x:c r="T3156" t="str">
        <x:v>2018-12-31|2019-12-31|2020-12-31|2021-12-31|2022-12-31|2023-12-31|2024-12-31</x:v>
      </x:c>
      <x:c r="U3156" s="57" t="n">
        <x:v>-82.08017933120581</x:v>
      </x:c>
      <x:c r="V3156" s="57" t="n">
        <x:v>-1.1113706639500758</x:v>
      </x:c>
      <x:c r="W3156"/>
      <x:c r="X3156"/>
      <x:c r="Y3156" s="38" t="n">
        <x:v>0.6409090909090909</x:v>
      </x:c>
      <x:c r="Z3156" s="38" t="n">
        <x:v>0.9420841093056639</x:v>
      </x:c>
      <x:c r="AA3156" t="str">
        <x:v>NON_POSITIVE_ENTERPRISE_VALUE|NON_POSITIVE_EQUITY_VALUE|NON_POSITIVE_TERMINAL_FCF|UNRELIABLE_TERMINAL_VALUE_SHARE</x:v>
      </x:c>
    </x:row>
    <x:row r="3157">
      <x:c r="A3157" s="54" t="n">
        <x:v>45838</x:v>
      </x:c>
      <x:c r="B3157" t="n">
        <x:v>45838.624999988424</x:v>
      </x:c>
      <x:c r="C3157" t="str">
        <x:v>185490</x:v>
      </x:c>
      <x:c r="D3157" t="str">
        <x:v>아이진</x:v>
      </x:c>
      <x:c r="E3157" t="str">
        <x:v>KOSDAQ</x:v>
      </x:c>
      <x:c r="F3157" t="str">
        <x:v>SMALL</x:v>
      </x:c>
      <x:c r="G3157" t="str">
        <x:v>DCF_SCREENING_EXCLUSION</x:v>
      </x:c>
      <x:c r="H3157" t="str">
        <x:v>NON_POSITIVE_ENTERPRISE_VALUE|NON_POSITIVE_EQUITY_VALUE|NON_POSITIVE_TERMINAL_FCF</x:v>
      </x:c>
      <x:c r="I3157" s="54" t="n">
        <x:v>45838</x:v>
      </x:c>
      <x:c r="J3157" s="55" t="n">
        <x:v>3095</x:v>
      </x:c>
      <x:c r="K3157" s="55" t="n">
        <x:v>83657181480</x:v>
      </x:c>
      <x:c r="L3157" s="55" t="n">
        <x:v>27029784</x:v>
      </x:c>
      <x:c r="M3157" t="str">
        <x:v>20250318001453</x:v>
      </x:c>
      <x:c r="N3157" t="n">
        <x:v>45734.624999988424</x:v>
      </x:c>
      <x:c r="O3157" s="54" t="n">
        <x:v>45657</x:v>
      </x:c>
      <x:c r="P3157" t="str">
        <x:v>False</x:v>
      </x:c>
      <x:c r="Q3157" t="str">
        <x:v>8e9edeb5542bff8f8968c6523950fa0cc65e9c0420bdca35446a5118da00f5bb</x:v>
      </x:c>
      <x:c r="R3157" t="str">
        <x:v>e1e5ac497b167522bed9c2c69b76bd1820efd1a98382ec60bd951f1f2e70c6dc</x:v>
      </x:c>
      <x:c r="S3157" t="n">
        <x:v>6</x:v>
      </x:c>
      <x:c r="T3157" t="str">
        <x:v>2018-12-31|2019-12-31|2020-12-31|2021-12-31|2022-12-31|2023-12-31|2024-12-31</x:v>
      </x:c>
      <x:c r="U3157" s="57" t="n">
        <x:v>-220.75805075310163</x:v>
      </x:c>
      <x:c r="V3157" s="57" t="n">
        <x:v>-1.071327318498579</x:v>
      </x:c>
      <x:c r="W3157"/>
      <x:c r="X3157"/>
      <x:c r="Y3157" s="38" t="n">
        <x:v>0.6409090909090909</x:v>
      </x:c>
      <x:c r="Z3157" s="38" t="n">
        <x:v>0.6263304625560238</x:v>
      </x:c>
      <x:c r="AA3157" t="str">
        <x:v>NON_POSITIVE_ENTERPRISE_VALUE|NON_POSITIVE_EQUITY_VALUE|NON_POSITIVE_TERMINAL_FCF</x:v>
      </x:c>
    </x:row>
    <x:row r="3158">
      <x:c r="A3158" s="54" t="n">
        <x:v>45838</x:v>
      </x:c>
      <x:c r="B3158" t="n">
        <x:v>45838.624999988424</x:v>
      </x:c>
      <x:c r="C3158" t="str">
        <x:v>333620</x:v>
      </x:c>
      <x:c r="D3158" t="str">
        <x:v>엔시스</x:v>
      </x:c>
      <x:c r="E3158" t="str">
        <x:v>KOSDAQ</x:v>
      </x:c>
      <x:c r="F3158" t="str">
        <x:v>SMALL</x:v>
      </x:c>
      <x:c r="G3158" t="str">
        <x:v>ELIGIBLE</x:v>
      </x:c>
      <x:c r="H3158"/>
      <x:c r="I3158" s="54" t="n">
        <x:v>45838</x:v>
      </x:c>
      <x:c r="J3158" s="55" t="n">
        <x:v>7100</x:v>
      </x:c>
      <x:c r="K3158" s="55" t="n">
        <x:v>74950042400</x:v>
      </x:c>
      <x:c r="L3158" s="55" t="n">
        <x:v>10556344</x:v>
      </x:c>
      <x:c r="M3158" t="str">
        <x:v>20250321000654</x:v>
      </x:c>
      <x:c r="N3158" t="n">
        <x:v>45737.624999988424</x:v>
      </x:c>
      <x:c r="O3158" s="54" t="n">
        <x:v>45657</x:v>
      </x:c>
      <x:c r="P3158" t="str">
        <x:v>False</x:v>
      </x:c>
      <x:c r="Q3158" t="str">
        <x:v>12c0ea1530f52096cbc4a4008dfdba417c6855691d74d818189b9f6e9131f3e3</x:v>
      </x:c>
      <x:c r="R3158" t="str">
        <x:v>2f839f4be358bf57ccab48a95946f001631caa61bff7c3d968f914e6190f30ff</x:v>
      </x:c>
      <x:c r="S3158" t="n">
        <x:v>6</x:v>
      </x:c>
      <x:c r="T3158" t="str">
        <x:v>2020-12-31|2021-12-31|2022-12-31|2023-12-31|2024-12-31</x:v>
      </x:c>
      <x:c r="U3158" s="57" t="n">
        <x:v>9391.756160545618</x:v>
      </x:c>
      <x:c r="V3158" s="57" t="n">
        <x:v>0.32278255782332643</x:v>
      </x:c>
      <x:c r="W3158" t="n">
        <x:v>18</x:v>
      </x:c>
      <x:c r="X3158" t="n">
        <x:v>2</x:v>
      </x:c>
      <x:c r="Y3158" s="38" t="n">
        <x:v>0.6409090909090909</x:v>
      </x:c>
      <x:c r="Z3158" s="38" t="n">
        <x:v>0.6778943562992817</x:v>
      </x:c>
      <x:c r="AA3158"/>
    </x:row>
    <x:row r="3159">
      <x:c r="A3159" s="54" t="n">
        <x:v>45838</x:v>
      </x:c>
      <x:c r="B3159" t="n">
        <x:v>45838.624999988424</x:v>
      </x:c>
      <x:c r="C3159" t="str">
        <x:v>036710</x:v>
      </x:c>
      <x:c r="D3159" t="str">
        <x:v>심텍홀딩스</x:v>
      </x:c>
      <x:c r="E3159" t="str">
        <x:v>KOSDAQ</x:v>
      </x:c>
      <x:c r="F3159" t="str">
        <x:v>SMALL</x:v>
      </x:c>
      <x:c r="G3159" t="str">
        <x:v>EXCLUDED_ARCHETYPE</x:v>
      </x:c>
      <x:c r="H3159" t="str">
        <x:v>FCFF_NOT_COMPARABLE_FOR_FINANCE_OR_HOLDING_HINT</x:v>
      </x:c>
      <x:c r="I3159" s="54"/>
      <x:c r="J3159" s="55"/>
      <x:c r="K3159" s="55"/>
      <x:c r="L3159" s="55"/>
      <x:c r="M3159"/>
      <x:c r="N3159"/>
      <x:c r="O3159" s="54"/>
      <x:c r="P3159"/>
      <x:c r="Q3159"/>
      <x:c r="R3159"/>
      <x:c r="S3159"/>
      <x:c r="T3159"/>
      <x:c r="U3159" s="57"/>
      <x:c r="V3159" s="57"/>
      <x:c r="W3159"/>
      <x:c r="X3159"/>
      <x:c r="Y3159" s="38"/>
      <x:c r="Z3159" s="38"/>
      <x:c r="AA3159"/>
    </x:row>
    <x:row r="3160">
      <x:c r="A3160" s="54" t="n">
        <x:v>45838</x:v>
      </x:c>
      <x:c r="B3160" t="n">
        <x:v>45838.624999988424</x:v>
      </x:c>
      <x:c r="C3160" t="str">
        <x:v>049480</x:v>
      </x:c>
      <x:c r="D3160" t="str">
        <x:v>오픈베이스</x:v>
      </x:c>
      <x:c r="E3160" t="str">
        <x:v>KOSDAQ</x:v>
      </x:c>
      <x:c r="F3160" t="str">
        <x:v>SMALL</x:v>
      </x:c>
      <x:c r="G3160" t="str">
        <x:v>ELIGIBLE</x:v>
      </x:c>
      <x:c r="H3160"/>
      <x:c r="I3160" s="54" t="n">
        <x:v>45838</x:v>
      </x:c>
      <x:c r="J3160" s="55" t="n">
        <x:v>2810</x:v>
      </x:c>
      <x:c r="K3160" s="55" t="n">
        <x:v>88296896230</x:v>
      </x:c>
      <x:c r="L3160" s="55" t="n">
        <x:v>31422383</x:v>
      </x:c>
      <x:c r="M3160" t="str">
        <x:v>20250320001668</x:v>
      </x:c>
      <x:c r="N3160" t="n">
        <x:v>45736.624999988424</x:v>
      </x:c>
      <x:c r="O3160" s="54" t="n">
        <x:v>45657</x:v>
      </x:c>
      <x:c r="P3160" t="str">
        <x:v>True</x:v>
      </x:c>
      <x:c r="Q3160" t="str">
        <x:v>2e71618414776270bb14ea768ac0fb9af144049ee9c7b1121f37aa3cd65162d3</x:v>
      </x:c>
      <x:c r="R3160" t="str">
        <x:v>c41f0057bf29d849f5e0651b8d0dcb11ff1561bdbdcffb4e32ec7db9feb8c93b</x:v>
      </x:c>
      <x:c r="S3160" t="n">
        <x:v>6</x:v>
      </x:c>
      <x:c r="T3160" t="str">
        <x:v>2018-12-31|2019-12-31|2020-12-31|2021-12-31|2022-12-31|2023-12-31|2024-12-31</x:v>
      </x:c>
      <x:c r="U3160" s="57" t="n">
        <x:v>2177.763448520564</x:v>
      </x:c>
      <x:c r="V3160" s="57" t="n">
        <x:v>-0.22499521404962128</x:v>
      </x:c>
      <x:c r="W3160" t="n">
        <x:v>28</x:v>
      </x:c>
      <x:c r="X3160" t="n">
        <x:v>3</x:v>
      </x:c>
      <x:c r="Y3160" s="38" t="n">
        <x:v>0.6409090909090909</x:v>
      </x:c>
      <x:c r="Z3160" s="38" t="n">
        <x:v>0.6347185715712285</x:v>
      </x:c>
      <x:c r="AA3160"/>
    </x:row>
    <x:row r="3161">
      <x:c r="A3161" s="54" t="n">
        <x:v>45838</x:v>
      </x:c>
      <x:c r="B3161" t="n">
        <x:v>45838.624999988424</x:v>
      </x:c>
      <x:c r="C3161" t="str">
        <x:v>302430</x:v>
      </x:c>
      <x:c r="D3161" t="str">
        <x:v>이노메트리</x:v>
      </x:c>
      <x:c r="E3161" t="str">
        <x:v>KOSDAQ</x:v>
      </x:c>
      <x:c r="F3161" t="str">
        <x:v>SMALL</x:v>
      </x:c>
      <x:c r="G3161" t="str">
        <x:v>DCF_SCREENING_EXCLUSION</x:v>
      </x:c>
      <x:c r="H3161" t="str">
        <x:v>NON_POSITIVE_ENTERPRISE_VALUE|UNRELIABLE_TERMINAL_VALUE_SHARE</x:v>
      </x:c>
      <x:c r="I3161" s="54" t="n">
        <x:v>45838</x:v>
      </x:c>
      <x:c r="J3161" s="55" t="n">
        <x:v>7970</x:v>
      </x:c>
      <x:c r="K3161" s="55" t="n">
        <x:v>78370667760</x:v>
      </x:c>
      <x:c r="L3161" s="55" t="n">
        <x:v>9833208</x:v>
      </x:c>
      <x:c r="M3161" t="str">
        <x:v>20250318000217</x:v>
      </x:c>
      <x:c r="N3161" t="n">
        <x:v>45734.624999988424</x:v>
      </x:c>
      <x:c r="O3161" s="54" t="n">
        <x:v>45657</x:v>
      </x:c>
      <x:c r="P3161" t="str">
        <x:v>False</x:v>
      </x:c>
      <x:c r="Q3161" t="str">
        <x:v>4aa16bbae69a341bedfef0c102bf840bd89c60f70166cfad902abd390cf3be20</x:v>
      </x:c>
      <x:c r="R3161" t="str">
        <x:v>791e3dac82cf0abf03bb184b2532c746fd7af1577c7bfa47c2cbb368525f1e32</x:v>
      </x:c>
      <x:c r="S3161" t="n">
        <x:v>6</x:v>
      </x:c>
      <x:c r="T3161" t="str">
        <x:v>2018-12-31|2019-12-31|2020-12-31|2021-12-31|2022-12-31|2023-12-31|2024-12-31</x:v>
      </x:c>
      <x:c r="U3161" s="57" t="n">
        <x:v>2286.9893031993456</x:v>
      </x:c>
      <x:c r="V3161" s="57" t="n">
        <x:v>-0.7130502756337083</x:v>
      </x:c>
      <x:c r="W3161"/>
      <x:c r="X3161"/>
      <x:c r="Y3161" s="38" t="n">
        <x:v>0.6409090909090909</x:v>
      </x:c>
      <x:c r="Z3161" s="38" t="n">
        <x:v>-119.5633839572738</x:v>
      </x:c>
      <x:c r="AA3161" t="str">
        <x:v>NON_POSITIVE_ENTERPRISE_VALUE|UNRELIABLE_TERMINAL_VALUE_SHARE</x:v>
      </x:c>
    </x:row>
    <x:row r="3162">
      <x:c r="A3162" s="54" t="n">
        <x:v>45838</x:v>
      </x:c>
      <x:c r="B3162" t="n">
        <x:v>45838.624999988424</x:v>
      </x:c>
      <x:c r="C3162" t="str">
        <x:v>288620</x:v>
      </x:c>
      <x:c r="D3162" t="str">
        <x:v>에스퓨얼셀</x:v>
      </x:c>
      <x:c r="E3162" t="str">
        <x:v>KOSDAQ</x:v>
      </x:c>
      <x:c r="F3162" t="str">
        <x:v>SMALL</x:v>
      </x:c>
      <x:c r="G3162" t="str">
        <x:v>DCF_SCREENING_EXCLUSION</x:v>
      </x:c>
      <x:c r="H3162" t="str">
        <x:v>NON_POSITIVE_ENTERPRISE_VALUE|NON_POSITIVE_EQUITY_VALUE|UNRELIABLE_TERMINAL_VALUE_SHARE</x:v>
      </x:c>
      <x:c r="I3162" s="54" t="n">
        <x:v>45838</x:v>
      </x:c>
      <x:c r="J3162" s="55" t="n">
        <x:v>11700</x:v>
      </x:c>
      <x:c r="K3162" s="55" t="n">
        <x:v>81657997200</x:v>
      </x:c>
      <x:c r="L3162" s="55" t="n">
        <x:v>6979316</x:v>
      </x:c>
      <x:c r="M3162" t="str">
        <x:v>20250320001331</x:v>
      </x:c>
      <x:c r="N3162" t="n">
        <x:v>45736.624999988424</x:v>
      </x:c>
      <x:c r="O3162" s="54" t="n">
        <x:v>45657</x:v>
      </x:c>
      <x:c r="P3162" t="str">
        <x:v>False</x:v>
      </x:c>
      <x:c r="Q3162" t="str">
        <x:v>ae47bc33e98a0978f8be31137f095e22d26623a8e6ac774095ef50fe21b5e967</x:v>
      </x:c>
      <x:c r="R3162" t="str">
        <x:v>ddf00c6b9244661b80060a78eb033b53cf848f6c64a86ebed796937afa8c6ef3</x:v>
      </x:c>
      <x:c r="S3162" t="n">
        <x:v>6</x:v>
      </x:c>
      <x:c r="T3162" t="str">
        <x:v>2018-12-31|2019-12-31|2020-12-31|2021-12-31|2022-12-31|2023-12-31|2024-12-31</x:v>
      </x:c>
      <x:c r="U3162" s="57" t="n">
        <x:v>-23.15956640270945</x:v>
      </x:c>
      <x:c r="V3162" s="57" t="n">
        <x:v>-1.0019794501198898</x:v>
      </x:c>
      <x:c r="W3162"/>
      <x:c r="X3162"/>
      <x:c r="Y3162" s="38" t="n">
        <x:v>0.6409090909090909</x:v>
      </x:c>
      <x:c r="Z3162" s="38" t="n">
        <x:v>-4.161605526961185</x:v>
      </x:c>
      <x:c r="AA3162" t="str">
        <x:v>NON_POSITIVE_ENTERPRISE_VALUE|NON_POSITIVE_EQUITY_VALUE|UNRELIABLE_TERMINAL_VALUE_SHARE</x:v>
      </x:c>
    </x:row>
    <x:row r="3163">
      <x:c r="A3163" s="54" t="n">
        <x:v>45838</x:v>
      </x:c>
      <x:c r="B3163" t="n">
        <x:v>45838.624999988424</x:v>
      </x:c>
      <x:c r="C3163" t="str">
        <x:v>094840</x:v>
      </x:c>
      <x:c r="D3163" t="str">
        <x:v>슈프리마에이치큐</x:v>
      </x:c>
      <x:c r="E3163" t="str">
        <x:v>KOSDAQ</x:v>
      </x:c>
      <x:c r="F3163" t="str">
        <x:v>SMALL</x:v>
      </x:c>
      <x:c r="G3163" t="str">
        <x:v>ELIGIBLE</x:v>
      </x:c>
      <x:c r="H3163"/>
      <x:c r="I3163" s="54" t="n">
        <x:v>45838</x:v>
      </x:c>
      <x:c r="J3163" s="55" t="n">
        <x:v>7330</x:v>
      </x:c>
      <x:c r="K3163" s="55" t="n">
        <x:v>76758587200</x:v>
      </x:c>
      <x:c r="L3163" s="55" t="n">
        <x:v>10471840</x:v>
      </x:c>
      <x:c r="M3163" t="str">
        <x:v>20250317000777</x:v>
      </x:c>
      <x:c r="N3163" t="n">
        <x:v>45733.624999988424</x:v>
      </x:c>
      <x:c r="O3163" s="54" t="n">
        <x:v>45657</x:v>
      </x:c>
      <x:c r="P3163" t="str">
        <x:v>False</x:v>
      </x:c>
      <x:c r="Q3163" t="str">
        <x:v>7c3c3c9ba06a4dfb3a5d69c46f78a30b3f24223ea71de23c9273f2f5b41c3b3f</x:v>
      </x:c>
      <x:c r="R3163" t="str">
        <x:v>bf65dc25164875c9eb11fbad6804589cfb5fcaa02a070b65f406b4275b488254</x:v>
      </x:c>
      <x:c r="S3163" t="n">
        <x:v>5</x:v>
      </x:c>
      <x:c r="T3163" t="str">
        <x:v>2018-12-31|2019-12-31|2020-12-31|2021-12-31|2022-12-31|2023-12-31|2024-12-31</x:v>
      </x:c>
      <x:c r="U3163" s="57" t="n">
        <x:v>3486.234488717227</x:v>
      </x:c>
      <x:c r="V3163" s="57" t="n">
        <x:v>-0.5243882007207057</x:v>
      </x:c>
      <x:c r="W3163" t="n">
        <x:v>42</x:v>
      </x:c>
      <x:c r="X3163" t="n">
        <x:v>4</x:v>
      </x:c>
      <x:c r="Y3163" s="38" t="n">
        <x:v>0.6409090909090909</x:v>
      </x:c>
      <x:c r="Z3163" s="38" t="n">
        <x:v>0.6617836574250688</x:v>
      </x:c>
      <x:c r="AA3163"/>
    </x:row>
    <x:row r="3164">
      <x:c r="A3164" s="54" t="n">
        <x:v>45838</x:v>
      </x:c>
      <x:c r="B3164" t="n">
        <x:v>45838.624999988424</x:v>
      </x:c>
      <x:c r="C3164" t="str">
        <x:v>019990</x:v>
      </x:c>
      <x:c r="D3164" t="str">
        <x:v>에너토크</x:v>
      </x:c>
      <x:c r="E3164" t="str">
        <x:v>KOSDAQ</x:v>
      </x:c>
      <x:c r="F3164" t="str">
        <x:v>SMALL</x:v>
      </x:c>
      <x:c r="G3164" t="str">
        <x:v>DCF_SCREENING_EXCLUSION</x:v>
      </x:c>
      <x:c r="H3164" t="str">
        <x:v>NON_POSITIVE_ENTERPRISE_VALUE|NON_POSITIVE_TERMINAL_FCF</x:v>
      </x:c>
      <x:c r="I3164" s="54" t="n">
        <x:v>45838</x:v>
      </x:c>
      <x:c r="J3164" s="55" t="n">
        <x:v>7220</x:v>
      </x:c>
      <x:c r="K3164" s="55" t="n">
        <x:v>70438955360</x:v>
      </x:c>
      <x:c r="L3164" s="55" t="n">
        <x:v>9756088</x:v>
      </x:c>
      <x:c r="M3164" t="str">
        <x:v>20250320000739</x:v>
      </x:c>
      <x:c r="N3164" t="n">
        <x:v>45736.624999988424</x:v>
      </x:c>
      <x:c r="O3164" s="54" t="n">
        <x:v>45657</x:v>
      </x:c>
      <x:c r="P3164" t="str">
        <x:v>False</x:v>
      </x:c>
      <x:c r="Q3164" t="str">
        <x:v>507064ff30a14168cb3b754d3374c12ac69af1622cf2d87756d76a0d6334a115</x:v>
      </x:c>
      <x:c r="R3164" t="str">
        <x:v>8b8e2929a76e85cae5dfe32875e1560db69e5446d820e1fa88dfe6ef5791d94f</x:v>
      </x:c>
      <x:c r="S3164" t="n">
        <x:v>5</x:v>
      </x:c>
      <x:c r="T3164" t="str">
        <x:v>2018-12-31|2019-12-31|2020-12-31|2021-12-31|2022-12-31|2023-12-31|2024-12-31</x:v>
      </x:c>
      <x:c r="U3164" s="57" t="n">
        <x:v>135.10339936614665</x:v>
      </x:c>
      <x:c r="V3164" s="57" t="n">
        <x:v>-0.9812876178163232</x:v>
      </x:c>
      <x:c r="W3164"/>
      <x:c r="X3164"/>
      <x:c r="Y3164" s="38" t="n">
        <x:v>0.6409090909090909</x:v>
      </x:c>
      <x:c r="Z3164" s="38" t="n">
        <x:v>0.5919007373941</x:v>
      </x:c>
      <x:c r="AA3164" t="str">
        <x:v>NON_POSITIVE_ENTERPRISE_VALUE|NON_POSITIVE_TERMINAL_FCF</x:v>
      </x:c>
    </x:row>
    <x:row r="3165">
      <x:c r="A3165" s="54" t="n">
        <x:v>45838</x:v>
      </x:c>
      <x:c r="B3165" t="n">
        <x:v>45838.624999988424</x:v>
      </x:c>
      <x:c r="C3165" t="str">
        <x:v>024740</x:v>
      </x:c>
      <x:c r="D3165" t="str">
        <x:v>한일단조</x:v>
      </x:c>
      <x:c r="E3165" t="str">
        <x:v>KOSDAQ</x:v>
      </x:c>
      <x:c r="F3165" t="str">
        <x:v>SMALL</x:v>
      </x:c>
      <x:c r="G3165" t="str">
        <x:v>ELIGIBLE</x:v>
      </x:c>
      <x:c r="H3165"/>
      <x:c r="I3165" s="54" t="n">
        <x:v>45838</x:v>
      </x:c>
      <x:c r="J3165" s="55" t="n">
        <x:v>2175</x:v>
      </x:c>
      <x:c r="K3165" s="55" t="n">
        <x:v>71551081575</x:v>
      </x:c>
      <x:c r="L3165" s="55" t="n">
        <x:v>32897049</x:v>
      </x:c>
      <x:c r="M3165" t="str">
        <x:v>20250318001076</x:v>
      </x:c>
      <x:c r="N3165" t="n">
        <x:v>45734.624999988424</x:v>
      </x:c>
      <x:c r="O3165" s="54" t="n">
        <x:v>45657</x:v>
      </x:c>
      <x:c r="P3165" t="str">
        <x:v>False</x:v>
      </x:c>
      <x:c r="Q3165" t="str">
        <x:v>7bbd8ea476dc648cb0d8a8155ffad8304091eeb843bfb93ba59ec27c003f1126</x:v>
      </x:c>
      <x:c r="R3165" t="str">
        <x:v>509ec70f2f11ae4ae253db62514471823bf16bcd1d08016ac93322ee5a01830b</x:v>
      </x:c>
      <x:c r="S3165" t="n">
        <x:v>7</x:v>
      </x:c>
      <x:c r="T3165" t="str">
        <x:v>2018-12-31|2019-12-31|2020-12-31|2021-12-31|2022-12-31|2023-12-31|2024-12-31</x:v>
      </x:c>
      <x:c r="U3165" s="57" t="n">
        <x:v>247.97797544861652</x:v>
      </x:c>
      <x:c r="V3165" s="57" t="n">
        <x:v>-0.885987137724774</x:v>
      </x:c>
      <x:c r="W3165" t="n">
        <x:v>64</x:v>
      </x:c>
      <x:c r="X3165" t="n">
        <x:v>5</x:v>
      </x:c>
      <x:c r="Y3165" s="38" t="n">
        <x:v>0.6409090909090909</x:v>
      </x:c>
      <x:c r="Z3165" s="38" t="n">
        <x:v>0.5540432712791499</x:v>
      </x:c>
      <x:c r="AA3165"/>
    </x:row>
    <x:row r="3166">
      <x:c r="A3166" s="54" t="n">
        <x:v>45838</x:v>
      </x:c>
      <x:c r="B3166" t="n">
        <x:v>45838.624999988424</x:v>
      </x:c>
      <x:c r="C3166" t="str">
        <x:v>340930</x:v>
      </x:c>
      <x:c r="D3166" t="str">
        <x:v>유일에너테크</x:v>
      </x:c>
      <x:c r="E3166" t="str">
        <x:v>KOSDAQ</x:v>
      </x:c>
      <x:c r="F3166" t="str">
        <x:v>SMALL</x:v>
      </x:c>
      <x:c r="G3166" t="str">
        <x:v>DCF_SCREENING_EXCLUSION</x:v>
      </x:c>
      <x:c r="H3166" t="str">
        <x:v>NON_POSITIVE_ENTERPRISE_VALUE|NON_POSITIVE_EQUITY_VALUE|NON_POSITIVE_TERMINAL_FCF</x:v>
      </x:c>
      <x:c r="I3166" s="54" t="n">
        <x:v>45838</x:v>
      </x:c>
      <x:c r="J3166" s="55" t="n">
        <x:v>1569</x:v>
      </x:c>
      <x:c r="K3166" s="55" t="n">
        <x:v>53666782050</x:v>
      </x:c>
      <x:c r="L3166" s="55" t="n">
        <x:v>34204450</x:v>
      </x:c>
      <x:c r="M3166" t="str">
        <x:v>20250324000538</x:v>
      </x:c>
      <x:c r="N3166" t="n">
        <x:v>45740.624999988424</x:v>
      </x:c>
      <x:c r="O3166" s="54" t="n">
        <x:v>45657</x:v>
      </x:c>
      <x:c r="P3166" t="str">
        <x:v>False</x:v>
      </x:c>
      <x:c r="Q3166" t="str">
        <x:v>abfe3fe5b4ca917d75b4eeb0c622db2c875f18a8448c5d4e59604d635523928c</x:v>
      </x:c>
      <x:c r="R3166" t="str">
        <x:v>8599c7937023c263af13106e9b31fd3e8aeb51baec6c6f4aad94969bdab1b7ff</x:v>
      </x:c>
      <x:c r="S3166" t="n">
        <x:v>7</x:v>
      </x:c>
      <x:c r="T3166" t="str">
        <x:v>2020-12-31|2021-12-31|2022-12-31|2023-12-31|2024-12-31</x:v>
      </x:c>
      <x:c r="U3166" s="57" t="n">
        <x:v>-5203.795105700722</x:v>
      </x:c>
      <x:c r="V3166" s="57" t="n">
        <x:v>-4.316631679860244</x:v>
      </x:c>
      <x:c r="W3166"/>
      <x:c r="X3166"/>
      <x:c r="Y3166" s="38" t="n">
        <x:v>0.6409090909090909</x:v>
      </x:c>
      <x:c r="Z3166" s="38" t="n">
        <x:v>0.6191120161833734</x:v>
      </x:c>
      <x:c r="AA3166" t="str">
        <x:v>NON_POSITIVE_ENTERPRISE_VALUE|NON_POSITIVE_EQUITY_VALUE|NON_POSITIVE_TERMINAL_FCF</x:v>
      </x:c>
    </x:row>
    <x:row r="3167">
      <x:c r="A3167" s="54" t="n">
        <x:v>45838</x:v>
      </x:c>
      <x:c r="B3167" t="n">
        <x:v>45838.624999988424</x:v>
      </x:c>
      <x:c r="C3167" t="str">
        <x:v>057030</x:v>
      </x:c>
      <x:c r="D3167" t="str">
        <x:v>YBM넷</x:v>
      </x:c>
      <x:c r="E3167" t="str">
        <x:v>KOSDAQ</x:v>
      </x:c>
      <x:c r="F3167" t="str">
        <x:v>SMALL</x:v>
      </x:c>
      <x:c r="G3167" t="str">
        <x:v>ELIGIBLE</x:v>
      </x:c>
      <x:c r="H3167"/>
      <x:c r="I3167" s="54" t="n">
        <x:v>45838</x:v>
      </x:c>
      <x:c r="J3167" s="55" t="n">
        <x:v>3545</x:v>
      </x:c>
      <x:c r="K3167" s="55" t="n">
        <x:v>57828510865</x:v>
      </x:c>
      <x:c r="L3167" s="55" t="n">
        <x:v>16312697</x:v>
      </x:c>
      <x:c r="M3167" t="str">
        <x:v>20250320000974</x:v>
      </x:c>
      <x:c r="N3167" t="n">
        <x:v>45736.624999988424</x:v>
      </x:c>
      <x:c r="O3167" s="54" t="n">
        <x:v>45657</x:v>
      </x:c>
      <x:c r="P3167" t="str">
        <x:v>False</x:v>
      </x:c>
      <x:c r="Q3167" t="str">
        <x:v>3fd8fb0f9c76a44e2b83b9006f1fc64ce5bb4e6a84ed22941c5589970f34a761</x:v>
      </x:c>
      <x:c r="R3167" t="str">
        <x:v>178ff0df64335fb9fd72a797013302e0d0f44e08c17bf5b94c86bf6f4060fd73</x:v>
      </x:c>
      <x:c r="S3167" t="n">
        <x:v>6</x:v>
      </x:c>
      <x:c r="T3167" t="str">
        <x:v>2018-12-31|2019-12-31|2020-12-31|2021-12-31|2022-12-31|2023-12-31|2024-12-31</x:v>
      </x:c>
      <x:c r="U3167" s="57" t="n">
        <x:v>1660.4453281950018</x:v>
      </x:c>
      <x:c r="V3167" s="57" t="n">
        <x:v>-0.5316092163060644</x:v>
      </x:c>
      <x:c r="W3167" t="n">
        <x:v>43</x:v>
      </x:c>
      <x:c r="X3167" t="n">
        <x:v>4</x:v>
      </x:c>
      <x:c r="Y3167" s="38" t="n">
        <x:v>0.6409090909090909</x:v>
      </x:c>
      <x:c r="Z3167" s="38" t="n">
        <x:v>0.6191038980416463</x:v>
      </x:c>
      <x:c r="AA3167"/>
    </x:row>
    <x:row r="3168">
      <x:c r="A3168" s="54" t="n">
        <x:v>45838</x:v>
      </x:c>
      <x:c r="B3168" t="n">
        <x:v>45838.624999988424</x:v>
      </x:c>
      <x:c r="C3168" t="str">
        <x:v>053160</x:v>
      </x:c>
      <x:c r="D3168" t="str">
        <x:v>프리엠스</x:v>
      </x:c>
      <x:c r="E3168" t="str">
        <x:v>KOSDAQ</x:v>
      </x:c>
      <x:c r="F3168" t="str">
        <x:v>SMALL</x:v>
      </x:c>
      <x:c r="G3168" t="str">
        <x:v>DCF_SCREENING_EXCLUSION</x:v>
      </x:c>
      <x:c r="H3168" t="str">
        <x:v>NON_POSITIVE_ENTERPRISE_VALUE|NON_POSITIVE_TERMINAL_FCF</x:v>
      </x:c>
      <x:c r="I3168" s="54" t="n">
        <x:v>45838</x:v>
      </x:c>
      <x:c r="J3168" s="55" t="n">
        <x:v>8570</x:v>
      </x:c>
      <x:c r="K3168" s="55" t="n">
        <x:v>51420000000</x:v>
      </x:c>
      <x:c r="L3168" s="55" t="n">
        <x:v>6000000</x:v>
      </x:c>
      <x:c r="M3168" t="str">
        <x:v>20250314000331</x:v>
      </x:c>
      <x:c r="N3168" t="n">
        <x:v>45730.624999988424</x:v>
      </x:c>
      <x:c r="O3168" s="54" t="n">
        <x:v>45657</x:v>
      </x:c>
      <x:c r="P3168" t="str">
        <x:v>False</x:v>
      </x:c>
      <x:c r="Q3168" t="str">
        <x:v>e6423a02279c9457dbef12437884cdfb19425b38535268d79f73dfc510b3c9fc</x:v>
      </x:c>
      <x:c r="R3168" t="str">
        <x:v>0a161bc01e439aad8e27b02b5a9393f1198769c76da2ee5354aa9bbc5e3986b1</x:v>
      </x:c>
      <x:c r="S3168" t="n">
        <x:v>7</x:v>
      </x:c>
      <x:c r="T3168" t="str">
        <x:v>2018-12-31|2019-12-31|2020-12-31|2021-12-31|2022-12-31|2023-12-31|2024-12-31</x:v>
      </x:c>
      <x:c r="U3168" s="57" t="n">
        <x:v>2398.659539500975</x:v>
      </x:c>
      <x:c r="V3168" s="57" t="n">
        <x:v>-0.7201097386813331</x:v>
      </x:c>
      <x:c r="W3168"/>
      <x:c r="X3168"/>
      <x:c r="Y3168" s="38" t="n">
        <x:v>0.6409090909090909</x:v>
      </x:c>
      <x:c r="Z3168" s="38" t="n">
        <x:v>0.17743138110763435</x:v>
      </x:c>
      <x:c r="AA3168" t="str">
        <x:v>NON_POSITIVE_ENTERPRISE_VALUE|NON_POSITIVE_TERMINAL_FCF</x:v>
      </x:c>
    </x:row>
    <x:row r="3169">
      <x:c r="A3169" s="54" t="n">
        <x:v>45838</x:v>
      </x:c>
      <x:c r="B3169" t="n">
        <x:v>45838.624999988424</x:v>
      </x:c>
      <x:c r="C3169" t="str">
        <x:v>038620</x:v>
      </x:c>
      <x:c r="D3169" t="str">
        <x:v>위즈코프</x:v>
      </x:c>
      <x:c r="E3169" t="str">
        <x:v>KOSDAQ</x:v>
      </x:c>
      <x:c r="F3169" t="str">
        <x:v>SMALL</x:v>
      </x:c>
      <x:c r="G3169" t="str">
        <x:v>ELIGIBLE</x:v>
      </x:c>
      <x:c r="H3169"/>
      <x:c r="I3169" s="54" t="n">
        <x:v>45838</x:v>
      </x:c>
      <x:c r="J3169" s="55" t="n">
        <x:v>627</x:v>
      </x:c>
      <x:c r="K3169" s="55" t="n">
        <x:v>47482374555</x:v>
      </x:c>
      <x:c r="L3169" s="55" t="n">
        <x:v>75729465</x:v>
      </x:c>
      <x:c r="M3169" t="str">
        <x:v>20250318001109</x:v>
      </x:c>
      <x:c r="N3169" t="n">
        <x:v>45734.624999988424</x:v>
      </x:c>
      <x:c r="O3169" s="54" t="n">
        <x:v>45657</x:v>
      </x:c>
      <x:c r="P3169" t="str">
        <x:v>False</x:v>
      </x:c>
      <x:c r="Q3169" t="str">
        <x:v>ce1d11f8bdf70c423644af2ac7c01cb0d4585abfdba85552f744eb85829ea28e</x:v>
      </x:c>
      <x:c r="R3169" t="str">
        <x:v>363ab7d6b4b6e0154d9e330fb122313886bf2d01389e80ba0c3a2958b454a296</x:v>
      </x:c>
      <x:c r="S3169" t="n">
        <x:v>6</x:v>
      </x:c>
      <x:c r="T3169" t="str">
        <x:v>2018-12-31|2019-12-31|2020-12-31|2021-12-31|2022-12-31|2023-12-31|2024-12-31</x:v>
      </x:c>
      <x:c r="U3169" s="57" t="n">
        <x:v>410.6562993454258</x:v>
      </x:c>
      <x:c r="V3169" s="57" t="n">
        <x:v>-0.34504577456869884</x:v>
      </x:c>
      <x:c r="W3169" t="n">
        <x:v>34</x:v>
      </x:c>
      <x:c r="X3169" t="n">
        <x:v>3</x:v>
      </x:c>
      <x:c r="Y3169" s="38" t="n">
        <x:v>0.6409090909090909</x:v>
      </x:c>
      <x:c r="Z3169" s="38" t="n">
        <x:v>0.6422566574366064</x:v>
      </x:c>
      <x:c r="AA3169"/>
    </x:row>
    <x:row r="3170">
      <x:c r="A3170" s="54" t="n">
        <x:v>45838</x:v>
      </x:c>
      <x:c r="B3170" t="n">
        <x:v>45838.624999988424</x:v>
      </x:c>
      <x:c r="C3170" t="str">
        <x:v>313760</x:v>
      </x:c>
      <x:c r="D3170" t="str">
        <x:v>캐리</x:v>
      </x:c>
      <x:c r="E3170" t="str">
        <x:v>KOSDAQ</x:v>
      </x:c>
      <x:c r="F3170" t="str">
        <x:v>SMALL</x:v>
      </x:c>
      <x:c r="G3170" t="str">
        <x:v>DCF_SCREENING_EXCLUSION</x:v>
      </x:c>
      <x:c r="H3170" t="str">
        <x:v>NON_POSITIVE_ENTERPRISE_VALUE|NON_POSITIVE_EQUITY_VALUE|NON_POSITIVE_TERMINAL_FCF</x:v>
      </x:c>
      <x:c r="I3170" s="54" t="n">
        <x:v>45838</x:v>
      </x:c>
      <x:c r="J3170" s="55" t="n">
        <x:v>5470</x:v>
      </x:c>
      <x:c r="K3170" s="55" t="n">
        <x:v>61303307420</x:v>
      </x:c>
      <x:c r="L3170" s="55" t="n">
        <x:v>11207186</x:v>
      </x:c>
      <x:c r="M3170" t="str">
        <x:v>20250326000865</x:v>
      </x:c>
      <x:c r="N3170" t="n">
        <x:v>45742.624999988424</x:v>
      </x:c>
      <x:c r="O3170" s="54" t="n">
        <x:v>45657</x:v>
      </x:c>
      <x:c r="P3170" t="str">
        <x:v>True</x:v>
      </x:c>
      <x:c r="Q3170" t="str">
        <x:v>db9a64bb6520dacf3ce36f4e0eb6a725dfd27efc554e5aee318a2e6a387d6007</x:v>
      </x:c>
      <x:c r="R3170" t="str">
        <x:v>75ce9f6982b8bde4cc92f1b1265d187dda2f5a3a216636fd3ba57a14db2eb7d1</x:v>
      </x:c>
      <x:c r="S3170" t="n">
        <x:v>6</x:v>
      </x:c>
      <x:c r="T3170" t="str">
        <x:v>2019-12-31|2020-12-31|2021-12-31|2022-12-31|2023-12-31|2024-12-31</x:v>
      </x:c>
      <x:c r="U3170" s="57" t="n">
        <x:v>-1940.0787808722098</x:v>
      </x:c>
      <x:c r="V3170" s="57" t="n">
        <x:v>-1.3546761939437313</x:v>
      </x:c>
      <x:c r="W3170"/>
      <x:c r="X3170"/>
      <x:c r="Y3170" s="38" t="n">
        <x:v>0.6409090909090909</x:v>
      </x:c>
      <x:c r="Z3170" s="38" t="n">
        <x:v>0.5884023623150085</x:v>
      </x:c>
      <x:c r="AA3170" t="str">
        <x:v>NON_POSITIVE_ENTERPRISE_VALUE|NON_POSITIVE_EQUITY_VALUE|NON_POSITIVE_TERMINAL_FCF</x:v>
      </x:c>
    </x:row>
    <x:row r="3171">
      <x:c r="A3171" s="54" t="n">
        <x:v>45838</x:v>
      </x:c>
      <x:c r="B3171" t="n">
        <x:v>45838.624999988424</x:v>
      </x:c>
      <x:c r="C3171" t="str">
        <x:v>372800</x:v>
      </x:c>
      <x:c r="D3171" t="str">
        <x:v>아이티아이즈</x:v>
      </x:c>
      <x:c r="E3171" t="str">
        <x:v>KOSDAQ</x:v>
      </x:c>
      <x:c r="F3171" t="str">
        <x:v>SMALL</x:v>
      </x:c>
      <x:c r="G3171" t="str">
        <x:v>DCF_SCREENING_EXCLUSION</x:v>
      </x:c>
      <x:c r="H3171" t="str">
        <x:v>NON_POSITIVE_ENTERPRISE_VALUE|NON_POSITIVE_EQUITY_VALUE|NON_POSITIVE_TERMINAL_FCF</x:v>
      </x:c>
      <x:c r="I3171" s="54" t="n">
        <x:v>45838</x:v>
      </x:c>
      <x:c r="J3171" s="55" t="n">
        <x:v>7650</x:v>
      </x:c>
      <x:c r="K3171" s="55" t="n">
        <x:v>46259473500</x:v>
      </x:c>
      <x:c r="L3171" s="55" t="n">
        <x:v>6046990</x:v>
      </x:c>
      <x:c r="M3171" t="str">
        <x:v>20250320000695</x:v>
      </x:c>
      <x:c r="N3171" t="n">
        <x:v>45736.624999988424</x:v>
      </x:c>
      <x:c r="O3171" s="54" t="n">
        <x:v>45657</x:v>
      </x:c>
      <x:c r="P3171" t="str">
        <x:v>False</x:v>
      </x:c>
      <x:c r="Q3171" t="str">
        <x:v>fd0127caed55b5cac36ec3ba14df42aa42ff63472abb7934255d966a6ed2ac9a</x:v>
      </x:c>
      <x:c r="R3171" t="str">
        <x:v>193cec3dd00e18fee9a956b04ff6c7c062337b423a8494e595b003e118382805</x:v>
      </x:c>
      <x:c r="S3171" t="n">
        <x:v>7</x:v>
      </x:c>
      <x:c r="T3171" t="str">
        <x:v>2021-12-31|2022-12-31|2023-12-31|2024-12-31</x:v>
      </x:c>
      <x:c r="U3171" s="57" t="n">
        <x:v>-7379.956166749871</x:v>
      </x:c>
      <x:c r="V3171" s="57" t="n">
        <x:v>-1.964700152516323</x:v>
      </x:c>
      <x:c r="W3171"/>
      <x:c r="X3171"/>
      <x:c r="Y3171" s="38" t="n">
        <x:v>0.6409090909090909</x:v>
      </x:c>
      <x:c r="Z3171" s="38" t="n">
        <x:v>0.775521739850821</x:v>
      </x:c>
      <x:c r="AA3171" t="str">
        <x:v>NON_POSITIVE_ENTERPRISE_VALUE|NON_POSITIVE_EQUITY_VALUE|NON_POSITIVE_TERMINAL_FCF</x:v>
      </x:c>
    </x:row>
    <x:row r="3172">
      <x:c r="A3172" s="54" t="n">
        <x:v>45838</x:v>
      </x:c>
      <x:c r="B3172" t="n">
        <x:v>45838.624999988424</x:v>
      </x:c>
      <x:c r="C3172" t="str">
        <x:v>332290</x:v>
      </x:c>
      <x:c r="D3172" t="str">
        <x:v>누보</x:v>
      </x:c>
      <x:c r="E3172" t="str">
        <x:v>KOSDAQ</x:v>
      </x:c>
      <x:c r="F3172" t="str">
        <x:v>SMALL</x:v>
      </x:c>
      <x:c r="G3172" t="str">
        <x:v>DCF_SCREENING_EXCLUSION</x:v>
      </x:c>
      <x:c r="H3172" t="str">
        <x:v>NON_POSITIVE_ENTERPRISE_VALUE|NON_POSITIVE_EQUITY_VALUE|NON_POSITIVE_TERMINAL_FCF</x:v>
      </x:c>
      <x:c r="I3172" s="54" t="n">
        <x:v>45838</x:v>
      </x:c>
      <x:c r="J3172" s="55" t="n">
        <x:v>1278</x:v>
      </x:c>
      <x:c r="K3172" s="55" t="n">
        <x:v>42665778234</x:v>
      </x:c>
      <x:c r="L3172" s="55" t="n">
        <x:v>33384803</x:v>
      </x:c>
      <x:c r="M3172" t="str">
        <x:v>20250320001064</x:v>
      </x:c>
      <x:c r="N3172" t="n">
        <x:v>45736.624999988424</x:v>
      </x:c>
      <x:c r="O3172" s="54" t="n">
        <x:v>45657</x:v>
      </x:c>
      <x:c r="P3172" t="str">
        <x:v>False</x:v>
      </x:c>
      <x:c r="Q3172" t="str">
        <x:v>80f468b2525d74e974158ac69af5200e412fdea17ca45a73120952c1d9d95397</x:v>
      </x:c>
      <x:c r="R3172" t="str">
        <x:v>d5301bb35bcc3a61099fc06ee3c56567e96151730aecd78b55a51ffc7569d6cc</x:v>
      </x:c>
      <x:c r="S3172" t="n">
        <x:v>6</x:v>
      </x:c>
      <x:c r="T3172" t="str">
        <x:v>2022-12-31|2023-12-31|2024-12-31</x:v>
      </x:c>
      <x:c r="U3172" s="57" t="n">
        <x:v>-1804.8515807091183</x:v>
      </x:c>
      <x:c r="V3172" s="57" t="n">
        <x:v>-2.412246933262221</x:v>
      </x:c>
      <x:c r="W3172"/>
      <x:c r="X3172"/>
      <x:c r="Y3172" s="38" t="n">
        <x:v>0.6409090909090909</x:v>
      </x:c>
      <x:c r="Z3172" s="38" t="n">
        <x:v>0.7010152711625302</x:v>
      </x:c>
      <x:c r="AA3172" t="str">
        <x:v>NON_POSITIVE_ENTERPRISE_VALUE|NON_POSITIVE_EQUITY_VALUE|NON_POSITIVE_TERMINAL_FCF</x:v>
      </x:c>
    </x:row>
    <x:row r="3173">
      <x:c r="A3173" s="54" t="n">
        <x:v>45838</x:v>
      </x:c>
      <x:c r="B3173" t="n">
        <x:v>45838.624999988424</x:v>
      </x:c>
      <x:c r="C3173" t="str">
        <x:v>059100</x:v>
      </x:c>
      <x:c r="D3173" t="str">
        <x:v>아이컴포넌트</x:v>
      </x:c>
      <x:c r="E3173" t="str">
        <x:v>KOSDAQ</x:v>
      </x:c>
      <x:c r="F3173" t="str">
        <x:v>SMALL</x:v>
      </x:c>
      <x:c r="G3173" t="str">
        <x:v>ELIGIBLE</x:v>
      </x:c>
      <x:c r="H3173"/>
      <x:c r="I3173" s="54" t="n">
        <x:v>45838</x:v>
      </x:c>
      <x:c r="J3173" s="55" t="n">
        <x:v>4995</x:v>
      </x:c>
      <x:c r="K3173" s="55" t="n">
        <x:v>35318945700</x:v>
      </x:c>
      <x:c r="L3173" s="55" t="n">
        <x:v>7070860</x:v>
      </x:c>
      <x:c r="M3173" t="str">
        <x:v>20250318000193</x:v>
      </x:c>
      <x:c r="N3173" t="n">
        <x:v>45734.624999988424</x:v>
      </x:c>
      <x:c r="O3173" s="54" t="n">
        <x:v>45657</x:v>
      </x:c>
      <x:c r="P3173" t="str">
        <x:v>True</x:v>
      </x:c>
      <x:c r="Q3173" t="str">
        <x:v>622579001994424a41b4d003f1d5a074c67b337c6e9d84a155054d7dc470dc79</x:v>
      </x:c>
      <x:c r="R3173" t="str">
        <x:v>c3a0296456b102bccefe399e3be332821a4c011f87cc88b69932165b21fbd333</x:v>
      </x:c>
      <x:c r="S3173" t="n">
        <x:v>7</x:v>
      </x:c>
      <x:c r="T3173" t="str">
        <x:v>2018-12-31|2019-12-31|2020-12-31|2021-12-31|2022-12-31|2023-12-31|2024-12-31</x:v>
      </x:c>
      <x:c r="U3173" s="57" t="n">
        <x:v>3882.1488565240807</x:v>
      </x:c>
      <x:c r="V3173" s="57" t="n">
        <x:v>-0.22279302171690077</x:v>
      </x:c>
      <x:c r="W3173" t="n">
        <x:v>27</x:v>
      </x:c>
      <x:c r="X3173" t="n">
        <x:v>2</x:v>
      </x:c>
      <x:c r="Y3173" s="38" t="n">
        <x:v>0.6409090909090909</x:v>
      </x:c>
      <x:c r="Z3173" s="38" t="n">
        <x:v>0.6347882018916603</x:v>
      </x:c>
      <x:c r="AA3173"/>
    </x:row>
    <x:row r="3174">
      <x:c r="A3174" s="54" t="n">
        <x:v>45838</x:v>
      </x:c>
      <x:c r="B3174" t="n">
        <x:v>45838.624999988424</x:v>
      </x:c>
      <x:c r="C3174" t="str">
        <x:v>060900</x:v>
      </x:c>
      <x:c r="D3174" t="str">
        <x:v>DGP</x:v>
      </x:c>
      <x:c r="E3174" t="str">
        <x:v>KOSDAQ</x:v>
      </x:c>
      <x:c r="F3174" t="str">
        <x:v>SMALL</x:v>
      </x:c>
      <x:c r="G3174" t="str">
        <x:v>INSUFFICIENT_FINANCIAL_COVERAGE</x:v>
      </x:c>
      <x:c r="H3174"/>
      <x:c r="I3174" s="54" t="n">
        <x:v>45838</x:v>
      </x:c>
      <x:c r="J3174" s="55" t="n">
        <x:v>1188</x:v>
      </x:c>
      <x:c r="K3174" s="55" t="n">
        <x:v>31035346452</x:v>
      </x:c>
      <x:c r="L3174" s="55" t="n">
        <x:v>26124029</x:v>
      </x:c>
      <x:c r="M3174" t="str">
        <x:v>20250331003241</x:v>
      </x:c>
      <x:c r="N3174" t="n">
        <x:v>45747.624999988424</x:v>
      </x:c>
      <x:c r="O3174" s="54" t="n">
        <x:v>45657</x:v>
      </x:c>
      <x:c r="P3174" t="str">
        <x:v>True</x:v>
      </x:c>
      <x:c r="Q3174" t="str">
        <x:v>0c9d1e5ea994febea31a388f9b74833b1d56f4967c508e1340d827b06bab6aa7</x:v>
      </x:c>
      <x:c r="R3174" t="str">
        <x:v>6200eaf00893d8f56db3856e0b2f39eaec4ccb133205f43092fc9b6015f4ef3b</x:v>
      </x:c>
      <x:c r="S3174" t="n">
        <x:v>3</x:v>
      </x:c>
      <x:c r="T3174" t="str">
        <x:v>2018-12-31|2019-12-31|2021-12-31|2022-12-31|2023-12-31|2024-12-31</x:v>
      </x:c>
      <x:c r="U3174" s="57"/>
      <x:c r="V3174" s="57"/>
      <x:c r="W3174"/>
      <x:c r="X3174"/>
      <x:c r="Y3174" s="38"/>
      <x:c r="Z3174" s="38"/>
      <x:c r="AA3174"/>
    </x:row>
    <x:row r="3175">
      <x:c r="A3175" s="54" t="n">
        <x:v>45838</x:v>
      </x:c>
      <x:c r="B3175" t="n">
        <x:v>45838.624999988424</x:v>
      </x:c>
      <x:c r="C3175" t="str">
        <x:v>232830</x:v>
      </x:c>
      <x:c r="D3175" t="str">
        <x:v>아이티센피엔에스</x:v>
      </x:c>
      <x:c r="E3175" t="str">
        <x:v>KOSDAQ</x:v>
      </x:c>
      <x:c r="F3175" t="str">
        <x:v>SMALL</x:v>
      </x:c>
      <x:c r="G3175" t="str">
        <x:v>DCF_SCREENING_EXCLUSION</x:v>
      </x:c>
      <x:c r="H3175" t="str">
        <x:v>NON_POSITIVE_ENTERPRISE_VALUE|NON_POSITIVE_EQUITY_VALUE|NON_POSITIVE_TERMINAL_FCF</x:v>
      </x:c>
      <x:c r="I3175" s="54" t="n">
        <x:v>45838</x:v>
      </x:c>
      <x:c r="J3175" s="55" t="n">
        <x:v>2990</x:v>
      </x:c>
      <x:c r="K3175" s="55" t="n">
        <x:v>35005341280</x:v>
      </x:c>
      <x:c r="L3175" s="55" t="n">
        <x:v>11707472</x:v>
      </x:c>
      <x:c r="M3175" t="str">
        <x:v>20250317000980</x:v>
      </x:c>
      <x:c r="N3175" t="n">
        <x:v>45733.624999988424</x:v>
      </x:c>
      <x:c r="O3175" s="54" t="n">
        <x:v>45657</x:v>
      </x:c>
      <x:c r="P3175" t="str">
        <x:v>False</x:v>
      </x:c>
      <x:c r="Q3175" t="str">
        <x:v>f9ccdaea3b75542a6592ae16c9fdd4980771d23a336e2994cd9930b043be89f4</x:v>
      </x:c>
      <x:c r="R3175" t="str">
        <x:v>4a4b7536cfcb6704e1f4cca65df792eaa43274b29afc176badb79d28b8804a0b</x:v>
      </x:c>
      <x:c r="S3175" t="n">
        <x:v>6</x:v>
      </x:c>
      <x:c r="T3175" t="str">
        <x:v>2023-12-31|2024-12-31</x:v>
      </x:c>
      <x:c r="U3175" s="57" t="n">
        <x:v>-8505.33001720236</x:v>
      </x:c>
      <x:c r="V3175" s="57" t="n">
        <x:v>-3.8445919789974448</x:v>
      </x:c>
      <x:c r="W3175"/>
      <x:c r="X3175"/>
      <x:c r="Y3175" s="38" t="n">
        <x:v>0.6409090909090909</x:v>
      </x:c>
      <x:c r="Z3175" s="38" t="n">
        <x:v>0.6293972392343816</x:v>
      </x:c>
      <x:c r="AA3175" t="str">
        <x:v>NON_POSITIVE_ENTERPRISE_VALUE|NON_POSITIVE_EQUITY_VALUE|NON_POSITIVE_TERMINAL_FCF</x:v>
      </x:c>
    </x:row>
    <x:row r="3176">
      <x:c r="A3176" s="54" t="n">
        <x:v>45838</x:v>
      </x:c>
      <x:c r="B3176" t="n">
        <x:v>45838.624999988424</x:v>
      </x:c>
      <x:c r="C3176" t="str">
        <x:v>070590</x:v>
      </x:c>
      <x:c r="D3176" t="str">
        <x:v>한솔인티큐브</x:v>
      </x:c>
      <x:c r="E3176" t="str">
        <x:v>KOSDAQ</x:v>
      </x:c>
      <x:c r="F3176" t="str">
        <x:v>SMALL</x:v>
      </x:c>
      <x:c r="G3176" t="str">
        <x:v>DCF_SCREENING_EXCLUSION</x:v>
      </x:c>
      <x:c r="H3176" t="str">
        <x:v>NON_POSITIVE_ENTERPRISE_VALUE|NON_POSITIVE_EQUITY_VALUE|NON_POSITIVE_TERMINAL_FCF</x:v>
      </x:c>
      <x:c r="I3176" s="54" t="n">
        <x:v>45838</x:v>
      </x:c>
      <x:c r="J3176" s="55" t="n">
        <x:v>1901</x:v>
      </x:c>
      <x:c r="K3176" s="55" t="n">
        <x:v>26384969421</x:v>
      </x:c>
      <x:c r="L3176" s="55" t="n">
        <x:v>13879521</x:v>
      </x:c>
      <x:c r="M3176" t="str">
        <x:v>20250312000696</x:v>
      </x:c>
      <x:c r="N3176" t="n">
        <x:v>45728.624999988424</x:v>
      </x:c>
      <x:c r="O3176" s="54" t="n">
        <x:v>45657</x:v>
      </x:c>
      <x:c r="P3176" t="str">
        <x:v>False</x:v>
      </x:c>
      <x:c r="Q3176" t="str">
        <x:v>56fbfec57f7c9d43fd0c5033895241c65f79484753cffbbf721bcc41f2c5faf1</x:v>
      </x:c>
      <x:c r="R3176" t="str">
        <x:v>095783b0970931b9b424c8ac6f6f6fab4b580d3f587e5e9418f76229c1086431</x:v>
      </x:c>
      <x:c r="S3176" t="n">
        <x:v>7</x:v>
      </x:c>
      <x:c r="T3176" t="str">
        <x:v>2018-12-31|2019-12-31|2020-12-31|2021-12-31|2022-12-31|2023-12-31|2024-12-31</x:v>
      </x:c>
      <x:c r="U3176" s="57" t="n">
        <x:v>-676.728213003706</x:v>
      </x:c>
      <x:c r="V3176" s="57" t="n">
        <x:v>-1.3559853829582882</x:v>
      </x:c>
      <x:c r="W3176"/>
      <x:c r="X3176"/>
      <x:c r="Y3176" s="38" t="n">
        <x:v>0.6409090909090909</x:v>
      </x:c>
      <x:c r="Z3176" s="38" t="n">
        <x:v>0.6346417546751518</x:v>
      </x:c>
      <x:c r="AA3176" t="str">
        <x:v>NON_POSITIVE_ENTERPRISE_VALUE|NON_POSITIVE_EQUITY_VALUE|NON_POSITIVE_TERMINAL_FCF</x:v>
      </x:c>
    </x:row>
    <x:row r="3177">
      <x:c r="A3177" s="54" t="n">
        <x:v>45838</x:v>
      </x:c>
      <x:c r="B3177" t="n">
        <x:v>45838.624999988424</x:v>
      </x:c>
      <x:c r="C3177" t="str">
        <x:v>163560</x:v>
      </x:c>
      <x:c r="D3177" t="str">
        <x:v>동일고무벨트</x:v>
      </x:c>
      <x:c r="E3177" t="str">
        <x:v>KOSPI</x:v>
      </x:c>
      <x:c r="F3177" t="str">
        <x:v>SMALL</x:v>
      </x:c>
      <x:c r="G3177" t="str">
        <x:v>ELIGIBLE</x:v>
      </x:c>
      <x:c r="H3177"/>
      <x:c r="I3177" s="54" t="n">
        <x:v>45838</x:v>
      </x:c>
      <x:c r="J3177" s="55" t="n">
        <x:v>7450</x:v>
      </x:c>
      <x:c r="K3177" s="55" t="n">
        <x:v>103555000000</x:v>
      </x:c>
      <x:c r="L3177" s="55" t="n">
        <x:v>13900000</x:v>
      </x:c>
      <x:c r="M3177" t="str">
        <x:v>20250312000762</x:v>
      </x:c>
      <x:c r="N3177" t="n">
        <x:v>45728.624999988424</x:v>
      </x:c>
      <x:c r="O3177" s="54" t="n">
        <x:v>45657</x:v>
      </x:c>
      <x:c r="P3177" t="str">
        <x:v>False</x:v>
      </x:c>
      <x:c r="Q3177" t="str">
        <x:v>3d84d46c81dd12c506f3e6e7411f8e03a54cf9403501806194005212a51761dd</x:v>
      </x:c>
      <x:c r="R3177" t="str">
        <x:v>938a176852d6cafe751241bc166ae18a0b47e63e6633199c08578da7a9c5b724</x:v>
      </x:c>
      <x:c r="S3177" t="n">
        <x:v>5</x:v>
      </x:c>
      <x:c r="T3177" t="str">
        <x:v>2018-12-31|2019-12-31|2020-12-31|2021-12-31|2022-12-31|2023-12-31|2024-12-31</x:v>
      </x:c>
      <x:c r="U3177" s="57" t="n">
        <x:v>3579.6791246994944</x:v>
      </x:c>
      <x:c r="V3177" s="57" t="n">
        <x:v>-0.5195061577584571</x:v>
      </x:c>
      <x:c r="W3177" t="n">
        <x:v>41</x:v>
      </x:c>
      <x:c r="X3177" t="n">
        <x:v>4</x:v>
      </x:c>
      <x:c r="Y3177" s="38" t="n">
        <x:v>0.6409090909090909</x:v>
      </x:c>
      <x:c r="Z3177" s="38" t="n">
        <x:v>0.6724515102417282</x:v>
      </x:c>
      <x:c r="AA3177"/>
    </x:row>
    <x:row r="3178">
      <x:c r="A3178" s="54" t="n">
        <x:v>45838</x:v>
      </x:c>
      <x:c r="B3178" t="n">
        <x:v>45838.624999988424</x:v>
      </x:c>
      <x:c r="C3178" t="str">
        <x:v>004830</x:v>
      </x:c>
      <x:c r="D3178" t="str">
        <x:v>덕성</x:v>
      </x:c>
      <x:c r="E3178" t="str">
        <x:v>KOSPI</x:v>
      </x:c>
      <x:c r="F3178" t="str">
        <x:v>SMALL</x:v>
      </x:c>
      <x:c r="G3178" t="str">
        <x:v>ELIGIBLE</x:v>
      </x:c>
      <x:c r="H3178"/>
      <x:c r="I3178" s="54" t="n">
        <x:v>45838</x:v>
      </x:c>
      <x:c r="J3178" s="55" t="n">
        <x:v>5970</x:v>
      </x:c>
      <x:c r="K3178" s="55" t="n">
        <x:v>93609600000</x:v>
      </x:c>
      <x:c r="L3178" s="55" t="n">
        <x:v>15680000</x:v>
      </x:c>
      <x:c r="M3178" t="str">
        <x:v>20250317000503</x:v>
      </x:c>
      <x:c r="N3178" t="n">
        <x:v>45733.624999988424</x:v>
      </x:c>
      <x:c r="O3178" s="54" t="n">
        <x:v>45657</x:v>
      </x:c>
      <x:c r="P3178" t="str">
        <x:v>False</x:v>
      </x:c>
      <x:c r="Q3178" t="str">
        <x:v>047b89dbd283e939934431c425f7d1537466f51373ac8b5ba0ef7155f7fdb8d1</x:v>
      </x:c>
      <x:c r="R3178" t="str">
        <x:v>f44466a9c2c59127a8b8d635e49b656badf1741cfb0a8a3c9680a488040bfd2e</x:v>
      </x:c>
      <x:c r="S3178" t="n">
        <x:v>7</x:v>
      </x:c>
      <x:c r="T3178" t="str">
        <x:v>2018-12-31|2019-12-31|2020-12-31|2021-12-31|2022-12-31|2023-12-31|2024-12-31</x:v>
      </x:c>
      <x:c r="U3178" s="57" t="n">
        <x:v>2050.17685873318</x:v>
      </x:c>
      <x:c r="V3178" s="57" t="n">
        <x:v>-0.6565867908319631</x:v>
      </x:c>
      <x:c r="W3178" t="n">
        <x:v>51</x:v>
      </x:c>
      <x:c r="X3178" t="n">
        <x:v>4</x:v>
      </x:c>
      <x:c r="Y3178" s="38" t="n">
        <x:v>0.6409090909090909</x:v>
      </x:c>
      <x:c r="Z3178" s="38" t="n">
        <x:v>0.5816117807164044</x:v>
      </x:c>
      <x:c r="AA3178"/>
    </x:row>
    <x:row r="3179">
      <x:c r="A3179" s="54" t="n">
        <x:v>45838</x:v>
      </x:c>
      <x:c r="B3179" t="n">
        <x:v>45838.624999988424</x:v>
      </x:c>
      <x:c r="C3179" t="str">
        <x:v>014440</x:v>
      </x:c>
      <x:c r="D3179" t="str">
        <x:v>영보화학</x:v>
      </x:c>
      <x:c r="E3179" t="str">
        <x:v>KOSPI</x:v>
      </x:c>
      <x:c r="F3179" t="str">
        <x:v>SMALL</x:v>
      </x:c>
      <x:c r="G3179" t="str">
        <x:v>ELIGIBLE</x:v>
      </x:c>
      <x:c r="H3179"/>
      <x:c r="I3179" s="54" t="n">
        <x:v>45838</x:v>
      </x:c>
      <x:c r="J3179" s="55" t="n">
        <x:v>4420</x:v>
      </x:c>
      <x:c r="K3179" s="55" t="n">
        <x:v>88400000000</x:v>
      </x:c>
      <x:c r="L3179" s="55" t="n">
        <x:v>20000000</x:v>
      </x:c>
      <x:c r="M3179" t="str">
        <x:v>20250312000962</x:v>
      </x:c>
      <x:c r="N3179" t="n">
        <x:v>45728.624999988424</x:v>
      </x:c>
      <x:c r="O3179" s="54" t="n">
        <x:v>45657</x:v>
      </x:c>
      <x:c r="P3179" t="str">
        <x:v>False</x:v>
      </x:c>
      <x:c r="Q3179" t="str">
        <x:v>821b0e62d7bf149a79e58c287e832ecf8605f6c32ad4957d629f026ddb3aa42e</x:v>
      </x:c>
      <x:c r="R3179" t="str">
        <x:v>573562a41b623182bc90c29cb5d92d4c660b859b315b1bb5f03f3cd959d25731</x:v>
      </x:c>
      <x:c r="S3179" t="n">
        <x:v>6</x:v>
      </x:c>
      <x:c r="T3179" t="str">
        <x:v>2018-12-31|2019-12-31|2020-12-31|2021-12-31|2022-12-31|2023-12-31|2024-12-31</x:v>
      </x:c>
      <x:c r="U3179" s="57" t="n">
        <x:v>2702.424401601988</x:v>
      </x:c>
      <x:c r="V3179" s="57" t="n">
        <x:v>-0.38859176434344167</x:v>
      </x:c>
      <x:c r="W3179" t="n">
        <x:v>36</x:v>
      </x:c>
      <x:c r="X3179" t="n">
        <x:v>3</x:v>
      </x:c>
      <x:c r="Y3179" s="38" t="n">
        <x:v>0.6409090909090909</x:v>
      </x:c>
      <x:c r="Z3179" s="38" t="n">
        <x:v>0.2753938697123028</x:v>
      </x:c>
      <x:c r="AA3179"/>
    </x:row>
    <x:row r="3180">
      <x:c r="A3180" s="54" t="n">
        <x:v>45838</x:v>
      </x:c>
      <x:c r="B3180" t="n">
        <x:v>45838.624999988424</x:v>
      </x:c>
      <x:c r="C3180" t="str">
        <x:v>009180</x:v>
      </x:c>
      <x:c r="D3180" t="str">
        <x:v>한솔로지스틱스</x:v>
      </x:c>
      <x:c r="E3180" t="str">
        <x:v>KOSPI</x:v>
      </x:c>
      <x:c r="F3180" t="str">
        <x:v>SMALL</x:v>
      </x:c>
      <x:c r="G3180" t="str">
        <x:v>ELIGIBLE</x:v>
      </x:c>
      <x:c r="H3180"/>
      <x:c r="I3180" s="54" t="n">
        <x:v>45838</x:v>
      </x:c>
      <x:c r="J3180" s="55" t="n">
        <x:v>2595</x:v>
      </x:c>
      <x:c r="K3180" s="55" t="n">
        <x:v>73064365875</x:v>
      </x:c>
      <x:c r="L3180" s="55" t="n">
        <x:v>28155825</x:v>
      </x:c>
      <x:c r="M3180" t="str">
        <x:v>20250311001053</x:v>
      </x:c>
      <x:c r="N3180" t="n">
        <x:v>45727.624999988424</x:v>
      </x:c>
      <x:c r="O3180" s="54" t="n">
        <x:v>45657</x:v>
      </x:c>
      <x:c r="P3180" t="str">
        <x:v>False</x:v>
      </x:c>
      <x:c r="Q3180" t="str">
        <x:v>59709c24464c56e3d0c7ef48c0bfedba59f5adc74c03993b7361dc6a6a889121</x:v>
      </x:c>
      <x:c r="R3180" t="str">
        <x:v>87c93be11916e0599394bc821ad5ee5da3f482650082174ad55c0837e8111452</x:v>
      </x:c>
      <x:c r="S3180" t="n">
        <x:v>6</x:v>
      </x:c>
      <x:c r="T3180" t="str">
        <x:v>2018-12-31|2019-12-31|2020-12-31|2021-12-31|2022-12-31|2023-12-31|2024-12-31</x:v>
      </x:c>
      <x:c r="U3180" s="57" t="n">
        <x:v>3416.0822713847656</x:v>
      </x:c>
      <x:c r="V3180" s="57" t="n">
        <x:v>0.3164093531347844</x:v>
      </x:c>
      <x:c r="W3180" t="n">
        <x:v>19</x:v>
      </x:c>
      <x:c r="X3180" t="n">
        <x:v>2</x:v>
      </x:c>
      <x:c r="Y3180" s="38" t="n">
        <x:v>0.6409090909090909</x:v>
      </x:c>
      <x:c r="Z3180" s="38" t="n">
        <x:v>0.680015703976489</x:v>
      </x:c>
      <x:c r="AA3180"/>
    </x:row>
    <x:row r="3181">
      <x:c r="A3181" s="54" t="n">
        <x:v>45838</x:v>
      </x:c>
      <x:c r="B3181" t="n">
        <x:v>45838.624999988424</x:v>
      </x:c>
      <x:c r="C3181" t="str">
        <x:v>004910</x:v>
      </x:c>
      <x:c r="D3181" t="str">
        <x:v>조광페인트</x:v>
      </x:c>
      <x:c r="E3181" t="str">
        <x:v>KOSPI</x:v>
      </x:c>
      <x:c r="F3181" t="str">
        <x:v>SMALL</x:v>
      </x:c>
      <x:c r="G3181" t="str">
        <x:v>DCF_SCREENING_EXCLUSION</x:v>
      </x:c>
      <x:c r="H3181" t="str">
        <x:v>NON_POSITIVE_ENTERPRISE_VALUE|NON_POSITIVE_EQUITY_VALUE|NON_POSITIVE_TERMINAL_FCF</x:v>
      </x:c>
      <x:c r="I3181" s="54" t="n">
        <x:v>45838</x:v>
      </x:c>
      <x:c r="J3181" s="55" t="n">
        <x:v>5520</x:v>
      </x:c>
      <x:c r="K3181" s="55" t="n">
        <x:v>70656000000</x:v>
      </x:c>
      <x:c r="L3181" s="55" t="n">
        <x:v>12800000</x:v>
      </x:c>
      <x:c r="M3181" t="str">
        <x:v>20250318001171</x:v>
      </x:c>
      <x:c r="N3181" t="n">
        <x:v>45734.624999988424</x:v>
      </x:c>
      <x:c r="O3181" s="54" t="n">
        <x:v>45657</x:v>
      </x:c>
      <x:c r="P3181" t="str">
        <x:v>True</x:v>
      </x:c>
      <x:c r="Q3181" t="str">
        <x:v>5a99b63119ea656bdcc2dca755ac210344c4ea8f38018b6637d008f1de7855c3</x:v>
      </x:c>
      <x:c r="R3181" t="str">
        <x:v>1cac36adc332826d55853dcec055d8faa5f6a9ecffb44daf992f92b60eb8352f</x:v>
      </x:c>
      <x:c r="S3181" t="n">
        <x:v>6</x:v>
      </x:c>
      <x:c r="T3181" t="str">
        <x:v>2018-12-31|2019-12-31|2020-12-31|2021-12-31|2022-12-31|2023-12-31|2024-12-31</x:v>
      </x:c>
      <x:c r="U3181" s="57" t="n">
        <x:v>-11774.923010008273</x:v>
      </x:c>
      <x:c r="V3181" s="57" t="n">
        <x:v>-3.1331382264507743</x:v>
      </x:c>
      <x:c r="W3181"/>
      <x:c r="X3181"/>
      <x:c r="Y3181" s="38" t="n">
        <x:v>0.6409090909090909</x:v>
      </x:c>
      <x:c r="Z3181" s="38" t="n">
        <x:v>0.716994323080108</x:v>
      </x:c>
      <x:c r="AA3181" t="str">
        <x:v>NON_POSITIVE_ENTERPRISE_VALUE|NON_POSITIVE_EQUITY_VALUE|NON_POSITIVE_TERMINAL_FCF</x:v>
      </x:c>
    </x:row>
    <x:row r="3182">
      <x:c r="A3182" s="54" t="n">
        <x:v>45838</x:v>
      </x:c>
      <x:c r="B3182" t="n">
        <x:v>45838.624999988424</x:v>
      </x:c>
      <x:c r="C3182" t="str">
        <x:v>004870</x:v>
      </x:c>
      <x:c r="D3182" t="str">
        <x:v>티웨이홀딩스</x:v>
      </x:c>
      <x:c r="E3182" t="str">
        <x:v>KOSPI</x:v>
      </x:c>
      <x:c r="F3182" t="str">
        <x:v>SMALL</x:v>
      </x:c>
      <x:c r="G3182" t="str">
        <x:v>EXCLUDED_ARCHETYPE</x:v>
      </x:c>
      <x:c r="H3182" t="str">
        <x:v>FCFF_NOT_COMPARABLE_FOR_FINANCE_OR_HOLDING_HINT</x:v>
      </x:c>
      <x:c r="I3182" s="54"/>
      <x:c r="J3182" s="55"/>
      <x:c r="K3182" s="55"/>
      <x:c r="L3182" s="55"/>
      <x:c r="M3182"/>
      <x:c r="N3182"/>
      <x:c r="O3182" s="54"/>
      <x:c r="P3182"/>
      <x:c r="Q3182"/>
      <x:c r="R3182"/>
      <x:c r="S3182"/>
      <x:c r="T3182"/>
      <x:c r="U3182" s="57"/>
      <x:c r="V3182" s="57"/>
      <x:c r="W3182"/>
      <x:c r="X3182"/>
      <x:c r="Y3182" s="38"/>
      <x:c r="Z3182" s="38"/>
      <x:c r="AA3182"/>
    </x:row>
    <x:row r="3183">
      <x:c r="A3183" s="54" t="n">
        <x:v>45838</x:v>
      </x:c>
      <x:c r="B3183" t="n">
        <x:v>45838.624999988424</x:v>
      </x:c>
      <x:c r="C3183" t="str">
        <x:v>010770</x:v>
      </x:c>
      <x:c r="D3183" t="str">
        <x:v>평화홀딩스</x:v>
      </x:c>
      <x:c r="E3183" t="str">
        <x:v>KOSPI</x:v>
      </x:c>
      <x:c r="F3183" t="str">
        <x:v>SMALL</x:v>
      </x:c>
      <x:c r="G3183" t="str">
        <x:v>EXCLUDED_ARCHETYPE</x:v>
      </x:c>
      <x:c r="H3183" t="str">
        <x:v>FCFF_NOT_COMPARABLE_FOR_FINANCE_OR_HOLDING_HINT</x:v>
      </x:c>
      <x:c r="I3183" s="54"/>
      <x:c r="J3183" s="55"/>
      <x:c r="K3183" s="55"/>
      <x:c r="L3183" s="55"/>
      <x:c r="M3183"/>
      <x:c r="N3183"/>
      <x:c r="O3183" s="54"/>
      <x:c r="P3183"/>
      <x:c r="Q3183"/>
      <x:c r="R3183"/>
      <x:c r="S3183"/>
      <x:c r="T3183"/>
      <x:c r="U3183" s="57"/>
      <x:c r="V3183" s="57"/>
      <x:c r="W3183"/>
      <x:c r="X3183"/>
      <x:c r="Y3183" s="38"/>
      <x:c r="Z3183" s="38"/>
      <x:c r="AA3183"/>
    </x:row>
    <x:row r="3184">
      <x:c r="A3184" s="54" t="n">
        <x:v>45838</x:v>
      </x:c>
      <x:c r="B3184" t="n">
        <x:v>45838.624999988424</x:v>
      </x:c>
      <x:c r="C3184" t="str">
        <x:v>001290</x:v>
      </x:c>
      <x:c r="D3184" t="str">
        <x:v>상상인증권</x:v>
      </x:c>
      <x:c r="E3184" t="str">
        <x:v>KOSPI</x:v>
      </x:c>
      <x:c r="F3184" t="str">
        <x:v>SMALL</x:v>
      </x:c>
      <x:c r="G3184" t="str">
        <x:v>EXCLUDED_ARCHETYPE</x:v>
      </x:c>
      <x:c r="H3184" t="str">
        <x:v>FCFF_NOT_COMPARABLE_FOR_FINANCE_OR_HOLDING_HINT</x:v>
      </x:c>
      <x:c r="I3184" s="54"/>
      <x:c r="J3184" s="55"/>
      <x:c r="K3184" s="55"/>
      <x:c r="L3184" s="55"/>
      <x:c r="M3184"/>
      <x:c r="N3184"/>
      <x:c r="O3184" s="54"/>
      <x:c r="P3184"/>
      <x:c r="Q3184"/>
      <x:c r="R3184"/>
      <x:c r="S3184"/>
      <x:c r="T3184"/>
      <x:c r="U3184" s="57"/>
      <x:c r="V3184" s="57"/>
      <x:c r="W3184"/>
      <x:c r="X3184"/>
      <x:c r="Y3184" s="38"/>
      <x:c r="Z3184" s="38"/>
      <x:c r="AA3184"/>
    </x:row>
    <x:row r="3185">
      <x:c r="A3185" s="54" t="n">
        <x:v>45838</x:v>
      </x:c>
      <x:c r="B3185" t="n">
        <x:v>45838.624999988424</x:v>
      </x:c>
      <x:c r="C3185" t="str">
        <x:v>047400</x:v>
      </x:c>
      <x:c r="D3185" t="str">
        <x:v>유니온머티리얼</x:v>
      </x:c>
      <x:c r="E3185" t="str">
        <x:v>KOSPI</x:v>
      </x:c>
      <x:c r="F3185" t="str">
        <x:v>SMALL</x:v>
      </x:c>
      <x:c r="G3185" t="str">
        <x:v>DCF_SCREENING_EXCLUSION</x:v>
      </x:c>
      <x:c r="H3185" t="str">
        <x:v>NON_POSITIVE_ENTERPRISE_VALUE|NON_POSITIVE_EQUITY_VALUE|NON_POSITIVE_TERMINAL_FCF</x:v>
      </x:c>
      <x:c r="I3185" s="54" t="n">
        <x:v>45838</x:v>
      </x:c>
      <x:c r="J3185" s="55" t="n">
        <x:v>1574</x:v>
      </x:c>
      <x:c r="K3185" s="55" t="n">
        <x:v>66108000000</x:v>
      </x:c>
      <x:c r="L3185" s="55" t="n">
        <x:v>42000000</x:v>
      </x:c>
      <x:c r="M3185" t="str">
        <x:v>20250319000740</x:v>
      </x:c>
      <x:c r="N3185" t="n">
        <x:v>45735.624999988424</x:v>
      </x:c>
      <x:c r="O3185" s="54" t="n">
        <x:v>45657</x:v>
      </x:c>
      <x:c r="P3185" t="str">
        <x:v>False</x:v>
      </x:c>
      <x:c r="Q3185" t="str">
        <x:v>a8242c53f0ad44f64b3db687429fc578de052a0697c88c72b7c659019d024840</x:v>
      </x:c>
      <x:c r="R3185" t="str">
        <x:v>97c5afa8df14b5ec6caebc6e645bf729b68091c12f4d5b89f814251a1f31d678</x:v>
      </x:c>
      <x:c r="S3185" t="n">
        <x:v>7</x:v>
      </x:c>
      <x:c r="T3185" t="str">
        <x:v>2018-12-31|2019-12-31|2020-12-31|2021-12-31|2022-12-31|2023-12-31|2024-12-31</x:v>
      </x:c>
      <x:c r="U3185" s="57" t="n">
        <x:v>-2782.089618403416</x:v>
      </x:c>
      <x:c r="V3185" s="57" t="n">
        <x:v>-2.7675283471432124</x:v>
      </x:c>
      <x:c r="W3185"/>
      <x:c r="X3185"/>
      <x:c r="Y3185" s="38" t="n">
        <x:v>0.6409090909090909</x:v>
      </x:c>
      <x:c r="Z3185" s="38" t="n">
        <x:v>0.27674932142790226</x:v>
      </x:c>
      <x:c r="AA3185" t="str">
        <x:v>NON_POSITIVE_ENTERPRISE_VALUE|NON_POSITIVE_EQUITY_VALUE|NON_POSITIVE_TERMINAL_FCF</x:v>
      </x:c>
    </x:row>
    <x:row r="3186">
      <x:c r="A3186" s="54" t="n">
        <x:v>45838</x:v>
      </x:c>
      <x:c r="B3186" t="n">
        <x:v>45838.624999988424</x:v>
      </x:c>
      <x:c r="C3186" t="str">
        <x:v>011300</x:v>
      </x:c>
      <x:c r="D3186" t="str">
        <x:v>성안머티리얼스</x:v>
      </x:c>
      <x:c r="E3186" t="str">
        <x:v>KOSPI</x:v>
      </x:c>
      <x:c r="F3186" t="str">
        <x:v>SMALL</x:v>
      </x:c>
      <x:c r="G3186" t="str">
        <x:v>DCF_SCREENING_EXCLUSION</x:v>
      </x:c>
      <x:c r="H3186" t="str">
        <x:v>NON_POSITIVE_ENTERPRISE_VALUE|NON_POSITIVE_EQUITY_VALUE|NON_POSITIVE_TERMINAL_FCF</x:v>
      </x:c>
      <x:c r="I3186" s="54" t="n">
        <x:v>45838</x:v>
      </x:c>
      <x:c r="J3186" s="55" t="n">
        <x:v>464</x:v>
      </x:c>
      <x:c r="K3186" s="55" t="n">
        <x:v>72206601200</x:v>
      </x:c>
      <x:c r="L3186" s="55" t="n">
        <x:v>155617675</x:v>
      </x:c>
      <x:c r="M3186" t="str">
        <x:v>20250320000581</x:v>
      </x:c>
      <x:c r="N3186" t="n">
        <x:v>45736.624999988424</x:v>
      </x:c>
      <x:c r="O3186" s="54" t="n">
        <x:v>45657</x:v>
      </x:c>
      <x:c r="P3186" t="str">
        <x:v>False</x:v>
      </x:c>
      <x:c r="Q3186" t="str">
        <x:v>c4acc0803989eb38af3f11fcc20482eee7b03e36392835b52689e3bfe0cbc9d5</x:v>
      </x:c>
      <x:c r="R3186" t="str">
        <x:v>34b92e77046a192f0a546c78e4754be4ed5bfd65ecd5aace3f2333550c2ab478</x:v>
      </x:c>
      <x:c r="S3186" t="n">
        <x:v>7</x:v>
      </x:c>
      <x:c r="T3186" t="str">
        <x:v>2018-12-31|2019-12-31|2020-12-31|2021-12-31|2022-12-31|2023-12-31|2024-12-31</x:v>
      </x:c>
      <x:c r="U3186" s="57" t="n">
        <x:v>-193.18443652594374</x:v>
      </x:c>
      <x:c r="V3186" s="57" t="n">
        <x:v>-1.4163457683748788</x:v>
      </x:c>
      <x:c r="W3186"/>
      <x:c r="X3186"/>
      <x:c r="Y3186" s="38" t="n">
        <x:v>0.6409090909090909</x:v>
      </x:c>
      <x:c r="Z3186" s="38" t="n">
        <x:v>0.4326814893151209</x:v>
      </x:c>
      <x:c r="AA3186" t="str">
        <x:v>NON_POSITIVE_ENTERPRISE_VALUE|NON_POSITIVE_EQUITY_VALUE|NON_POSITIVE_TERMINAL_FCF</x:v>
      </x:c>
    </x:row>
    <x:row r="3187">
      <x:c r="A3187" s="54" t="n">
        <x:v>45838</x:v>
      </x:c>
      <x:c r="B3187" t="n">
        <x:v>45838.624999988424</x:v>
      </x:c>
      <x:c r="C3187" t="str">
        <x:v>018500</x:v>
      </x:c>
      <x:c r="D3187" t="str">
        <x:v>동원금속</x:v>
      </x:c>
      <x:c r="E3187" t="str">
        <x:v>KOSPI</x:v>
      </x:c>
      <x:c r="F3187" t="str">
        <x:v>SMALL</x:v>
      </x:c>
      <x:c r="G3187" t="str">
        <x:v>DCF_SCREENING_EXCLUSION</x:v>
      </x:c>
      <x:c r="H3187" t="str">
        <x:v>NON_POSITIVE_EQUITY_VALUE</x:v>
      </x:c>
      <x:c r="I3187" s="54" t="n">
        <x:v>45838</x:v>
      </x:c>
      <x:c r="J3187" s="55" t="n">
        <x:v>1320</x:v>
      </x:c>
      <x:c r="K3187" s="55" t="n">
        <x:v>61716511560</x:v>
      </x:c>
      <x:c r="L3187" s="55" t="n">
        <x:v>46754933</x:v>
      </x:c>
      <x:c r="M3187" t="str">
        <x:v>20250618000195</x:v>
      </x:c>
      <x:c r="N3187" t="n">
        <x:v>45826.624999988424</x:v>
      </x:c>
      <x:c r="O3187" s="54" t="n">
        <x:v>45747</x:v>
      </x:c>
      <x:c r="P3187" t="str">
        <x:v>False</x:v>
      </x:c>
      <x:c r="Q3187" t="str">
        <x:v>c6ff625c08a122fdf490e0124f7e291ff5261d8fab6855036190e3631f7f1a94</x:v>
      </x:c>
      <x:c r="R3187" t="str">
        <x:v>6248e048713473d90cd3a0ff9f10981040a8e3838de8bd37f62a16f8da309c1d</x:v>
      </x:c>
      <x:c r="S3187" t="n">
        <x:v>6</x:v>
      </x:c>
      <x:c r="T3187" t="str">
        <x:v>2019-03-31|2020-03-31|2021-03-31|2022-03-31|2023-03-31|2024-03-31|2025-03-31</x:v>
      </x:c>
      <x:c r="U3187" s="57" t="n">
        <x:v>-2171.1598492495386</x:v>
      </x:c>
      <x:c r="V3187" s="57" t="n">
        <x:v>-2.644818067613287</x:v>
      </x:c>
      <x:c r="W3187"/>
      <x:c r="X3187"/>
      <x:c r="Y3187" s="38" t="n">
        <x:v>0.6409090909090909</x:v>
      </x:c>
      <x:c r="Z3187" s="38" t="n">
        <x:v>0.06462240494450419</x:v>
      </x:c>
      <x:c r="AA3187" t="str">
        <x:v>NON_POSITIVE_EQUITY_VALUE</x:v>
      </x:c>
    </x:row>
    <x:row r="3188">
      <x:c r="A3188" s="54" t="n">
        <x:v>45838</x:v>
      </x:c>
      <x:c r="B3188" t="n">
        <x:v>45838.624999988424</x:v>
      </x:c>
      <x:c r="C3188" t="str">
        <x:v>004770</x:v>
      </x:c>
      <x:c r="D3188" t="str">
        <x:v>써니전자</x:v>
      </x:c>
      <x:c r="E3188" t="str">
        <x:v>KOSPI</x:v>
      </x:c>
      <x:c r="F3188" t="str">
        <x:v>SMALL</x:v>
      </x:c>
      <x:c r="G3188" t="str">
        <x:v>ELIGIBLE</x:v>
      </x:c>
      <x:c r="H3188"/>
      <x:c r="I3188" s="54" t="n">
        <x:v>45838</x:v>
      </x:c>
      <x:c r="J3188" s="55" t="n">
        <x:v>1846</x:v>
      </x:c>
      <x:c r="K3188" s="55" t="n">
        <x:v>67753523864</x:v>
      </x:c>
      <x:c r="L3188" s="55" t="n">
        <x:v>36702884</x:v>
      </x:c>
      <x:c r="M3188" t="str">
        <x:v>20250317000934</x:v>
      </x:c>
      <x:c r="N3188" t="n">
        <x:v>45733.624999988424</x:v>
      </x:c>
      <x:c r="O3188" s="54" t="n">
        <x:v>45657</x:v>
      </x:c>
      <x:c r="P3188" t="str">
        <x:v>False</x:v>
      </x:c>
      <x:c r="Q3188" t="str">
        <x:v>c66f294c0844e2ff06a9fb7db0538848bd7373f72bea991b9a35ef3ce6e80b54</x:v>
      </x:c>
      <x:c r="R3188" t="str">
        <x:v>f3f195bfe5a776ba4dbad8ccf07ace080d1f2b954107d8e0762b6ece9b5486de</x:v>
      </x:c>
      <x:c r="S3188" t="n">
        <x:v>5</x:v>
      </x:c>
      <x:c r="T3188" t="str">
        <x:v>2018-12-31|2019-12-31|2020-12-31|2021-12-31|2022-12-31|2023-12-31|2024-12-31</x:v>
      </x:c>
      <x:c r="U3188" s="57" t="n">
        <x:v>351.6747728784162</x:v>
      </x:c>
      <x:c r="V3188" s="57" t="n">
        <x:v>-0.8094936224927323</x:v>
      </x:c>
      <x:c r="W3188" t="n">
        <x:v>61</x:v>
      </x:c>
      <x:c r="X3188" t="n">
        <x:v>5</x:v>
      </x:c>
      <x:c r="Y3188" s="38" t="n">
        <x:v>0.6409090909090909</x:v>
      </x:c>
      <x:c r="Z3188" s="38" t="n">
        <x:v>0.49542393931877315</x:v>
      </x:c>
      <x:c r="AA3188"/>
    </x:row>
    <x:row r="3189">
      <x:c r="A3189" s="54" t="n">
        <x:v>45838</x:v>
      </x:c>
      <x:c r="B3189" t="n">
        <x:v>45838.624999988424</x:v>
      </x:c>
      <x:c r="C3189" t="str">
        <x:v>000890</x:v>
      </x:c>
      <x:c r="D3189" t="str">
        <x:v>보해양조</x:v>
      </x:c>
      <x:c r="E3189" t="str">
        <x:v>KOSPI</x:v>
      </x:c>
      <x:c r="F3189" t="str">
        <x:v>SMALL</x:v>
      </x:c>
      <x:c r="G3189" t="str">
        <x:v>DCF_SCREENING_EXCLUSION</x:v>
      </x:c>
      <x:c r="H3189" t="str">
        <x:v>NON_POSITIVE_ENTERPRISE_VALUE|NON_POSITIVE_EQUITY_VALUE|NON_POSITIVE_TERMINAL_FCF</x:v>
      </x:c>
      <x:c r="I3189" s="54" t="n">
        <x:v>45838</x:v>
      </x:c>
      <x:c r="J3189" s="55" t="n">
        <x:v>487</x:v>
      </x:c>
      <x:c r="K3189" s="55" t="n">
        <x:v>67751502823</x:v>
      </x:c>
      <x:c r="L3189" s="55" t="n">
        <x:v>139120129</x:v>
      </x:c>
      <x:c r="M3189" t="str">
        <x:v>20250318001002</x:v>
      </x:c>
      <x:c r="N3189" t="n">
        <x:v>45734.624999988424</x:v>
      </x:c>
      <x:c r="O3189" s="54" t="n">
        <x:v>45657</x:v>
      </x:c>
      <x:c r="P3189" t="str">
        <x:v>False</x:v>
      </x:c>
      <x:c r="Q3189" t="str">
        <x:v>8054cb7166001473f94a0d9e21af21ddb8f261c499dfb529c5afbbf86549a334</x:v>
      </x:c>
      <x:c r="R3189" t="str">
        <x:v>f7bbeeae58b22f4ef34bb68ef5da8eeac18b94ac5776f0d967654ab8e36058ab</x:v>
      </x:c>
      <x:c r="S3189" t="n">
        <x:v>6</x:v>
      </x:c>
      <x:c r="T3189" t="str">
        <x:v>2018-12-31|2019-12-31|2020-12-31|2021-12-31|2022-12-31|2023-12-31|2024-12-31</x:v>
      </x:c>
      <x:c r="U3189" s="57" t="n">
        <x:v>-150.13214468034548</x:v>
      </x:c>
      <x:c r="V3189" s="57" t="n">
        <x:v>-1.3082795578651858</x:v>
      </x:c>
      <x:c r="W3189"/>
      <x:c r="X3189"/>
      <x:c r="Y3189" s="38" t="n">
        <x:v>0.6409090909090909</x:v>
      </x:c>
      <x:c r="Z3189" s="38" t="n">
        <x:v>0.7960065703909888</x:v>
      </x:c>
      <x:c r="AA3189" t="str">
        <x:v>NON_POSITIVE_ENTERPRISE_VALUE|NON_POSITIVE_EQUITY_VALUE|NON_POSITIVE_TERMINAL_FCF</x:v>
      </x:c>
    </x:row>
    <x:row r="3190">
      <x:c r="A3190" s="54" t="n">
        <x:v>45838</x:v>
      </x:c>
      <x:c r="B3190" t="n">
        <x:v>45838.624999988424</x:v>
      </x:c>
      <x:c r="C3190" t="str">
        <x:v>021050</x:v>
      </x:c>
      <x:c r="D3190" t="str">
        <x:v>서원</x:v>
      </x:c>
      <x:c r="E3190" t="str">
        <x:v>KOSPI</x:v>
      </x:c>
      <x:c r="F3190" t="str">
        <x:v>SMALL</x:v>
      </x:c>
      <x:c r="G3190" t="str">
        <x:v>DCF_SCREENING_EXCLUSION</x:v>
      </x:c>
      <x:c r="H3190" t="str">
        <x:v>NON_POSITIVE_EQUITY_VALUE</x:v>
      </x:c>
      <x:c r="I3190" s="54" t="n">
        <x:v>45838</x:v>
      </x:c>
      <x:c r="J3190" s="55" t="n">
        <x:v>1309</x:v>
      </x:c>
      <x:c r="K3190" s="55" t="n">
        <x:v>62144238310</x:v>
      </x:c>
      <x:c r="L3190" s="55" t="n">
        <x:v>47474590</x:v>
      </x:c>
      <x:c r="M3190" t="str">
        <x:v>20250320001156</x:v>
      </x:c>
      <x:c r="N3190" t="n">
        <x:v>45736.624999988424</x:v>
      </x:c>
      <x:c r="O3190" s="54" t="n">
        <x:v>45657</x:v>
      </x:c>
      <x:c r="P3190" t="str">
        <x:v>False</x:v>
      </x:c>
      <x:c r="Q3190" t="str">
        <x:v>b685ef75de2be36493fead8fba5a53ebf7b3f2a968a40c9efa56d3dd00b48e98</x:v>
      </x:c>
      <x:c r="R3190" t="str">
        <x:v>aa6e8d32d4333b0e8bbaacb8e4c78a70981592cac081cd73f9020f551d826684</x:v>
      </x:c>
      <x:c r="S3190" t="n">
        <x:v>6</x:v>
      </x:c>
      <x:c r="T3190" t="str">
        <x:v>2018-12-31|2019-12-31|2020-12-31|2021-12-31|2022-12-31|2023-12-31|2024-12-31</x:v>
      </x:c>
      <x:c r="U3190" s="57" t="n">
        <x:v>-5789.297709897163</x:v>
      </x:c>
      <x:c r="V3190" s="57" t="n">
        <x:v>-5.422687326124647</x:v>
      </x:c>
      <x:c r="W3190"/>
      <x:c r="X3190"/>
      <x:c r="Y3190" s="38" t="n">
        <x:v>0.6409090909090909</x:v>
      </x:c>
      <x:c r="Z3190" s="38" t="n">
        <x:v>0.7153986289447738</x:v>
      </x:c>
      <x:c r="AA3190" t="str">
        <x:v>NON_POSITIVE_EQUITY_VALUE</x:v>
      </x:c>
    </x:row>
    <x:row r="3191">
      <x:c r="A3191" s="54" t="n">
        <x:v>45838</x:v>
      </x:c>
      <x:c r="B3191" t="n">
        <x:v>45838.624999988424</x:v>
      </x:c>
      <x:c r="C3191" t="str">
        <x:v>134790</x:v>
      </x:c>
      <x:c r="D3191" t="str">
        <x:v>시디즈</x:v>
      </x:c>
      <x:c r="E3191" t="str">
        <x:v>KOSPI</x:v>
      </x:c>
      <x:c r="F3191" t="str">
        <x:v>SMALL</x:v>
      </x:c>
      <x:c r="G3191" t="str">
        <x:v>DCF_SCREENING_EXCLUSION</x:v>
      </x:c>
      <x:c r="H3191" t="str">
        <x:v>UNRELIABLE_TERMINAL_VALUE_SHARE</x:v>
      </x:c>
      <x:c r="I3191" s="54" t="n">
        <x:v>45838</x:v>
      </x:c>
      <x:c r="J3191" s="55" t="n">
        <x:v>31400</x:v>
      </x:c>
      <x:c r="K3191" s="55" t="n">
        <x:v>62800000000</x:v>
      </x:c>
      <x:c r="L3191" s="55" t="n">
        <x:v>2000000</x:v>
      </x:c>
      <x:c r="M3191" t="str">
        <x:v>20250328002312</x:v>
      </x:c>
      <x:c r="N3191" t="n">
        <x:v>45744.624999988424</x:v>
      </x:c>
      <x:c r="O3191" s="54" t="n">
        <x:v>45657</x:v>
      </x:c>
      <x:c r="P3191" t="str">
        <x:v>True</x:v>
      </x:c>
      <x:c r="Q3191" t="str">
        <x:v>cb985851932d5a2e544e3cc91bd4f3f2804004584658583eec2412589d5f69af</x:v>
      </x:c>
      <x:c r="R3191" t="str">
        <x:v>2f1a99d5465ddc5872be47420164dfe17a99e744fde9b3db000ff620f18a223f</x:v>
      </x:c>
      <x:c r="S3191" t="n">
        <x:v>6</x:v>
      </x:c>
      <x:c r="T3191" t="str">
        <x:v>2018-12-31|2019-12-31|2020-12-31|2021-12-31|2022-12-31|2023-12-31|2024-12-31</x:v>
      </x:c>
      <x:c r="U3191" s="57" t="n">
        <x:v>12330.527772252397</x:v>
      </x:c>
      <x:c r="V3191" s="57" t="n">
        <x:v>-0.6073080327308155</x:v>
      </x:c>
      <x:c r="W3191"/>
      <x:c r="X3191"/>
      <x:c r="Y3191" s="38" t="n">
        <x:v>0.6409090909090909</x:v>
      </x:c>
      <x:c r="Z3191" s="38" t="n">
        <x:v>1.09981550173828</x:v>
      </x:c>
      <x:c r="AA3191" t="str">
        <x:v>UNRELIABLE_TERMINAL_VALUE_SHARE</x:v>
      </x:c>
    </x:row>
    <x:row r="3192">
      <x:c r="A3192" s="54" t="n">
        <x:v>45838</x:v>
      </x:c>
      <x:c r="B3192" t="n">
        <x:v>45838.624999988424</x:v>
      </x:c>
      <x:c r="C3192" t="str">
        <x:v>004920</x:v>
      </x:c>
      <x:c r="D3192" t="str">
        <x:v>씨아이테크</x:v>
      </x:c>
      <x:c r="E3192" t="str">
        <x:v>KOSPI</x:v>
      </x:c>
      <x:c r="F3192" t="str">
        <x:v>SMALL</x:v>
      </x:c>
      <x:c r="G3192" t="str">
        <x:v>DCF_SCREENING_EXCLUSION</x:v>
      </x:c>
      <x:c r="H3192" t="str">
        <x:v>NON_POSITIVE_ENTERPRISE_VALUE|NON_POSITIVE_EQUITY_VALUE|NON_POSITIVE_TERMINAL_FCF</x:v>
      </x:c>
      <x:c r="I3192" s="54" t="n">
        <x:v>45838</x:v>
      </x:c>
      <x:c r="J3192" s="55" t="n">
        <x:v>1249</x:v>
      </x:c>
      <x:c r="K3192" s="55" t="n">
        <x:v>62532175457</x:v>
      </x:c>
      <x:c r="L3192" s="55" t="n">
        <x:v>50065793</x:v>
      </x:c>
      <x:c r="M3192" t="str">
        <x:v>20250321000753</x:v>
      </x:c>
      <x:c r="N3192" t="n">
        <x:v>45737.624999988424</x:v>
      </x:c>
      <x:c r="O3192" s="54" t="n">
        <x:v>45657</x:v>
      </x:c>
      <x:c r="P3192" t="str">
        <x:v>False</x:v>
      </x:c>
      <x:c r="Q3192" t="str">
        <x:v>4606073a08144d6a2a56e71ffc64dcaab42951eb56480e2afc1bc44d5186e920</x:v>
      </x:c>
      <x:c r="R3192" t="str">
        <x:v>a28345c7c43d50b0cf348240aa5fbf254a925a1c72684fc69a6af89f671ccb9a</x:v>
      </x:c>
      <x:c r="S3192" t="n">
        <x:v>6</x:v>
      </x:c>
      <x:c r="T3192" t="str">
        <x:v>2018-12-31|2019-12-31|2020-12-31|2021-12-31|2022-12-31|2024-12-31</x:v>
      </x:c>
      <x:c r="U3192" s="57" t="n">
        <x:v>-803.1174312182962</x:v>
      </x:c>
      <x:c r="V3192" s="57" t="n">
        <x:v>-1.6430083516559617</x:v>
      </x:c>
      <x:c r="W3192"/>
      <x:c r="X3192"/>
      <x:c r="Y3192" s="38" t="n">
        <x:v>0.6409090909090909</x:v>
      </x:c>
      <x:c r="Z3192" s="38" t="n">
        <x:v>0.5598566007081642</x:v>
      </x:c>
      <x:c r="AA3192" t="str">
        <x:v>NON_POSITIVE_ENTERPRISE_VALUE|NON_POSITIVE_EQUITY_VALUE|NON_POSITIVE_TERMINAL_FCF</x:v>
      </x:c>
    </x:row>
    <x:row r="3193">
      <x:c r="A3193" s="54" t="n">
        <x:v>45838</x:v>
      </x:c>
      <x:c r="B3193" t="n">
        <x:v>45838.624999988424</x:v>
      </x:c>
      <x:c r="C3193" t="str">
        <x:v>058730</x:v>
      </x:c>
      <x:c r="D3193" t="str">
        <x:v>다스코</x:v>
      </x:c>
      <x:c r="E3193" t="str">
        <x:v>KOSPI</x:v>
      </x:c>
      <x:c r="F3193" t="str">
        <x:v>SMALL</x:v>
      </x:c>
      <x:c r="G3193" t="str">
        <x:v>DCF_SCREENING_EXCLUSION</x:v>
      </x:c>
      <x:c r="H3193" t="str">
        <x:v>UNRELIABLE_TERMINAL_VALUE_SHARE</x:v>
      </x:c>
      <x:c r="I3193" s="54" t="n">
        <x:v>45838</x:v>
      </x:c>
      <x:c r="J3193" s="55" t="n">
        <x:v>3010</x:v>
      </x:c>
      <x:c r="K3193" s="55" t="n">
        <x:v>56578792410</x:v>
      </x:c>
      <x:c r="L3193" s="55" t="n">
        <x:v>18796941</x:v>
      </x:c>
      <x:c r="M3193" t="str">
        <x:v>20250314000954</x:v>
      </x:c>
      <x:c r="N3193" t="n">
        <x:v>45730.624999988424</x:v>
      </x:c>
      <x:c r="O3193" s="54" t="n">
        <x:v>45657</x:v>
      </x:c>
      <x:c r="P3193" t="str">
        <x:v>False</x:v>
      </x:c>
      <x:c r="Q3193" t="str">
        <x:v>fa1d8ec6a006c09e770c711aa7e4b87adadd981e96034f1b065f252260d0c46e</x:v>
      </x:c>
      <x:c r="R3193" t="str">
        <x:v>614c48babc6a1cfec15605db94e5f9e896887d76082d901b490b241f48590823</x:v>
      </x:c>
      <x:c r="S3193" t="n">
        <x:v>7</x:v>
      </x:c>
      <x:c r="T3193" t="str">
        <x:v>2019-12-31|2020-12-31|2021-12-31|2022-12-31|2023-12-31|2024-12-31</x:v>
      </x:c>
      <x:c r="U3193" s="57" t="n">
        <x:v>2140.7137085885065</x:v>
      </x:c>
      <x:c r="V3193" s="57" t="n">
        <x:v>-0.28879943236262234</x:v>
      </x:c>
      <x:c r="W3193"/>
      <x:c r="X3193"/>
      <x:c r="Y3193" s="38" t="n">
        <x:v>0.6409090909090909</x:v>
      </x:c>
      <x:c r="Z3193" s="38" t="n">
        <x:v>1.2046212679337829</x:v>
      </x:c>
      <x:c r="AA3193" t="str">
        <x:v>UNRELIABLE_TERMINAL_VALUE_SHARE</x:v>
      </x:c>
    </x:row>
    <x:row r="3194">
      <x:c r="A3194" s="54" t="n">
        <x:v>45838</x:v>
      </x:c>
      <x:c r="B3194" t="n">
        <x:v>45838.624999988424</x:v>
      </x:c>
      <x:c r="C3194" t="str">
        <x:v>465770</x:v>
      </x:c>
      <x:c r="D3194" t="str">
        <x:v>STX그린로지스</x:v>
      </x:c>
      <x:c r="E3194" t="str">
        <x:v>KOSPI</x:v>
      </x:c>
      <x:c r="F3194" t="str">
        <x:v>SMALL</x:v>
      </x:c>
      <x:c r="G3194" t="str">
        <x:v>DCF_SCREENING_EXCLUSION</x:v>
      </x:c>
      <x:c r="H3194" t="str">
        <x:v>NON_POSITIVE_EQUITY_VALUE</x:v>
      </x:c>
      <x:c r="I3194" s="54" t="n">
        <x:v>45838</x:v>
      </x:c>
      <x:c r="J3194" s="55" t="n">
        <x:v>8540</x:v>
      </x:c>
      <x:c r="K3194" s="55" t="n">
        <x:v>61240613280</x:v>
      </x:c>
      <x:c r="L3194" s="55" t="n">
        <x:v>7171032</x:v>
      </x:c>
      <x:c r="M3194" t="str">
        <x:v>20250320001570</x:v>
      </x:c>
      <x:c r="N3194" t="n">
        <x:v>45736.624999988424</x:v>
      </x:c>
      <x:c r="O3194" s="54" t="n">
        <x:v>45657</x:v>
      </x:c>
      <x:c r="P3194" t="str">
        <x:v>False</x:v>
      </x:c>
      <x:c r="Q3194" t="str">
        <x:v>d121e14c692cac8ceb602b9a7980a2acc3cea9da60dbd30b1ecbd780002c6e62</x:v>
      </x:c>
      <x:c r="R3194" t="str">
        <x:v>54e470457badd0c42cfa2d363b4ba2b6a74816f35a1067daae482dc1d10324a2</x:v>
      </x:c>
      <x:c r="S3194" t="n">
        <x:v>6</x:v>
      </x:c>
      <x:c r="T3194" t="str">
        <x:v>2024-12-31</x:v>
      </x:c>
      <x:c r="U3194" s="57" t="n">
        <x:v>-1760.214629273583</x:v>
      </x:c>
      <x:c r="V3194" s="57" t="n">
        <x:v>-1.2061141252076795</x:v>
      </x:c>
      <x:c r="W3194"/>
      <x:c r="X3194"/>
      <x:c r="Y3194" s="38" t="n">
        <x:v>0.6409090909090909</x:v>
      </x:c>
      <x:c r="Z3194" s="38" t="n">
        <x:v>0.6264850986190418</x:v>
      </x:c>
      <x:c r="AA3194" t="str">
        <x:v>NON_POSITIVE_EQUITY_VALUE</x:v>
      </x:c>
    </x:row>
    <x:row r="3195">
      <x:c r="A3195" s="54" t="n">
        <x:v>45838</x:v>
      </x:c>
      <x:c r="B3195" t="n">
        <x:v>45838.624999988424</x:v>
      </x:c>
      <x:c r="C3195" t="str">
        <x:v>000950</x:v>
      </x:c>
      <x:c r="D3195" t="str">
        <x:v>전방</x:v>
      </x:c>
      <x:c r="E3195" t="str">
        <x:v>KOSPI</x:v>
      </x:c>
      <x:c r="F3195" t="str">
        <x:v>SMALL</x:v>
      </x:c>
      <x:c r="G3195" t="str">
        <x:v>DCF_SCREENING_EXCLUSION</x:v>
      </x:c>
      <x:c r="H3195" t="str">
        <x:v>NON_POSITIVE_ENTERPRISE_VALUE|NON_POSITIVE_EQUITY_VALUE|NON_POSITIVE_TERMINAL_FCF</x:v>
      </x:c>
      <x:c r="I3195" s="54" t="n">
        <x:v>45838</x:v>
      </x:c>
      <x:c r="J3195" s="55" t="n">
        <x:v>36950</x:v>
      </x:c>
      <x:c r="K3195" s="55" t="n">
        <x:v>62076000000</x:v>
      </x:c>
      <x:c r="L3195" s="55" t="n">
        <x:v>1680000</x:v>
      </x:c>
      <x:c r="M3195" t="str">
        <x:v>20250320000970</x:v>
      </x:c>
      <x:c r="N3195" t="n">
        <x:v>45736.624999988424</x:v>
      </x:c>
      <x:c r="O3195" s="54" t="n">
        <x:v>45657</x:v>
      </x:c>
      <x:c r="P3195" t="str">
        <x:v>False</x:v>
      </x:c>
      <x:c r="Q3195" t="str">
        <x:v>695aedfb2a02c3c4f6e09847b7bd0f05294fc71c98cb8488ce971508e61dc96b</x:v>
      </x:c>
      <x:c r="R3195" t="str">
        <x:v>febbd5b4691684037ab0e3b282759dcb0f30967b0520b86dd0d824264328f009</x:v>
      </x:c>
      <x:c r="S3195" t="n">
        <x:v>6</x:v>
      </x:c>
      <x:c r="T3195" t="str">
        <x:v>2018-12-31|2019-12-31|2020-12-31|2021-12-31|2022-12-31|2023-12-31|2024-12-31</x:v>
      </x:c>
      <x:c r="U3195" s="57" t="n">
        <x:v>-34229.73384126007</x:v>
      </x:c>
      <x:c r="V3195" s="57" t="n">
        <x:v>-1.92637980625873</x:v>
      </x:c>
      <x:c r="W3195"/>
      <x:c r="X3195"/>
      <x:c r="Y3195" s="38" t="n">
        <x:v>0.6409090909090909</x:v>
      </x:c>
      <x:c r="Z3195" s="38" t="n">
        <x:v>0.67601505059011</x:v>
      </x:c>
      <x:c r="AA3195" t="str">
        <x:v>NON_POSITIVE_ENTERPRISE_VALUE|NON_POSITIVE_EQUITY_VALUE|NON_POSITIVE_TERMINAL_FCF</x:v>
      </x:c>
    </x:row>
    <x:row r="3196">
      <x:c r="A3196" s="54" t="n">
        <x:v>45838</x:v>
      </x:c>
      <x:c r="B3196" t="n">
        <x:v>45838.624999988424</x:v>
      </x:c>
      <x:c r="C3196" t="str">
        <x:v>019180</x:v>
      </x:c>
      <x:c r="D3196" t="str">
        <x:v>티에이치엔</x:v>
      </x:c>
      <x:c r="E3196" t="str">
        <x:v>KOSPI</x:v>
      </x:c>
      <x:c r="F3196" t="str">
        <x:v>SMALL</x:v>
      </x:c>
      <x:c r="G3196" t="str">
        <x:v>ELIGIBLE</x:v>
      </x:c>
      <x:c r="H3196"/>
      <x:c r="I3196" s="54" t="n">
        <x:v>45838</x:v>
      </x:c>
      <x:c r="J3196" s="55" t="n">
        <x:v>2875</x:v>
      </x:c>
      <x:c r="K3196" s="55" t="n">
        <x:v>51750000000</x:v>
      </x:c>
      <x:c r="L3196" s="55" t="n">
        <x:v>18000000</x:v>
      </x:c>
      <x:c r="M3196" t="str">
        <x:v>20250319001022</x:v>
      </x:c>
      <x:c r="N3196" t="n">
        <x:v>45735.624999988424</x:v>
      </x:c>
      <x:c r="O3196" s="54" t="n">
        <x:v>45657</x:v>
      </x:c>
      <x:c r="P3196" t="str">
        <x:v>False</x:v>
      </x:c>
      <x:c r="Q3196" t="str">
        <x:v>573f266eaebe16204c58a9dadb3dcdaa6152ac3917c11c554f66009c97884879</x:v>
      </x:c>
      <x:c r="R3196" t="str">
        <x:v>5c2cc694c9832735f982261b31d37532714d82e03b78684a246e3a97c2429987</x:v>
      </x:c>
      <x:c r="S3196" t="n">
        <x:v>6</x:v>
      </x:c>
      <x:c r="T3196" t="str">
        <x:v>2018-12-31|2019-12-31|2020-12-31|2021-12-31|2022-12-31|2023-12-31|2024-12-31</x:v>
      </x:c>
      <x:c r="U3196" s="57" t="n">
        <x:v>8989.47960606312</x:v>
      </x:c>
      <x:c r="V3196" s="57" t="n">
        <x:v>2.1267755151523895</x:v>
      </x:c>
      <x:c r="W3196" t="n">
        <x:v>3</x:v>
      </x:c>
      <x:c r="X3196" t="n">
        <x:v>1</x:v>
      </x:c>
      <x:c r="Y3196" s="38" t="n">
        <x:v>0.6409090909090909</x:v>
      </x:c>
      <x:c r="Z3196" s="38" t="n">
        <x:v>0.674716089310188</x:v>
      </x:c>
      <x:c r="AA3196"/>
    </x:row>
    <x:row r="3197">
      <x:c r="A3197" s="54" t="n">
        <x:v>45838</x:v>
      </x:c>
      <x:c r="B3197" t="n">
        <x:v>45838.624999988424</x:v>
      </x:c>
      <x:c r="C3197" t="str">
        <x:v>020760</x:v>
      </x:c>
      <x:c r="D3197" t="str">
        <x:v>일진디스플</x:v>
      </x:c>
      <x:c r="E3197" t="str">
        <x:v>KOSPI</x:v>
      </x:c>
      <x:c r="F3197" t="str">
        <x:v>SMALL</x:v>
      </x:c>
      <x:c r="G3197" t="str">
        <x:v>DCF_SCREENING_EXCLUSION</x:v>
      </x:c>
      <x:c r="H3197" t="str">
        <x:v>NON_POSITIVE_ENTERPRISE_VALUE|NON_POSITIVE_EQUITY_VALUE|NON_POSITIVE_TERMINAL_FCF</x:v>
      </x:c>
      <x:c r="I3197" s="54" t="n">
        <x:v>45838</x:v>
      </x:c>
      <x:c r="J3197" s="55" t="n">
        <x:v>1027</x:v>
      </x:c>
      <x:c r="K3197" s="55" t="n">
        <x:v>52904612007</x:v>
      </x:c>
      <x:c r="L3197" s="55" t="n">
        <x:v>51513741</x:v>
      </x:c>
      <x:c r="M3197" t="str">
        <x:v>20250320000779</x:v>
      </x:c>
      <x:c r="N3197" t="n">
        <x:v>45736.624999988424</x:v>
      </x:c>
      <x:c r="O3197" s="54" t="n">
        <x:v>45657</x:v>
      </x:c>
      <x:c r="P3197" t="str">
        <x:v>False</x:v>
      </x:c>
      <x:c r="Q3197" t="str">
        <x:v>16b8835561dc517a9382bd570df752c796d3792b155120b70f5f9625f768f5cf</x:v>
      </x:c>
      <x:c r="R3197" t="str">
        <x:v>bcfeb149ae389f115043d549814c300b4b0db4c5de38e3a26d6d3ef0be62ff18</x:v>
      </x:c>
      <x:c r="S3197" t="n">
        <x:v>6</x:v>
      </x:c>
      <x:c r="T3197" t="str">
        <x:v>2018-12-31|2019-12-31|2020-12-31|2021-12-31|2022-12-31|2023-12-31|2024-12-31</x:v>
      </x:c>
      <x:c r="U3197" s="57" t="n">
        <x:v>-1878.0025515690484</x:v>
      </x:c>
      <x:c r="V3197" s="57" t="n">
        <x:v>-2.828629553621274</x:v>
      </x:c>
      <x:c r="W3197"/>
      <x:c r="X3197"/>
      <x:c r="Y3197" s="38" t="n">
        <x:v>0.6409090909090909</x:v>
      </x:c>
      <x:c r="Z3197" s="38" t="n">
        <x:v>0.8007232961037322</x:v>
      </x:c>
      <x:c r="AA3197" t="str">
        <x:v>NON_POSITIVE_ENTERPRISE_VALUE|NON_POSITIVE_EQUITY_VALUE|NON_POSITIVE_TERMINAL_FCF</x:v>
      </x:c>
    </x:row>
    <x:row r="3198">
      <x:c r="A3198" s="54" t="n">
        <x:v>45838</x:v>
      </x:c>
      <x:c r="B3198" t="n">
        <x:v>45838.624999988424</x:v>
      </x:c>
      <x:c r="C3198" t="str">
        <x:v>069640</x:v>
      </x:c>
      <x:c r="D3198" t="str">
        <x:v>한세엠케이</x:v>
      </x:c>
      <x:c r="E3198" t="str">
        <x:v>KOSPI</x:v>
      </x:c>
      <x:c r="F3198" t="str">
        <x:v>SMALL</x:v>
      </x:c>
      <x:c r="G3198" t="str">
        <x:v>DCF_SCREENING_EXCLUSION</x:v>
      </x:c>
      <x:c r="H3198" t="str">
        <x:v>NON_POSITIVE_ENTERPRISE_VALUE|NON_POSITIVE_EQUITY_VALUE|NON_POSITIVE_TERMINAL_FCF</x:v>
      </x:c>
      <x:c r="I3198" s="54" t="n">
        <x:v>45838</x:v>
      </x:c>
      <x:c r="J3198" s="55" t="n">
        <x:v>1086</x:v>
      </x:c>
      <x:c r="K3198" s="55" t="n">
        <x:v>32695661172</x:v>
      </x:c>
      <x:c r="L3198" s="55" t="n">
        <x:v>30106502</x:v>
      </x:c>
      <x:c r="M3198" t="str">
        <x:v>20250318000981</x:v>
      </x:c>
      <x:c r="N3198" t="n">
        <x:v>45734.624999988424</x:v>
      </x:c>
      <x:c r="O3198" s="54" t="n">
        <x:v>45657</x:v>
      </x:c>
      <x:c r="P3198" t="str">
        <x:v>False</x:v>
      </x:c>
      <x:c r="Q3198" t="str">
        <x:v>9c58323ae1aac5c3f40ffa8edf007ceee6686444a02103d418f1ed14604a5192</x:v>
      </x:c>
      <x:c r="R3198" t="str">
        <x:v>fe0eb01acddbc7e8e59dc02117ad9b76925ce6c97658cb38a2196272fc052398</x:v>
      </x:c>
      <x:c r="S3198" t="n">
        <x:v>6</x:v>
      </x:c>
      <x:c r="T3198" t="str">
        <x:v>2018-12-31|2019-12-31|2020-12-31|2021-12-31|2022-12-31|2023-12-31|2024-12-31</x:v>
      </x:c>
      <x:c r="U3198" s="57" t="n">
        <x:v>-9714.1172164225</x:v>
      </x:c>
      <x:c r="V3198" s="57" t="n">
        <x:v>-9.94485931530617</x:v>
      </x:c>
      <x:c r="W3198"/>
      <x:c r="X3198"/>
      <x:c r="Y3198" s="38" t="n">
        <x:v>0.6409090909090909</x:v>
      </x:c>
      <x:c r="Z3198" s="38" t="n">
        <x:v>0.6496510441218734</x:v>
      </x:c>
      <x:c r="AA3198" t="str">
        <x:v>NON_POSITIVE_ENTERPRISE_VALUE|NON_POSITIVE_EQUITY_VALUE|NON_POSITIVE_TERMINAL_FCF</x:v>
      </x:c>
    </x:row>
    <x:row r="3199">
      <x:c r="A3199" s="54" t="n">
        <x:v>45838</x:v>
      </x:c>
      <x:c r="B3199" t="n">
        <x:v>45838.624999988424</x:v>
      </x:c>
      <x:c r="C3199" t="str">
        <x:v>000040</x:v>
      </x:c>
      <x:c r="D3199" t="str">
        <x:v>KR모터스</x:v>
      </x:c>
      <x:c r="E3199" t="str">
        <x:v>KOSPI</x:v>
      </x:c>
      <x:c r="F3199" t="str">
        <x:v>SMALL</x:v>
      </x:c>
      <x:c r="G3199" t="str">
        <x:v>DCF_SCREENING_EXCLUSION</x:v>
      </x:c>
      <x:c r="H3199" t="str">
        <x:v>NON_POSITIVE_ENTERPRISE_VALUE|NON_POSITIVE_EQUITY_VALUE|NON_POSITIVE_TERMINAL_FCF</x:v>
      </x:c>
      <x:c r="I3199" s="54" t="n">
        <x:v>45838</x:v>
      </x:c>
      <x:c r="J3199" s="55" t="n">
        <x:v>407</x:v>
      </x:c>
      <x:c r="K3199" s="55" t="n">
        <x:v>24474077276</x:v>
      </x:c>
      <x:c r="L3199" s="55" t="n">
        <x:v>60132868</x:v>
      </x:c>
      <x:c r="M3199" t="str">
        <x:v>20250319000576</x:v>
      </x:c>
      <x:c r="N3199" t="n">
        <x:v>45735.624999988424</x:v>
      </x:c>
      <x:c r="O3199" s="54" t="n">
        <x:v>45657</x:v>
      </x:c>
      <x:c r="P3199" t="str">
        <x:v>False</x:v>
      </x:c>
      <x:c r="Q3199" t="str">
        <x:v>4f5ab78e7a1b7476add909277456c1a4491388edb5f660301b186880dd65de8a</x:v>
      </x:c>
      <x:c r="R3199" t="str">
        <x:v>4788091e9dcdc8bc2510aeb6ed40fcfc22bdbd3141a793fe3bc85d445b2507cf</x:v>
      </x:c>
      <x:c r="S3199" t="n">
        <x:v>6</x:v>
      </x:c>
      <x:c r="T3199" t="str">
        <x:v>2018-12-31|2019-12-31|2020-12-31|2021-12-31|2022-12-31|2023-12-31|2024-12-31</x:v>
      </x:c>
      <x:c r="U3199" s="57" t="n">
        <x:v>-623.4667450650402</x:v>
      </x:c>
      <x:c r="V3199" s="57" t="n">
        <x:v>-2.5318593244841283</x:v>
      </x:c>
      <x:c r="W3199"/>
      <x:c r="X3199"/>
      <x:c r="Y3199" s="38" t="n">
        <x:v>0.6409090909090909</x:v>
      </x:c>
      <x:c r="Z3199" s="38" t="n">
        <x:v>0.5996076659126696</x:v>
      </x:c>
      <x:c r="AA3199" t="str">
        <x:v>NON_POSITIVE_ENTERPRISE_VALUE|NON_POSITIVE_EQUITY_VALUE|NON_POSITIVE_TERMINAL_FCF</x:v>
      </x:c>
    </x:row>
    <x:row r="3200">
      <x:c r="A3200" s="54" t="n">
        <x:v>45838</x:v>
      </x:c>
      <x:c r="B3200" t="n">
        <x:v>45838.624999988424</x:v>
      </x:c>
      <x:c r="C3200" t="str">
        <x:v>003680</x:v>
      </x:c>
      <x:c r="D3200" t="str">
        <x:v>한성기업</x:v>
      </x:c>
      <x:c r="E3200" t="str">
        <x:v>KOSPI</x:v>
      </x:c>
      <x:c r="F3200" t="str">
        <x:v>SMALL</x:v>
      </x:c>
      <x:c r="G3200" t="str">
        <x:v>ELIGIBLE</x:v>
      </x:c>
      <x:c r="H3200"/>
      <x:c r="I3200" s="54" t="n">
        <x:v>45838</x:v>
      </x:c>
      <x:c r="J3200" s="55" t="n">
        <x:v>5100</x:v>
      </x:c>
      <x:c r="K3200" s="55" t="n">
        <x:v>31668526500</x:v>
      </x:c>
      <x:c r="L3200" s="55" t="n">
        <x:v>6209515</x:v>
      </x:c>
      <x:c r="M3200" t="str">
        <x:v>20250318001322</x:v>
      </x:c>
      <x:c r="N3200" t="n">
        <x:v>45734.624999988424</x:v>
      </x:c>
      <x:c r="O3200" s="54" t="n">
        <x:v>45657</x:v>
      </x:c>
      <x:c r="P3200" t="str">
        <x:v>False</x:v>
      </x:c>
      <x:c r="Q3200" t="str">
        <x:v>5241605bdc758e0ffb8ed8129cf39dcec770d090d1f4fc731e1e9cf1bc134878</x:v>
      </x:c>
      <x:c r="R3200" t="str">
        <x:v>46dca6e7e2b5dcf66ade73d250129a28e775eaeefea52bebe6e134b3485e8e6f</x:v>
      </x:c>
      <x:c r="S3200" t="n">
        <x:v>7</x:v>
      </x:c>
      <x:c r="T3200" t="str">
        <x:v>2018-12-31|2019-12-31|2020-12-31|2021-12-31|2022-12-31|2023-12-31|2024-12-31</x:v>
      </x:c>
      <x:c r="U3200" s="57" t="n">
        <x:v>6589.2841745280675</x:v>
      </x:c>
      <x:c r="V3200" s="57" t="n">
        <x:v>0.29201650480942504</x:v>
      </x:c>
      <x:c r="W3200" t="n">
        <x:v>21</x:v>
      </x:c>
      <x:c r="X3200" t="n">
        <x:v>2</x:v>
      </x:c>
      <x:c r="Y3200" s="38" t="n">
        <x:v>0.6409090909090909</x:v>
      </x:c>
      <x:c r="Z3200" s="38" t="n">
        <x:v>0.5604404041626484</x:v>
      </x:c>
      <x:c r="AA3200"/>
    </x:row>
    <x:row r="3201">
      <x:c r="A3201" s="54" t="n">
        <x:v>45838</x:v>
      </x:c>
      <x:c r="B3201" t="n">
        <x:v>45838.624999988424</x:v>
      </x:c>
      <x:c r="C3201" t="str">
        <x:v>008600</x:v>
      </x:c>
      <x:c r="D3201" t="str">
        <x:v>윌비스</x:v>
      </x:c>
      <x:c r="E3201" t="str">
        <x:v>KOSPI</x:v>
      </x:c>
      <x:c r="F3201" t="str">
        <x:v>SMALL</x:v>
      </x:c>
      <x:c r="G3201" t="str">
        <x:v>DCF_SCREENING_EXCLUSION</x:v>
      </x:c>
      <x:c r="H3201" t="str">
        <x:v>NON_POSITIVE_ENTERPRISE_VALUE|NON_POSITIVE_EQUITY_VALUE|NON_POSITIVE_TERMINAL_FCF</x:v>
      </x:c>
      <x:c r="I3201" s="54" t="n">
        <x:v>45838</x:v>
      </x:c>
      <x:c r="J3201" s="55" t="n">
        <x:v>468</x:v>
      </x:c>
      <x:c r="K3201" s="55" t="n">
        <x:v>31466466252</x:v>
      </x:c>
      <x:c r="L3201" s="55" t="n">
        <x:v>67236039</x:v>
      </x:c>
      <x:c r="M3201" t="str">
        <x:v>20250327001289</x:v>
      </x:c>
      <x:c r="N3201" t="n">
        <x:v>45743.624999988424</x:v>
      </x:c>
      <x:c r="O3201" s="54" t="n">
        <x:v>45657</x:v>
      </x:c>
      <x:c r="P3201" t="str">
        <x:v>False</x:v>
      </x:c>
      <x:c r="Q3201" t="str">
        <x:v>568775c89ab7f3228b1a6d38af4e2946d92cf0673716b3c18208ea502609ef38</x:v>
      </x:c>
      <x:c r="R3201" t="str">
        <x:v>d956a0c82704e8133e88cfa62430f585474645b847691fe88b454e58037d3dd4</x:v>
      </x:c>
      <x:c r="S3201" t="n">
        <x:v>6</x:v>
      </x:c>
      <x:c r="T3201" t="str">
        <x:v>2018-12-31|2019-12-31|2020-12-31|2021-12-31|2022-12-31|2023-12-31|2024-12-31</x:v>
      </x:c>
      <x:c r="U3201" s="57" t="n">
        <x:v>-2844.6925454416023</x:v>
      </x:c>
      <x:c r="V3201" s="57" t="n">
        <x:v>-7.078402874875219</x:v>
      </x:c>
      <x:c r="W3201"/>
      <x:c r="X3201"/>
      <x:c r="Y3201" s="38" t="n">
        <x:v>0.6409090909090909</x:v>
      </x:c>
      <x:c r="Z3201" s="38" t="n">
        <x:v>0.4646642476024235</x:v>
      </x:c>
      <x:c r="AA3201" t="str">
        <x:v>NON_POSITIVE_ENTERPRISE_VALUE|NON_POSITIVE_EQUITY_VALUE|NON_POSITIVE_TERMINAL_FCF</x:v>
      </x:c>
    </x:row>
    <x:row r="3202">
      <x:c r="A3202" s="54" t="n">
        <x:v>45838</x:v>
      </x:c>
      <x:c r="B3202" t="n">
        <x:v>45838.624999988424</x:v>
      </x:c>
      <x:c r="C3202" t="str">
        <x:v>018310</x:v>
      </x:c>
      <x:c r="D3202" t="str">
        <x:v>삼목에스폼</x:v>
      </x:c>
      <x:c r="E3202" t="str">
        <x:v>KOSDAQ</x:v>
      </x:c>
      <x:c r="F3202" t="str">
        <x:v>MID</x:v>
      </x:c>
      <x:c r="G3202" t="str">
        <x:v>ELIGIBLE</x:v>
      </x:c>
      <x:c r="H3202"/>
      <x:c r="I3202" s="54" t="n">
        <x:v>45838</x:v>
      </x:c>
      <x:c r="J3202" s="55" t="n">
        <x:v>21300</x:v>
      </x:c>
      <x:c r="K3202" s="55" t="n">
        <x:v>313110000000</x:v>
      </x:c>
      <x:c r="L3202" s="55" t="n">
        <x:v>14700000</x:v>
      </x:c>
      <x:c r="M3202" t="str">
        <x:v>20250320001557</x:v>
      </x:c>
      <x:c r="N3202" t="n">
        <x:v>45736.624999988424</x:v>
      </x:c>
      <x:c r="O3202" s="54" t="n">
        <x:v>45657</x:v>
      </x:c>
      <x:c r="P3202" t="str">
        <x:v>False</x:v>
      </x:c>
      <x:c r="Q3202" t="str">
        <x:v>143b4484fd75ff7a47f5cc16f19390bb5cc41a3582e07f0208e5f7daafbac63c</x:v>
      </x:c>
      <x:c r="R3202" t="str">
        <x:v>878ba03abda96cfd7fd3a85c53ade97321db7faf3ccc10122c5d3cf6b7a576eb</x:v>
      </x:c>
      <x:c r="S3202" t="n">
        <x:v>7</x:v>
      </x:c>
      <x:c r="T3202" t="str">
        <x:v>2018-12-31|2019-12-31|2020-12-31|2021-12-31|2022-12-31|2023-12-31|2024-12-31</x:v>
      </x:c>
      <x:c r="U3202" s="57" t="n">
        <x:v>77823.44787466203</x:v>
      </x:c>
      <x:c r="V3202" s="57" t="n">
        <x:v>2.653682998810424</x:v>
      </x:c>
      <x:c r="W3202" t="n">
        <x:v>2</x:v>
      </x:c>
      <x:c r="X3202" t="n">
        <x:v>1</x:v>
      </x:c>
      <x:c r="Y3202" s="38" t="n">
        <x:v>0.6409090909090909</x:v>
      </x:c>
      <x:c r="Z3202" s="38" t="n">
        <x:v>0.6923848310222026</x:v>
      </x:c>
      <x:c r="AA3202"/>
    </x:row>
    <x:row r="3203">
      <x:c r="A3203" s="54" t="n">
        <x:v>45838</x:v>
      </x:c>
      <x:c r="B3203" t="n">
        <x:v>45838.624999988424</x:v>
      </x:c>
      <x:c r="C3203" t="str">
        <x:v>090360</x:v>
      </x:c>
      <x:c r="D3203" t="str">
        <x:v>로보스타</x:v>
      </x:c>
      <x:c r="E3203" t="str">
        <x:v>KOSDAQ</x:v>
      </x:c>
      <x:c r="F3203" t="str">
        <x:v>MID</x:v>
      </x:c>
      <x:c r="G3203" t="str">
        <x:v>DCF_SCREENING_EXCLUSION</x:v>
      </x:c>
      <x:c r="H3203" t="str">
        <x:v>NON_POSITIVE_ENTERPRISE_VALUE|NON_POSITIVE_TERMINAL_FCF|UNRELIABLE_TERMINAL_VALUE_SHARE</x:v>
      </x:c>
      <x:c r="I3203" s="54" t="n">
        <x:v>45838</x:v>
      </x:c>
      <x:c r="J3203" s="55" t="n">
        <x:v>29200</x:v>
      </x:c>
      <x:c r="K3203" s="55" t="n">
        <x:v>284700000000</x:v>
      </x:c>
      <x:c r="L3203" s="55" t="n">
        <x:v>9750000</x:v>
      </x:c>
      <x:c r="M3203" t="str">
        <x:v>20250313001105</x:v>
      </x:c>
      <x:c r="N3203" t="n">
        <x:v>45729.624999988424</x:v>
      </x:c>
      <x:c r="O3203" s="54" t="n">
        <x:v>45657</x:v>
      </x:c>
      <x:c r="P3203" t="str">
        <x:v>False</x:v>
      </x:c>
      <x:c r="Q3203" t="str">
        <x:v>26e45c537b6f2838a2381bc66ab038990f5de805ff8e8ecc9feb364708303158</x:v>
      </x:c>
      <x:c r="R3203" t="str">
        <x:v>75b05092f616451ff27bdd03babb1cfb602383368bedb95d27ef0de6f7bcaf85</x:v>
      </x:c>
      <x:c r="S3203" t="n">
        <x:v>5</x:v>
      </x:c>
      <x:c r="T3203" t="str">
        <x:v>2018-12-31|2019-12-31|2020-12-31|2021-12-31|2022-12-31|2023-12-31|2024-12-31</x:v>
      </x:c>
      <x:c r="U3203" s="57" t="n">
        <x:v>2662.2609233060643</x:v>
      </x:c>
      <x:c r="V3203" s="57" t="n">
        <x:v>-0.9088266807086964</x:v>
      </x:c>
      <x:c r="W3203"/>
      <x:c r="X3203"/>
      <x:c r="Y3203" s="38" t="n">
        <x:v>0.6409090909090909</x:v>
      </x:c>
      <x:c r="Z3203" s="38" t="n">
        <x:v>0.8762995317786666</x:v>
      </x:c>
      <x:c r="AA3203" t="str">
        <x:v>NON_POSITIVE_ENTERPRISE_VALUE|NON_POSITIVE_TERMINAL_FCF|UNRELIABLE_TERMINAL_VALUE_SHARE</x:v>
      </x:c>
    </x:row>
    <x:row r="3204">
      <x:c r="A3204" s="54" t="n">
        <x:v>45838</x:v>
      </x:c>
      <x:c r="B3204" t="n">
        <x:v>45838.624999988424</x:v>
      </x:c>
      <x:c r="C3204" t="str">
        <x:v>144960</x:v>
      </x:c>
      <x:c r="D3204" t="str">
        <x:v>뉴파워프라즈마</x:v>
      </x:c>
      <x:c r="E3204" t="str">
        <x:v>KOSDAQ</x:v>
      </x:c>
      <x:c r="F3204" t="str">
        <x:v>MID</x:v>
      </x:c>
      <x:c r="G3204" t="str">
        <x:v>ELIGIBLE</x:v>
      </x:c>
      <x:c r="H3204"/>
      <x:c r="I3204" s="54" t="n">
        <x:v>45838</x:v>
      </x:c>
      <x:c r="J3204" s="55" t="n">
        <x:v>5050</x:v>
      </x:c>
      <x:c r="K3204" s="55" t="n">
        <x:v>220647751200</x:v>
      </x:c>
      <x:c r="L3204" s="55" t="n">
        <x:v>43692624</x:v>
      </x:c>
      <x:c r="M3204" t="str">
        <x:v>20250324000690</x:v>
      </x:c>
      <x:c r="N3204" t="n">
        <x:v>45740.624999988424</x:v>
      </x:c>
      <x:c r="O3204" s="54" t="n">
        <x:v>45657</x:v>
      </x:c>
      <x:c r="P3204" t="str">
        <x:v>True</x:v>
      </x:c>
      <x:c r="Q3204" t="str">
        <x:v>0f78d90a8c907ce591baf7d7c77329193639e9c00e10cc7031b2492324fb5443</x:v>
      </x:c>
      <x:c r="R3204" t="str">
        <x:v>5dbe41559ac546aed42726eb6edc56bba1e9e7097927de2b5ab6c6309a185e9f</x:v>
      </x:c>
      <x:c r="S3204" t="n">
        <x:v>6</x:v>
      </x:c>
      <x:c r="T3204" t="str">
        <x:v>2018-12-31|2019-12-31|2020-12-31|2021-12-31|2022-12-31|2023-12-31|2024-12-31</x:v>
      </x:c>
      <x:c r="U3204" s="57" t="n">
        <x:v>85.04589892434575</x:v>
      </x:c>
      <x:c r="V3204" s="57" t="n">
        <x:v>-0.9831592279357732</x:v>
      </x:c>
      <x:c r="W3204" t="n">
        <x:v>66</x:v>
      </x:c>
      <x:c r="X3204" t="n">
        <x:v>5</x:v>
      </x:c>
      <x:c r="Y3204" s="38" t="n">
        <x:v>0.6409090909090909</x:v>
      </x:c>
      <x:c r="Z3204" s="38" t="n">
        <x:v>0.8401481986839568</x:v>
      </x:c>
      <x:c r="AA3204"/>
    </x:row>
    <x:row r="3205">
      <x:c r="A3205" s="54" t="n">
        <x:v>45838</x:v>
      </x:c>
      <x:c r="B3205" t="n">
        <x:v>45838.624999988424</x:v>
      </x:c>
      <x:c r="C3205" t="str">
        <x:v>065660</x:v>
      </x:c>
      <x:c r="D3205" t="str">
        <x:v>안트로젠</x:v>
      </x:c>
      <x:c r="E3205" t="str">
        <x:v>KOSDAQ</x:v>
      </x:c>
      <x:c r="F3205" t="str">
        <x:v>MID</x:v>
      </x:c>
      <x:c r="G3205" t="str">
        <x:v>DCF_SCREENING_EXCLUSION</x:v>
      </x:c>
      <x:c r="H3205" t="str">
        <x:v>NON_POSITIVE_ENTERPRISE_VALUE|NON_POSITIVE_EQUITY_VALUE|NON_POSITIVE_TERMINAL_FCF</x:v>
      </x:c>
      <x:c r="I3205" s="54" t="n">
        <x:v>45838</x:v>
      </x:c>
      <x:c r="J3205" s="55" t="n">
        <x:v>21900</x:v>
      </x:c>
      <x:c r="K3205" s="55" t="n">
        <x:v>219133590000</x:v>
      </x:c>
      <x:c r="L3205" s="55" t="n">
        <x:v>10006100</x:v>
      </x:c>
      <x:c r="M3205" t="str">
        <x:v>20250313000775</x:v>
      </x:c>
      <x:c r="N3205" t="n">
        <x:v>45729.624999988424</x:v>
      </x:c>
      <x:c r="O3205" s="54" t="n">
        <x:v>45657</x:v>
      </x:c>
      <x:c r="P3205" t="str">
        <x:v>False</x:v>
      </x:c>
      <x:c r="Q3205" t="str">
        <x:v>2ceafd4c116814e005a848414a49b25b5e40b06da9996819312c999815f64e29</x:v>
      </x:c>
      <x:c r="R3205" t="str">
        <x:v>9b5b9838fa482c6784ee24360dcfd1395efba84f779a56d46ce617ea3d57451b</x:v>
      </x:c>
      <x:c r="S3205" t="n">
        <x:v>5</x:v>
      </x:c>
      <x:c r="T3205" t="str">
        <x:v>2018-12-31|2019-12-31|2020-12-31|2021-12-31|2023-12-31|2024-12-31</x:v>
      </x:c>
      <x:c r="U3205" s="57" t="n">
        <x:v>-1756.5817853233727</x:v>
      </x:c>
      <x:c r="V3205" s="57" t="n">
        <x:v>-1.0802092139417065</x:v>
      </x:c>
      <x:c r="W3205"/>
      <x:c r="X3205"/>
      <x:c r="Y3205" s="38" t="n">
        <x:v>0.6409090909090909</x:v>
      </x:c>
      <x:c r="Z3205" s="38" t="n">
        <x:v>0.6671375319521345</x:v>
      </x:c>
      <x:c r="AA3205" t="str">
        <x:v>NON_POSITIVE_ENTERPRISE_VALUE|NON_POSITIVE_EQUITY_VALUE|NON_POSITIVE_TERMINAL_FCF</x:v>
      </x:c>
    </x:row>
    <x:row r="3206">
      <x:c r="A3206" s="54" t="n">
        <x:v>45838</x:v>
      </x:c>
      <x:c r="B3206" t="n">
        <x:v>45838.624999988424</x:v>
      </x:c>
      <x:c r="C3206" t="str">
        <x:v>255220</x:v>
      </x:c>
      <x:c r="D3206" t="str">
        <x:v>SG</x:v>
      </x:c>
      <x:c r="E3206" t="str">
        <x:v>KOSDAQ</x:v>
      </x:c>
      <x:c r="F3206" t="str">
        <x:v>MID</x:v>
      </x:c>
      <x:c r="G3206" t="str">
        <x:v>DCF_SCREENING_EXCLUSION</x:v>
      </x:c>
      <x:c r="H3206" t="str">
        <x:v>NON_POSITIVE_ENTERPRISE_VALUE|NON_POSITIVE_EQUITY_VALUE|NON_POSITIVE_TERMINAL_FCF</x:v>
      </x:c>
      <x:c r="I3206" s="54" t="n">
        <x:v>45838</x:v>
      </x:c>
      <x:c r="J3206" s="55" t="n">
        <x:v>2220</x:v>
      </x:c>
      <x:c r="K3206" s="55" t="n">
        <x:v>219047240160</x:v>
      </x:c>
      <x:c r="L3206" s="55" t="n">
        <x:v>98669928</x:v>
      </x:c>
      <x:c r="M3206" t="str">
        <x:v>20250318000939</x:v>
      </x:c>
      <x:c r="N3206" t="n">
        <x:v>45734.624999988424</x:v>
      </x:c>
      <x:c r="O3206" s="54" t="n">
        <x:v>45657</x:v>
      </x:c>
      <x:c r="P3206" t="str">
        <x:v>False</x:v>
      </x:c>
      <x:c r="Q3206" t="str">
        <x:v>21161b34d363c761ec9ff6a75d7ced575dcfc9cefd8742cfc9677930b6f8f357</x:v>
      </x:c>
      <x:c r="R3206" t="str">
        <x:v>b2c23fcc790a88c59740dd4a0b037902930a79739124629b243596a67c738508</x:v>
      </x:c>
      <x:c r="S3206" t="n">
        <x:v>6</x:v>
      </x:c>
      <x:c r="T3206" t="str">
        <x:v>2018-12-31|2019-12-31|2020-12-31|2021-12-31|2022-12-31|2023-12-31|2024-12-31</x:v>
      </x:c>
      <x:c r="U3206" s="57" t="n">
        <x:v>-357.1906433933134</x:v>
      </x:c>
      <x:c r="V3206" s="57" t="n">
        <x:v>-1.1608966862132042</x:v>
      </x:c>
      <x:c r="W3206"/>
      <x:c r="X3206"/>
      <x:c r="Y3206" s="38" t="n">
        <x:v>0.6409090909090909</x:v>
      </x:c>
      <x:c r="Z3206" s="38" t="n">
        <x:v>0.4427730011554671</x:v>
      </x:c>
      <x:c r="AA3206" t="str">
        <x:v>NON_POSITIVE_ENTERPRISE_VALUE|NON_POSITIVE_EQUITY_VALUE|NON_POSITIVE_TERMINAL_FCF</x:v>
      </x:c>
    </x:row>
    <x:row r="3207">
      <x:c r="A3207" s="54" t="n">
        <x:v>45838</x:v>
      </x:c>
      <x:c r="B3207" t="n">
        <x:v>45838.624999988424</x:v>
      </x:c>
      <x:c r="C3207" t="str">
        <x:v>356680</x:v>
      </x:c>
      <x:c r="D3207" t="str">
        <x:v>엑스게이트</x:v>
      </x:c>
      <x:c r="E3207" t="str">
        <x:v>KOSDAQ</x:v>
      </x:c>
      <x:c r="F3207" t="str">
        <x:v>MID</x:v>
      </x:c>
      <x:c r="G3207" t="str">
        <x:v>DCF_SCREENING_EXCLUSION</x:v>
      </x:c>
      <x:c r="H3207" t="str">
        <x:v>UNRELIABLE_TERMINAL_VALUE_SHARE</x:v>
      </x:c>
      <x:c r="I3207" s="54" t="n">
        <x:v>45838</x:v>
      </x:c>
      <x:c r="J3207" s="55" t="n">
        <x:v>8300</x:v>
      </x:c>
      <x:c r="K3207" s="55" t="n">
        <x:v>236910983600</x:v>
      </x:c>
      <x:c r="L3207" s="55" t="n">
        <x:v>28543492</x:v>
      </x:c>
      <x:c r="M3207" t="str">
        <x:v>20250319000691</x:v>
      </x:c>
      <x:c r="N3207" t="n">
        <x:v>45735.624999988424</x:v>
      </x:c>
      <x:c r="O3207" s="54" t="n">
        <x:v>45657</x:v>
      </x:c>
      <x:c r="P3207" t="str">
        <x:v>False</x:v>
      </x:c>
      <x:c r="Q3207" t="str">
        <x:v>1e727de7b15978db733b6e32a6e9c0f1eb8a5e18e2753f9463f12a17d4198a0d</x:v>
      </x:c>
      <x:c r="R3207" t="str">
        <x:v>3b4e2b9ea53c4f1c474fcc31a5f13c06037396ed3946f7a4dc016d49d9f20655</x:v>
      </x:c>
      <x:c r="S3207" t="n">
        <x:v>7</x:v>
      </x:c>
      <x:c r="T3207" t="str">
        <x:v>2022-12-31|2023-12-31|2024-12-31</x:v>
      </x:c>
      <x:c r="U3207" s="57" t="n">
        <x:v>456.07271545457144</x:v>
      </x:c>
      <x:c r="V3207" s="57" t="n">
        <x:v>-0.9450514800657143</x:v>
      </x:c>
      <x:c r="W3207"/>
      <x:c r="X3207"/>
      <x:c r="Y3207" s="38" t="n">
        <x:v>0.6409090909090909</x:v>
      </x:c>
      <x:c r="Z3207" s="38" t="n">
        <x:v>1.8777652303190557</x:v>
      </x:c>
      <x:c r="AA3207" t="str">
        <x:v>UNRELIABLE_TERMINAL_VALUE_SHARE</x:v>
      </x:c>
    </x:row>
    <x:row r="3208">
      <x:c r="A3208" s="54" t="n">
        <x:v>45838</x:v>
      </x:c>
      <x:c r="B3208" t="n">
        <x:v>45838.624999988424</x:v>
      </x:c>
      <x:c r="C3208" t="str">
        <x:v>038390</x:v>
      </x:c>
      <x:c r="D3208" t="str">
        <x:v>레드캡투어</x:v>
      </x:c>
      <x:c r="E3208" t="str">
        <x:v>KOSDAQ</x:v>
      </x:c>
      <x:c r="F3208" t="str">
        <x:v>MID</x:v>
      </x:c>
      <x:c r="G3208" t="str">
        <x:v>ELIGIBLE</x:v>
      </x:c>
      <x:c r="H3208"/>
      <x:c r="I3208" s="54" t="n">
        <x:v>45838</x:v>
      </x:c>
      <x:c r="J3208" s="55" t="n">
        <x:v>11670</x:v>
      </x:c>
      <x:c r="K3208" s="55" t="n">
        <x:v>195131992740</x:v>
      </x:c>
      <x:c r="L3208" s="55" t="n">
        <x:v>16720822</x:v>
      </x:c>
      <x:c r="M3208" t="str">
        <x:v>20250320001478</x:v>
      </x:c>
      <x:c r="N3208" t="n">
        <x:v>45736.624999988424</x:v>
      </x:c>
      <x:c r="O3208" s="54" t="n">
        <x:v>45657</x:v>
      </x:c>
      <x:c r="P3208" t="str">
        <x:v>False</x:v>
      </x:c>
      <x:c r="Q3208" t="str">
        <x:v>67bcd6369c58872313ac6b33e13c53a0fb84018ffd14618f38a855bd1550dfb8</x:v>
      </x:c>
      <x:c r="R3208" t="str">
        <x:v>a51e0b54ef9de954b8905f61c83ec02bc19a394780ef932fca0a829af4ea0563</x:v>
      </x:c>
      <x:c r="S3208" t="n">
        <x:v>7</x:v>
      </x:c>
      <x:c r="T3208" t="str">
        <x:v>2018-12-31|2019-12-31|2020-12-31|2021-12-31|2022-12-31|2023-12-31|2024-12-31</x:v>
      </x:c>
      <x:c r="U3208" s="57" t="n">
        <x:v>27403.972015623454</x:v>
      </x:c>
      <x:c r="V3208" s="57" t="n">
        <x:v>1.3482409610645636</x:v>
      </x:c>
      <x:c r="W3208" t="n">
        <x:v>6</x:v>
      </x:c>
      <x:c r="X3208" t="n">
        <x:v>1</x:v>
      </x:c>
      <x:c r="Y3208" s="38" t="n">
        <x:v>0.6409090909090909</x:v>
      </x:c>
      <x:c r="Z3208" s="38" t="n">
        <x:v>0.6692880839920571</x:v>
      </x:c>
      <x:c r="AA3208"/>
    </x:row>
    <x:row r="3209">
      <x:c r="A3209" s="54" t="n">
        <x:v>45838</x:v>
      </x:c>
      <x:c r="B3209" t="n">
        <x:v>45838.624999988424</x:v>
      </x:c>
      <x:c r="C3209" t="str">
        <x:v>083930</x:v>
      </x:c>
      <x:c r="D3209" t="str">
        <x:v>아바코</x:v>
      </x:c>
      <x:c r="E3209" t="str">
        <x:v>KOSDAQ</x:v>
      </x:c>
      <x:c r="F3209" t="str">
        <x:v>MID</x:v>
      </x:c>
      <x:c r="G3209" t="str">
        <x:v>ELIGIBLE</x:v>
      </x:c>
      <x:c r="H3209"/>
      <x:c r="I3209" s="54" t="n">
        <x:v>45838</x:v>
      </x:c>
      <x:c r="J3209" s="55" t="n">
        <x:v>12100</x:v>
      </x:c>
      <x:c r="K3209" s="55" t="n">
        <x:v>177594712900</x:v>
      </x:c>
      <x:c r="L3209" s="55" t="n">
        <x:v>14677249</x:v>
      </x:c>
      <x:c r="M3209" t="str">
        <x:v>20250318000894</x:v>
      </x:c>
      <x:c r="N3209" t="n">
        <x:v>45734.624999988424</x:v>
      </x:c>
      <x:c r="O3209" s="54" t="n">
        <x:v>45657</x:v>
      </x:c>
      <x:c r="P3209" t="str">
        <x:v>False</x:v>
      </x:c>
      <x:c r="Q3209" t="str">
        <x:v>b3521e2205b2704514c3d0d24f9120d5e83e77d950050eafddbc363b8ff42145</x:v>
      </x:c>
      <x:c r="R3209" t="str">
        <x:v>3942dcd76e00ca6982a75db5c2bc052948e293fe5cfcea7fa7e42b3159381c7a</x:v>
      </x:c>
      <x:c r="S3209" t="n">
        <x:v>7</x:v>
      </x:c>
      <x:c r="T3209" t="str">
        <x:v>2018-12-31|2019-12-31|2020-12-31|2021-12-31|2022-12-31|2023-12-31|2024-12-31</x:v>
      </x:c>
      <x:c r="U3209" s="57" t="n">
        <x:v>9906.632508757055</x:v>
      </x:c>
      <x:c r="V3209" s="57" t="n">
        <x:v>-0.18127004059859042</x:v>
      </x:c>
      <x:c r="W3209" t="n">
        <x:v>23</x:v>
      </x:c>
      <x:c r="X3209" t="n">
        <x:v>2</x:v>
      </x:c>
      <x:c r="Y3209" s="38" t="n">
        <x:v>0.6409090909090909</x:v>
      </x:c>
      <x:c r="Z3209" s="38" t="n">
        <x:v>0.5546297344265984</x:v>
      </x:c>
      <x:c r="AA3209"/>
    </x:row>
    <x:row r="3210">
      <x:c r="A3210" s="54" t="n">
        <x:v>45838</x:v>
      </x:c>
      <x:c r="B3210" t="n">
        <x:v>45838.624999988424</x:v>
      </x:c>
      <x:c r="C3210" t="str">
        <x:v>089600</x:v>
      </x:c>
      <x:c r="D3210" t="str">
        <x:v>KT나스미디어</x:v>
      </x:c>
      <x:c r="E3210" t="str">
        <x:v>KOSDAQ</x:v>
      </x:c>
      <x:c r="F3210" t="str">
        <x:v>MID</x:v>
      </x:c>
      <x:c r="G3210" t="str">
        <x:v>ELIGIBLE</x:v>
      </x:c>
      <x:c r="H3210"/>
      <x:c r="I3210" s="54" t="n">
        <x:v>45838</x:v>
      </x:c>
      <x:c r="J3210" s="55" t="n">
        <x:v>17010</x:v>
      </x:c>
      <x:c r="K3210" s="55" t="n">
        <x:v>196774452630</x:v>
      </x:c>
      <x:c r="L3210" s="55" t="n">
        <x:v>11568163</x:v>
      </x:c>
      <x:c r="M3210" t="str">
        <x:v>20250320000791</x:v>
      </x:c>
      <x:c r="N3210" t="n">
        <x:v>45736.624999988424</x:v>
      </x:c>
      <x:c r="O3210" s="54" t="n">
        <x:v>45657</x:v>
      </x:c>
      <x:c r="P3210" t="str">
        <x:v>False</x:v>
      </x:c>
      <x:c r="Q3210" t="str">
        <x:v>fd1f109f4067daa35bc799c7548aa8684ddaaf17ee92db1ee9f7eef8be9771fe</x:v>
      </x:c>
      <x:c r="R3210" t="str">
        <x:v>632be81c57e6db7cf7303cff961a215690db511ca245d0f8956f8cba104a8c88</x:v>
      </x:c>
      <x:c r="S3210" t="n">
        <x:v>6</x:v>
      </x:c>
      <x:c r="T3210" t="str">
        <x:v>2019-12-31|2020-12-31|2021-12-31|2022-12-31|2023-12-31|2024-12-31</x:v>
      </x:c>
      <x:c r="U3210" s="57" t="n">
        <x:v>24511.501692637525</x:v>
      </x:c>
      <x:c r="V3210" s="57" t="n">
        <x:v>0.4410053905136698</x:v>
      </x:c>
      <x:c r="W3210" t="n">
        <x:v>15</x:v>
      </x:c>
      <x:c r="X3210" t="n">
        <x:v>2</x:v>
      </x:c>
      <x:c r="Y3210" s="38" t="n">
        <x:v>0.6409090909090909</x:v>
      </x:c>
      <x:c r="Z3210" s="38" t="n">
        <x:v>0.7087130694190394</x:v>
      </x:c>
      <x:c r="AA3210"/>
    </x:row>
    <x:row r="3211">
      <x:c r="A3211" s="54" t="n">
        <x:v>45838</x:v>
      </x:c>
      <x:c r="B3211" t="n">
        <x:v>45838.624999988424</x:v>
      </x:c>
      <x:c r="C3211" t="str">
        <x:v>091120</x:v>
      </x:c>
      <x:c r="D3211" t="str">
        <x:v>이엠텍</x:v>
      </x:c>
      <x:c r="E3211" t="str">
        <x:v>KOSDAQ</x:v>
      </x:c>
      <x:c r="F3211" t="str">
        <x:v>MID</x:v>
      </x:c>
      <x:c r="G3211" t="str">
        <x:v>DCF_SCREENING_EXCLUSION</x:v>
      </x:c>
      <x:c r="H3211" t="str">
        <x:v>NON_POSITIVE_ENTERPRISE_VALUE|NON_POSITIVE_EQUITY_VALUE|NON_POSITIVE_TERMINAL_FCF</x:v>
      </x:c>
      <x:c r="I3211" s="54" t="n">
        <x:v>45838</x:v>
      </x:c>
      <x:c r="J3211" s="55" t="n">
        <x:v>9920</x:v>
      </x:c>
      <x:c r="K3211" s="55" t="n">
        <x:v>169958725120</x:v>
      </x:c>
      <x:c r="L3211" s="55" t="n">
        <x:v>17132936</x:v>
      </x:c>
      <x:c r="M3211" t="str">
        <x:v>20250318000325</x:v>
      </x:c>
      <x:c r="N3211" t="n">
        <x:v>45734.624999988424</x:v>
      </x:c>
      <x:c r="O3211" s="54" t="n">
        <x:v>45657</x:v>
      </x:c>
      <x:c r="P3211" t="str">
        <x:v>False</x:v>
      </x:c>
      <x:c r="Q3211" t="str">
        <x:v>bbde6b801951bfd9e20218a2f6879cba531f6607e02452bbc79ed0261a6fa116</x:v>
      </x:c>
      <x:c r="R3211" t="str">
        <x:v>9b1e85619d70832b303b32748eff0677f25cf8c11c7f183f42bd5e0b596b20e9</x:v>
      </x:c>
      <x:c r="S3211" t="n">
        <x:v>6</x:v>
      </x:c>
      <x:c r="T3211" t="str">
        <x:v>2018-12-31|2019-12-31|2020-12-31|2021-12-31|2022-12-31|2023-12-31|2024-12-31</x:v>
      </x:c>
      <x:c r="U3211" s="57" t="n">
        <x:v>-8240.993846715857</x:v>
      </x:c>
      <x:c r="V3211" s="57" t="n">
        <x:v>-1.8307453474511954</x:v>
      </x:c>
      <x:c r="W3211"/>
      <x:c r="X3211"/>
      <x:c r="Y3211" s="38" t="n">
        <x:v>0.6409090909090909</x:v>
      </x:c>
      <x:c r="Z3211" s="38" t="n">
        <x:v>0.31463718232834725</x:v>
      </x:c>
      <x:c r="AA3211" t="str">
        <x:v>NON_POSITIVE_ENTERPRISE_VALUE|NON_POSITIVE_EQUITY_VALUE|NON_POSITIVE_TERMINAL_FCF</x:v>
      </x:c>
    </x:row>
    <x:row r="3212">
      <x:c r="A3212" s="54" t="n">
        <x:v>45838</x:v>
      </x:c>
      <x:c r="B3212" t="n">
        <x:v>45838.624999988424</x:v>
      </x:c>
      <x:c r="C3212" t="str">
        <x:v>353810</x:v>
      </x:c>
      <x:c r="D3212" t="str">
        <x:v>이지바이오</x:v>
      </x:c>
      <x:c r="E3212" t="str">
        <x:v>KOSDAQ</x:v>
      </x:c>
      <x:c r="F3212" t="str">
        <x:v>MID</x:v>
      </x:c>
      <x:c r="G3212" t="str">
        <x:v>ELIGIBLE</x:v>
      </x:c>
      <x:c r="H3212"/>
      <x:c r="I3212" s="54" t="n">
        <x:v>45838</x:v>
      </x:c>
      <x:c r="J3212" s="55" t="n">
        <x:v>4990</x:v>
      </x:c>
      <x:c r="K3212" s="55" t="n">
        <x:v>165078780800</x:v>
      </x:c>
      <x:c r="L3212" s="55" t="n">
        <x:v>33081920</x:v>
      </x:c>
      <x:c r="M3212" t="str">
        <x:v>20250321001235</x:v>
      </x:c>
      <x:c r="N3212" t="n">
        <x:v>45737.624999988424</x:v>
      </x:c>
      <x:c r="O3212" s="54" t="n">
        <x:v>45657</x:v>
      </x:c>
      <x:c r="P3212" t="str">
        <x:v>False</x:v>
      </x:c>
      <x:c r="Q3212" t="str">
        <x:v>6d5cc301a2efa14d095945ce06813f062cc6629607e4357cc387c49d3e4eb2e2</x:v>
      </x:c>
      <x:c r="R3212" t="str">
        <x:v>bd3cbb712d512794e2bf3e90c8463e503e9fd766af29ec309fac626c46833185</x:v>
      </x:c>
      <x:c r="S3212" t="n">
        <x:v>6</x:v>
      </x:c>
      <x:c r="T3212" t="str">
        <x:v>2021-12-31|2022-12-31|2023-12-31|2024-12-31</x:v>
      </x:c>
      <x:c r="U3212" s="57" t="n">
        <x:v>13370.821817079626</x:v>
      </x:c>
      <x:c r="V3212" s="57" t="n">
        <x:v>1.6795234102363983</x:v>
      </x:c>
      <x:c r="W3212" t="n">
        <x:v>5</x:v>
      </x:c>
      <x:c r="X3212" t="n">
        <x:v>1</x:v>
      </x:c>
      <x:c r="Y3212" s="38" t="n">
        <x:v>0.6409090909090909</x:v>
      </x:c>
      <x:c r="Z3212" s="38" t="n">
        <x:v>0.742395009509296</x:v>
      </x:c>
      <x:c r="AA3212"/>
    </x:row>
    <x:row r="3213">
      <x:c r="A3213" s="54" t="n">
        <x:v>45838</x:v>
      </x:c>
      <x:c r="B3213" t="n">
        <x:v>45838.624999988424</x:v>
      </x:c>
      <x:c r="C3213" t="str">
        <x:v>203650</x:v>
      </x:c>
      <x:c r="D3213" t="str">
        <x:v>드림시큐리티</x:v>
      </x:c>
      <x:c r="E3213" t="str">
        <x:v>KOSDAQ</x:v>
      </x:c>
      <x:c r="F3213" t="str">
        <x:v>MID</x:v>
      </x:c>
      <x:c r="G3213" t="str">
        <x:v>ELIGIBLE</x:v>
      </x:c>
      <x:c r="H3213"/>
      <x:c r="I3213" s="54" t="n">
        <x:v>45838</x:v>
      </x:c>
      <x:c r="J3213" s="55" t="n">
        <x:v>3760</x:v>
      </x:c>
      <x:c r="K3213" s="55" t="n">
        <x:v>190277635040</x:v>
      </x:c>
      <x:c r="L3213" s="55" t="n">
        <x:v>50605754</x:v>
      </x:c>
      <x:c r="M3213" t="str">
        <x:v>20250318001191</x:v>
      </x:c>
      <x:c r="N3213" t="n">
        <x:v>45734.624999988424</x:v>
      </x:c>
      <x:c r="O3213" s="54" t="n">
        <x:v>45657</x:v>
      </x:c>
      <x:c r="P3213" t="str">
        <x:v>False</x:v>
      </x:c>
      <x:c r="Q3213" t="str">
        <x:v>cad166863b3f1de651893c7b9a29d8a1830030233da004d22717f0480b318624</x:v>
      </x:c>
      <x:c r="R3213" t="str">
        <x:v>0905aab91f9578264a1b97c7ff21ad61d9afebb4e0e862cf931b15a5f00b0843</x:v>
      </x:c>
      <x:c r="S3213" t="n">
        <x:v>6</x:v>
      </x:c>
      <x:c r="T3213" t="str">
        <x:v>2018-12-31|2019-12-31|2020-12-31|2021-12-31|2022-12-31|2023-12-31|2024-12-31</x:v>
      </x:c>
      <x:c r="U3213" s="57" t="n">
        <x:v>2898.2179980814967</x:v>
      </x:c>
      <x:c r="V3213" s="57" t="n">
        <x:v>-0.22919734093577215</x:v>
      </x:c>
      <x:c r="W3213" t="n">
        <x:v>31</x:v>
      </x:c>
      <x:c r="X3213" t="n">
        <x:v>3</x:v>
      </x:c>
      <x:c r="Y3213" s="38" t="n">
        <x:v>0.6409090909090909</x:v>
      </x:c>
      <x:c r="Z3213" s="38" t="n">
        <x:v>0.6847587029208964</x:v>
      </x:c>
      <x:c r="AA3213"/>
    </x:row>
    <x:row r="3214">
      <x:c r="A3214" s="54" t="n">
        <x:v>45838</x:v>
      </x:c>
      <x:c r="B3214" t="n">
        <x:v>45838.624999988424</x:v>
      </x:c>
      <x:c r="C3214" t="str">
        <x:v>251120</x:v>
      </x:c>
      <x:c r="D3214" t="str">
        <x:v>바이오에프디엔씨</x:v>
      </x:c>
      <x:c r="E3214" t="str">
        <x:v>KOSDAQ</x:v>
      </x:c>
      <x:c r="F3214" t="str">
        <x:v>MID</x:v>
      </x:c>
      <x:c r="G3214" t="str">
        <x:v>ELIGIBLE</x:v>
      </x:c>
      <x:c r="H3214"/>
      <x:c r="I3214" s="54" t="n">
        <x:v>45838</x:v>
      </x:c>
      <x:c r="J3214" s="55" t="n">
        <x:v>21550</x:v>
      </x:c>
      <x:c r="K3214" s="55" t="n">
        <x:v>187392335000</x:v>
      </x:c>
      <x:c r="L3214" s="55" t="n">
        <x:v>8695700</x:v>
      </x:c>
      <x:c r="M3214" t="str">
        <x:v>20250321000230</x:v>
      </x:c>
      <x:c r="N3214" t="n">
        <x:v>45737.624999988424</x:v>
      </x:c>
      <x:c r="O3214" s="54" t="n">
        <x:v>45657</x:v>
      </x:c>
      <x:c r="P3214" t="str">
        <x:v>False</x:v>
      </x:c>
      <x:c r="Q3214" t="str">
        <x:v>d0f48fe65ea1aa6baee499ea4c8f4acc42b5257c44ca056d1566dc44f41d3969</x:v>
      </x:c>
      <x:c r="R3214" t="str">
        <x:v>fdd9ea590ab0df6027795c1e40f39723911233c5f95773f81cccad7cd756e288</x:v>
      </x:c>
      <x:c r="S3214" t="n">
        <x:v>5</x:v>
      </x:c>
      <x:c r="T3214" t="str">
        <x:v>2021-12-31|2022-12-31|2023-12-31|2024-12-31</x:v>
      </x:c>
      <x:c r="U3214" s="57" t="n">
        <x:v>5849.461093195673</x:v>
      </x:c>
      <x:c r="V3214" s="57" t="n">
        <x:v>-0.7285632903389478</x:v>
      </x:c>
      <x:c r="W3214" t="n">
        <x:v>57</x:v>
      </x:c>
      <x:c r="X3214" t="n">
        <x:v>5</x:v>
      </x:c>
      <x:c r="Y3214" s="38" t="n">
        <x:v>0.6409090909090909</x:v>
      </x:c>
      <x:c r="Z3214" s="38" t="n">
        <x:v>0.6732997062168055</x:v>
      </x:c>
      <x:c r="AA3214"/>
    </x:row>
    <x:row r="3215">
      <x:c r="A3215" s="54" t="n">
        <x:v>45838</x:v>
      </x:c>
      <x:c r="B3215" t="n">
        <x:v>45838.624999988424</x:v>
      </x:c>
      <x:c r="C3215" t="str">
        <x:v>094820</x:v>
      </x:c>
      <x:c r="D3215" t="str">
        <x:v>일진파워</x:v>
      </x:c>
      <x:c r="E3215" t="str">
        <x:v>KOSDAQ</x:v>
      </x:c>
      <x:c r="F3215" t="str">
        <x:v>MID</x:v>
      </x:c>
      <x:c r="G3215" t="str">
        <x:v>ELIGIBLE</x:v>
      </x:c>
      <x:c r="H3215"/>
      <x:c r="I3215" s="54" t="n">
        <x:v>45838</x:v>
      </x:c>
      <x:c r="J3215" s="55" t="n">
        <x:v>11820</x:v>
      </x:c>
      <x:c r="K3215" s="55" t="n">
        <x:v>178230340380</x:v>
      </x:c>
      <x:c r="L3215" s="55" t="n">
        <x:v>15078709</x:v>
      </x:c>
      <x:c r="M3215" t="str">
        <x:v>20250320000993</x:v>
      </x:c>
      <x:c r="N3215" t="n">
        <x:v>45736.624999988424</x:v>
      </x:c>
      <x:c r="O3215" s="54" t="n">
        <x:v>45657</x:v>
      </x:c>
      <x:c r="P3215" t="str">
        <x:v>False</x:v>
      </x:c>
      <x:c r="Q3215" t="str">
        <x:v>3c9d1f0a624ce515fe91a52c12aed6702977299d8b0e262ece292b4ff2b83ab9</x:v>
      </x:c>
      <x:c r="R3215" t="str">
        <x:v>fc48d3eeb6d44a9e2d9192b7cca407bdf7f0b62d7c2090573c0845635ffb82da</x:v>
      </x:c>
      <x:c r="S3215" t="n">
        <x:v>6</x:v>
      </x:c>
      <x:c r="T3215" t="str">
        <x:v>2018-12-31|2019-12-31|2020-12-31|2021-12-31|2022-12-31|2023-12-31|2024-12-31</x:v>
      </x:c>
      <x:c r="U3215" s="57" t="n">
        <x:v>9203.134979044744</x:v>
      </x:c>
      <x:c r="V3215" s="57" t="n">
        <x:v>-0.2213929797762484</x:v>
      </x:c>
      <x:c r="W3215" t="n">
        <x:v>26</x:v>
      </x:c>
      <x:c r="X3215" t="n">
        <x:v>2</x:v>
      </x:c>
      <x:c r="Y3215" s="38" t="n">
        <x:v>0.6409090909090909</x:v>
      </x:c>
      <x:c r="Z3215" s="38" t="n">
        <x:v>0.7227852830123499</x:v>
      </x:c>
      <x:c r="AA3215"/>
    </x:row>
    <x:row r="3216">
      <x:c r="A3216" s="54" t="n">
        <x:v>45838</x:v>
      </x:c>
      <x:c r="B3216" t="n">
        <x:v>45838.624999988424</x:v>
      </x:c>
      <x:c r="C3216" t="str">
        <x:v>333430</x:v>
      </x:c>
      <x:c r="D3216" t="str">
        <x:v>일승</x:v>
      </x:c>
      <x:c r="E3216" t="str">
        <x:v>KOSDAQ</x:v>
      </x:c>
      <x:c r="F3216" t="str">
        <x:v>MID</x:v>
      </x:c>
      <x:c r="G3216" t="str">
        <x:v>ELIGIBLE</x:v>
      </x:c>
      <x:c r="H3216"/>
      <x:c r="I3216" s="54" t="n">
        <x:v>45838</x:v>
      </x:c>
      <x:c r="J3216" s="55" t="n">
        <x:v>4280</x:v>
      </x:c>
      <x:c r="K3216" s="55" t="n">
        <x:v>131510477160</x:v>
      </x:c>
      <x:c r="L3216" s="55" t="n">
        <x:v>30726747</x:v>
      </x:c>
      <x:c r="M3216" t="str">
        <x:v>20250321001525</x:v>
      </x:c>
      <x:c r="N3216" t="n">
        <x:v>45737.624999988424</x:v>
      </x:c>
      <x:c r="O3216" s="54" t="n">
        <x:v>45657</x:v>
      </x:c>
      <x:c r="P3216" t="str">
        <x:v>False</x:v>
      </x:c>
      <x:c r="Q3216" t="str">
        <x:v>c597fc54279d091bc090c43da4388f028e09b9f2883c277fa3953555ea6b15ae</x:v>
      </x:c>
      <x:c r="R3216" t="str">
        <x:v>22a70044ce308ef649f306a121c5f5198fed14ad02648bc34c478907d0aa8784</x:v>
      </x:c>
      <x:c r="S3216" t="n">
        <x:v>6</x:v>
      </x:c>
      <x:c r="T3216" t="str">
        <x:v>2021-12-31|2022-12-31|2023-12-31|2024-12-31</x:v>
      </x:c>
      <x:c r="U3216" s="57" t="n">
        <x:v>2137.453351095315</x:v>
      </x:c>
      <x:c r="V3216" s="57" t="n">
        <x:v>-0.5005950114263282</x:v>
      </x:c>
      <x:c r="W3216" t="n">
        <x:v>40</x:v>
      </x:c>
      <x:c r="X3216" t="n">
        <x:v>3</x:v>
      </x:c>
      <x:c r="Y3216" s="38" t="n">
        <x:v>0.6409090909090909</x:v>
      </x:c>
      <x:c r="Z3216" s="38" t="n">
        <x:v>0.5746767150889374</x:v>
      </x:c>
      <x:c r="AA3216"/>
    </x:row>
    <x:row r="3217">
      <x:c r="A3217" s="54" t="n">
        <x:v>45838</x:v>
      </x:c>
      <x:c r="B3217" t="n">
        <x:v>45838.624999988424</x:v>
      </x:c>
      <x:c r="C3217" t="str">
        <x:v>041440</x:v>
      </x:c>
      <x:c r="D3217" t="str">
        <x:v>현대에버다임</x:v>
      </x:c>
      <x:c r="E3217" t="str">
        <x:v>KOSDAQ</x:v>
      </x:c>
      <x:c r="F3217" t="str">
        <x:v>MID</x:v>
      </x:c>
      <x:c r="G3217" t="str">
        <x:v>DCF_SCREENING_EXCLUSION</x:v>
      </x:c>
      <x:c r="H3217" t="str">
        <x:v>NON_POSITIVE_EQUITY_VALUE</x:v>
      </x:c>
      <x:c r="I3217" s="54" t="n">
        <x:v>45838</x:v>
      </x:c>
      <x:c r="J3217" s="55" t="n">
        <x:v>8080</x:v>
      </x:c>
      <x:c r="K3217" s="55" t="n">
        <x:v>144760827520</x:v>
      </x:c>
      <x:c r="L3217" s="55" t="n">
        <x:v>17915944</x:v>
      </x:c>
      <x:c r="M3217" t="str">
        <x:v>20250311001079</x:v>
      </x:c>
      <x:c r="N3217" t="n">
        <x:v>45727.624999988424</x:v>
      </x:c>
      <x:c r="O3217" s="54" t="n">
        <x:v>45657</x:v>
      </x:c>
      <x:c r="P3217" t="str">
        <x:v>False</x:v>
      </x:c>
      <x:c r="Q3217" t="str">
        <x:v>81d5fd43b90bdb7ca7256d6dbf2b9d8d1466c124a6bfcb5ea34bc23b10f34184</x:v>
      </x:c>
      <x:c r="R3217" t="str">
        <x:v>af782e98f72d55d525c2e1b1db4f793b3cd080d80a947690cf1d9c78d68ac79c</x:v>
      </x:c>
      <x:c r="S3217" t="n">
        <x:v>7</x:v>
      </x:c>
      <x:c r="T3217" t="str">
        <x:v>2018-12-31|2019-12-31|2020-12-31|2021-12-31|2022-12-31|2023-12-31|2024-12-31</x:v>
      </x:c>
      <x:c r="U3217" s="57" t="n">
        <x:v>-696.0624146515481</x:v>
      </x:c>
      <x:c r="V3217" s="57" t="n">
        <x:v>-1.0861463384469738</x:v>
      </x:c>
      <x:c r="W3217"/>
      <x:c r="X3217"/>
      <x:c r="Y3217" s="38" t="n">
        <x:v>0.6409090909090909</x:v>
      </x:c>
      <x:c r="Z3217" s="38" t="n">
        <x:v>0.7238262460833904</x:v>
      </x:c>
      <x:c r="AA3217" t="str">
        <x:v>NON_POSITIVE_EQUITY_VALUE</x:v>
      </x:c>
    </x:row>
    <x:row r="3218">
      <x:c r="A3218" s="54" t="n">
        <x:v>45838</x:v>
      </x:c>
      <x:c r="B3218" t="n">
        <x:v>45838.624999988424</x:v>
      </x:c>
      <x:c r="C3218" t="str">
        <x:v>067990</x:v>
      </x:c>
      <x:c r="D3218" t="str">
        <x:v>도이치모터스</x:v>
      </x:c>
      <x:c r="E3218" t="str">
        <x:v>KOSDAQ</x:v>
      </x:c>
      <x:c r="F3218" t="str">
        <x:v>MID</x:v>
      </x:c>
      <x:c r="G3218" t="str">
        <x:v>DCF_SCREENING_EXCLUSION</x:v>
      </x:c>
      <x:c r="H3218" t="str">
        <x:v>UNRELIABLE_TERMINAL_VALUE_SHARE</x:v>
      </x:c>
      <x:c r="I3218" s="54" t="n">
        <x:v>45838</x:v>
      </x:c>
      <x:c r="J3218" s="55" t="n">
        <x:v>4510</x:v>
      </x:c>
      <x:c r="K3218" s="55" t="n">
        <x:v>131608790500</x:v>
      </x:c>
      <x:c r="L3218" s="55" t="n">
        <x:v>29181550</x:v>
      </x:c>
      <x:c r="M3218" t="str">
        <x:v>20250321001755</x:v>
      </x:c>
      <x:c r="N3218" t="n">
        <x:v>45737.624999988424</x:v>
      </x:c>
      <x:c r="O3218" s="54" t="n">
        <x:v>45657</x:v>
      </x:c>
      <x:c r="P3218" t="str">
        <x:v>False</x:v>
      </x:c>
      <x:c r="Q3218" t="str">
        <x:v>178076c4e3fddc7cfa7179478f88d8aed054ffd596228c75f12dd2c904e25473</x:v>
      </x:c>
      <x:c r="R3218" t="str">
        <x:v>3c32482a44035b482a6faa83bcb00b78917f4db97e61d8254eb0ee6e1706ac92</x:v>
      </x:c>
      <x:c r="S3218" t="n">
        <x:v>7</x:v>
      </x:c>
      <x:c r="T3218" t="str">
        <x:v>2016-12-31|2018-12-31|2019-12-31|2020-12-31|2021-12-31|2022-12-31|2023-12-31|2024-12-31</x:v>
      </x:c>
      <x:c r="U3218" s="57" t="n">
        <x:v>19478.198742155677</x:v>
      </x:c>
      <x:c r="V3218" s="57" t="n">
        <x:v>3.3188910736487087</x:v>
      </x:c>
      <x:c r="W3218"/>
      <x:c r="X3218"/>
      <x:c r="Y3218" s="38" t="n">
        <x:v>0.6409090909090909</x:v>
      </x:c>
      <x:c r="Z3218" s="38" t="n">
        <x:v>0.8811067697239441</x:v>
      </x:c>
      <x:c r="AA3218" t="str">
        <x:v>UNRELIABLE_TERMINAL_VALUE_SHARE</x:v>
      </x:c>
    </x:row>
    <x:row r="3219">
      <x:c r="A3219" s="54" t="n">
        <x:v>45838</x:v>
      </x:c>
      <x:c r="B3219" t="n">
        <x:v>45838.624999988424</x:v>
      </x:c>
      <x:c r="C3219" t="str">
        <x:v>037070</x:v>
      </x:c>
      <x:c r="D3219" t="str">
        <x:v>파세코</x:v>
      </x:c>
      <x:c r="E3219" t="str">
        <x:v>KOSDAQ</x:v>
      </x:c>
      <x:c r="F3219" t="str">
        <x:v>MID</x:v>
      </x:c>
      <x:c r="G3219" t="str">
        <x:v>DCF_SCREENING_EXCLUSION</x:v>
      </x:c>
      <x:c r="H3219" t="str">
        <x:v>UNRELIABLE_TERMINAL_VALUE_SHARE</x:v>
      </x:c>
      <x:c r="I3219" s="54" t="n">
        <x:v>45838</x:v>
      </x:c>
      <x:c r="J3219" s="55" t="n">
        <x:v>7300</x:v>
      </x:c>
      <x:c r="K3219" s="55" t="n">
        <x:v>146000000000</x:v>
      </x:c>
      <x:c r="L3219" s="55" t="n">
        <x:v>20000000</x:v>
      </x:c>
      <x:c r="M3219" t="str">
        <x:v>20250320000469</x:v>
      </x:c>
      <x:c r="N3219" t="n">
        <x:v>45736.624999988424</x:v>
      </x:c>
      <x:c r="O3219" s="54" t="n">
        <x:v>45657</x:v>
      </x:c>
      <x:c r="P3219" t="str">
        <x:v>False</x:v>
      </x:c>
      <x:c r="Q3219" t="str">
        <x:v>539674eab56ffa57c5f02a24fc1f87bedff775d8e823d4b9621f80e0c991c37c</x:v>
      </x:c>
      <x:c r="R3219" t="str">
        <x:v>b99f2859db57c98dd4809f7f904a1d3e1506141243a6c2e32cd3bc8019c874a5</x:v>
      </x:c>
      <x:c r="S3219" t="n">
        <x:v>6</x:v>
      </x:c>
      <x:c r="T3219" t="str">
        <x:v>2018-12-31|2019-12-31|2020-12-31|2021-12-31|2022-12-31|2023-12-31|2024-12-31</x:v>
      </x:c>
      <x:c r="U3219" s="57" t="n">
        <x:v>1569.2972000747948</x:v>
      </x:c>
      <x:c r="V3219" s="57" t="n">
        <x:v>-0.7850277808116719</x:v>
      </x:c>
      <x:c r="W3219"/>
      <x:c r="X3219"/>
      <x:c r="Y3219" s="38" t="n">
        <x:v>0.6409090909090909</x:v>
      </x:c>
      <x:c r="Z3219" s="38" t="n">
        <x:v>2.1036943942426674</x:v>
      </x:c>
      <x:c r="AA3219" t="str">
        <x:v>UNRELIABLE_TERMINAL_VALUE_SHARE</x:v>
      </x:c>
    </x:row>
    <x:row r="3220">
      <x:c r="A3220" s="54" t="n">
        <x:v>45838</x:v>
      </x:c>
      <x:c r="B3220" t="n">
        <x:v>45838.624999988424</x:v>
      </x:c>
      <x:c r="C3220" t="str">
        <x:v>365330</x:v>
      </x:c>
      <x:c r="D3220" t="str">
        <x:v>에스와이스틸텍</x:v>
      </x:c>
      <x:c r="E3220" t="str">
        <x:v>KOSDAQ</x:v>
      </x:c>
      <x:c r="F3220" t="str">
        <x:v>MID</x:v>
      </x:c>
      <x:c r="G3220" t="str">
        <x:v>ELIGIBLE</x:v>
      </x:c>
      <x:c r="H3220"/>
      <x:c r="I3220" s="54" t="n">
        <x:v>45838</x:v>
      </x:c>
      <x:c r="J3220" s="55" t="n">
        <x:v>4930</x:v>
      </x:c>
      <x:c r="K3220" s="55" t="n">
        <x:v>150907300000</x:v>
      </x:c>
      <x:c r="L3220" s="55" t="n">
        <x:v>30610000</x:v>
      </x:c>
      <x:c r="M3220" t="str">
        <x:v>20250318001018</x:v>
      </x:c>
      <x:c r="N3220" t="n">
        <x:v>45734.624999988424</x:v>
      </x:c>
      <x:c r="O3220" s="54" t="n">
        <x:v>45657</x:v>
      </x:c>
      <x:c r="P3220" t="str">
        <x:v>False</x:v>
      </x:c>
      <x:c r="Q3220" t="str">
        <x:v>c2ebdd487bcabf223f276738367d6daf30f5f1d14de41aa06973b8bfcce75956</x:v>
      </x:c>
      <x:c r="R3220" t="str">
        <x:v>7a7508eeb8d1a23d43a096bf5fd3e0fea30be794877dafe2b9b0a53a2df4d736</x:v>
      </x:c>
      <x:c r="S3220" t="n">
        <x:v>6</x:v>
      </x:c>
      <x:c r="T3220" t="str">
        <x:v>2023-12-31|2024-12-31</x:v>
      </x:c>
      <x:c r="U3220" s="57" t="n">
        <x:v>2112.3095657966533</x:v>
      </x:c>
      <x:c r="V3220" s="57" t="n">
        <x:v>-0.5715396418262366</x:v>
      </x:c>
      <x:c r="W3220" t="n">
        <x:v>47</x:v>
      </x:c>
      <x:c r="X3220" t="n">
        <x:v>4</x:v>
      </x:c>
      <x:c r="Y3220" s="38" t="n">
        <x:v>0.6409090909090909</x:v>
      </x:c>
      <x:c r="Z3220" s="38" t="n">
        <x:v>0.6860657024721134</x:v>
      </x:c>
      <x:c r="AA3220"/>
    </x:row>
    <x:row r="3221">
      <x:c r="A3221" s="54" t="n">
        <x:v>45838</x:v>
      </x:c>
      <x:c r="B3221" t="n">
        <x:v>45838.624999988424</x:v>
      </x:c>
      <x:c r="C3221" t="str">
        <x:v>086960</x:v>
      </x:c>
      <x:c r="D3221" t="str">
        <x:v>MDS테크</x:v>
      </x:c>
      <x:c r="E3221" t="str">
        <x:v>KOSDAQ</x:v>
      </x:c>
      <x:c r="F3221" t="str">
        <x:v>MID</x:v>
      </x:c>
      <x:c r="G3221" t="str">
        <x:v>ELIGIBLE</x:v>
      </x:c>
      <x:c r="H3221"/>
      <x:c r="I3221" s="54" t="n">
        <x:v>45838</x:v>
      </x:c>
      <x:c r="J3221" s="55" t="n">
        <x:v>1349</x:v>
      </x:c>
      <x:c r="K3221" s="55" t="n">
        <x:v>125216592012</x:v>
      </x:c>
      <x:c r="L3221" s="55" t="n">
        <x:v>92821788</x:v>
      </x:c>
      <x:c r="M3221" t="str">
        <x:v>20250320001212</x:v>
      </x:c>
      <x:c r="N3221" t="n">
        <x:v>45736.624999988424</x:v>
      </x:c>
      <x:c r="O3221" s="54" t="n">
        <x:v>45657</x:v>
      </x:c>
      <x:c r="P3221" t="str">
        <x:v>False</x:v>
      </x:c>
      <x:c r="Q3221" t="str">
        <x:v>08b172732dfb38e585826cf691b0a0ec896aee6ddb150e7efe20babfa81057c7</x:v>
      </x:c>
      <x:c r="R3221" t="str">
        <x:v>1e0d5c83137cfc143b7f10f3067871a7502b72edd69ea5b29af3ef1e488a9810</x:v>
      </x:c>
      <x:c r="S3221" t="n">
        <x:v>6</x:v>
      </x:c>
      <x:c r="T3221" t="str">
        <x:v>2018-12-31|2019-12-31|2020-12-31|2021-12-31|2022-12-31|2023-12-31|2024-12-31</x:v>
      </x:c>
      <x:c r="U3221" s="57" t="n">
        <x:v>947.2098814790393</x:v>
      </x:c>
      <x:c r="V3221" s="57" t="n">
        <x:v>-0.29784293441138676</x:v>
      </x:c>
      <x:c r="W3221" t="n">
        <x:v>33</x:v>
      </x:c>
      <x:c r="X3221" t="n">
        <x:v>3</x:v>
      </x:c>
      <x:c r="Y3221" s="38" t="n">
        <x:v>0.6409090909090909</x:v>
      </x:c>
      <x:c r="Z3221" s="38" t="n">
        <x:v>0.6532825883664135</x:v>
      </x:c>
      <x:c r="AA3221"/>
    </x:row>
    <x:row r="3222">
      <x:c r="A3222" s="54" t="n">
        <x:v>45838</x:v>
      </x:c>
      <x:c r="B3222" t="n">
        <x:v>45838.624999988424</x:v>
      </x:c>
      <x:c r="C3222" t="str">
        <x:v>014970</x:v>
      </x:c>
      <x:c r="D3222" t="str">
        <x:v>삼륭물산</x:v>
      </x:c>
      <x:c r="E3222" t="str">
        <x:v>KOSDAQ</x:v>
      </x:c>
      <x:c r="F3222" t="str">
        <x:v>MID</x:v>
      </x:c>
      <x:c r="G3222" t="str">
        <x:v>DCF_SCREENING_EXCLUSION</x:v>
      </x:c>
      <x:c r="H3222" t="str">
        <x:v>NON_POSITIVE_EQUITY_VALUE|NON_POSITIVE_TERMINAL_FCF|UNRELIABLE_TERMINAL_VALUE_SHARE</x:v>
      </x:c>
      <x:c r="I3222" s="54" t="n">
        <x:v>45838</x:v>
      </x:c>
      <x:c r="J3222" s="55" t="n">
        <x:v>5560</x:v>
      </x:c>
      <x:c r="K3222" s="55" t="n">
        <x:v>84095000000</x:v>
      </x:c>
      <x:c r="L3222" s="55" t="n">
        <x:v>15125000</x:v>
      </x:c>
      <x:c r="M3222" t="str">
        <x:v>20250320000980</x:v>
      </x:c>
      <x:c r="N3222" t="n">
        <x:v>45736.624999988424</x:v>
      </x:c>
      <x:c r="O3222" s="54" t="n">
        <x:v>45657</x:v>
      </x:c>
      <x:c r="P3222" t="str">
        <x:v>False</x:v>
      </x:c>
      <x:c r="Q3222" t="str">
        <x:v>6f8e7f5705f2643cef863a875ec2d297c25be06befeaed9c6d2cff396f19384d</x:v>
      </x:c>
      <x:c r="R3222" t="str">
        <x:v>e1951eaefee2d83e805b2da8ec68816c01f25d73acefe6285da78c79a4153983</x:v>
      </x:c>
      <x:c r="S3222" t="n">
        <x:v>6</x:v>
      </x:c>
      <x:c r="T3222" t="str">
        <x:v>2018-12-31|2019-12-31|2020-12-31|2021-12-31|2022-12-31|2023-12-31|2024-12-31</x:v>
      </x:c>
      <x:c r="U3222" s="57" t="n">
        <x:v>-753.213884159769</x:v>
      </x:c>
      <x:c r="V3222" s="57" t="n">
        <x:v>-1.1354701230503181</x:v>
      </x:c>
      <x:c r="W3222"/>
      <x:c r="X3222"/>
      <x:c r="Y3222" s="38" t="n">
        <x:v>0.6409090909090909</x:v>
      </x:c>
      <x:c r="Z3222" s="38" t="n">
        <x:v>-0.12816825399384127</x:v>
      </x:c>
      <x:c r="AA3222" t="str">
        <x:v>NON_POSITIVE_EQUITY_VALUE|NON_POSITIVE_TERMINAL_FCF|UNRELIABLE_TERMINAL_VALUE_SHARE</x:v>
      </x:c>
    </x:row>
    <x:row r="3223">
      <x:c r="A3223" s="54" t="n">
        <x:v>45838</x:v>
      </x:c>
      <x:c r="B3223" t="n">
        <x:v>45838.624999988424</x:v>
      </x:c>
      <x:c r="C3223" t="str">
        <x:v>088390</x:v>
      </x:c>
      <x:c r="D3223" t="str">
        <x:v>이녹스</x:v>
      </x:c>
      <x:c r="E3223" t="str">
        <x:v>KOSDAQ</x:v>
      </x:c>
      <x:c r="F3223" t="str">
        <x:v>MID</x:v>
      </x:c>
      <x:c r="G3223" t="str">
        <x:v>ELIGIBLE</x:v>
      </x:c>
      <x:c r="H3223"/>
      <x:c r="I3223" s="54" t="n">
        <x:v>45838</x:v>
      </x:c>
      <x:c r="J3223" s="55" t="n">
        <x:v>7410</x:v>
      </x:c>
      <x:c r="K3223" s="55" t="n">
        <x:v>69549104040</x:v>
      </x:c>
      <x:c r="L3223" s="55" t="n">
        <x:v>9385844</x:v>
      </x:c>
      <x:c r="M3223" t="str">
        <x:v>20250318001304</x:v>
      </x:c>
      <x:c r="N3223" t="n">
        <x:v>45734.624999988424</x:v>
      </x:c>
      <x:c r="O3223" s="54" t="n">
        <x:v>45657</x:v>
      </x:c>
      <x:c r="P3223" t="str">
        <x:v>False</x:v>
      </x:c>
      <x:c r="Q3223" t="str">
        <x:v>f01a446f03e59a219c219c23e90ed08b1bdc3759eef2ddb7e02dc2e9b28f9bd2</x:v>
      </x:c>
      <x:c r="R3223" t="str">
        <x:v>9738421b76fb9ca6a9f321c55160042641f1d329c511181a00022f62b2e62a17</x:v>
      </x:c>
      <x:c r="S3223" t="n">
        <x:v>6</x:v>
      </x:c>
      <x:c r="T3223" t="str">
        <x:v>2018-12-31|2019-12-31|2020-12-31|2021-12-31|2022-12-31|2023-12-31|2024-12-31</x:v>
      </x:c>
      <x:c r="U3223" s="57" t="n">
        <x:v>5731.424757990951</x:v>
      </x:c>
      <x:c r="V3223" s="57" t="n">
        <x:v>-0.22652837274076246</x:v>
      </x:c>
      <x:c r="W3223" t="n">
        <x:v>30</x:v>
      </x:c>
      <x:c r="X3223" t="n">
        <x:v>3</x:v>
      </x:c>
      <x:c r="Y3223" s="38" t="n">
        <x:v>0.6409090909090909</x:v>
      </x:c>
      <x:c r="Z3223" s="38" t="n">
        <x:v>0.6606635726672196</x:v>
      </x:c>
      <x:c r="AA3223"/>
    </x:row>
    <x:row r="3224">
      <x:c r="A3224" s="54" t="n">
        <x:v>45838</x:v>
      </x:c>
      <x:c r="B3224" t="n">
        <x:v>45838.624999988424</x:v>
      </x:c>
      <x:c r="C3224" t="str">
        <x:v>170920</x:v>
      </x:c>
      <x:c r="D3224" t="str">
        <x:v>엘티씨</x:v>
      </x:c>
      <x:c r="E3224" t="str">
        <x:v>KOSDAQ</x:v>
      </x:c>
      <x:c r="F3224" t="str">
        <x:v>MID</x:v>
      </x:c>
      <x:c r="G3224" t="str">
        <x:v>ELIGIBLE</x:v>
      </x:c>
      <x:c r="H3224"/>
      <x:c r="I3224" s="54" t="n">
        <x:v>45838</x:v>
      </x:c>
      <x:c r="J3224" s="55" t="n">
        <x:v>12850</x:v>
      </x:c>
      <x:c r="K3224" s="55" t="n">
        <x:v>128265551750</x:v>
      </x:c>
      <x:c r="L3224" s="55" t="n">
        <x:v>9981755</x:v>
      </x:c>
      <x:c r="M3224" t="str">
        <x:v>20250328001821</x:v>
      </x:c>
      <x:c r="N3224" t="n">
        <x:v>45744.624999988424</x:v>
      </x:c>
      <x:c r="O3224" s="54" t="n">
        <x:v>45657</x:v>
      </x:c>
      <x:c r="P3224" t="str">
        <x:v>True</x:v>
      </x:c>
      <x:c r="Q3224" t="str">
        <x:v>82f68014fed9ea6560d91cda820e865233a89c2f8e6699ddffef307623ef241e</x:v>
      </x:c>
      <x:c r="R3224" t="str">
        <x:v>8512cd29ddbc45f0c751330f10f75690ebfb9a5b566e7673f904eaf3693bf3cc</x:v>
      </x:c>
      <x:c r="S3224" t="n">
        <x:v>6</x:v>
      </x:c>
      <x:c r="T3224" t="str">
        <x:v>2018-12-31|2019-12-31|2020-12-31|2021-12-31|2022-12-31|2023-12-31|2024-12-31</x:v>
      </x:c>
      <x:c r="U3224" s="57" t="n">
        <x:v>2666.3304078359324</x:v>
      </x:c>
      <x:c r="V3224" s="57" t="n">
        <x:v>-0.7925034702073205</x:v>
      </x:c>
      <x:c r="W3224" t="n">
        <x:v>60</x:v>
      </x:c>
      <x:c r="X3224" t="n">
        <x:v>5</x:v>
      </x:c>
      <x:c r="Y3224" s="38" t="n">
        <x:v>0.6409090909090909</x:v>
      </x:c>
      <x:c r="Z3224" s="38" t="n">
        <x:v>0.43281158465940023</x:v>
      </x:c>
      <x:c r="AA3224"/>
    </x:row>
    <x:row r="3225">
      <x:c r="A3225" s="54" t="n">
        <x:v>45838</x:v>
      </x:c>
      <x:c r="B3225" t="n">
        <x:v>45838.624999988424</x:v>
      </x:c>
      <x:c r="C3225" t="str">
        <x:v>021080</x:v>
      </x:c>
      <x:c r="D3225" t="str">
        <x:v>에이티넘인베스트</x:v>
      </x:c>
      <x:c r="E3225" t="str">
        <x:v>KOSDAQ</x:v>
      </x:c>
      <x:c r="F3225" t="str">
        <x:v>MID</x:v>
      </x:c>
      <x:c r="G3225" t="str">
        <x:v>ELIGIBLE</x:v>
      </x:c>
      <x:c r="H3225"/>
      <x:c r="I3225" s="54" t="n">
        <x:v>45838</x:v>
      </x:c>
      <x:c r="J3225" s="55" t="n">
        <x:v>2665</x:v>
      </x:c>
      <x:c r="K3225" s="55" t="n">
        <x:v>127920000000</x:v>
      </x:c>
      <x:c r="L3225" s="55" t="n">
        <x:v>48000000</x:v>
      </x:c>
      <x:c r="M3225" t="str">
        <x:v>20250311001310</x:v>
      </x:c>
      <x:c r="N3225" t="n">
        <x:v>45728.624999988424</x:v>
      </x:c>
      <x:c r="O3225" s="54" t="n">
        <x:v>45657</x:v>
      </x:c>
      <x:c r="P3225" t="str">
        <x:v>False</x:v>
      </x:c>
      <x:c r="Q3225" t="str">
        <x:v>a1603c2fcc2068336a7bc3fa9b8a19fe892ed585a8ab7a4b2703f28f5085be47</x:v>
      </x:c>
      <x:c r="R3225" t="str">
        <x:v>2c96946943f799db2b9961595886975f5db8e595b3abee09ebfc8cccc943cf57</x:v>
      </x:c>
      <x:c r="S3225" t="n">
        <x:v>5</x:v>
      </x:c>
      <x:c r="T3225" t="str">
        <x:v>2018-12-31|2019-12-31|2020-12-31|2021-12-31|2022-12-31|2023-12-31|2024-12-31</x:v>
      </x:c>
      <x:c r="U3225" s="57" t="n">
        <x:v>4850.450445377758</x:v>
      </x:c>
      <x:c r="V3225" s="57" t="n">
        <x:v>0.8200564522993464</x:v>
      </x:c>
      <x:c r="W3225" t="n">
        <x:v>11</x:v>
      </x:c>
      <x:c r="X3225" t="n">
        <x:v>1</x:v>
      </x:c>
      <x:c r="Y3225" s="38" t="n">
        <x:v>0.6409090909090909</x:v>
      </x:c>
      <x:c r="Z3225" s="38" t="n">
        <x:v>0.7149988896107878</x:v>
      </x:c>
      <x:c r="AA3225"/>
    </x:row>
    <x:row r="3226">
      <x:c r="A3226" s="54" t="n">
        <x:v>45838</x:v>
      </x:c>
      <x:c r="B3226" t="n">
        <x:v>45838.624999988424</x:v>
      </x:c>
      <x:c r="C3226" t="str">
        <x:v>302550</x:v>
      </x:c>
      <x:c r="D3226" t="str">
        <x:v>리메드</x:v>
      </x:c>
      <x:c r="E3226" t="str">
        <x:v>KOSDAQ</x:v>
      </x:c>
      <x:c r="F3226" t="str">
        <x:v>MID</x:v>
      </x:c>
      <x:c r="G3226" t="str">
        <x:v>ELIGIBLE</x:v>
      </x:c>
      <x:c r="H3226"/>
      <x:c r="I3226" s="54" t="n">
        <x:v>45838</x:v>
      </x:c>
      <x:c r="J3226" s="55" t="n">
        <x:v>3630</x:v>
      </x:c>
      <x:c r="K3226" s="55" t="n">
        <x:v>113291254560</x:v>
      </x:c>
      <x:c r="L3226" s="55" t="n">
        <x:v>31209712</x:v>
      </x:c>
      <x:c r="M3226" t="str">
        <x:v>20250318001367</x:v>
      </x:c>
      <x:c r="N3226" t="n">
        <x:v>45734.624999988424</x:v>
      </x:c>
      <x:c r="O3226" s="54" t="n">
        <x:v>45657</x:v>
      </x:c>
      <x:c r="P3226" t="str">
        <x:v>False</x:v>
      </x:c>
      <x:c r="Q3226" t="str">
        <x:v>c8e33df87c4c63d21435004c0981ab7b1302f4e8ec074b819926d7d755c09a34</x:v>
      </x:c>
      <x:c r="R3226" t="str">
        <x:v>98fc5c22e0d19f51c1a9370ef8f02898af69daad21c6905236ab144b6322b99b</x:v>
      </x:c>
      <x:c r="S3226" t="n">
        <x:v>5</x:v>
      </x:c>
      <x:c r="T3226" t="str">
        <x:v>2019-12-31|2020-12-31|2021-12-31|2022-12-31|2024-12-31</x:v>
      </x:c>
      <x:c r="U3226" s="57" t="n">
        <x:v>911.4831315393461</x:v>
      </x:c>
      <x:c r="V3226" s="57" t="n">
        <x:v>-0.7489027185842022</x:v>
      </x:c>
      <x:c r="W3226" t="n">
        <x:v>58</x:v>
      </x:c>
      <x:c r="X3226" t="n">
        <x:v>5</x:v>
      </x:c>
      <x:c r="Y3226" s="38" t="n">
        <x:v>0.6409090909090909</x:v>
      </x:c>
      <x:c r="Z3226" s="38" t="n">
        <x:v>0.7960827540725356</x:v>
      </x:c>
      <x:c r="AA3226"/>
    </x:row>
    <x:row r="3227">
      <x:c r="A3227" s="54" t="n">
        <x:v>45838</x:v>
      </x:c>
      <x:c r="B3227" t="n">
        <x:v>45838.624999988424</x:v>
      </x:c>
      <x:c r="C3227" t="str">
        <x:v>011760</x:v>
      </x:c>
      <x:c r="D3227" t="str">
        <x:v>현대코퍼레이션</x:v>
      </x:c>
      <x:c r="E3227" t="str">
        <x:v>KOSPI</x:v>
      </x:c>
      <x:c r="F3227" t="str">
        <x:v>MID</x:v>
      </x:c>
      <x:c r="G3227" t="str">
        <x:v>DCF_SCREENING_EXCLUSION</x:v>
      </x:c>
      <x:c r="H3227" t="str">
        <x:v>NON_POSITIVE_ENTERPRISE_VALUE|NON_POSITIVE_TERMINAL_FCF</x:v>
      </x:c>
      <x:c r="I3227" s="54" t="n">
        <x:v>45838</x:v>
      </x:c>
      <x:c r="J3227" s="55" t="n">
        <x:v>29000</x:v>
      </x:c>
      <x:c r="K3227" s="55" t="n">
        <x:v>383640014000</x:v>
      </x:c>
      <x:c r="L3227" s="55" t="n">
        <x:v>13228966</x:v>
      </x:c>
      <x:c r="M3227" t="str">
        <x:v>20250324000696</x:v>
      </x:c>
      <x:c r="N3227" t="n">
        <x:v>45740.624999988424</x:v>
      </x:c>
      <x:c r="O3227" s="54" t="n">
        <x:v>45657</x:v>
      </x:c>
      <x:c r="P3227" t="str">
        <x:v>True</x:v>
      </x:c>
      <x:c r="Q3227" t="str">
        <x:v>68ee43a0174ac144c0fe7ab9f51033c2bd53b706db9c4bdc3128edce16e5e12f</x:v>
      </x:c>
      <x:c r="R3227" t="str">
        <x:v>55f2a3f3d0bcbbf7f2182fc4f7fdc29ada8d243d4334cac43043e0c6ab108d5c</x:v>
      </x:c>
      <x:c r="S3227" t="n">
        <x:v>7</x:v>
      </x:c>
      <x:c r="T3227" t="str">
        <x:v>2018-12-31|2019-12-31|2020-12-31|2021-12-31|2022-12-31|2023-12-31|2024-12-31</x:v>
      </x:c>
      <x:c r="U3227" s="57" t="n">
        <x:v>15119.610637335732</x:v>
      </x:c>
      <x:c r="V3227" s="57" t="n">
        <x:v>-0.4786341159539403</x:v>
      </x:c>
      <x:c r="W3227"/>
      <x:c r="X3227"/>
      <x:c r="Y3227" s="38" t="n">
        <x:v>0.6409090909090909</x:v>
      </x:c>
      <x:c r="Z3227" s="38" t="n">
        <x:v>0.2921718857711688</x:v>
      </x:c>
      <x:c r="AA3227" t="str">
        <x:v>NON_POSITIVE_ENTERPRISE_VALUE|NON_POSITIVE_TERMINAL_FCF</x:v>
      </x:c>
    </x:row>
    <x:row r="3228">
      <x:c r="A3228" s="54" t="n">
        <x:v>45838</x:v>
      </x:c>
      <x:c r="B3228" t="n">
        <x:v>45838.624999988424</x:v>
      </x:c>
      <x:c r="C3228" t="str">
        <x:v>010690</x:v>
      </x:c>
      <x:c r="D3228" t="str">
        <x:v>화신</x:v>
      </x:c>
      <x:c r="E3228" t="str">
        <x:v>KOSPI</x:v>
      </x:c>
      <x:c r="F3228" t="str">
        <x:v>MID</x:v>
      </x:c>
      <x:c r="G3228" t="str">
        <x:v>DCF_SCREENING_EXCLUSION</x:v>
      </x:c>
      <x:c r="H3228" t="str">
        <x:v>NON_POSITIVE_ENTERPRISE_VALUE|NON_POSITIVE_EQUITY_VALUE|NON_POSITIVE_TERMINAL_FCF</x:v>
      </x:c>
      <x:c r="I3228" s="54" t="n">
        <x:v>45838</x:v>
      </x:c>
      <x:c r="J3228" s="55" t="n">
        <x:v>8220</x:v>
      </x:c>
      <x:c r="K3228" s="55" t="n">
        <x:v>287045770200</x:v>
      </x:c>
      <x:c r="L3228" s="55" t="n">
        <x:v>34920410</x:v>
      </x:c>
      <x:c r="M3228" t="str">
        <x:v>20250317000376</x:v>
      </x:c>
      <x:c r="N3228" t="n">
        <x:v>45733.624999988424</x:v>
      </x:c>
      <x:c r="O3228" s="54" t="n">
        <x:v>45657</x:v>
      </x:c>
      <x:c r="P3228" t="str">
        <x:v>False</x:v>
      </x:c>
      <x:c r="Q3228" t="str">
        <x:v>da0f0eb8f18c5a7098923d744bc237781b32caed397bc9058d80382937d77299</x:v>
      </x:c>
      <x:c r="R3228" t="str">
        <x:v>03073b3d74461b169c46638dac3e04b7110b3d52b5eac0bcd1ebd01d561ee241</x:v>
      </x:c>
      <x:c r="S3228" t="n">
        <x:v>6</x:v>
      </x:c>
      <x:c r="T3228" t="str">
        <x:v>2018-12-31|2019-12-31|2020-12-31|2021-12-31|2022-12-31|2023-12-31|2024-12-31</x:v>
      </x:c>
      <x:c r="U3228" s="57" t="n">
        <x:v>-8861.949437601435</x:v>
      </x:c>
      <x:c r="V3228" s="57" t="n">
        <x:v>-2.078096038637644</x:v>
      </x:c>
      <x:c r="W3228"/>
      <x:c r="X3228"/>
      <x:c r="Y3228" s="38" t="n">
        <x:v>0.6409090909090909</x:v>
      </x:c>
      <x:c r="Z3228" s="38" t="n">
        <x:v>0.8291622965175354</x:v>
      </x:c>
      <x:c r="AA3228" t="str">
        <x:v>NON_POSITIVE_ENTERPRISE_VALUE|NON_POSITIVE_EQUITY_VALUE|NON_POSITIVE_TERMINAL_FCF</x:v>
      </x:c>
    </x:row>
    <x:row r="3229">
      <x:c r="A3229" s="54" t="n">
        <x:v>45838</x:v>
      </x:c>
      <x:c r="B3229" t="n">
        <x:v>45838.624999988424</x:v>
      </x:c>
      <x:c r="C3229" t="str">
        <x:v>029460</x:v>
      </x:c>
      <x:c r="D3229" t="str">
        <x:v>케이씨</x:v>
      </x:c>
      <x:c r="E3229" t="str">
        <x:v>KOSPI</x:v>
      </x:c>
      <x:c r="F3229" t="str">
        <x:v>MID</x:v>
      </x:c>
      <x:c r="G3229" t="str">
        <x:v>ELIGIBLE</x:v>
      </x:c>
      <x:c r="H3229"/>
      <x:c r="I3229" s="54" t="n">
        <x:v>45838</x:v>
      </x:c>
      <x:c r="J3229" s="55" t="n">
        <x:v>23600</x:v>
      </x:c>
      <x:c r="K3229" s="55" t="n">
        <x:v>312257806800</x:v>
      </x:c>
      <x:c r="L3229" s="55" t="n">
        <x:v>13231263</x:v>
      </x:c>
      <x:c r="M3229" t="str">
        <x:v>20250318001395</x:v>
      </x:c>
      <x:c r="N3229" t="n">
        <x:v>45734.624999988424</x:v>
      </x:c>
      <x:c r="O3229" s="54" t="n">
        <x:v>45657</x:v>
      </x:c>
      <x:c r="P3229" t="str">
        <x:v>False</x:v>
      </x:c>
      <x:c r="Q3229" t="str">
        <x:v>464d0555151422c07764d16729d174af7e0cb1d5907de9408a81802340081853</x:v>
      </x:c>
      <x:c r="R3229" t="str">
        <x:v>c2032c08046026aff128df41622f5bffe7b5f774a8bfa88eeeb7ed85354f0bf1</x:v>
      </x:c>
      <x:c r="S3229" t="n">
        <x:v>7</x:v>
      </x:c>
      <x:c r="T3229" t="str">
        <x:v>2018-12-31|2019-12-31|2020-12-31|2021-12-31|2022-12-31|2023-12-31|2024-12-31</x:v>
      </x:c>
      <x:c r="U3229" s="57" t="n">
        <x:v>40329.13587582702</x:v>
      </x:c>
      <x:c r="V3229" s="57" t="n">
        <x:v>0.7088616896536872</x:v>
      </x:c>
      <x:c r="W3229" t="n">
        <x:v>14</x:v>
      </x:c>
      <x:c r="X3229" t="n">
        <x:v>1</x:v>
      </x:c>
      <x:c r="Y3229" s="38" t="n">
        <x:v>0.6409090909090909</x:v>
      </x:c>
      <x:c r="Z3229" s="38" t="n">
        <x:v>0.7980834065611973</x:v>
      </x:c>
      <x:c r="AA3229"/>
    </x:row>
    <x:row r="3230">
      <x:c r="A3230" s="54" t="n">
        <x:v>45838</x:v>
      </x:c>
      <x:c r="B3230" t="n">
        <x:v>45838.624999988424</x:v>
      </x:c>
      <x:c r="C3230" t="str">
        <x:v>122900</x:v>
      </x:c>
      <x:c r="D3230" t="str">
        <x:v>아이마켓코리아</x:v>
      </x:c>
      <x:c r="E3230" t="str">
        <x:v>KOSPI</x:v>
      </x:c>
      <x:c r="F3230" t="str">
        <x:v>MID</x:v>
      </x:c>
      <x:c r="G3230" t="str">
        <x:v>ELIGIBLE</x:v>
      </x:c>
      <x:c r="H3230"/>
      <x:c r="I3230" s="54" t="n">
        <x:v>45838</x:v>
      </x:c>
      <x:c r="J3230" s="55" t="n">
        <x:v>8270</x:v>
      </x:c>
      <x:c r="K3230" s="55" t="n">
        <x:v>276456506800</x:v>
      </x:c>
      <x:c r="L3230" s="55" t="n">
        <x:v>33428840</x:v>
      </x:c>
      <x:c r="M3230" t="str">
        <x:v>20250320001632</x:v>
      </x:c>
      <x:c r="N3230" t="n">
        <x:v>45736.624999988424</x:v>
      </x:c>
      <x:c r="O3230" s="54" t="n">
        <x:v>45657</x:v>
      </x:c>
      <x:c r="P3230" t="str">
        <x:v>False</x:v>
      </x:c>
      <x:c r="Q3230" t="str">
        <x:v>e212963ad9bde643af10aa0bd891a52d33878d6d9b4a9c8cd0ebe1baf7a67fd9</x:v>
      </x:c>
      <x:c r="R3230" t="str">
        <x:v>081c47b6392b818d1ef0875c1b8bacccac5d14ebdbc7f40e7fc9af0e62e4fe8c</x:v>
      </x:c>
      <x:c r="S3230" t="n">
        <x:v>7</x:v>
      </x:c>
      <x:c r="T3230" t="str">
        <x:v>2018-12-31|2019-12-31|2020-12-31|2021-12-31|2022-12-31|2023-12-31|2024-12-31</x:v>
      </x:c>
      <x:c r="U3230" s="57" t="n">
        <x:v>4334.757476567481</x:v>
      </x:c>
      <x:c r="V3230" s="57" t="n">
        <x:v>-0.475845528831018</x:v>
      </x:c>
      <x:c r="W3230" t="n">
        <x:v>37</x:v>
      </x:c>
      <x:c r="X3230" t="n">
        <x:v>3</x:v>
      </x:c>
      <x:c r="Y3230" s="38" t="n">
        <x:v>0.6409090909090909</x:v>
      </x:c>
      <x:c r="Z3230" s="38" t="n">
        <x:v>0.4285933385330603</x:v>
      </x:c>
      <x:c r="AA3230"/>
    </x:row>
    <x:row r="3231">
      <x:c r="A3231" s="54" t="n">
        <x:v>45838</x:v>
      </x:c>
      <x:c r="B3231" t="n">
        <x:v>45838.624999988424</x:v>
      </x:c>
      <x:c r="C3231" t="str">
        <x:v>001820</x:v>
      </x:c>
      <x:c r="D3231" t="str">
        <x:v>삼화콘덴서</x:v>
      </x:c>
      <x:c r="E3231" t="str">
        <x:v>KOSPI</x:v>
      </x:c>
      <x:c r="F3231" t="str">
        <x:v>MID</x:v>
      </x:c>
      <x:c r="G3231" t="str">
        <x:v>ELIGIBLE</x:v>
      </x:c>
      <x:c r="H3231"/>
      <x:c r="I3231" s="54" t="n">
        <x:v>45838</x:v>
      </x:c>
      <x:c r="J3231" s="55" t="n">
        <x:v>25950</x:v>
      </x:c>
      <x:c r="K3231" s="55" t="n">
        <x:v>269750250000</x:v>
      </x:c>
      <x:c r="L3231" s="55" t="n">
        <x:v>10395000</x:v>
      </x:c>
      <x:c r="M3231" t="str">
        <x:v>20250313000953</x:v>
      </x:c>
      <x:c r="N3231" t="n">
        <x:v>45729.624999988424</x:v>
      </x:c>
      <x:c r="O3231" s="54" t="n">
        <x:v>45657</x:v>
      </x:c>
      <x:c r="P3231" t="str">
        <x:v>False</x:v>
      </x:c>
      <x:c r="Q3231" t="str">
        <x:v>32de5b8671fddcc7842aa2a95ef1033b7dc5f72e59b2acf4984c3969a0094970</x:v>
      </x:c>
      <x:c r="R3231" t="str">
        <x:v>fed592dfa2d91e9fcab52960c37c24f80f97645071e2dde2510e13867fbb84b3</x:v>
      </x:c>
      <x:c r="S3231" t="n">
        <x:v>5</x:v>
      </x:c>
      <x:c r="T3231" t="str">
        <x:v>2018-12-31|2019-12-31|2020-12-31|2021-12-31|2022-12-31|2023-12-31|2024-12-31</x:v>
      </x:c>
      <x:c r="U3231" s="57" t="n">
        <x:v>20075.75881827716</x:v>
      </x:c>
      <x:c r="V3231" s="57" t="n">
        <x:v>-0.22636767559625584</x:v>
      </x:c>
      <x:c r="W3231" t="n">
        <x:v>29</x:v>
      </x:c>
      <x:c r="X3231" t="n">
        <x:v>3</x:v>
      </x:c>
      <x:c r="Y3231" s="38" t="n">
        <x:v>0.6409090909090909</x:v>
      </x:c>
      <x:c r="Z3231" s="38" t="n">
        <x:v>0.7774307287133866</x:v>
      </x:c>
      <x:c r="AA3231"/>
    </x:row>
    <x:row r="3232">
      <x:c r="A3232" s="54" t="n">
        <x:v>45838</x:v>
      </x:c>
      <x:c r="B3232" t="n">
        <x:v>45838.624999988424</x:v>
      </x:c>
      <x:c r="C3232" t="str">
        <x:v>001790</x:v>
      </x:c>
      <x:c r="D3232" t="str">
        <x:v>대한제당</x:v>
      </x:c>
      <x:c r="E3232" t="str">
        <x:v>KOSPI</x:v>
      </x:c>
      <x:c r="F3232" t="str">
        <x:v>MID</x:v>
      </x:c>
      <x:c r="G3232" t="str">
        <x:v>ELIGIBLE</x:v>
      </x:c>
      <x:c r="H3232"/>
      <x:c r="I3232" s="54" t="n">
        <x:v>45838</x:v>
      </x:c>
      <x:c r="J3232" s="55" t="n">
        <x:v>2870</x:v>
      </x:c>
      <x:c r="K3232" s="55" t="n">
        <x:v>257429184600</x:v>
      </x:c>
      <x:c r="L3232" s="55" t="n">
        <x:v>89696580</x:v>
      </x:c>
      <x:c r="M3232" t="str">
        <x:v>20250313001084</x:v>
      </x:c>
      <x:c r="N3232" t="n">
        <x:v>45729.624999988424</x:v>
      </x:c>
      <x:c r="O3232" s="54" t="n">
        <x:v>45657</x:v>
      </x:c>
      <x:c r="P3232" t="str">
        <x:v>False</x:v>
      </x:c>
      <x:c r="Q3232" t="str">
        <x:v>70a71fdd9a89f3ec8ece67cee20f991f14f95880a59c9b0273b79524d818c498</x:v>
      </x:c>
      <x:c r="R3232" t="str">
        <x:v>11994b75602dcb258bf28fb74f6b0631f80d4850bfe39ed8327b39358517a61a</x:v>
      </x:c>
      <x:c r="S3232" t="n">
        <x:v>7</x:v>
      </x:c>
      <x:c r="T3232" t="str">
        <x:v>2018-12-31|2019-12-31|2020-12-31|2021-12-31|2022-12-31|2023-12-31|2024-12-31</x:v>
      </x:c>
      <x:c r="U3232" s="57" t="n">
        <x:v>894.4676888036394</x:v>
      </x:c>
      <x:c r="V3232" s="57" t="n">
        <x:v>-0.6883387843889758</x:v>
      </x:c>
      <x:c r="W3232" t="n">
        <x:v>53</x:v>
      </x:c>
      <x:c r="X3232" t="n">
        <x:v>4</x:v>
      </x:c>
      <x:c r="Y3232" s="38" t="n">
        <x:v>0.6409090909090909</x:v>
      </x:c>
      <x:c r="Z3232" s="38" t="n">
        <x:v>0.6733915242702966</x:v>
      </x:c>
      <x:c r="AA3232"/>
    </x:row>
    <x:row r="3233">
      <x:c r="A3233" s="54" t="n">
        <x:v>45838</x:v>
      </x:c>
      <x:c r="B3233" t="n">
        <x:v>45838.624999988424</x:v>
      </x:c>
      <x:c r="C3233" t="str">
        <x:v>001340</x:v>
      </x:c>
      <x:c r="D3233" t="str">
        <x:v>PKC</x:v>
      </x:c>
      <x:c r="E3233" t="str">
        <x:v>KOSPI</x:v>
      </x:c>
      <x:c r="F3233" t="str">
        <x:v>MID</x:v>
      </x:c>
      <x:c r="G3233" t="str">
        <x:v>DCF_SCREENING_EXCLUSION</x:v>
      </x:c>
      <x:c r="H3233" t="str">
        <x:v>NON_POSITIVE_EQUITY_VALUE|UNRELIABLE_TERMINAL_VALUE_SHARE</x:v>
      </x:c>
      <x:c r="I3233" s="54" t="n">
        <x:v>45838</x:v>
      </x:c>
      <x:c r="J3233" s="55" t="n">
        <x:v>5810</x:v>
      </x:c>
      <x:c r="K3233" s="55" t="n">
        <x:v>260975944670</x:v>
      </x:c>
      <x:c r="L3233" s="55" t="n">
        <x:v>44918407</x:v>
      </x:c>
      <x:c r="M3233" t="str">
        <x:v>20250318001326</x:v>
      </x:c>
      <x:c r="N3233" t="n">
        <x:v>45734.624999988424</x:v>
      </x:c>
      <x:c r="O3233" s="54" t="n">
        <x:v>45657</x:v>
      </x:c>
      <x:c r="P3233" t="str">
        <x:v>False</x:v>
      </x:c>
      <x:c r="Q3233" t="str">
        <x:v>448422d0b664c1641c1409a6b550302ed7843caaad8693595fcf64767a2bf153</x:v>
      </x:c>
      <x:c r="R3233" t="str">
        <x:v>d7f4e26fd2d59a2733a35c8f825adbcbfe131ec6897357144d8cd186caa2ccea</x:v>
      </x:c>
      <x:c r="S3233" t="n">
        <x:v>6</x:v>
      </x:c>
      <x:c r="T3233" t="str">
        <x:v>2016-12-31|2017-12-31|2018-12-31|2019-12-31|2020-12-31|2021-12-31|2022-12-31|2023-12-31|2024-12-31</x:v>
      </x:c>
      <x:c r="U3233" s="57" t="n">
        <x:v>-1931.2583769092985</x:v>
      </x:c>
      <x:c r="V3233" s="57" t="n">
        <x:v>-1.332402474511067</x:v>
      </x:c>
      <x:c r="W3233"/>
      <x:c r="X3233"/>
      <x:c r="Y3233" s="38" t="n">
        <x:v>0.6409090909090909</x:v>
      </x:c>
      <x:c r="Z3233" s="38" t="n">
        <x:v>1.077545612439398</x:v>
      </x:c>
      <x:c r="AA3233" t="str">
        <x:v>NON_POSITIVE_EQUITY_VALUE|UNRELIABLE_TERMINAL_VALUE_SHARE</x:v>
      </x:c>
    </x:row>
    <x:row r="3234">
      <x:c r="A3234" s="54" t="n">
        <x:v>45838</x:v>
      </x:c>
      <x:c r="B3234" t="n">
        <x:v>45838.624999988424</x:v>
      </x:c>
      <x:c r="C3234" t="str">
        <x:v>096760</x:v>
      </x:c>
      <x:c r="D3234" t="str">
        <x:v>JW홀딩스</x:v>
      </x:c>
      <x:c r="E3234" t="str">
        <x:v>KOSPI</x:v>
      </x:c>
      <x:c r="F3234" t="str">
        <x:v>MID</x:v>
      </x:c>
      <x:c r="G3234" t="str">
        <x:v>EXCLUDED_ARCHETYPE</x:v>
      </x:c>
      <x:c r="H3234" t="str">
        <x:v>FCFF_NOT_COMPARABLE_FOR_FINANCE_OR_HOLDING_HINT</x:v>
      </x:c>
      <x:c r="I3234" s="54"/>
      <x:c r="J3234" s="55"/>
      <x:c r="K3234" s="55"/>
      <x:c r="L3234" s="55"/>
      <x:c r="M3234"/>
      <x:c r="N3234"/>
      <x:c r="O3234" s="54"/>
      <x:c r="P3234"/>
      <x:c r="Q3234"/>
      <x:c r="R3234"/>
      <x:c r="S3234"/>
      <x:c r="T3234"/>
      <x:c r="U3234" s="57"/>
      <x:c r="V3234" s="57"/>
      <x:c r="W3234"/>
      <x:c r="X3234"/>
      <x:c r="Y3234" s="38"/>
      <x:c r="Z3234" s="38"/>
      <x:c r="AA3234"/>
    </x:row>
    <x:row r="3235">
      <x:c r="A3235" s="54" t="n">
        <x:v>45838</x:v>
      </x:c>
      <x:c r="B3235" t="n">
        <x:v>45838.624999988424</x:v>
      </x:c>
      <x:c r="C3235" t="str">
        <x:v>005010</x:v>
      </x:c>
      <x:c r="D3235" t="str">
        <x:v>휴스틸</x:v>
      </x:c>
      <x:c r="E3235" t="str">
        <x:v>KOSPI</x:v>
      </x:c>
      <x:c r="F3235" t="str">
        <x:v>MID</x:v>
      </x:c>
      <x:c r="G3235" t="str">
        <x:v>ELIGIBLE</x:v>
      </x:c>
      <x:c r="H3235"/>
      <x:c r="I3235" s="54" t="n">
        <x:v>45838</x:v>
      </x:c>
      <x:c r="J3235" s="55" t="n">
        <x:v>4875</x:v>
      </x:c>
      <x:c r="K3235" s="55" t="n">
        <x:v>273916865625</x:v>
      </x:c>
      <x:c r="L3235" s="55" t="n">
        <x:v>56188075</x:v>
      </x:c>
      <x:c r="M3235" t="str">
        <x:v>20250318001178</x:v>
      </x:c>
      <x:c r="N3235" t="n">
        <x:v>45734.624999988424</x:v>
      </x:c>
      <x:c r="O3235" s="54" t="n">
        <x:v>45657</x:v>
      </x:c>
      <x:c r="P3235" t="str">
        <x:v>False</x:v>
      </x:c>
      <x:c r="Q3235" t="str">
        <x:v>ebd1bae8300c69238e0a9e599d93730f19c06298ae3de9f1e44a88d3bcc9c46c</x:v>
      </x:c>
      <x:c r="R3235" t="str">
        <x:v>8b598b2a34d56804b2da12e7baeabc6a6f5137d2326d7baa9c526ed2e79a06c5</x:v>
      </x:c>
      <x:c r="S3235" t="n">
        <x:v>7</x:v>
      </x:c>
      <x:c r="T3235" t="str">
        <x:v>2018-12-31|2019-12-31|2020-12-31|2021-12-31|2022-12-31|2023-12-31|2024-12-31</x:v>
      </x:c>
      <x:c r="U3235" s="57" t="n">
        <x:v>2225.32104209166</x:v>
      </x:c>
      <x:c r="V3235" s="57" t="n">
        <x:v>-0.5435238888017109</x:v>
      </x:c>
      <x:c r="W3235" t="n">
        <x:v>44</x:v>
      </x:c>
      <x:c r="X3235" t="n">
        <x:v>4</x:v>
      </x:c>
      <x:c r="Y3235" s="38" t="n">
        <x:v>0.6409090909090909</x:v>
      </x:c>
      <x:c r="Z3235" s="38" t="n">
        <x:v>0.54988561429415</x:v>
      </x:c>
      <x:c r="AA3235"/>
    </x:row>
    <x:row r="3236">
      <x:c r="A3236" s="54" t="n">
        <x:v>45838</x:v>
      </x:c>
      <x:c r="B3236" t="n">
        <x:v>45838.624999988424</x:v>
      </x:c>
      <x:c r="C3236" t="str">
        <x:v>001630</x:v>
      </x:c>
      <x:c r="D3236" t="str">
        <x:v>종근당홀딩스</x:v>
      </x:c>
      <x:c r="E3236" t="str">
        <x:v>KOSPI</x:v>
      </x:c>
      <x:c r="F3236" t="str">
        <x:v>MID</x:v>
      </x:c>
      <x:c r="G3236" t="str">
        <x:v>EXCLUDED_ARCHETYPE</x:v>
      </x:c>
      <x:c r="H3236" t="str">
        <x:v>FCFF_NOT_COMPARABLE_FOR_FINANCE_OR_HOLDING_HINT</x:v>
      </x:c>
      <x:c r="I3236" s="54"/>
      <x:c r="J3236" s="55"/>
      <x:c r="K3236" s="55"/>
      <x:c r="L3236" s="55"/>
      <x:c r="M3236"/>
      <x:c r="N3236"/>
      <x:c r="O3236" s="54"/>
      <x:c r="P3236"/>
      <x:c r="Q3236"/>
      <x:c r="R3236"/>
      <x:c r="S3236"/>
      <x:c r="T3236"/>
      <x:c r="U3236" s="57"/>
      <x:c r="V3236" s="57"/>
      <x:c r="W3236"/>
      <x:c r="X3236"/>
      <x:c r="Y3236" s="38"/>
      <x:c r="Z3236" s="38"/>
      <x:c r="AA3236"/>
    </x:row>
    <x:row r="3237">
      <x:c r="A3237" s="54" t="n">
        <x:v>45838</x:v>
      </x:c>
      <x:c r="B3237" t="n">
        <x:v>45838.624999988424</x:v>
      </x:c>
      <x:c r="C3237" t="str">
        <x:v>005680</x:v>
      </x:c>
      <x:c r="D3237" t="str">
        <x:v>삼영전자</x:v>
      </x:c>
      <x:c r="E3237" t="str">
        <x:v>KOSPI</x:v>
      </x:c>
      <x:c r="F3237" t="str">
        <x:v>MID</x:v>
      </x:c>
      <x:c r="G3237" t="str">
        <x:v>ELIGIBLE</x:v>
      </x:c>
      <x:c r="H3237"/>
      <x:c r="I3237" s="54" t="n">
        <x:v>45838</x:v>
      </x:c>
      <x:c r="J3237" s="55" t="n">
        <x:v>11210</x:v>
      </x:c>
      <x:c r="K3237" s="55" t="n">
        <x:v>224200000000</x:v>
      </x:c>
      <x:c r="L3237" s="55" t="n">
        <x:v>20000000</x:v>
      </x:c>
      <x:c r="M3237" t="str">
        <x:v>20250320001464</x:v>
      </x:c>
      <x:c r="N3237" t="n">
        <x:v>45736.624999988424</x:v>
      </x:c>
      <x:c r="O3237" s="54" t="n">
        <x:v>45657</x:v>
      </x:c>
      <x:c r="P3237" t="str">
        <x:v>True</x:v>
      </x:c>
      <x:c r="Q3237" t="str">
        <x:v>cfa68a3e5b0fd8673d21354705fac8384fabebe6413b9d8e922db8dd5ac307a9</x:v>
      </x:c>
      <x:c r="R3237" t="str">
        <x:v>f26000ddb6d0698789eab6fc0b9208c592530321b1e323298d356eb9d6515620</x:v>
      </x:c>
      <x:c r="S3237" t="n">
        <x:v>6</x:v>
      </x:c>
      <x:c r="T3237" t="str">
        <x:v>2018-12-31|2019-12-31|2020-12-31|2021-12-31|2022-12-31|2023-12-31|2024-12-31</x:v>
      </x:c>
      <x:c r="U3237" s="57" t="n">
        <x:v>3180.700331297927</x:v>
      </x:c>
      <x:c r="V3237" s="57" t="n">
        <x:v>-0.716262236280292</x:v>
      </x:c>
      <x:c r="W3237" t="n">
        <x:v>56</x:v>
      </x:c>
      <x:c r="X3237" t="n">
        <x:v>5</x:v>
      </x:c>
      <x:c r="Y3237" s="38" t="n">
        <x:v>0.6409090909090909</x:v>
      </x:c>
      <x:c r="Z3237" s="38" t="n">
        <x:v>0.5248739212793108</x:v>
      </x:c>
      <x:c r="AA3237"/>
    </x:row>
    <x:row r="3238">
      <x:c r="A3238" s="54" t="n">
        <x:v>45838</x:v>
      </x:c>
      <x:c r="B3238" t="n">
        <x:v>45838.624999988424</x:v>
      </x:c>
      <x:c r="C3238" t="str">
        <x:v>028100</x:v>
      </x:c>
      <x:c r="D3238" t="str">
        <x:v>동아지질</x:v>
      </x:c>
      <x:c r="E3238" t="str">
        <x:v>KOSPI</x:v>
      </x:c>
      <x:c r="F3238" t="str">
        <x:v>MID</x:v>
      </x:c>
      <x:c r="G3238" t="str">
        <x:v>DCF_SCREENING_EXCLUSION</x:v>
      </x:c>
      <x:c r="H3238" t="str">
        <x:v>NON_POSITIVE_ENTERPRISE_VALUE|NON_POSITIVE_TERMINAL_FCF</x:v>
      </x:c>
      <x:c r="I3238" s="54" t="n">
        <x:v>45838</x:v>
      </x:c>
      <x:c r="J3238" s="55" t="n">
        <x:v>16170</x:v>
      </x:c>
      <x:c r="K3238" s="55" t="n">
        <x:v>216508247340</x:v>
      </x:c>
      <x:c r="L3238" s="55" t="n">
        <x:v>13389502</x:v>
      </x:c>
      <x:c r="M3238" t="str">
        <x:v>20250318001360</x:v>
      </x:c>
      <x:c r="N3238" t="n">
        <x:v>45734.624999988424</x:v>
      </x:c>
      <x:c r="O3238" s="54" t="n">
        <x:v>45657</x:v>
      </x:c>
      <x:c r="P3238" t="str">
        <x:v>False</x:v>
      </x:c>
      <x:c r="Q3238" t="str">
        <x:v>f6bacead7a4d3b599928357c954aad469daae675f91bf79ee168c6b32f9e14f5</x:v>
      </x:c>
      <x:c r="R3238" t="str">
        <x:v>041444595e8a8661a4e5e5976021743d01fdeaa9915767ccf69256de9fd453b0</x:v>
      </x:c>
      <x:c r="S3238" t="n">
        <x:v>6</x:v>
      </x:c>
      <x:c r="T3238" t="str">
        <x:v>2018-12-31|2019-12-31|2020-12-31|2021-12-31|2022-12-31|2023-12-31|2024-12-31</x:v>
      </x:c>
      <x:c r="U3238" s="57" t="n">
        <x:v>4992.707269123689</x:v>
      </x:c>
      <x:c r="V3238" s="57" t="n">
        <x:v>-0.6912364088358881</x:v>
      </x:c>
      <x:c r="W3238"/>
      <x:c r="X3238"/>
      <x:c r="Y3238" s="38" t="n">
        <x:v>0.6409090909090909</x:v>
      </x:c>
      <x:c r="Z3238" s="38" t="n">
        <x:v>0.8226680380877903</x:v>
      </x:c>
      <x:c r="AA3238" t="str">
        <x:v>NON_POSITIVE_ENTERPRISE_VALUE|NON_POSITIVE_TERMINAL_FCF</x:v>
      </x:c>
    </x:row>
    <x:row r="3239">
      <x:c r="A3239" s="54" t="n">
        <x:v>45838</x:v>
      </x:c>
      <x:c r="B3239" t="n">
        <x:v>45838.624999988424</x:v>
      </x:c>
      <x:c r="C3239" t="str">
        <x:v>001750</x:v>
      </x:c>
      <x:c r="D3239" t="str">
        <x:v>한양증권</x:v>
      </x:c>
      <x:c r="E3239" t="str">
        <x:v>KOSPI</x:v>
      </x:c>
      <x:c r="F3239" t="str">
        <x:v>MID</x:v>
      </x:c>
      <x:c r="G3239" t="str">
        <x:v>EXCLUDED_ARCHETYPE</x:v>
      </x:c>
      <x:c r="H3239" t="str">
        <x:v>FCFF_NOT_COMPARABLE_FOR_FINANCE_OR_HOLDING_HINT</x:v>
      </x:c>
      <x:c r="I3239" s="54"/>
      <x:c r="J3239" s="55"/>
      <x:c r="K3239" s="55"/>
      <x:c r="L3239" s="55"/>
      <x:c r="M3239"/>
      <x:c r="N3239"/>
      <x:c r="O3239" s="54"/>
      <x:c r="P3239"/>
      <x:c r="Q3239"/>
      <x:c r="R3239"/>
      <x:c r="S3239"/>
      <x:c r="T3239"/>
      <x:c r="U3239" s="57"/>
      <x:c r="V3239" s="57"/>
      <x:c r="W3239"/>
      <x:c r="X3239"/>
      <x:c r="Y3239" s="38"/>
      <x:c r="Z3239" s="38"/>
      <x:c r="AA3239"/>
    </x:row>
    <x:row r="3240">
      <x:c r="A3240" s="54" t="n">
        <x:v>45838</x:v>
      </x:c>
      <x:c r="B3240" t="n">
        <x:v>45838.624999988424</x:v>
      </x:c>
      <x:c r="C3240" t="str">
        <x:v>102460</x:v>
      </x:c>
      <x:c r="D3240" t="str">
        <x:v>이연제약</x:v>
      </x:c>
      <x:c r="E3240" t="str">
        <x:v>KOSPI</x:v>
      </x:c>
      <x:c r="F3240" t="str">
        <x:v>MID</x:v>
      </x:c>
      <x:c r="G3240" t="str">
        <x:v>DCF_SCREENING_EXCLUSION</x:v>
      </x:c>
      <x:c r="H3240" t="str">
        <x:v>UNRELIABLE_TERMINAL_VALUE_SHARE</x:v>
      </x:c>
      <x:c r="I3240" s="54" t="n">
        <x:v>45838</x:v>
      </x:c>
      <x:c r="J3240" s="55" t="n">
        <x:v>11770</x:v>
      </x:c>
      <x:c r="K3240" s="55" t="n">
        <x:v>218766765470</x:v>
      </x:c>
      <x:c r="L3240" s="55" t="n">
        <x:v>18586811</x:v>
      </x:c>
      <x:c r="M3240" t="str">
        <x:v>20250324000741</x:v>
      </x:c>
      <x:c r="N3240" t="n">
        <x:v>45740.624999988424</x:v>
      </x:c>
      <x:c r="O3240" s="54" t="n">
        <x:v>45657</x:v>
      </x:c>
      <x:c r="P3240" t="str">
        <x:v>True</x:v>
      </x:c>
      <x:c r="Q3240" t="str">
        <x:v>99bb13dce29c16a81da63c823b01f3f9eed73a9b4b9ab666bd47242bb9c14dc6</x:v>
      </x:c>
      <x:c r="R3240" t="str">
        <x:v>ae8d10b731dea304c9b39e5aab975b9cd90adfaa43029bad8f062ed490eb010a</x:v>
      </x:c>
      <x:c r="S3240" t="n">
        <x:v>4</x:v>
      </x:c>
      <x:c r="T3240" t="str">
        <x:v>2018-12-31|2019-12-31|2020-12-31|2021-12-31|2022-12-31|2023-12-31|2024-12-31</x:v>
      </x:c>
      <x:c r="U3240" s="57" t="n">
        <x:v>863.8027586973582</x:v>
      </x:c>
      <x:c r="V3240" s="57" t="n">
        <x:v>-0.9266097911047274</x:v>
      </x:c>
      <x:c r="W3240"/>
      <x:c r="X3240"/>
      <x:c r="Y3240" s="38" t="n">
        <x:v>0.6409090909090909</x:v>
      </x:c>
      <x:c r="Z3240" s="38" t="n">
        <x:v>1.4736293116330543</x:v>
      </x:c>
      <x:c r="AA3240" t="str">
        <x:v>UNRELIABLE_TERMINAL_VALUE_SHARE</x:v>
      </x:c>
    </x:row>
    <x:row r="3241">
      <x:c r="A3241" s="54" t="n">
        <x:v>45838</x:v>
      </x:c>
      <x:c r="B3241" t="n">
        <x:v>45838.624999988424</x:v>
      </x:c>
      <x:c r="C3241" t="str">
        <x:v>053690</x:v>
      </x:c>
      <x:c r="D3241" t="str">
        <x:v>한미글로벌</x:v>
      </x:c>
      <x:c r="E3241" t="str">
        <x:v>KOSPI</x:v>
      </x:c>
      <x:c r="F3241" t="str">
        <x:v>MID</x:v>
      </x:c>
      <x:c r="G3241" t="str">
        <x:v>ELIGIBLE</x:v>
      </x:c>
      <x:c r="H3241"/>
      <x:c r="I3241" s="54" t="n">
        <x:v>45838</x:v>
      </x:c>
      <x:c r="J3241" s="55" t="n">
        <x:v>19710</x:v>
      </x:c>
      <x:c r="K3241" s="55" t="n">
        <x:v>215973310500</x:v>
      </x:c>
      <x:c r="L3241" s="55" t="n">
        <x:v>10957550</x:v>
      </x:c>
      <x:c r="M3241" t="str">
        <x:v>20250313001417</x:v>
      </x:c>
      <x:c r="N3241" t="n">
        <x:v>45729.624999988424</x:v>
      </x:c>
      <x:c r="O3241" s="54" t="n">
        <x:v>45657</x:v>
      </x:c>
      <x:c r="P3241" t="str">
        <x:v>False</x:v>
      </x:c>
      <x:c r="Q3241" t="str">
        <x:v>51b2be5f40d3d82d5d370531fbcd7363769b64cf6191200b8167c52397c99b27</x:v>
      </x:c>
      <x:c r="R3241" t="str">
        <x:v>650f18deaa35fe6125d5ad8b4ba612039a448f3cd435a6475c179c31f87ed519</x:v>
      </x:c>
      <x:c r="S3241" t="n">
        <x:v>6</x:v>
      </x:c>
      <x:c r="T3241" t="str">
        <x:v>2018-12-31|2019-12-31|2020-12-31|2021-12-31|2022-12-31|2023-12-31|2024-12-31</x:v>
      </x:c>
      <x:c r="U3241" s="57" t="n">
        <x:v>25669.93652281849</x:v>
      </x:c>
      <x:c r="V3241" s="57" t="n">
        <x:v>0.3023813558000249</x:v>
      </x:c>
      <x:c r="W3241" t="n">
        <x:v>20</x:v>
      </x:c>
      <x:c r="X3241" t="n">
        <x:v>2</x:v>
      </x:c>
      <x:c r="Y3241" s="38" t="n">
        <x:v>0.6409090909090909</x:v>
      </x:c>
      <x:c r="Z3241" s="38" t="n">
        <x:v>0.6713982026034973</x:v>
      </x:c>
      <x:c r="AA3241"/>
    </x:row>
    <x:row r="3242">
      <x:c r="A3242" s="54" t="n">
        <x:v>45838</x:v>
      </x:c>
      <x:c r="B3242" t="n">
        <x:v>45838.624999988424</x:v>
      </x:c>
      <x:c r="C3242" t="str">
        <x:v>213500</x:v>
      </x:c>
      <x:c r="D3242" t="str">
        <x:v>한솔제지</x:v>
      </x:c>
      <x:c r="E3242" t="str">
        <x:v>KOSPI</x:v>
      </x:c>
      <x:c r="F3242" t="str">
        <x:v>MID</x:v>
      </x:c>
      <x:c r="G3242" t="str">
        <x:v>ELIGIBLE</x:v>
      </x:c>
      <x:c r="H3242"/>
      <x:c r="I3242" s="54" t="n">
        <x:v>45838</x:v>
      </x:c>
      <x:c r="J3242" s="55" t="n">
        <x:v>8750</x:v>
      </x:c>
      <x:c r="K3242" s="55" t="n">
        <x:v>208255040000</x:v>
      </x:c>
      <x:c r="L3242" s="55" t="n">
        <x:v>23800576</x:v>
      </x:c>
      <x:c r="M3242" t="str">
        <x:v>20250314001432</x:v>
      </x:c>
      <x:c r="N3242" t="n">
        <x:v>45730.624999988424</x:v>
      </x:c>
      <x:c r="O3242" s="54" t="n">
        <x:v>45657</x:v>
      </x:c>
      <x:c r="P3242" t="str">
        <x:v>False</x:v>
      </x:c>
      <x:c r="Q3242" t="str">
        <x:v>d0978a0d36a431723ed04405f703f04ac71e2d1dbff5bb3f5397b1e6ec83fb20</x:v>
      </x:c>
      <x:c r="R3242" t="str">
        <x:v>ed373e46bae1d3c657a1613bfcbee15625037781b008f63df173a1e11209b7b0</x:v>
      </x:c>
      <x:c r="S3242" t="n">
        <x:v>7</x:v>
      </x:c>
      <x:c r="T3242" t="str">
        <x:v>2018-12-31|2019-12-31|2020-12-31|2021-12-31|2022-12-31|2023-12-31|2024-12-31</x:v>
      </x:c>
      <x:c r="U3242" s="57" t="n">
        <x:v>5671.430230340832</x:v>
      </x:c>
      <x:c r="V3242" s="57" t="n">
        <x:v>-0.3518365451039049</x:v>
      </x:c>
      <x:c r="W3242" t="n">
        <x:v>35</x:v>
      </x:c>
      <x:c r="X3242" t="n">
        <x:v>3</x:v>
      </x:c>
      <x:c r="Y3242" s="38" t="n">
        <x:v>0.6409090909090909</x:v>
      </x:c>
      <x:c r="Z3242" s="38" t="n">
        <x:v>0.7998796037584048</x:v>
      </x:c>
      <x:c r="AA3242"/>
    </x:row>
    <x:row r="3243">
      <x:c r="A3243" s="54" t="n">
        <x:v>45838</x:v>
      </x:c>
      <x:c r="B3243" t="n">
        <x:v>45838.624999988424</x:v>
      </x:c>
      <x:c r="C3243" t="str">
        <x:v>005430</x:v>
      </x:c>
      <x:c r="D3243" t="str">
        <x:v>한국공항</x:v>
      </x:c>
      <x:c r="E3243" t="str">
        <x:v>KOSPI</x:v>
      </x:c>
      <x:c r="F3243" t="str">
        <x:v>MID</x:v>
      </x:c>
      <x:c r="G3243" t="str">
        <x:v>ELIGIBLE</x:v>
      </x:c>
      <x:c r="H3243"/>
      <x:c r="I3243" s="54" t="n">
        <x:v>45838</x:v>
      </x:c>
      <x:c r="J3243" s="55" t="n">
        <x:v>52200</x:v>
      </x:c>
      <x:c r="K3243" s="55" t="n">
        <x:v>165283731000</x:v>
      </x:c>
      <x:c r="L3243" s="55" t="n">
        <x:v>3166355</x:v>
      </x:c>
      <x:c r="M3243" t="str">
        <x:v>20250318000741</x:v>
      </x:c>
      <x:c r="N3243" t="n">
        <x:v>45734.624999988424</x:v>
      </x:c>
      <x:c r="O3243" s="54" t="n">
        <x:v>45657</x:v>
      </x:c>
      <x:c r="P3243" t="str">
        <x:v>False</x:v>
      </x:c>
      <x:c r="Q3243" t="str">
        <x:v>96c22147bc0b6b2724a33264dc05abcad0e492329dcdf2014cd880db88c6a714</x:v>
      </x:c>
      <x:c r="R3243" t="str">
        <x:v>c881c5fe66bed1fa063450b028b0795c4fb4761a902f6bfde68499129e317f5d</x:v>
      </x:c>
      <x:c r="S3243" t="n">
        <x:v>7</x:v>
      </x:c>
      <x:c r="T3243" t="str">
        <x:v>2018-12-31|2019-12-31|2020-12-31|2021-12-31|2022-12-31|2023-12-31|2024-12-31</x:v>
      </x:c>
      <x:c r="U3243" s="57" t="n">
        <x:v>119764.62363728922</x:v>
      </x:c>
      <x:c r="V3243" s="57" t="n">
        <x:v>1.2943414489902147</x:v>
      </x:c>
      <x:c r="W3243" t="n">
        <x:v>7</x:v>
      </x:c>
      <x:c r="X3243" t="n">
        <x:v>1</x:v>
      </x:c>
      <x:c r="Y3243" s="38" t="n">
        <x:v>0.6409090909090909</x:v>
      </x:c>
      <x:c r="Z3243" s="38" t="n">
        <x:v>0.6100815592248533</x:v>
      </x:c>
      <x:c r="AA3243"/>
    </x:row>
    <x:row r="3244">
      <x:c r="A3244" s="54" t="n">
        <x:v>45838</x:v>
      </x:c>
      <x:c r="B3244" t="n">
        <x:v>45838.624999988424</x:v>
      </x:c>
      <x:c r="C3244" t="str">
        <x:v>003460</x:v>
      </x:c>
      <x:c r="D3244" t="str">
        <x:v>유화증권</x:v>
      </x:c>
      <x:c r="E3244" t="str">
        <x:v>KOSPI</x:v>
      </x:c>
      <x:c r="F3244" t="str">
        <x:v>MID</x:v>
      </x:c>
      <x:c r="G3244" t="str">
        <x:v>EXCLUDED_ARCHETYPE</x:v>
      </x:c>
      <x:c r="H3244" t="str">
        <x:v>FCFF_NOT_COMPARABLE_FOR_FINANCE_OR_HOLDING_HINT</x:v>
      </x:c>
      <x:c r="I3244" s="54"/>
      <x:c r="J3244" s="55"/>
      <x:c r="K3244" s="55"/>
      <x:c r="L3244" s="55"/>
      <x:c r="M3244"/>
      <x:c r="N3244"/>
      <x:c r="O3244" s="54"/>
      <x:c r="P3244"/>
      <x:c r="Q3244"/>
      <x:c r="R3244"/>
      <x:c r="S3244"/>
      <x:c r="T3244"/>
      <x:c r="U3244" s="57"/>
      <x:c r="V3244" s="57"/>
      <x:c r="W3244"/>
      <x:c r="X3244"/>
      <x:c r="Y3244" s="38"/>
      <x:c r="Z3244" s="38"/>
      <x:c r="AA3244"/>
    </x:row>
    <x:row r="3245">
      <x:c r="A3245" s="54" t="n">
        <x:v>45838</x:v>
      </x:c>
      <x:c r="B3245" t="n">
        <x:v>45838.624999988424</x:v>
      </x:c>
      <x:c r="C3245" t="str">
        <x:v>004140</x:v>
      </x:c>
      <x:c r="D3245" t="str">
        <x:v>동방</x:v>
      </x:c>
      <x:c r="E3245" t="str">
        <x:v>KOSPI</x:v>
      </x:c>
      <x:c r="F3245" t="str">
        <x:v>MID</x:v>
      </x:c>
      <x:c r="G3245" t="str">
        <x:v>DCF_SCREENING_EXCLUSION</x:v>
      </x:c>
      <x:c r="H3245" t="str">
        <x:v>NON_POSITIVE_ENTERPRISE_VALUE|NON_POSITIVE_TERMINAL_FCF|UNRELIABLE_TERMINAL_VALUE_SHARE</x:v>
      </x:c>
      <x:c r="I3245" s="54" t="n">
        <x:v>45838</x:v>
      </x:c>
      <x:c r="J3245" s="55" t="n">
        <x:v>2795</x:v>
      </x:c>
      <x:c r="K3245" s="55" t="n">
        <x:v>134081085970</x:v>
      </x:c>
      <x:c r="L3245" s="55" t="n">
        <x:v>47971766</x:v>
      </x:c>
      <x:c r="M3245" t="str">
        <x:v>20250320001398</x:v>
      </x:c>
      <x:c r="N3245" t="n">
        <x:v>45736.624999988424</x:v>
      </x:c>
      <x:c r="O3245" s="54" t="n">
        <x:v>45657</x:v>
      </x:c>
      <x:c r="P3245" t="str">
        <x:v>False</x:v>
      </x:c>
      <x:c r="Q3245" t="str">
        <x:v>f5c84d1176c3bde373541e8a79d93c72b302ce811ccd9f329af5275bc0793557</x:v>
      </x:c>
      <x:c r="R3245" t="str">
        <x:v>9af185b2febf5374cc86bf236d00af680b0237c328db8eb8dd3b49288c0fcf44</x:v>
      </x:c>
      <x:c r="S3245" t="n">
        <x:v>7</x:v>
      </x:c>
      <x:c r="T3245" t="str">
        <x:v>2013-12-31|2014-12-31|2015-12-31|2016-12-31|2018-12-31|2019-12-31|2020-12-31|2021-12-31|2022-12-31|2023-12-31|2024-12-31</x:v>
      </x:c>
      <x:c r="U3245" s="57" t="n">
        <x:v>23.453197098881997</x:v>
      </x:c>
      <x:c r="V3245" s="57" t="n">
        <x:v>-0.9916088740254447</x:v>
      </x:c>
      <x:c r="W3245"/>
      <x:c r="X3245"/>
      <x:c r="Y3245" s="38" t="n">
        <x:v>0.6409090909090909</x:v>
      </x:c>
      <x:c r="Z3245" s="38" t="n">
        <x:v>0.9762425382103627</x:v>
      </x:c>
      <x:c r="AA3245" t="str">
        <x:v>NON_POSITIVE_ENTERPRISE_VALUE|NON_POSITIVE_TERMINAL_FCF|UNRELIABLE_TERMINAL_VALUE_SHARE</x:v>
      </x:c>
    </x:row>
    <x:row r="3246">
      <x:c r="A3246" s="54" t="n">
        <x:v>45838</x:v>
      </x:c>
      <x:c r="B3246" t="n">
        <x:v>45838.624999988424</x:v>
      </x:c>
      <x:c r="C3246" t="str">
        <x:v>317400</x:v>
      </x:c>
      <x:c r="D3246" t="str">
        <x:v>자이에스앤디</x:v>
      </x:c>
      <x:c r="E3246" t="str">
        <x:v>KOSPI</x:v>
      </x:c>
      <x:c r="F3246" t="str">
        <x:v>MID</x:v>
      </x:c>
      <x:c r="G3246" t="str">
        <x:v>DCF_SCREENING_EXCLUSION</x:v>
      </x:c>
      <x:c r="H3246" t="str">
        <x:v>UNRELIABLE_TERMINAL_VALUE_SHARE</x:v>
      </x:c>
      <x:c r="I3246" s="54" t="n">
        <x:v>45838</x:v>
      </x:c>
      <x:c r="J3246" s="55" t="n">
        <x:v>3535</x:v>
      </x:c>
      <x:c r="K3246" s="55" t="n">
        <x:v>137096208200</x:v>
      </x:c>
      <x:c r="L3246" s="55" t="n">
        <x:v>38782520</x:v>
      </x:c>
      <x:c r="M3246" t="str">
        <x:v>20250317000915</x:v>
      </x:c>
      <x:c r="N3246" t="n">
        <x:v>45733.624999988424</x:v>
      </x:c>
      <x:c r="O3246" s="54" t="n">
        <x:v>45657</x:v>
      </x:c>
      <x:c r="P3246" t="str">
        <x:v>False</x:v>
      </x:c>
      <x:c r="Q3246" t="str">
        <x:v>29acffc462c30f15419c42d97f1ecb93bcf4b93db37250a125f7255f078e1292</x:v>
      </x:c>
      <x:c r="R3246" t="str">
        <x:v>717ae5cb67dbf646f553f56cbe154e1e45b2dc7915c3e63f16ed8104bc53466b</x:v>
      </x:c>
      <x:c r="S3246" t="n">
        <x:v>7</x:v>
      </x:c>
      <x:c r="T3246" t="str">
        <x:v>2019-12-31|2020-12-31|2021-12-31|2022-12-31|2023-12-31|2024-12-31</x:v>
      </x:c>
      <x:c r="U3246" s="57" t="n">
        <x:v>23861.006194453326</x:v>
      </x:c>
      <x:c r="V3246" s="57" t="n">
        <x:v>5.749931030962751</x:v>
      </x:c>
      <x:c r="W3246"/>
      <x:c r="X3246"/>
      <x:c r="Y3246" s="38" t="n">
        <x:v>0.6409090909090909</x:v>
      </x:c>
      <x:c r="Z3246" s="38" t="n">
        <x:v>0.9375254827577386</x:v>
      </x:c>
      <x:c r="AA3246" t="str">
        <x:v>UNRELIABLE_TERMINAL_VALUE_SHARE</x:v>
      </x:c>
    </x:row>
    <x:row r="3247">
      <x:c r="A3247" s="54" t="n">
        <x:v>45838</x:v>
      </x:c>
      <x:c r="B3247" t="n">
        <x:v>45838.624999988424</x:v>
      </x:c>
      <x:c r="C3247" t="str">
        <x:v>077500</x:v>
      </x:c>
      <x:c r="D3247" t="str">
        <x:v>유니퀘스트</x:v>
      </x:c>
      <x:c r="E3247" t="str">
        <x:v>KOSPI</x:v>
      </x:c>
      <x:c r="F3247" t="str">
        <x:v>MID</x:v>
      </x:c>
      <x:c r="G3247" t="str">
        <x:v>ELIGIBLE</x:v>
      </x:c>
      <x:c r="H3247"/>
      <x:c r="I3247" s="54" t="n">
        <x:v>45838</x:v>
      </x:c>
      <x:c r="J3247" s="55" t="n">
        <x:v>6290</x:v>
      </x:c>
      <x:c r="K3247" s="55" t="n">
        <x:v>135864641580</x:v>
      </x:c>
      <x:c r="L3247" s="55" t="n">
        <x:v>21600102</x:v>
      </x:c>
      <x:c r="M3247" t="str">
        <x:v>20250320001187</x:v>
      </x:c>
      <x:c r="N3247" t="n">
        <x:v>45736.624999988424</x:v>
      </x:c>
      <x:c r="O3247" s="54" t="n">
        <x:v>45657</x:v>
      </x:c>
      <x:c r="P3247" t="str">
        <x:v>False</x:v>
      </x:c>
      <x:c r="Q3247" t="str">
        <x:v>20fef9a32a94d25e12a224707b2024d167c2ea3f7355313aaafaecad0b5664a9</x:v>
      </x:c>
      <x:c r="R3247" t="str">
        <x:v>addd5aac89175dc9fe81f0df423580bfce3794b20725d2900fe98bd1a2373756</x:v>
      </x:c>
      <x:c r="S3247" t="n">
        <x:v>6</x:v>
      </x:c>
      <x:c r="T3247" t="str">
        <x:v>2011-12-31|2012-12-31|2013-12-31|2014-12-31|2015-12-31|2016-12-31|2017-12-31|2018-12-31|2019-12-31|2020-12-31|2021-12-31|2022-12-31|2023-12-31|2024-12-31</x:v>
      </x:c>
      <x:c r="U3247" s="57" t="n">
        <x:v>4709.8188552567735</x:v>
      </x:c>
      <x:c r="V3247" s="57" t="n">
        <x:v>-0.25122116768572766</x:v>
      </x:c>
      <x:c r="W3247" t="n">
        <x:v>32</x:v>
      </x:c>
      <x:c r="X3247" t="n">
        <x:v>3</x:v>
      </x:c>
      <x:c r="Y3247" s="38" t="n">
        <x:v>0.6409090909090909</x:v>
      </x:c>
      <x:c r="Z3247" s="38" t="n">
        <x:v>0.644083878682151</x:v>
      </x:c>
      <x:c r="AA3247"/>
    </x:row>
    <x:row r="3248">
      <x:c r="A3248" s="54" t="n">
        <x:v>45838</x:v>
      </x:c>
      <x:c r="B3248" t="n">
        <x:v>45838.624999988424</x:v>
      </x:c>
      <x:c r="C3248" t="str">
        <x:v>012800</x:v>
      </x:c>
      <x:c r="D3248" t="str">
        <x:v>대창</x:v>
      </x:c>
      <x:c r="E3248" t="str">
        <x:v>KOSPI</x:v>
      </x:c>
      <x:c r="F3248" t="str">
        <x:v>MID</x:v>
      </x:c>
      <x:c r="G3248" t="str">
        <x:v>DCF_SCREENING_EXCLUSION</x:v>
      </x:c>
      <x:c r="H3248" t="str">
        <x:v>NON_POSITIVE_EQUITY_VALUE</x:v>
      </x:c>
      <x:c r="I3248" s="54" t="n">
        <x:v>45838</x:v>
      </x:c>
      <x:c r="J3248" s="55" t="n">
        <x:v>1386</x:v>
      </x:c>
      <x:c r="K3248" s="55" t="n">
        <x:v>126320731614</x:v>
      </x:c>
      <x:c r="L3248" s="55" t="n">
        <x:v>91140499</x:v>
      </x:c>
      <x:c r="M3248" t="str">
        <x:v>20250318001233</x:v>
      </x:c>
      <x:c r="N3248" t="n">
        <x:v>45734.624999988424</x:v>
      </x:c>
      <x:c r="O3248" s="54" t="n">
        <x:v>45657</x:v>
      </x:c>
      <x:c r="P3248" t="str">
        <x:v>True</x:v>
      </x:c>
      <x:c r="Q3248" t="str">
        <x:v>50647b987ecda3afdcc18e9b6df35eb05d3bbdf3edbbc98616b0e8fd56b8a9ba</x:v>
      </x:c>
      <x:c r="R3248" t="str">
        <x:v>dca155884fae78e9fd54b2f49c324e4712bfcd13aff3cc960af63af6a36197fa</x:v>
      </x:c>
      <x:c r="S3248" t="n">
        <x:v>7</x:v>
      </x:c>
      <x:c r="T3248" t="str">
        <x:v>2018-12-31|2019-12-31|2020-12-31|2021-12-31|2022-12-31|2023-12-31|2024-12-31</x:v>
      </x:c>
      <x:c r="U3248" s="57" t="n">
        <x:v>-2397.047614700418</x:v>
      </x:c>
      <x:c r="V3248" s="57" t="n">
        <x:v>-2.729471583477935</x:v>
      </x:c>
      <x:c r="W3248"/>
      <x:c r="X3248"/>
      <x:c r="Y3248" s="38" t="n">
        <x:v>0.6409090909090909</x:v>
      </x:c>
      <x:c r="Z3248" s="38" t="n">
        <x:v>0.611114804315932</x:v>
      </x:c>
      <x:c r="AA3248" t="str">
        <x:v>NON_POSITIVE_EQUITY_VALUE</x:v>
      </x:c>
    </x:row>
    <x:row r="3249">
      <x:c r="A3249" s="54" t="n">
        <x:v>45838</x:v>
      </x:c>
      <x:c r="B3249" t="n">
        <x:v>45838.624999988424</x:v>
      </x:c>
      <x:c r="C3249" t="str">
        <x:v>063160</x:v>
      </x:c>
      <x:c r="D3249" t="str">
        <x:v>종근당바이오</x:v>
      </x:c>
      <x:c r="E3249" t="str">
        <x:v>KOSPI</x:v>
      </x:c>
      <x:c r="F3249" t="str">
        <x:v>MID</x:v>
      </x:c>
      <x:c r="G3249" t="str">
        <x:v>DCF_SCREENING_EXCLUSION</x:v>
      </x:c>
      <x:c r="H3249" t="str">
        <x:v>NON_POSITIVE_ENTERPRISE_VALUE|NON_POSITIVE_EQUITY_VALUE|NON_POSITIVE_TERMINAL_FCF</x:v>
      </x:c>
      <x:c r="I3249" s="54" t="n">
        <x:v>45838</x:v>
      </x:c>
      <x:c r="J3249" s="55" t="n">
        <x:v>21850</x:v>
      </x:c>
      <x:c r="K3249" s="55" t="n">
        <x:v>119868269700</x:v>
      </x:c>
      <x:c r="L3249" s="55" t="n">
        <x:v>5485962</x:v>
      </x:c>
      <x:c r="M3249" t="str">
        <x:v>20250318001004</x:v>
      </x:c>
      <x:c r="N3249" t="n">
        <x:v>45734.624999988424</x:v>
      </x:c>
      <x:c r="O3249" s="54" t="n">
        <x:v>45657</x:v>
      </x:c>
      <x:c r="P3249" t="str">
        <x:v>False</x:v>
      </x:c>
      <x:c r="Q3249" t="str">
        <x:v>0e8d2a3f1976dcaf071cc8cc3046914ccc349e2d2d61de9afc116da12bd09fd2</x:v>
      </x:c>
      <x:c r="R3249" t="str">
        <x:v>bea30eaf5f780a405f9f61afc14f9b67ec246b241bfeca6b820aab8ee9ed3075</x:v>
      </x:c>
      <x:c r="S3249" t="n">
        <x:v>6</x:v>
      </x:c>
      <x:c r="T3249" t="str">
        <x:v>2018-12-31|2019-12-31|2020-12-31|2021-12-31|2022-12-31|2023-12-31|2024-12-31</x:v>
      </x:c>
      <x:c r="U3249" s="57" t="n">
        <x:v>-16092.188461958165</x:v>
      </x:c>
      <x:c r="V3249" s="57" t="n">
        <x:v>-1.736484597801289</x:v>
      </x:c>
      <x:c r="W3249"/>
      <x:c r="X3249"/>
      <x:c r="Y3249" s="38" t="n">
        <x:v>0.6409090909090909</x:v>
      </x:c>
      <x:c r="Z3249" s="38" t="n">
        <x:v>0.4517788473237937</x:v>
      </x:c>
      <x:c r="AA3249" t="str">
        <x:v>NON_POSITIVE_ENTERPRISE_VALUE|NON_POSITIVE_EQUITY_VALUE|NON_POSITIVE_TERMINAL_FCF</x:v>
      </x:c>
    </x:row>
    <x:row r="3250">
      <x:c r="A3250" s="54" t="n">
        <x:v>45838</x:v>
      </x:c>
      <x:c r="B3250" t="n">
        <x:v>45838.624999988424</x:v>
      </x:c>
      <x:c r="C3250" t="str">
        <x:v>013570</x:v>
      </x:c>
      <x:c r="D3250" t="str">
        <x:v>디와이</x:v>
      </x:c>
      <x:c r="E3250" t="str">
        <x:v>KOSPI</x:v>
      </x:c>
      <x:c r="F3250" t="str">
        <x:v>MID</x:v>
      </x:c>
      <x:c r="G3250" t="str">
        <x:v>ELIGIBLE</x:v>
      </x:c>
      <x:c r="H3250"/>
      <x:c r="I3250" s="54" t="n">
        <x:v>45838</x:v>
      </x:c>
      <x:c r="J3250" s="55" t="n">
        <x:v>4560</x:v>
      </x:c>
      <x:c r="K3250" s="55" t="n">
        <x:v>120017526480</x:v>
      </x:c>
      <x:c r="L3250" s="55" t="n">
        <x:v>26319633</x:v>
      </x:c>
      <x:c r="M3250" t="str">
        <x:v>20250312001047</x:v>
      </x:c>
      <x:c r="N3250" t="n">
        <x:v>45728.624999988424</x:v>
      </x:c>
      <x:c r="O3250" s="54" t="n">
        <x:v>45657</x:v>
      </x:c>
      <x:c r="P3250" t="str">
        <x:v>False</x:v>
      </x:c>
      <x:c r="Q3250" t="str">
        <x:v>32c954e8e3027a04b5264076321f2793542bdc91dc4aedb110a2663defeb0d3f</x:v>
      </x:c>
      <x:c r="R3250" t="str">
        <x:v>e3239a1e1ab0b87c9ced172a39df12620775beece85508ada6cd43f3d579ab30</x:v>
      </x:c>
      <x:c r="S3250" t="n">
        <x:v>6</x:v>
      </x:c>
      <x:c r="T3250" t="str">
        <x:v>2018-12-31|2019-12-31|2020-12-31|2021-12-31|2022-12-31|2023-12-31|2024-12-31</x:v>
      </x:c>
      <x:c r="U3250" s="57" t="n">
        <x:v>7927.346157614621</x:v>
      </x:c>
      <x:c r="V3250" s="57" t="n">
        <x:v>0.7384531047400484</x:v>
      </x:c>
      <x:c r="W3250" t="n">
        <x:v>13</x:v>
      </x:c>
      <x:c r="X3250" t="n">
        <x:v>1</x:v>
      </x:c>
      <x:c r="Y3250" s="38" t="n">
        <x:v>0.6409090909090909</x:v>
      </x:c>
      <x:c r="Z3250" s="38" t="n">
        <x:v>0.7969349027262828</x:v>
      </x:c>
      <x:c r="AA3250"/>
    </x:row>
    <x:row r="3251">
      <x:c r="A3251" s="54" t="n">
        <x:v>45838</x:v>
      </x:c>
      <x:c r="B3251" t="n">
        <x:v>45838.624999988424</x:v>
      </x:c>
      <x:c r="C3251" t="str">
        <x:v>227840</x:v>
      </x:c>
      <x:c r="D3251" t="str">
        <x:v>현대코퍼레이션홀딩스</x:v>
      </x:c>
      <x:c r="E3251" t="str">
        <x:v>KOSPI</x:v>
      </x:c>
      <x:c r="F3251" t="str">
        <x:v>MID</x:v>
      </x:c>
      <x:c r="G3251" t="str">
        <x:v>EXCLUDED_ARCHETYPE</x:v>
      </x:c>
      <x:c r="H3251" t="str">
        <x:v>FCFF_NOT_COMPARABLE_FOR_FINANCE_OR_HOLDING_HINT</x:v>
      </x:c>
      <x:c r="I3251" s="54"/>
      <x:c r="J3251" s="55"/>
      <x:c r="K3251" s="55"/>
      <x:c r="L3251" s="55"/>
      <x:c r="M3251"/>
      <x:c r="N3251"/>
      <x:c r="O3251" s="54"/>
      <x:c r="P3251"/>
      <x:c r="Q3251"/>
      <x:c r="R3251"/>
      <x:c r="S3251"/>
      <x:c r="T3251"/>
      <x:c r="U3251" s="57"/>
      <x:c r="V3251" s="57"/>
      <x:c r="W3251"/>
      <x:c r="X3251"/>
      <x:c r="Y3251" s="38"/>
      <x:c r="Z3251" s="38"/>
      <x:c r="AA3251"/>
    </x:row>
    <x:row r="3252">
      <x:c r="A3252" s="54" t="n">
        <x:v>45838</x:v>
      </x:c>
      <x:c r="B3252" t="n">
        <x:v>45838.624999988424</x:v>
      </x:c>
      <x:c r="C3252" t="str">
        <x:v>247540</x:v>
      </x:c>
      <x:c r="D3252" t="str">
        <x:v>에코프로비엠</x:v>
      </x:c>
      <x:c r="E3252" t="str">
        <x:v>KOSDAQ</x:v>
      </x:c>
      <x:c r="F3252" t="str">
        <x:v>LARGE</x:v>
      </x:c>
      <x:c r="G3252" t="str">
        <x:v>DCF_SCREENING_EXCLUSION</x:v>
      </x:c>
      <x:c r="H3252" t="str">
        <x:v>NON_POSITIVE_ENTERPRISE_VALUE|NON_POSITIVE_EQUITY_VALUE|NON_POSITIVE_TERMINAL_FCF</x:v>
      </x:c>
      <x:c r="I3252" s="54" t="n">
        <x:v>45838</x:v>
      </x:c>
      <x:c r="J3252" s="55" t="n">
        <x:v>100600</x:v>
      </x:c>
      <x:c r="K3252" s="55" t="n">
        <x:v>9838815206400</x:v>
      </x:c>
      <x:c r="L3252" s="55" t="n">
        <x:v>97801344</x:v>
      </x:c>
      <x:c r="M3252" t="str">
        <x:v>20250325000761</x:v>
      </x:c>
      <x:c r="N3252" t="n">
        <x:v>45741.624999988424</x:v>
      </x:c>
      <x:c r="O3252" s="54" t="n">
        <x:v>45657</x:v>
      </x:c>
      <x:c r="P3252" t="str">
        <x:v>True</x:v>
      </x:c>
      <x:c r="Q3252" t="str">
        <x:v>51465b76d94edd32029c405c6b9d711705e90e7de71e157dde30c2309abc411c</x:v>
      </x:c>
      <x:c r="R3252" t="str">
        <x:v>c614ffd12312e158a9a83be9dd44996720ce8c92352d8f5fedc0bebc94ca563c</x:v>
      </x:c>
      <x:c r="S3252" t="n">
        <x:v>7</x:v>
      </x:c>
      <x:c r="T3252" t="str">
        <x:v>2018-12-31|2019-12-31|2020-12-31|2021-12-31|2022-12-31|2023-12-31|2024-12-31</x:v>
      </x:c>
      <x:c r="U3252" s="57" t="n">
        <x:v>-56640.88059222847</x:v>
      </x:c>
      <x:c r="V3252" s="57" t="n">
        <x:v>-1.5630306221891497</x:v>
      </x:c>
      <x:c r="W3252"/>
      <x:c r="X3252"/>
      <x:c r="Y3252" s="38" t="n">
        <x:v>0.6409090909090909</x:v>
      </x:c>
      <x:c r="Z3252" s="38" t="n">
        <x:v>0.6026277944725961</x:v>
      </x:c>
      <x:c r="AA3252" t="str">
        <x:v>NON_POSITIVE_ENTERPRISE_VALUE|NON_POSITIVE_EQUITY_VALUE|NON_POSITIVE_TERMINAL_FCF</x:v>
      </x:c>
    </x:row>
    <x:row r="3253">
      <x:c r="A3253" s="54" t="n">
        <x:v>45838</x:v>
      </x:c>
      <x:c r="B3253" t="n">
        <x:v>45838.624999988424</x:v>
      </x:c>
      <x:c r="C3253" t="str">
        <x:v>086520</x:v>
      </x:c>
      <x:c r="D3253" t="str">
        <x:v>에코프로</x:v>
      </x:c>
      <x:c r="E3253" t="str">
        <x:v>KOSDAQ</x:v>
      </x:c>
      <x:c r="F3253" t="str">
        <x:v>LARGE</x:v>
      </x:c>
      <x:c r="G3253" t="str">
        <x:v>DCF_SCREENING_EXCLUSION</x:v>
      </x:c>
      <x:c r="H3253" t="str">
        <x:v>NON_POSITIVE_ENTERPRISE_VALUE|NON_POSITIVE_EQUITY_VALUE|NON_POSITIVE_TERMINAL_FCF</x:v>
      </x:c>
      <x:c r="I3253" s="54" t="n">
        <x:v>45838</x:v>
      </x:c>
      <x:c r="J3253" s="55" t="n">
        <x:v>45150</x:v>
      </x:c>
      <x:c r="K3253" s="55" t="n">
        <x:v>6130293262800</x:v>
      </x:c>
      <x:c r="L3253" s="55" t="n">
        <x:v>135776152</x:v>
      </x:c>
      <x:c r="M3253" t="str">
        <x:v>20250318001116</x:v>
      </x:c>
      <x:c r="N3253" t="n">
        <x:v>45734.624999988424</x:v>
      </x:c>
      <x:c r="O3253" s="54" t="n">
        <x:v>45657</x:v>
      </x:c>
      <x:c r="P3253" t="str">
        <x:v>False</x:v>
      </x:c>
      <x:c r="Q3253" t="str">
        <x:v>9878f62437ba0f8822ab58907dd3dbfbb9f34be5e9e9b68a45c1eb2944f46745</x:v>
      </x:c>
      <x:c r="R3253" t="str">
        <x:v>7aac01ad95c2630588ab73067ae7c9d8b3ed2b356db73c401bd42524dbe1de93</x:v>
      </x:c>
      <x:c r="S3253" t="n">
        <x:v>7</x:v>
      </x:c>
      <x:c r="T3253" t="str">
        <x:v>2018-12-31|2019-12-31|2020-12-31|2021-12-31|2022-12-31|2023-12-31|2024-12-31</x:v>
      </x:c>
      <x:c r="U3253" s="57" t="n">
        <x:v>-43657.393162516055</x:v>
      </x:c>
      <x:c r="V3253" s="57" t="n">
        <x:v>-1.9669411553159701</x:v>
      </x:c>
      <x:c r="W3253"/>
      <x:c r="X3253"/>
      <x:c r="Y3253" s="38" t="n">
        <x:v>0.6409090909090909</x:v>
      </x:c>
      <x:c r="Z3253" s="38" t="n">
        <x:v>0.4535277148782437</x:v>
      </x:c>
      <x:c r="AA3253" t="str">
        <x:v>NON_POSITIVE_ENTERPRISE_VALUE|NON_POSITIVE_EQUITY_VALUE|NON_POSITIVE_TERMINAL_FCF</x:v>
      </x:c>
    </x:row>
    <x:row r="3254">
      <x:c r="A3254" s="54" t="n">
        <x:v>45838</x:v>
      </x:c>
      <x:c r="B3254" t="n">
        <x:v>45838.624999988424</x:v>
      </x:c>
      <x:c r="C3254" t="str">
        <x:v>214450</x:v>
      </x:c>
      <x:c r="D3254" t="str">
        <x:v>파마리서치</x:v>
      </x:c>
      <x:c r="E3254" t="str">
        <x:v>KOSDAQ</x:v>
      </x:c>
      <x:c r="F3254" t="str">
        <x:v>LARGE</x:v>
      </x:c>
      <x:c r="G3254" t="str">
        <x:v>ELIGIBLE</x:v>
      </x:c>
      <x:c r="H3254"/>
      <x:c r="I3254" s="54" t="n">
        <x:v>45838</x:v>
      </x:c>
      <x:c r="J3254" s="55" t="n">
        <x:v>493500</x:v>
      </x:c>
      <x:c r="K3254" s="55" t="n">
        <x:v>5186487600000</x:v>
      </x:c>
      <x:c r="L3254" s="55" t="n">
        <x:v>10509600</x:v>
      </x:c>
      <x:c r="M3254" t="str">
        <x:v>20250317000758</x:v>
      </x:c>
      <x:c r="N3254" t="n">
        <x:v>45733.624999988424</x:v>
      </x:c>
      <x:c r="O3254" s="54" t="n">
        <x:v>45657</x:v>
      </x:c>
      <x:c r="P3254" t="str">
        <x:v>False</x:v>
      </x:c>
      <x:c r="Q3254" t="str">
        <x:v>faede7d4d9274326deaf57222c12b3d69bbcfd2224dd7dec2d7337ca1f5e466d</x:v>
      </x:c>
      <x:c r="R3254" t="str">
        <x:v>4ae010ce987a6cc14a859c4cda502b3cb52e693e353b9dcfea71841eda794183</x:v>
      </x:c>
      <x:c r="S3254" t="n">
        <x:v>6</x:v>
      </x:c>
      <x:c r="T3254" t="str">
        <x:v>2018-12-31|2019-12-31|2020-12-31|2021-12-31|2022-12-31|2023-12-31|2024-12-31</x:v>
      </x:c>
      <x:c r="U3254" s="57" t="n">
        <x:v>146281.34729476724</x:v>
      </x:c>
      <x:c r="V3254" s="57" t="n">
        <x:v>-0.7035838960592355</x:v>
      </x:c>
      <x:c r="W3254" t="n">
        <x:v>54</x:v>
      </x:c>
      <x:c r="X3254" t="n">
        <x:v>5</x:v>
      </x:c>
      <x:c r="Y3254" s="38" t="n">
        <x:v>0.6409090909090909</x:v>
      </x:c>
      <x:c r="Z3254" s="38" t="n">
        <x:v>0.7180092749573916</x:v>
      </x:c>
      <x:c r="AA3254"/>
    </x:row>
    <x:row r="3255">
      <x:c r="A3255" s="54" t="n">
        <x:v>45838</x:v>
      </x:c>
      <x:c r="B3255" t="n">
        <x:v>45838.624999988424</x:v>
      </x:c>
      <x:c r="C3255" t="str">
        <x:v>277810</x:v>
      </x:c>
      <x:c r="D3255" t="str">
        <x:v>레인보우로보틱스</x:v>
      </x:c>
      <x:c r="E3255" t="str">
        <x:v>KOSDAQ</x:v>
      </x:c>
      <x:c r="F3255" t="str">
        <x:v>LARGE</x:v>
      </x:c>
      <x:c r="G3255" t="str">
        <x:v>DCF_SCREENING_EXCLUSION</x:v>
      </x:c>
      <x:c r="H3255" t="str">
        <x:v>NON_POSITIVE_ENTERPRISE_VALUE|NON_POSITIVE_TERMINAL_FCF</x:v>
      </x:c>
      <x:c r="I3255" s="54" t="n">
        <x:v>45838</x:v>
      </x:c>
      <x:c r="J3255" s="55" t="n">
        <x:v>280500</x:v>
      </x:c>
      <x:c r="K3255" s="55" t="n">
        <x:v>5441660169000</x:v>
      </x:c>
      <x:c r="L3255" s="55" t="n">
        <x:v>19399858</x:v>
      </x:c>
      <x:c r="M3255" t="str">
        <x:v>20250321000789</x:v>
      </x:c>
      <x:c r="N3255" t="n">
        <x:v>45737.624999988424</x:v>
      </x:c>
      <x:c r="O3255" s="54" t="n">
        <x:v>45657</x:v>
      </x:c>
      <x:c r="P3255" t="str">
        <x:v>False</x:v>
      </x:c>
      <x:c r="Q3255" t="str">
        <x:v>e6883fdcd7f1008f3646e6d3c9a646aa2f0d88421e0ac936f34864f07c90a8dc</x:v>
      </x:c>
      <x:c r="R3255" t="str">
        <x:v>8fb928fffa149a73727058899aacc04ee801073e3ba7b1072cc2d35868c7e5ea</x:v>
      </x:c>
      <x:c r="S3255" t="n">
        <x:v>6</x:v>
      </x:c>
      <x:c r="T3255" t="str">
        <x:v>2020-12-31|2021-12-31|2022-12-31|2023-12-31|2024-12-31</x:v>
      </x:c>
      <x:c r="U3255" s="57" t="n">
        <x:v>681.784394704917</x:v>
      </x:c>
      <x:c r="V3255" s="57" t="n">
        <x:v>-0.9975693960973087</x:v>
      </x:c>
      <x:c r="W3255"/>
      <x:c r="X3255"/>
      <x:c r="Y3255" s="38" t="n">
        <x:v>0.6409090909090909</x:v>
      </x:c>
      <x:c r="Z3255" s="38" t="n">
        <x:v>0.6883890650287107</x:v>
      </x:c>
      <x:c r="AA3255" t="str">
        <x:v>NON_POSITIVE_ENTERPRISE_VALUE|NON_POSITIVE_TERMINAL_FCF</x:v>
      </x:c>
    </x:row>
    <x:row r="3256">
      <x:c r="A3256" s="54" t="n">
        <x:v>45838</x:v>
      </x:c>
      <x:c r="B3256" t="n">
        <x:v>45838.624999988424</x:v>
      </x:c>
      <x:c r="C3256" t="str">
        <x:v>310210</x:v>
      </x:c>
      <x:c r="D3256" t="str">
        <x:v>보로노이</x:v>
      </x:c>
      <x:c r="E3256" t="str">
        <x:v>KOSDAQ</x:v>
      </x:c>
      <x:c r="F3256" t="str">
        <x:v>LARGE</x:v>
      </x:c>
      <x:c r="G3256" t="str">
        <x:v>DCF_SCREENING_EXCLUSION</x:v>
      </x:c>
      <x:c r="H3256" t="str">
        <x:v>NON_POSITIVE_ENTERPRISE_VALUE|NON_POSITIVE_EQUITY_VALUE|NON_POSITIVE_TERMINAL_FCF</x:v>
      </x:c>
      <x:c r="I3256" s="54" t="n">
        <x:v>45838</x:v>
      </x:c>
      <x:c r="J3256" s="55" t="n">
        <x:v>109500</x:v>
      </x:c>
      <x:c r="K3256" s="55" t="n">
        <x:v>2013535165500</x:v>
      </x:c>
      <x:c r="L3256" s="55" t="n">
        <x:v>18388449</x:v>
      </x:c>
      <x:c r="M3256" t="str">
        <x:v>20230323001447</x:v>
      </x:c>
      <x:c r="N3256" t="n">
        <x:v>45008.624999988424</x:v>
      </x:c>
      <x:c r="O3256" s="54" t="n">
        <x:v>44926</x:v>
      </x:c>
      <x:c r="P3256" t="str">
        <x:v>False</x:v>
      </x:c>
      <x:c r="Q3256" t="str">
        <x:v>38d2b1f5e9c968f4f6fa965d42cb2f1a325c069332624c3eed7a50315d302dcc</x:v>
      </x:c>
      <x:c r="R3256" t="str">
        <x:v>576c97c4daed21efafcbd8890e5b797da413a5a092541c93f1595fcf7c74e341</x:v>
      </x:c>
      <x:c r="S3256" t="n">
        <x:v>5</x:v>
      </x:c>
      <x:c r="T3256" t="str">
        <x:v>2022-12-31</x:v>
      </x:c>
      <x:c r="U3256" s="57" t="n">
        <x:v>-2020.0654345279474</x:v>
      </x:c>
      <x:c r="V3256" s="57" t="n">
        <x:v>-1.0184480861600727</x:v>
      </x:c>
      <x:c r="W3256"/>
      <x:c r="X3256"/>
      <x:c r="Y3256" s="38" t="n">
        <x:v>0.6409090909090909</x:v>
      </x:c>
      <x:c r="Z3256" s="38" t="n">
        <x:v>0.7013426708992583</x:v>
      </x:c>
      <x:c r="AA3256" t="str">
        <x:v>NON_POSITIVE_ENTERPRISE_VALUE|NON_POSITIVE_EQUITY_VALUE|NON_POSITIVE_TERMINAL_FCF</x:v>
      </x:c>
    </x:row>
    <x:row r="3257">
      <x:c r="A3257" s="54" t="n">
        <x:v>45838</x:v>
      </x:c>
      <x:c r="B3257" t="n">
        <x:v>45838.624999988424</x:v>
      </x:c>
      <x:c r="C3257" t="str">
        <x:v>195940</x:v>
      </x:c>
      <x:c r="D3257" t="str">
        <x:v>HK이노엔</x:v>
      </x:c>
      <x:c r="E3257" t="str">
        <x:v>KOSDAQ</x:v>
      </x:c>
      <x:c r="F3257" t="str">
        <x:v>LARGE</x:v>
      </x:c>
      <x:c r="G3257" t="str">
        <x:v>ELIGIBLE</x:v>
      </x:c>
      <x:c r="H3257"/>
      <x:c r="I3257" s="54" t="n">
        <x:v>45838</x:v>
      </x:c>
      <x:c r="J3257" s="55" t="n">
        <x:v>42800</x:v>
      </x:c>
      <x:c r="K3257" s="55" t="n">
        <x:v>1212519334800</x:v>
      </x:c>
      <x:c r="L3257" s="55" t="n">
        <x:v>28329891</x:v>
      </x:c>
      <x:c r="M3257" t="str">
        <x:v>20250318000969</x:v>
      </x:c>
      <x:c r="N3257" t="n">
        <x:v>45734.624999988424</x:v>
      </x:c>
      <x:c r="O3257" s="54" t="n">
        <x:v>45657</x:v>
      </x:c>
      <x:c r="P3257" t="str">
        <x:v>False</x:v>
      </x:c>
      <x:c r="Q3257" t="str">
        <x:v>fa16614ba7e691a8e0ad69d03120bca6d70d738ed51702fd890920569f20dab5</x:v>
      </x:c>
      <x:c r="R3257" t="str">
        <x:v>bcaf1cd53ad4ef7e9662441842e5225b7cba3d1b628aabe6c7bcce31a7013557</x:v>
      </x:c>
      <x:c r="S3257" t="n">
        <x:v>7</x:v>
      </x:c>
      <x:c r="T3257" t="str">
        <x:v>2021-12-31|2022-12-31|2023-12-31|2024-12-31</x:v>
      </x:c>
      <x:c r="U3257" s="57" t="n">
        <x:v>22281.19024435669</x:v>
      </x:c>
      <x:c r="V3257" s="57" t="n">
        <x:v>-0.4794114428888624</x:v>
      </x:c>
      <x:c r="W3257" t="n">
        <x:v>38</x:v>
      </x:c>
      <x:c r="X3257" t="n">
        <x:v>3</x:v>
      </x:c>
      <x:c r="Y3257" s="38" t="n">
        <x:v>0.6409090909090909</x:v>
      </x:c>
      <x:c r="Z3257" s="38" t="n">
        <x:v>0.7063661785712254</x:v>
      </x:c>
      <x:c r="AA3257"/>
    </x:row>
    <x:row r="3258">
      <x:c r="A3258" s="54" t="n">
        <x:v>45838</x:v>
      </x:c>
      <x:c r="B3258" t="n">
        <x:v>45838.624999988424</x:v>
      </x:c>
      <x:c r="C3258" t="str">
        <x:v>039200</x:v>
      </x:c>
      <x:c r="D3258" t="str">
        <x:v>오스코텍</x:v>
      </x:c>
      <x:c r="E3258" t="str">
        <x:v>KOSDAQ</x:v>
      </x:c>
      <x:c r="F3258" t="str">
        <x:v>LARGE</x:v>
      </x:c>
      <x:c r="G3258" t="str">
        <x:v>DCF_SCREENING_EXCLUSION</x:v>
      </x:c>
      <x:c r="H3258" t="str">
        <x:v>NON_POSITIVE_ENTERPRISE_VALUE|NON_POSITIVE_EQUITY_VALUE|NON_POSITIVE_TERMINAL_FCF</x:v>
      </x:c>
      <x:c r="I3258" s="54" t="n">
        <x:v>45838</x:v>
      </x:c>
      <x:c r="J3258" s="55" t="n">
        <x:v>28650</x:v>
      </x:c>
      <x:c r="K3258" s="55" t="n">
        <x:v>1095810242400</x:v>
      </x:c>
      <x:c r="L3258" s="55" t="n">
        <x:v>38248176</x:v>
      </x:c>
      <x:c r="M3258" t="str">
        <x:v>20250319000506</x:v>
      </x:c>
      <x:c r="N3258" t="n">
        <x:v>45735.624999988424</x:v>
      </x:c>
      <x:c r="O3258" s="54" t="n">
        <x:v>45657</x:v>
      </x:c>
      <x:c r="P3258" t="str">
        <x:v>False</x:v>
      </x:c>
      <x:c r="Q3258" t="str">
        <x:v>d0b01686a5b2c173bba03211ce153f285e1b311afae7f6fe450fba08a95f8340</x:v>
      </x:c>
      <x:c r="R3258" t="str">
        <x:v>069fd5ee2c2bcb3fff3bb5b8431aab412e3b552b5e0ec2cdaacace69207c2d16</x:v>
      </x:c>
      <x:c r="S3258" t="n">
        <x:v>6</x:v>
      </x:c>
      <x:c r="T3258" t="str">
        <x:v>2018-12-31|2019-12-31|2020-12-31|2021-12-31|2022-12-31|2023-12-31|2024-12-31</x:v>
      </x:c>
      <x:c r="U3258" s="57" t="n">
        <x:v>-2036.2262027052511</x:v>
      </x:c>
      <x:c r="V3258" s="57" t="n">
        <x:v>-1.0710724678082113</x:v>
      </x:c>
      <x:c r="W3258"/>
      <x:c r="X3258"/>
      <x:c r="Y3258" s="38" t="n">
        <x:v>0.6409090909090909</x:v>
      </x:c>
      <x:c r="Z3258" s="38" t="n">
        <x:v>0.75819577858392</x:v>
      </x:c>
      <x:c r="AA3258" t="str">
        <x:v>NON_POSITIVE_ENTERPRISE_VALUE|NON_POSITIVE_EQUITY_VALUE|NON_POSITIVE_TERMINAL_FCF</x:v>
      </x:c>
    </x:row>
    <x:row r="3259">
      <x:c r="A3259" s="54" t="n">
        <x:v>45838</x:v>
      </x:c>
      <x:c r="B3259" t="n">
        <x:v>45838.624999988424</x:v>
      </x:c>
      <x:c r="C3259" t="str">
        <x:v>084370</x:v>
      </x:c>
      <x:c r="D3259" t="str">
        <x:v>유진테크</x:v>
      </x:c>
      <x:c r="E3259" t="str">
        <x:v>KOSDAQ</x:v>
      </x:c>
      <x:c r="F3259" t="str">
        <x:v>LARGE</x:v>
      </x:c>
      <x:c r="G3259" t="str">
        <x:v>ELIGIBLE</x:v>
      </x:c>
      <x:c r="H3259"/>
      <x:c r="I3259" s="54" t="n">
        <x:v>45838</x:v>
      </x:c>
      <x:c r="J3259" s="55" t="n">
        <x:v>39100</x:v>
      </x:c>
      <x:c r="K3259" s="55" t="n">
        <x:v>896017242200</x:v>
      </x:c>
      <x:c r="L3259" s="55" t="n">
        <x:v>22916042</x:v>
      </x:c>
      <x:c r="M3259" t="str">
        <x:v>20250320000992</x:v>
      </x:c>
      <x:c r="N3259" t="n">
        <x:v>45736.624999988424</x:v>
      </x:c>
      <x:c r="O3259" s="54" t="n">
        <x:v>45657</x:v>
      </x:c>
      <x:c r="P3259" t="str">
        <x:v>False</x:v>
      </x:c>
      <x:c r="Q3259" t="str">
        <x:v>b8f5e0d2e85cbb6d73c81da8d4fb35b8690fc78357d8faaca3eb4ea344ac2018</x:v>
      </x:c>
      <x:c r="R3259" t="str">
        <x:v>d57eacb77cdee02e41cc8175f933c4c721c08b5edf05aea9431bb01f1a149447</x:v>
      </x:c>
      <x:c r="S3259" t="n">
        <x:v>6</x:v>
      </x:c>
      <x:c r="T3259" t="str">
        <x:v>2018-12-31|2019-12-31|2020-12-31|2021-12-31|2022-12-31|2023-12-31|2024-12-31</x:v>
      </x:c>
      <x:c r="U3259" s="57" t="n">
        <x:v>20147.300899521157</x:v>
      </x:c>
      <x:c r="V3259" s="57" t="n">
        <x:v>-0.48472376216058416</x:v>
      </x:c>
      <x:c r="W3259" t="n">
        <x:v>39</x:v>
      </x:c>
      <x:c r="X3259" t="n">
        <x:v>3</x:v>
      </x:c>
      <x:c r="Y3259" s="38" t="n">
        <x:v>0.6409090909090909</x:v>
      </x:c>
      <x:c r="Z3259" s="38" t="n">
        <x:v>0.6706572910224177</x:v>
      </x:c>
      <x:c r="AA3259"/>
    </x:row>
    <x:row r="3260">
      <x:c r="A3260" s="54" t="n">
        <x:v>45838</x:v>
      </x:c>
      <x:c r="B3260" t="n">
        <x:v>45838.624999988424</x:v>
      </x:c>
      <x:c r="C3260" t="str">
        <x:v>160190</x:v>
      </x:c>
      <x:c r="D3260" t="str">
        <x:v>하이젠알앤엠</x:v>
      </x:c>
      <x:c r="E3260" t="str">
        <x:v>KOSDAQ</x:v>
      </x:c>
      <x:c r="F3260" t="str">
        <x:v>LARGE</x:v>
      </x:c>
      <x:c r="G3260" t="str">
        <x:v>DCF_SCREENING_EXCLUSION</x:v>
      </x:c>
      <x:c r="H3260" t="str">
        <x:v>NON_POSITIVE_ENTERPRISE_VALUE|NON_POSITIVE_EQUITY_VALUE|NON_POSITIVE_TERMINAL_FCF</x:v>
      </x:c>
      <x:c r="I3260" s="54" t="n">
        <x:v>45838</x:v>
      </x:c>
      <x:c r="J3260" s="55" t="n">
        <x:v>38450</x:v>
      </x:c>
      <x:c r="K3260" s="55" t="n">
        <x:v>1187643600000</x:v>
      </x:c>
      <x:c r="L3260" s="55" t="n">
        <x:v>30888000</x:v>
      </x:c>
      <x:c r="M3260" t="str">
        <x:v>20250318000179</x:v>
      </x:c>
      <x:c r="N3260" t="n">
        <x:v>45734.624999988424</x:v>
      </x:c>
      <x:c r="O3260" s="54" t="n">
        <x:v>45657</x:v>
      </x:c>
      <x:c r="P3260" t="str">
        <x:v>False</x:v>
      </x:c>
      <x:c r="Q3260" t="str">
        <x:v>785fa493d232b623cf536acbb22e4935d57d3b39fc0f7e9a572e373b080005ac</x:v>
      </x:c>
      <x:c r="R3260" t="str">
        <x:v>5801f6f6c76620401327c5c077200387545ebc6df06c641bbdd735148b6f6d24</x:v>
      </x:c>
      <x:c r="S3260" t="n">
        <x:v>6</x:v>
      </x:c>
      <x:c r="T3260" t="str">
        <x:v>2024-12-31</x:v>
      </x:c>
      <x:c r="U3260" s="57" t="n">
        <x:v>-841.427289365881</x:v>
      </x:c>
      <x:c r="V3260" s="57" t="n">
        <x:v>-1.0218836746259006</x:v>
      </x:c>
      <x:c r="W3260"/>
      <x:c r="X3260"/>
      <x:c r="Y3260" s="38" t="n">
        <x:v>0.6409090909090909</x:v>
      </x:c>
      <x:c r="Z3260" s="38" t="n">
        <x:v>0.7013426708992583</x:v>
      </x:c>
      <x:c r="AA3260" t="str">
        <x:v>NON_POSITIVE_ENTERPRISE_VALUE|NON_POSITIVE_EQUITY_VALUE|NON_POSITIVE_TERMINAL_FCF</x:v>
      </x:c>
    </x:row>
    <x:row r="3261">
      <x:c r="A3261" s="54" t="n">
        <x:v>45838</x:v>
      </x:c>
      <x:c r="B3261" t="n">
        <x:v>45838.624999988424</x:v>
      </x:c>
      <x:c r="C3261" t="str">
        <x:v>281740</x:v>
      </x:c>
      <x:c r="D3261" t="str">
        <x:v>레이크머티리얼즈</x:v>
      </x:c>
      <x:c r="E3261" t="str">
        <x:v>KOSDAQ</x:v>
      </x:c>
      <x:c r="F3261" t="str">
        <x:v>LARGE</x:v>
      </x:c>
      <x:c r="G3261" t="str">
        <x:v>ELIGIBLE</x:v>
      </x:c>
      <x:c r="H3261"/>
      <x:c r="I3261" s="54" t="n">
        <x:v>45838</x:v>
      </x:c>
      <x:c r="J3261" s="55" t="n">
        <x:v>12090</x:v>
      </x:c>
      <x:c r="K3261" s="55" t="n">
        <x:v>794682325320</x:v>
      </x:c>
      <x:c r="L3261" s="55" t="n">
        <x:v>65730548</x:v>
      </x:c>
      <x:c r="M3261" t="str">
        <x:v>20250318000856</x:v>
      </x:c>
      <x:c r="N3261" t="n">
        <x:v>45734.624999988424</x:v>
      </x:c>
      <x:c r="O3261" s="54" t="n">
        <x:v>45657</x:v>
      </x:c>
      <x:c r="P3261" t="str">
        <x:v>False</x:v>
      </x:c>
      <x:c r="Q3261" t="str">
        <x:v>96207983627f79563bdb5775f63541cd8d82061603c54b74443f6e2ae5e0f70e</x:v>
      </x:c>
      <x:c r="R3261" t="str">
        <x:v>f1e89ef6494ba28eda6c9530a162f799209849c9b925872513700cd2ed1beec6</x:v>
      </x:c>
      <x:c r="S3261" t="n">
        <x:v>6</x:v>
      </x:c>
      <x:c r="T3261" t="str">
        <x:v>2020-12-31|2021-12-31|2022-12-31|2023-12-31|2024-12-31</x:v>
      </x:c>
      <x:c r="U3261" s="57" t="n">
        <x:v>3574.2287652768405</x:v>
      </x:c>
      <x:c r="V3261" s="57" t="n">
        <x:v>-0.7043648663956295</x:v>
      </x:c>
      <x:c r="W3261" t="n">
        <x:v>55</x:v>
      </x:c>
      <x:c r="X3261" t="n">
        <x:v>5</x:v>
      </x:c>
      <x:c r="Y3261" s="38" t="n">
        <x:v>0.6409090909090909</x:v>
      </x:c>
      <x:c r="Z3261" s="38" t="n">
        <x:v>0.8076641449266643</x:v>
      </x:c>
      <x:c r="AA3261"/>
    </x:row>
    <x:row r="3262">
      <x:c r="A3262" s="54" t="n">
        <x:v>45838</x:v>
      </x:c>
      <x:c r="B3262" t="n">
        <x:v>45838.624999988424</x:v>
      </x:c>
      <x:c r="C3262" t="str">
        <x:v>078130</x:v>
      </x:c>
      <x:c r="D3262" t="str">
        <x:v>국일제지</x:v>
      </x:c>
      <x:c r="E3262" t="str">
        <x:v>KOSDAQ</x:v>
      </x:c>
      <x:c r="F3262" t="str">
        <x:v>LARGE</x:v>
      </x:c>
      <x:c r="G3262" t="str">
        <x:v>DCF_SCREENING_EXCLUSION</x:v>
      </x:c>
      <x:c r="H3262" t="str">
        <x:v>NON_POSITIVE_ENTERPRISE_VALUE|NON_POSITIVE_EQUITY_VALUE|NON_POSITIVE_TERMINAL_FCF</x:v>
      </x:c>
      <x:c r="I3262" s="54" t="n">
        <x:v>45838</x:v>
      </x:c>
      <x:c r="J3262" s="55" t="n">
        <x:v>800</x:v>
      </x:c>
      <x:c r="K3262" s="55" t="n">
        <x:v>901924696800</x:v>
      </x:c>
      <x:c r="L3262" s="55" t="n">
        <x:v>1127405871</x:v>
      </x:c>
      <x:c r="M3262" t="str">
        <x:v>20250320001247</x:v>
      </x:c>
      <x:c r="N3262" t="n">
        <x:v>45736.624999988424</x:v>
      </x:c>
      <x:c r="O3262" s="54" t="n">
        <x:v>45657</x:v>
      </x:c>
      <x:c r="P3262" t="str">
        <x:v>False</x:v>
      </x:c>
      <x:c r="Q3262" t="str">
        <x:v>e52d9735838ac309b7ba8a7a9bac0f863b22bd63c425fe2b4f206d8e24431620</x:v>
      </x:c>
      <x:c r="R3262" t="str">
        <x:v>04840ac0a2a964ec7f0ca43a02e39ac55182c21e3c7ad85b76f8f677094eec06</x:v>
      </x:c>
      <x:c r="S3262" t="n">
        <x:v>6</x:v>
      </x:c>
      <x:c r="T3262" t="str">
        <x:v>2018-12-31|2019-12-31|2020-12-31|2021-12-31|2022-12-31|2023-12-31|2024-12-31</x:v>
      </x:c>
      <x:c r="U3262" s="57" t="n">
        <x:v>-7.35376792191045</x:v>
      </x:c>
      <x:c r="V3262" s="57" t="n">
        <x:v>-1.009192209902388</x:v>
      </x:c>
      <x:c r="W3262"/>
      <x:c r="X3262"/>
      <x:c r="Y3262" s="38" t="n">
        <x:v>0.6409090909090909</x:v>
      </x:c>
      <x:c r="Z3262" s="38" t="n">
        <x:v>0.6508519834576526</x:v>
      </x:c>
      <x:c r="AA3262" t="str">
        <x:v>NON_POSITIVE_ENTERPRISE_VALUE|NON_POSITIVE_EQUITY_VALUE|NON_POSITIVE_TERMINAL_FCF</x:v>
      </x:c>
    </x:row>
    <x:row r="3263">
      <x:c r="A3263" s="54" t="n">
        <x:v>45838</x:v>
      </x:c>
      <x:c r="B3263" t="n">
        <x:v>45838.624999988424</x:v>
      </x:c>
      <x:c r="C3263" t="str">
        <x:v>131970</x:v>
      </x:c>
      <x:c r="D3263" t="str">
        <x:v>두산테스나</x:v>
      </x:c>
      <x:c r="E3263" t="str">
        <x:v>KOSDAQ</x:v>
      </x:c>
      <x:c r="F3263" t="str">
        <x:v>LARGE</x:v>
      </x:c>
      <x:c r="G3263" t="str">
        <x:v>ELIGIBLE</x:v>
      </x:c>
      <x:c r="H3263"/>
      <x:c r="I3263" s="54" t="n">
        <x:v>45838</x:v>
      </x:c>
      <x:c r="J3263" s="55" t="n">
        <x:v>26200</x:v>
      </x:c>
      <x:c r="K3263" s="55" t="n">
        <x:v>506373635600</x:v>
      </x:c>
      <x:c r="L3263" s="55" t="n">
        <x:v>19327238</x:v>
      </x:c>
      <x:c r="M3263" t="str">
        <x:v>20250318001201</x:v>
      </x:c>
      <x:c r="N3263" t="n">
        <x:v>45734.624999988424</x:v>
      </x:c>
      <x:c r="O3263" s="54" t="n">
        <x:v>45657</x:v>
      </x:c>
      <x:c r="P3263" t="str">
        <x:v>False</x:v>
      </x:c>
      <x:c r="Q3263" t="str">
        <x:v>c2af22c03970d694f284e8dac9306adb8450aa0cf42e0d34d052e650f8b74965</x:v>
      </x:c>
      <x:c r="R3263" t="str">
        <x:v>0eeb9313148467311a1e4135195446df6da79ccd9975c28c01390f5b8c8b29d4</x:v>
      </x:c>
      <x:c r="S3263" t="n">
        <x:v>7</x:v>
      </x:c>
      <x:c r="T3263" t="str">
        <x:v>2018-12-31|2019-12-31|2020-12-31|2021-12-31|2022-12-31|2023-12-31|2024-12-31</x:v>
      </x:c>
      <x:c r="U3263" s="57" t="n">
        <x:v>37130.689760392816</x:v>
      </x:c>
      <x:c r="V3263" s="57" t="n">
        <x:v>0.41720189925163403</x:v>
      </x:c>
      <x:c r="W3263" t="n">
        <x:v>16</x:v>
      </x:c>
      <x:c r="X3263" t="n">
        <x:v>2</x:v>
      </x:c>
      <x:c r="Y3263" s="38" t="n">
        <x:v>0.6409090909090909</x:v>
      </x:c>
      <x:c r="Z3263" s="38" t="n">
        <x:v>0.8060538608591259</x:v>
      </x:c>
      <x:c r="AA3263"/>
    </x:row>
    <x:row r="3264">
      <x:c r="A3264" s="54" t="n">
        <x:v>45838</x:v>
      </x:c>
      <x:c r="B3264" t="n">
        <x:v>45838.624999988424</x:v>
      </x:c>
      <x:c r="C3264" t="str">
        <x:v>025320</x:v>
      </x:c>
      <x:c r="D3264" t="str">
        <x:v>시노펙스</x:v>
      </x:c>
      <x:c r="E3264" t="str">
        <x:v>KOSDAQ</x:v>
      </x:c>
      <x:c r="F3264" t="str">
        <x:v>LARGE</x:v>
      </x:c>
      <x:c r="G3264" t="str">
        <x:v>ELIGIBLE</x:v>
      </x:c>
      <x:c r="H3264"/>
      <x:c r="I3264" s="54" t="n">
        <x:v>45838</x:v>
      </x:c>
      <x:c r="J3264" s="55" t="n">
        <x:v>7510</x:v>
      </x:c>
      <x:c r="K3264" s="55" t="n">
        <x:v>658779422960</x:v>
      </x:c>
      <x:c r="L3264" s="55" t="n">
        <x:v>87720296</x:v>
      </x:c>
      <x:c r="M3264" t="str">
        <x:v>20250318001412</x:v>
      </x:c>
      <x:c r="N3264" t="n">
        <x:v>45734.624999988424</x:v>
      </x:c>
      <x:c r="O3264" s="54" t="n">
        <x:v>45657</x:v>
      </x:c>
      <x:c r="P3264" t="str">
        <x:v>False</x:v>
      </x:c>
      <x:c r="Q3264" t="str">
        <x:v>3276bbb06edd646a72ee9fe00dcadce30bb3a9570058a941d49d1e5511491869</x:v>
      </x:c>
      <x:c r="R3264" t="str">
        <x:v>3f247a009f5e30ddc81af11433caf7dd013c37707f26827d32846b5198497226</x:v>
      </x:c>
      <x:c r="S3264" t="n">
        <x:v>5</x:v>
      </x:c>
      <x:c r="T3264" t="str">
        <x:v>2018-12-31|2019-12-31|2020-12-31|2021-12-31|2022-12-31|2023-12-31|2024-12-31</x:v>
      </x:c>
      <x:c r="U3264" s="57" t="n">
        <x:v>751.305753842488</x:v>
      </x:c>
      <x:c r="V3264" s="57" t="n">
        <x:v>-0.8999592871048617</x:v>
      </x:c>
      <x:c r="W3264" t="n">
        <x:v>65</x:v>
      </x:c>
      <x:c r="X3264" t="n">
        <x:v>5</x:v>
      </x:c>
      <x:c r="Y3264" s="38" t="n">
        <x:v>0.6409090909090909</x:v>
      </x:c>
      <x:c r="Z3264" s="38" t="n">
        <x:v>0.5208940068707834</x:v>
      </x:c>
      <x:c r="AA3264"/>
    </x:row>
    <x:row r="3265">
      <x:c r="A3265" s="54" t="n">
        <x:v>45838</x:v>
      </x:c>
      <x:c r="B3265" t="n">
        <x:v>45838.624999988424</x:v>
      </x:c>
      <x:c r="C3265" t="str">
        <x:v>347700</x:v>
      </x:c>
      <x:c r="D3265" t="str">
        <x:v>스피어</x:v>
      </x:c>
      <x:c r="E3265" t="str">
        <x:v>KOSDAQ</x:v>
      </x:c>
      <x:c r="F3265" t="str">
        <x:v>LARGE</x:v>
      </x:c>
      <x:c r="G3265" t="str">
        <x:v>DCF_SCREENING_EXCLUSION</x:v>
      </x:c>
      <x:c r="H3265" t="str">
        <x:v>NON_POSITIVE_ENTERPRISE_VALUE|NON_POSITIVE_TERMINAL_FCF</x:v>
      </x:c>
      <x:c r="I3265" s="54" t="n">
        <x:v>45838</x:v>
      </x:c>
      <x:c r="J3265" s="55" t="n">
        <x:v>10660</x:v>
      </x:c>
      <x:c r="K3265" s="55" t="n">
        <x:v>417913392780</x:v>
      </x:c>
      <x:c r="L3265" s="55" t="n">
        <x:v>39203883</x:v>
      </x:c>
      <x:c r="M3265" t="str">
        <x:v>20250317000467</x:v>
      </x:c>
      <x:c r="N3265" t="n">
        <x:v>45733.624999988424</x:v>
      </x:c>
      <x:c r="O3265" s="54" t="n">
        <x:v>45657</x:v>
      </x:c>
      <x:c r="P3265" t="str">
        <x:v>False</x:v>
      </x:c>
      <x:c r="Q3265" t="str">
        <x:v>1fb88dd7fdba6996b26c8497f311b0e9b8d9a11ac4649a7e4228554c31e82bc8</x:v>
      </x:c>
      <x:c r="R3265" t="str">
        <x:v>977a4e07020c8f299a9a9e2524396d8ee9b57be2da539d759a4daa254520f7c2</x:v>
      </x:c>
      <x:c r="S3265" t="n">
        <x:v>6</x:v>
      </x:c>
      <x:c r="T3265" t="str">
        <x:v>2020-12-31|2021-12-31|2022-12-31|2023-12-31|2024-12-31</x:v>
      </x:c>
      <x:c r="U3265" s="57" t="n">
        <x:v>338.71241436745066</x:v>
      </x:c>
      <x:c r="V3265" s="57" t="n">
        <x:v>-0.9682258523107458</x:v>
      </x:c>
      <x:c r="W3265"/>
      <x:c r="X3265"/>
      <x:c r="Y3265" s="38" t="n">
        <x:v>0.6409090909090909</x:v>
      </x:c>
      <x:c r="Z3265" s="38" t="n">
        <x:v>0.6959960630715714</x:v>
      </x:c>
      <x:c r="AA3265" t="str">
        <x:v>NON_POSITIVE_ENTERPRISE_VALUE|NON_POSITIVE_TERMINAL_FCF</x:v>
      </x:c>
    </x:row>
    <x:row r="3266">
      <x:c r="A3266" s="54" t="n">
        <x:v>45838</x:v>
      </x:c>
      <x:c r="B3266" t="n">
        <x:v>45838.624999988424</x:v>
      </x:c>
      <x:c r="C3266" t="str">
        <x:v>119850</x:v>
      </x:c>
      <x:c r="D3266" t="str">
        <x:v>지엔씨에너지</x:v>
      </x:c>
      <x:c r="E3266" t="str">
        <x:v>KOSDAQ</x:v>
      </x:c>
      <x:c r="F3266" t="str">
        <x:v>LARGE</x:v>
      </x:c>
      <x:c r="G3266" t="str">
        <x:v>ELIGIBLE</x:v>
      </x:c>
      <x:c r="H3266"/>
      <x:c r="I3266" s="54" t="n">
        <x:v>45838</x:v>
      </x:c>
      <x:c r="J3266" s="55" t="n">
        <x:v>35950</x:v>
      </x:c>
      <x:c r="K3266" s="55" t="n">
        <x:v>591338278550</x:v>
      </x:c>
      <x:c r="L3266" s="55" t="n">
        <x:v>16448909</x:v>
      </x:c>
      <x:c r="M3266" t="str">
        <x:v>20250318000086</x:v>
      </x:c>
      <x:c r="N3266" t="n">
        <x:v>45734.624999988424</x:v>
      </x:c>
      <x:c r="O3266" s="54" t="n">
        <x:v>45657</x:v>
      </x:c>
      <x:c r="P3266" t="str">
        <x:v>False</x:v>
      </x:c>
      <x:c r="Q3266" t="str">
        <x:v>b0f3bf964c96ab4e0838151ad0e4945f1ede0900a7752e8995b7a1e29a574cd0</x:v>
      </x:c>
      <x:c r="R3266" t="str">
        <x:v>12c487df615f00a03228ed8aeac5159c4578a133c05d21fc20a213d87c4e4a7e</x:v>
      </x:c>
      <x:c r="S3266" t="n">
        <x:v>5</x:v>
      </x:c>
      <x:c r="T3266" t="str">
        <x:v>2018-12-31|2019-12-31|2020-12-31|2021-12-31|2022-12-31|2023-12-31|2024-12-31</x:v>
      </x:c>
      <x:c r="U3266" s="57" t="n">
        <x:v>11384.776464072384</x:v>
      </x:c>
      <x:c r="V3266" s="57" t="n">
        <x:v>-0.6833163709576527</x:v>
      </x:c>
      <x:c r="W3266" t="n">
        <x:v>52</x:v>
      </x:c>
      <x:c r="X3266" t="n">
        <x:v>4</x:v>
      </x:c>
      <x:c r="Y3266" s="38" t="n">
        <x:v>0.6409090909090909</x:v>
      </x:c>
      <x:c r="Z3266" s="38" t="n">
        <x:v>0.5409169755441574</x:v>
      </x:c>
      <x:c r="AA3266"/>
    </x:row>
    <x:row r="3267">
      <x:c r="A3267" s="54" t="n">
        <x:v>45838</x:v>
      </x:c>
      <x:c r="B3267" t="n">
        <x:v>45838.624999988424</x:v>
      </x:c>
      <x:c r="C3267" t="str">
        <x:v>084110</x:v>
      </x:c>
      <x:c r="D3267" t="str">
        <x:v>휴온스글로벌</x:v>
      </x:c>
      <x:c r="E3267" t="str">
        <x:v>KOSDAQ</x:v>
      </x:c>
      <x:c r="F3267" t="str">
        <x:v>LARGE</x:v>
      </x:c>
      <x:c r="G3267" t="str">
        <x:v>ELIGIBLE</x:v>
      </x:c>
      <x:c r="H3267"/>
      <x:c r="I3267" s="54" t="n">
        <x:v>45838</x:v>
      </x:c>
      <x:c r="J3267" s="55" t="n">
        <x:v>44450</x:v>
      </x:c>
      <x:c r="K3267" s="55" t="n">
        <x:v>561706649000</x:v>
      </x:c>
      <x:c r="L3267" s="55" t="n">
        <x:v>12636820</x:v>
      </x:c>
      <x:c r="M3267" t="str">
        <x:v>20250320001575</x:v>
      </x:c>
      <x:c r="N3267" t="n">
        <x:v>45736.624999988424</x:v>
      </x:c>
      <x:c r="O3267" s="54" t="n">
        <x:v>45657</x:v>
      </x:c>
      <x:c r="P3267" t="str">
        <x:v>False</x:v>
      </x:c>
      <x:c r="Q3267" t="str">
        <x:v>d2ef7e702bbe00b1be5055d52e77fcb173caa3c16b1fca53833f2fee74aece2d</x:v>
      </x:c>
      <x:c r="R3267" t="str">
        <x:v>30f5793bb6a010da03074c610ac1a91edf54d4a19ab7cce790198f2bdcde6730</x:v>
      </x:c>
      <x:c r="S3267" t="n">
        <x:v>6</x:v>
      </x:c>
      <x:c r="T3267" t="str">
        <x:v>2018-12-31|2019-12-31|2020-12-31|2021-12-31|2022-12-31|2023-12-31|2024-12-31</x:v>
      </x:c>
      <x:c r="U3267" s="57" t="n">
        <x:v>83276.51534302453</x:v>
      </x:c>
      <x:c r="V3267" s="57" t="n">
        <x:v>0.8734874092918904</x:v>
      </x:c>
      <x:c r="W3267" t="n">
        <x:v>9</x:v>
      </x:c>
      <x:c r="X3267" t="n">
        <x:v>1</x:v>
      </x:c>
      <x:c r="Y3267" s="38" t="n">
        <x:v>0.6409090909090909</x:v>
      </x:c>
      <x:c r="Z3267" s="38" t="n">
        <x:v>0.771307681924768</x:v>
      </x:c>
      <x:c r="AA3267"/>
    </x:row>
    <x:row r="3268">
      <x:c r="A3268" s="54" t="n">
        <x:v>45838</x:v>
      </x:c>
      <x:c r="B3268" t="n">
        <x:v>45838.624999988424</x:v>
      </x:c>
      <x:c r="C3268" t="str">
        <x:v>206650</x:v>
      </x:c>
      <x:c r="D3268" t="str">
        <x:v>유바이오로직스</x:v>
      </x:c>
      <x:c r="E3268" t="str">
        <x:v>KOSDAQ</x:v>
      </x:c>
      <x:c r="F3268" t="str">
        <x:v>LARGE</x:v>
      </x:c>
      <x:c r="G3268" t="str">
        <x:v>ELIGIBLE</x:v>
      </x:c>
      <x:c r="H3268"/>
      <x:c r="I3268" s="54" t="n">
        <x:v>45838</x:v>
      </x:c>
      <x:c r="J3268" s="55" t="n">
        <x:v>12100</x:v>
      </x:c>
      <x:c r="K3268" s="55" t="n">
        <x:v>443153255600</x:v>
      </x:c>
      <x:c r="L3268" s="55" t="n">
        <x:v>36624236</x:v>
      </x:c>
      <x:c r="M3268" t="str">
        <x:v>20250318000779</x:v>
      </x:c>
      <x:c r="N3268" t="n">
        <x:v>45734.624999988424</x:v>
      </x:c>
      <x:c r="O3268" s="54" t="n">
        <x:v>45657</x:v>
      </x:c>
      <x:c r="P3268" t="str">
        <x:v>False</x:v>
      </x:c>
      <x:c r="Q3268" t="str">
        <x:v>7ed8b42069b2f1f00ed70e5b56578e1ef96bab66a862c835768cf4d7aa4c0b70</x:v>
      </x:c>
      <x:c r="R3268" t="str">
        <x:v>802123ad6811ed3e30d119adde1c42caac0aea14d6be7b06bc79edee41123ff9</x:v>
      </x:c>
      <x:c r="S3268" t="n">
        <x:v>4</x:v>
      </x:c>
      <x:c r="T3268" t="str">
        <x:v>2018-12-31|2019-12-31|2020-12-31|2021-12-31|2022-12-31|2023-12-31|2024-12-31</x:v>
      </x:c>
      <x:c r="U3268" s="57" t="n">
        <x:v>4911.063329036227</x:v>
      </x:c>
      <x:c r="V3268" s="57" t="n">
        <x:v>-0.5941269976003118</x:v>
      </x:c>
      <x:c r="W3268" t="n">
        <x:v>49</x:v>
      </x:c>
      <x:c r="X3268" t="n">
        <x:v>4</x:v>
      </x:c>
      <x:c r="Y3268" s="38" t="n">
        <x:v>0.6409090909090909</x:v>
      </x:c>
      <x:c r="Z3268" s="38" t="n">
        <x:v>0.5469478377967314</x:v>
      </x:c>
      <x:c r="AA3268"/>
    </x:row>
    <x:row r="3269">
      <x:c r="A3269" s="54" t="n">
        <x:v>45838</x:v>
      </x:c>
      <x:c r="B3269" t="n">
        <x:v>45838.624999988424</x:v>
      </x:c>
      <x:c r="C3269" t="str">
        <x:v>365340</x:v>
      </x:c>
      <x:c r="D3269" t="str">
        <x:v>성일하이텍</x:v>
      </x:c>
      <x:c r="E3269" t="str">
        <x:v>KOSDAQ</x:v>
      </x:c>
      <x:c r="F3269" t="str">
        <x:v>LARGE</x:v>
      </x:c>
      <x:c r="G3269" t="str">
        <x:v>DCF_SCREENING_EXCLUSION</x:v>
      </x:c>
      <x:c r="H3269" t="str">
        <x:v>NON_POSITIVE_ENTERPRISE_VALUE|NON_POSITIVE_EQUITY_VALUE|NON_POSITIVE_TERMINAL_FCF</x:v>
      </x:c>
      <x:c r="I3269" s="54" t="n">
        <x:v>45838</x:v>
      </x:c>
      <x:c r="J3269" s="55" t="n">
        <x:v>33150</x:v>
      </x:c>
      <x:c r="K3269" s="55" t="n">
        <x:v>404258117250</x:v>
      </x:c>
      <x:c r="L3269" s="55" t="n">
        <x:v>12194815</x:v>
      </x:c>
      <x:c r="M3269" t="str">
        <x:v>20250327001024</x:v>
      </x:c>
      <x:c r="N3269" t="n">
        <x:v>45743.624999988424</x:v>
      </x:c>
      <x:c r="O3269" s="54" t="n">
        <x:v>45657</x:v>
      </x:c>
      <x:c r="P3269" t="str">
        <x:v>True</x:v>
      </x:c>
      <x:c r="Q3269" t="str">
        <x:v>c9b13b25f1b9c21edc562dbebf6215913214c722274a09bebe9193569f0386ad</x:v>
      </x:c>
      <x:c r="R3269" t="str">
        <x:v>25de11627cef9a72d64bd5f073e5547e4df7355ff669be6a41bc5255002ae658</x:v>
      </x:c>
      <x:c r="S3269" t="n">
        <x:v>7</x:v>
      </x:c>
      <x:c r="T3269" t="str">
        <x:v>2022-12-31|2023-12-31|2024-12-31</x:v>
      </x:c>
      <x:c r="U3269" s="57" t="n">
        <x:v>-35480.81764579792</x:v>
      </x:c>
      <x:c r="V3269" s="57" t="n">
        <x:v>-2.0703112412005407</x:v>
      </x:c>
      <x:c r="W3269"/>
      <x:c r="X3269"/>
      <x:c r="Y3269" s="38" t="n">
        <x:v>0.6409090909090909</x:v>
      </x:c>
      <x:c r="Z3269" s="38" t="n">
        <x:v>0.6351637731811425</x:v>
      </x:c>
      <x:c r="AA3269" t="str">
        <x:v>NON_POSITIVE_ENTERPRISE_VALUE|NON_POSITIVE_EQUITY_VALUE|NON_POSITIVE_TERMINAL_FCF</x:v>
      </x:c>
    </x:row>
    <x:row r="3270">
      <x:c r="A3270" s="54" t="n">
        <x:v>45838</x:v>
      </x:c>
      <x:c r="B3270" t="n">
        <x:v>45838.624999988424</x:v>
      </x:c>
      <x:c r="C3270" t="str">
        <x:v>030530</x:v>
      </x:c>
      <x:c r="D3270" t="str">
        <x:v>원익홀딩스</x:v>
      </x:c>
      <x:c r="E3270" t="str">
        <x:v>KOSDAQ</x:v>
      </x:c>
      <x:c r="F3270" t="str">
        <x:v>LARGE</x:v>
      </x:c>
      <x:c r="G3270" t="str">
        <x:v>EXCLUDED_ARCHETYPE</x:v>
      </x:c>
      <x:c r="H3270" t="str">
        <x:v>FCFF_NOT_COMPARABLE_FOR_FINANCE_OR_HOLDING_HINT</x:v>
      </x:c>
      <x:c r="I3270" s="54"/>
      <x:c r="J3270" s="55"/>
      <x:c r="K3270" s="55"/>
      <x:c r="L3270" s="55"/>
      <x:c r="M3270"/>
      <x:c r="N3270"/>
      <x:c r="O3270" s="54"/>
      <x:c r="P3270"/>
      <x:c r="Q3270"/>
      <x:c r="R3270"/>
      <x:c r="S3270"/>
      <x:c r="T3270"/>
      <x:c r="U3270" s="57"/>
      <x:c r="V3270" s="57"/>
      <x:c r="W3270"/>
      <x:c r="X3270"/>
      <x:c r="Y3270" s="38"/>
      <x:c r="Z3270" s="38"/>
      <x:c r="AA3270"/>
    </x:row>
    <x:row r="3271">
      <x:c r="A3271" s="54" t="n">
        <x:v>45838</x:v>
      </x:c>
      <x:c r="B3271" t="n">
        <x:v>45838.624999988424</x:v>
      </x:c>
      <x:c r="C3271" t="str">
        <x:v>220100</x:v>
      </x:c>
      <x:c r="D3271" t="str">
        <x:v>퓨쳐켐</x:v>
      </x:c>
      <x:c r="E3271" t="str">
        <x:v>KOSDAQ</x:v>
      </x:c>
      <x:c r="F3271" t="str">
        <x:v>LARGE</x:v>
      </x:c>
      <x:c r="G3271" t="str">
        <x:v>DCF_SCREENING_EXCLUSION</x:v>
      </x:c>
      <x:c r="H3271" t="str">
        <x:v>NON_POSITIVE_ENTERPRISE_VALUE|NON_POSITIVE_EQUITY_VALUE|NON_POSITIVE_TERMINAL_FCF</x:v>
      </x:c>
      <x:c r="I3271" s="54" t="n">
        <x:v>45838</x:v>
      </x:c>
      <x:c r="J3271" s="55" t="n">
        <x:v>15200</x:v>
      </x:c>
      <x:c r="K3271" s="55" t="n">
        <x:v>335952756000</x:v>
      </x:c>
      <x:c r="L3271" s="55" t="n">
        <x:v>22102155</x:v>
      </x:c>
      <x:c r="M3271" t="str">
        <x:v>20250314001135</x:v>
      </x:c>
      <x:c r="N3271" t="n">
        <x:v>45730.624999988424</x:v>
      </x:c>
      <x:c r="O3271" s="54" t="n">
        <x:v>45657</x:v>
      </x:c>
      <x:c r="P3271" t="str">
        <x:v>False</x:v>
      </x:c>
      <x:c r="Q3271" t="str">
        <x:v>9160d527e898f1ac5ff291b963a277612306fd7e3bea0732f5200d5b6472defb</x:v>
      </x:c>
      <x:c r="R3271" t="str">
        <x:v>d1ac13024fcc858849e34fc96549f736948e89b2614ed37866fd62664284fb7d</x:v>
      </x:c>
      <x:c r="S3271" t="n">
        <x:v>5</x:v>
      </x:c>
      <x:c r="T3271" t="str">
        <x:v>2018-12-31|2019-12-31|2020-12-31|2021-12-31|2022-12-31|2023-12-31|2024-12-31</x:v>
      </x:c>
      <x:c r="U3271" s="57" t="n">
        <x:v>-2621.3200697678176</x:v>
      </x:c>
      <x:c r="V3271" s="57" t="n">
        <x:v>-1.1724552677478828</x:v>
      </x:c>
      <x:c r="W3271"/>
      <x:c r="X3271"/>
      <x:c r="Y3271" s="38" t="n">
        <x:v>0.6409090909090909</x:v>
      </x:c>
      <x:c r="Z3271" s="38" t="n">
        <x:v>0.7032586259402178</x:v>
      </x:c>
      <x:c r="AA3271" t="str">
        <x:v>NON_POSITIVE_ENTERPRISE_VALUE|NON_POSITIVE_EQUITY_VALUE|NON_POSITIVE_TERMINAL_FCF</x:v>
      </x:c>
    </x:row>
    <x:row r="3272">
      <x:c r="A3272" s="54" t="n">
        <x:v>45838</x:v>
      </x:c>
      <x:c r="B3272" t="n">
        <x:v>45838.624999988424</x:v>
      </x:c>
      <x:c r="C3272" t="str">
        <x:v>416180</x:v>
      </x:c>
      <x:c r="D3272" t="str">
        <x:v>신성에스티</x:v>
      </x:c>
      <x:c r="E3272" t="str">
        <x:v>KOSDAQ</x:v>
      </x:c>
      <x:c r="F3272" t="str">
        <x:v>LARGE</x:v>
      </x:c>
      <x:c r="G3272" t="str">
        <x:v>ELIGIBLE</x:v>
      </x:c>
      <x:c r="H3272"/>
      <x:c r="I3272" s="54" t="n">
        <x:v>45838</x:v>
      </x:c>
      <x:c r="J3272" s="55" t="n">
        <x:v>29850</x:v>
      </x:c>
      <x:c r="K3272" s="55" t="n">
        <x:v>269837373300</x:v>
      </x:c>
      <x:c r="L3272" s="55" t="n">
        <x:v>9039778</x:v>
      </x:c>
      <x:c r="M3272" t="str">
        <x:v>20240318000868</x:v>
      </x:c>
      <x:c r="N3272" t="n">
        <x:v>45369.624999988424</x:v>
      </x:c>
      <x:c r="O3272" s="54" t="n">
        <x:v>45291</x:v>
      </x:c>
      <x:c r="P3272" t="str">
        <x:v>True</x:v>
      </x:c>
      <x:c r="Q3272" t="str">
        <x:v>83365fda00f2859a3b0ddff8c98389930a65a5f3d9df38e420f7d88759a900f9</x:v>
      </x:c>
      <x:c r="R3272" t="str">
        <x:v>62eb0976f911e83b581cf67eda351f7a58d22f66167afead8dd2901cc6c187eb</x:v>
      </x:c>
      <x:c r="S3272" t="n">
        <x:v>6</x:v>
      </x:c>
      <x:c r="T3272" t="str">
        <x:v>2023-12-31</x:v>
      </x:c>
      <x:c r="U3272" s="57" t="n">
        <x:v>5107.11562013138</x:v>
      </x:c>
      <x:c r="V3272" s="57" t="n">
        <x:v>-0.828907349409334</x:v>
      </x:c>
      <x:c r="W3272" t="n">
        <x:v>62</x:v>
      </x:c>
      <x:c r="X3272" t="n">
        <x:v>5</x:v>
      </x:c>
      <x:c r="Y3272" s="38" t="n">
        <x:v>0.6409090909090909</x:v>
      </x:c>
      <x:c r="Z3272" s="38" t="n">
        <x:v>0.7013426708992583</x:v>
      </x:c>
      <x:c r="AA3272"/>
    </x:row>
    <x:row r="3273">
      <x:c r="A3273" s="54" t="n">
        <x:v>45838</x:v>
      </x:c>
      <x:c r="B3273" t="n">
        <x:v>45838.624999988424</x:v>
      </x:c>
      <x:c r="C3273" t="str">
        <x:v>082800</x:v>
      </x:c>
      <x:c r="D3273" t="str">
        <x:v>비보존제약</x:v>
      </x:c>
      <x:c r="E3273" t="str">
        <x:v>KOSDAQ</x:v>
      </x:c>
      <x:c r="F3273" t="str">
        <x:v>LARGE</x:v>
      </x:c>
      <x:c r="G3273" t="str">
        <x:v>DCF_SCREENING_EXCLUSION</x:v>
      </x:c>
      <x:c r="H3273" t="str">
        <x:v>NON_POSITIVE_ENTERPRISE_VALUE|NON_POSITIVE_EQUITY_VALUE|NON_POSITIVE_TERMINAL_FCF</x:v>
      </x:c>
      <x:c r="I3273" s="54" t="n">
        <x:v>45838</x:v>
      </x:c>
      <x:c r="J3273" s="55" t="n">
        <x:v>6560</x:v>
      </x:c>
      <x:c r="K3273" s="55" t="n">
        <x:v>328686608960</x:v>
      </x:c>
      <x:c r="L3273" s="55" t="n">
        <x:v>50104666</x:v>
      </x:c>
      <x:c r="M3273" t="str">
        <x:v>20250320000978</x:v>
      </x:c>
      <x:c r="N3273" t="n">
        <x:v>45736.624999988424</x:v>
      </x:c>
      <x:c r="O3273" s="54" t="n">
        <x:v>45657</x:v>
      </x:c>
      <x:c r="P3273" t="str">
        <x:v>False</x:v>
      </x:c>
      <x:c r="Q3273" t="str">
        <x:v>980702fbc807af1df7f06c52957cd1642b4bbc0d57004bb8bd77d4b1dc51328c</x:v>
      </x:c>
      <x:c r="R3273" t="str">
        <x:v>e625a80c6da5c6eb9fa963d6d81681f5bf9f18eeb28117ee633882dcbe75d7db</x:v>
      </x:c>
      <x:c r="S3273" t="n">
        <x:v>7</x:v>
      </x:c>
      <x:c r="T3273" t="str">
        <x:v>2018-12-31|2019-12-31|2020-12-31|2021-12-31|2022-12-31|2023-12-31|2024-12-31</x:v>
      </x:c>
      <x:c r="U3273" s="57" t="n">
        <x:v>-7108.28328118157</x:v>
      </x:c>
      <x:c r="V3273" s="57" t="n">
        <x:v>-2.0835797684728004</x:v>
      </x:c>
      <x:c r="W3273"/>
      <x:c r="X3273"/>
      <x:c r="Y3273" s="38" t="n">
        <x:v>0.6409090909090909</x:v>
      </x:c>
      <x:c r="Z3273" s="38" t="n">
        <x:v>0.786860626943266</x:v>
      </x:c>
      <x:c r="AA3273" t="str">
        <x:v>NON_POSITIVE_ENTERPRISE_VALUE|NON_POSITIVE_EQUITY_VALUE|NON_POSITIVE_TERMINAL_FCF</x:v>
      </x:c>
    </x:row>
    <x:row r="3274">
      <x:c r="A3274" s="54" t="n">
        <x:v>45838</x:v>
      </x:c>
      <x:c r="B3274" t="n">
        <x:v>45838.624999988424</x:v>
      </x:c>
      <x:c r="C3274" t="str">
        <x:v>204620</x:v>
      </x:c>
      <x:c r="D3274" t="str">
        <x:v>글로벌텍스프리</x:v>
      </x:c>
      <x:c r="E3274" t="str">
        <x:v>KOSDAQ</x:v>
      </x:c>
      <x:c r="F3274" t="str">
        <x:v>LARGE</x:v>
      </x:c>
      <x:c r="G3274" t="str">
        <x:v>ELIGIBLE</x:v>
      </x:c>
      <x:c r="H3274"/>
      <x:c r="I3274" s="54" t="n">
        <x:v>45838</x:v>
      </x:c>
      <x:c r="J3274" s="55" t="n">
        <x:v>6920</x:v>
      </x:c>
      <x:c r="K3274" s="55" t="n">
        <x:v>486360643600</x:v>
      </x:c>
      <x:c r="L3274" s="55" t="n">
        <x:v>70283330</x:v>
      </x:c>
      <x:c r="M3274" t="str">
        <x:v>20250321001335</x:v>
      </x:c>
      <x:c r="N3274" t="n">
        <x:v>45737.624999988424</x:v>
      </x:c>
      <x:c r="O3274" s="54" t="n">
        <x:v>45657</x:v>
      </x:c>
      <x:c r="P3274" t="str">
        <x:v>False</x:v>
      </x:c>
      <x:c r="Q3274" t="str">
        <x:v>0e5d9e6d3c4ef309ebcb70e5a09fd9e49025023855ba79ec1b0e1e6b003a26d1</x:v>
      </x:c>
      <x:c r="R3274" t="str">
        <x:v>48a31cfd4b1465e52d88c2d5b1314e0e2cb8d4627b36f6772b14b1ce1044e949</x:v>
      </x:c>
      <x:c r="S3274" t="n">
        <x:v>7</x:v>
      </x:c>
      <x:c r="T3274" t="str">
        <x:v>2018-12-31|2019-12-31|2020-12-31|2021-12-31|2022-12-31|2023-12-31|2024-12-31</x:v>
      </x:c>
      <x:c r="U3274" s="57" t="n">
        <x:v>1519.356744276805</x:v>
      </x:c>
      <x:c r="V3274" s="57" t="n">
        <x:v>-0.780439776838612</x:v>
      </x:c>
      <x:c r="W3274" t="n">
        <x:v>59</x:v>
      </x:c>
      <x:c r="X3274" t="n">
        <x:v>5</x:v>
      </x:c>
      <x:c r="Y3274" s="38" t="n">
        <x:v>0.6409090909090909</x:v>
      </x:c>
      <x:c r="Z3274" s="38" t="n">
        <x:v>0.02468295195308349</x:v>
      </x:c>
      <x:c r="AA3274"/>
    </x:row>
    <x:row r="3275">
      <x:c r="A3275" s="54" t="n">
        <x:v>45838</x:v>
      </x:c>
      <x:c r="B3275" t="n">
        <x:v>45838.624999988424</x:v>
      </x:c>
      <x:c r="C3275" t="str">
        <x:v>445090</x:v>
      </x:c>
      <x:c r="D3275" t="str">
        <x:v>에이직랜드</x:v>
      </x:c>
      <x:c r="E3275" t="str">
        <x:v>KOSDAQ</x:v>
      </x:c>
      <x:c r="F3275" t="str">
        <x:v>LARGE</x:v>
      </x:c>
      <x:c r="G3275" t="str">
        <x:v>DCF_SCREENING_EXCLUSION</x:v>
      </x:c>
      <x:c r="H3275" t="str">
        <x:v>NON_POSITIVE_ENTERPRISE_VALUE|NON_POSITIVE_EQUITY_VALUE|NON_POSITIVE_TERMINAL_FCF</x:v>
      </x:c>
      <x:c r="I3275" s="54" t="n">
        <x:v>45838</x:v>
      </x:c>
      <x:c r="J3275" s="55" t="n">
        <x:v>32750</x:v>
      </x:c>
      <x:c r="K3275" s="55" t="n">
        <x:v>356046865000</x:v>
      </x:c>
      <x:c r="L3275" s="55" t="n">
        <x:v>10871660</x:v>
      </x:c>
      <x:c r="M3275" t="str">
        <x:v>20250320001224</x:v>
      </x:c>
      <x:c r="N3275" t="n">
        <x:v>45736.624999988424</x:v>
      </x:c>
      <x:c r="O3275" s="54" t="n">
        <x:v>45657</x:v>
      </x:c>
      <x:c r="P3275" t="str">
        <x:v>False</x:v>
      </x:c>
      <x:c r="Q3275" t="str">
        <x:v>6311c5bbafe414c061a70e6cfe9da5601a7f52393ced872c9948ba03bb6734aa</x:v>
      </x:c>
      <x:c r="R3275" t="str">
        <x:v>ca4d78bb09441d0c7ea98be3b0ff43afee6b025abf66961a2ab6debe6fd71dbf</x:v>
      </x:c>
      <x:c r="S3275" t="n">
        <x:v>6</x:v>
      </x:c>
      <x:c r="T3275" t="str">
        <x:v>2023-12-31|2024-12-31</x:v>
      </x:c>
      <x:c r="U3275" s="57" t="n">
        <x:v>-13508.912025047946</x:v>
      </x:c>
      <x:c r="V3275" s="57" t="n">
        <x:v>-1.4124858633602426</x:v>
      </x:c>
      <x:c r="W3275"/>
      <x:c r="X3275"/>
      <x:c r="Y3275" s="38" t="n">
        <x:v>0.6409090909090909</x:v>
      </x:c>
      <x:c r="Z3275" s="38" t="n">
        <x:v>0.6285335813099816</x:v>
      </x:c>
      <x:c r="AA3275" t="str">
        <x:v>NON_POSITIVE_ENTERPRISE_VALUE|NON_POSITIVE_EQUITY_VALUE|NON_POSITIVE_TERMINAL_FCF</x:v>
      </x:c>
    </x:row>
    <x:row r="3276">
      <x:c r="A3276" s="54" t="n">
        <x:v>45838</x:v>
      </x:c>
      <x:c r="B3276" t="n">
        <x:v>45838.624999988424</x:v>
      </x:c>
      <x:c r="C3276" t="str">
        <x:v>115450</x:v>
      </x:c>
      <x:c r="D3276" t="str">
        <x:v>HLB테라퓨틱스</x:v>
      </x:c>
      <x:c r="E3276" t="str">
        <x:v>KOSDAQ</x:v>
      </x:c>
      <x:c r="F3276" t="str">
        <x:v>LARGE</x:v>
      </x:c>
      <x:c r="G3276" t="str">
        <x:v>DCF_SCREENING_EXCLUSION</x:v>
      </x:c>
      <x:c r="H3276" t="str">
        <x:v>NON_POSITIVE_ENTERPRISE_VALUE|NON_POSITIVE_EQUITY_VALUE|NON_POSITIVE_TERMINAL_FCF</x:v>
      </x:c>
      <x:c r="I3276" s="54" t="n">
        <x:v>45838</x:v>
      </x:c>
      <x:c r="J3276" s="55" t="n">
        <x:v>4780</x:v>
      </x:c>
      <x:c r="K3276" s="55" t="n">
        <x:v>403292911560</x:v>
      </x:c>
      <x:c r="L3276" s="55" t="n">
        <x:v>84370902</x:v>
      </x:c>
      <x:c r="M3276" t="str">
        <x:v>20250317000746</x:v>
      </x:c>
      <x:c r="N3276" t="n">
        <x:v>45733.624999988424</x:v>
      </x:c>
      <x:c r="O3276" s="54" t="n">
        <x:v>45657</x:v>
      </x:c>
      <x:c r="P3276" t="str">
        <x:v>False</x:v>
      </x:c>
      <x:c r="Q3276" t="str">
        <x:v>4a9834cf94263e883d962f28801d19d7cbd9c84e1ada844f9e111815c1047846</x:v>
      </x:c>
      <x:c r="R3276" t="str">
        <x:v>f6e580d88347f4ffbcfd72db926e5093d4e19fc399edff9710656873ff8ee354</x:v>
      </x:c>
      <x:c r="S3276" t="n">
        <x:v>6</x:v>
      </x:c>
      <x:c r="T3276" t="str">
        <x:v>2018-12-31|2019-12-31|2020-12-31|2021-12-31|2022-12-31|2023-12-31|2024-12-31</x:v>
      </x:c>
      <x:c r="U3276" s="57" t="n">
        <x:v>-1570.5333314104703</x:v>
      </x:c>
      <x:c r="V3276" s="57" t="n">
        <x:v>-1.3285634584540733</x:v>
      </x:c>
      <x:c r="W3276"/>
      <x:c r="X3276"/>
      <x:c r="Y3276" s="38" t="n">
        <x:v>0.6409090909090909</x:v>
      </x:c>
      <x:c r="Z3276" s="38" t="n">
        <x:v>0.7184861005782028</x:v>
      </x:c>
      <x:c r="AA3276" t="str">
        <x:v>NON_POSITIVE_ENTERPRISE_VALUE|NON_POSITIVE_EQUITY_VALUE|NON_POSITIVE_TERMINAL_FCF</x:v>
      </x:c>
    </x:row>
    <x:row r="3277">
      <x:c r="A3277" s="54" t="n">
        <x:v>45838</x:v>
      </x:c>
      <x:c r="B3277" t="n">
        <x:v>45838.624999988424</x:v>
      </x:c>
      <x:c r="C3277" t="str">
        <x:v>035420</x:v>
      </x:c>
      <x:c r="D3277" t="str">
        <x:v>NAVER</x:v>
      </x:c>
      <x:c r="E3277" t="str">
        <x:v>KOSPI</x:v>
      </x:c>
      <x:c r="F3277" t="str">
        <x:v>LARGE</x:v>
      </x:c>
      <x:c r="G3277" t="str">
        <x:v>ELIGIBLE</x:v>
      </x:c>
      <x:c r="H3277"/>
      <x:c r="I3277" s="54" t="n">
        <x:v>45838</x:v>
      </x:c>
      <x:c r="J3277" s="55" t="n">
        <x:v>262500</x:v>
      </x:c>
      <x:c r="K3277" s="55" t="n">
        <x:v>41589714600000</x:v>
      </x:c>
      <x:c r="L3277" s="55" t="n">
        <x:v>158437008</x:v>
      </x:c>
      <x:c r="M3277" t="str">
        <x:v>20250318000645</x:v>
      </x:c>
      <x:c r="N3277" t="n">
        <x:v>45734.624999988424</x:v>
      </x:c>
      <x:c r="O3277" s="54" t="n">
        <x:v>45657</x:v>
      </x:c>
      <x:c r="P3277" t="str">
        <x:v>False</x:v>
      </x:c>
      <x:c r="Q3277" t="str">
        <x:v>a85826144ceacd19a02ef384c763d0459caf9668afced616a750f5ac3d18cb8c</x:v>
      </x:c>
      <x:c r="R3277" t="str">
        <x:v>e6e16d0634967c48ca4406a57fb344eb1b3dcf2a950de904e13eb2bf91ca6fd6</x:v>
      </x:c>
      <x:c r="S3277" t="n">
        <x:v>7</x:v>
      </x:c>
      <x:c r="T3277" t="str">
        <x:v>2018-12-31|2019-12-31|2020-12-31|2021-12-31|2022-12-31|2023-12-31|2024-12-31</x:v>
      </x:c>
      <x:c r="U3277" s="57" t="n">
        <x:v>105789.5571448271</x:v>
      </x:c>
      <x:c r="V3277" s="57" t="n">
        <x:v>-0.5969921632578016</x:v>
      </x:c>
      <x:c r="W3277" t="n">
        <x:v>50</x:v>
      </x:c>
      <x:c r="X3277" t="n">
        <x:v>4</x:v>
      </x:c>
      <x:c r="Y3277" s="38" t="n">
        <x:v>0.6409090909090909</x:v>
      </x:c>
      <x:c r="Z3277" s="38" t="n">
        <x:v>0.7001662832851766</x:v>
      </x:c>
      <x:c r="AA3277"/>
    </x:row>
    <x:row r="3278">
      <x:c r="A3278" s="54" t="n">
        <x:v>45838</x:v>
      </x:c>
      <x:c r="B3278" t="n">
        <x:v>45838.624999988424</x:v>
      </x:c>
      <x:c r="C3278" t="str">
        <x:v>030200</x:v>
      </x:c>
      <x:c r="D3278" t="str">
        <x:v>KT</x:v>
      </x:c>
      <x:c r="E3278" t="str">
        <x:v>KOSPI</x:v>
      </x:c>
      <x:c r="F3278" t="str">
        <x:v>LARGE</x:v>
      </x:c>
      <x:c r="G3278" t="str">
        <x:v>ELIGIBLE</x:v>
      </x:c>
      <x:c r="H3278"/>
      <x:c r="I3278" s="54" t="n">
        <x:v>45838</x:v>
      </x:c>
      <x:c r="J3278" s="55" t="n">
        <x:v>55700</x:v>
      </x:c>
      <x:c r="K3278" s="55" t="n">
        <x:v>14037607854500</x:v>
      </x:c>
      <x:c r="L3278" s="55" t="n">
        <x:v>252021685</x:v>
      </x:c>
      <x:c r="M3278" t="str">
        <x:v>20250321001834</x:v>
      </x:c>
      <x:c r="N3278" t="n">
        <x:v>45737.624999988424</x:v>
      </x:c>
      <x:c r="O3278" s="54" t="n">
        <x:v>45657</x:v>
      </x:c>
      <x:c r="P3278" t="str">
        <x:v>False</x:v>
      </x:c>
      <x:c r="Q3278" t="str">
        <x:v>2cd77c6d3ffcf35acaf991259fabd1c1426c31e69eeab4ed4170d57306f9a924</x:v>
      </x:c>
      <x:c r="R3278" t="str">
        <x:v>bca8d9e2cbcbf46206cafcc3a2afe60f36b55e170bda366fb9d5f222b68afeee</x:v>
      </x:c>
      <x:c r="S3278" t="n">
        <x:v>7</x:v>
      </x:c>
      <x:c r="T3278" t="str">
        <x:v>2018-12-31|2019-12-31|2020-12-31|2021-12-31|2022-12-31|2023-12-31|2024-12-31</x:v>
      </x:c>
      <x:c r="U3278" s="57" t="n">
        <x:v>172148.73250012912</x:v>
      </x:c>
      <x:c r="V3278" s="57" t="n">
        <x:v>2.090641517057973</x:v>
      </x:c>
      <x:c r="W3278" t="n">
        <x:v>4</x:v>
      </x:c>
      <x:c r="X3278" t="n">
        <x:v>1</x:v>
      </x:c>
      <x:c r="Y3278" s="38" t="n">
        <x:v>0.6409090909090909</x:v>
      </x:c>
      <x:c r="Z3278" s="38" t="n">
        <x:v>0.7167453067916509</x:v>
      </x:c>
      <x:c r="AA3278"/>
    </x:row>
    <x:row r="3279">
      <x:c r="A3279" s="54" t="n">
        <x:v>45838</x:v>
      </x:c>
      <x:c r="B3279" t="n">
        <x:v>45838.624999988424</x:v>
      </x:c>
      <x:c r="C3279" t="str">
        <x:v>018260</x:v>
      </x:c>
      <x:c r="D3279" t="str">
        <x:v>삼성에스디에스</x:v>
      </x:c>
      <x:c r="E3279" t="str">
        <x:v>KOSPI</x:v>
      </x:c>
      <x:c r="F3279" t="str">
        <x:v>LARGE</x:v>
      </x:c>
      <x:c r="G3279" t="str">
        <x:v>ELIGIBLE</x:v>
      </x:c>
      <x:c r="H3279"/>
      <x:c r="I3279" s="54" t="n">
        <x:v>45838</x:v>
      </x:c>
      <x:c r="J3279" s="55" t="n">
        <x:v>169600</x:v>
      </x:c>
      <x:c r="K3279" s="55" t="n">
        <x:v>13123274880000</x:v>
      </x:c>
      <x:c r="L3279" s="55" t="n">
        <x:v>77377800</x:v>
      </x:c>
      <x:c r="M3279" t="str">
        <x:v>20250311001129</x:v>
      </x:c>
      <x:c r="N3279" t="n">
        <x:v>45727.624999988424</x:v>
      </x:c>
      <x:c r="O3279" s="54" t="n">
        <x:v>45657</x:v>
      </x:c>
      <x:c r="P3279" t="str">
        <x:v>False</x:v>
      </x:c>
      <x:c r="Q3279" t="str">
        <x:v>964f5d921b8bd95821c63a2537a38f6deaee5352f47d9d9400c853f660f7b5d3</x:v>
      </x:c>
      <x:c r="R3279" t="str">
        <x:v>e71c3c08c200d66bdb03c52076c8de700aa47c7ab032fb7bb1f50bbb5f43297b</x:v>
      </x:c>
      <x:c r="S3279" t="n">
        <x:v>7</x:v>
      </x:c>
      <x:c r="T3279" t="str">
        <x:v>2018-12-31|2019-12-31|2020-12-31|2021-12-31|2022-12-31|2023-12-31|2024-12-31</x:v>
      </x:c>
      <x:c r="U3279" s="57" t="n">
        <x:v>74311.71610337417</x:v>
      </x:c>
      <x:c r="V3279" s="57" t="n">
        <x:v>-0.5618412965602938</x:v>
      </x:c>
      <x:c r="W3279" t="n">
        <x:v>45</x:v>
      </x:c>
      <x:c r="X3279" t="n">
        <x:v>4</x:v>
      </x:c>
      <x:c r="Y3279" s="38" t="n">
        <x:v>0.6409090909090909</x:v>
      </x:c>
      <x:c r="Z3279" s="38" t="n">
        <x:v>0.7128653806949979</x:v>
      </x:c>
      <x:c r="AA3279"/>
    </x:row>
    <x:row r="3280">
      <x:c r="A3280" s="54" t="n">
        <x:v>45838</x:v>
      </x:c>
      <x:c r="B3280" t="n">
        <x:v>45838.624999988424</x:v>
      </x:c>
      <x:c r="C3280" t="str">
        <x:v>090430</x:v>
      </x:c>
      <x:c r="D3280" t="str">
        <x:v>아모레퍼시픽</x:v>
      </x:c>
      <x:c r="E3280" t="str">
        <x:v>KOSPI</x:v>
      </x:c>
      <x:c r="F3280" t="str">
        <x:v>LARGE</x:v>
      </x:c>
      <x:c r="G3280" t="str">
        <x:v>ELIGIBLE</x:v>
      </x:c>
      <x:c r="H3280"/>
      <x:c r="I3280" s="54" t="n">
        <x:v>45838</x:v>
      </x:c>
      <x:c r="J3280" s="55" t="n">
        <x:v>136700</x:v>
      </x:c>
      <x:c r="K3280" s="55" t="n">
        <x:v>7995960155300</x:v>
      </x:c>
      <x:c r="L3280" s="55" t="n">
        <x:v>58492759</x:v>
      </x:c>
      <x:c r="M3280" t="str">
        <x:v>20250317000429</x:v>
      </x:c>
      <x:c r="N3280" t="n">
        <x:v>45733.624999988424</x:v>
      </x:c>
      <x:c r="O3280" s="54" t="n">
        <x:v>45657</x:v>
      </x:c>
      <x:c r="P3280" t="str">
        <x:v>False</x:v>
      </x:c>
      <x:c r="Q3280" t="str">
        <x:v>5d3cfcde18449c3ab740528bb60555324e517a243671e3ad383bceaa22098b7f</x:v>
      </x:c>
      <x:c r="R3280" t="str">
        <x:v>7f92390547f264a95fbf5655fb46ece4de5b1972a66c501d67b8ea077592702c</x:v>
      </x:c>
      <x:c r="S3280" t="n">
        <x:v>7</x:v>
      </x:c>
      <x:c r="T3280" t="str">
        <x:v>2018-12-31|2019-12-31|2020-12-31|2021-12-31|2022-12-31|2023-12-31|2024-12-31</x:v>
      </x:c>
      <x:c r="U3280" s="57" t="n">
        <x:v>55725.71542506561</x:v>
      </x:c>
      <x:c r="V3280" s="57" t="n">
        <x:v>-0.5923502895020805</x:v>
      </x:c>
      <x:c r="W3280" t="n">
        <x:v>48</x:v>
      </x:c>
      <x:c r="X3280" t="n">
        <x:v>4</x:v>
      </x:c>
      <x:c r="Y3280" s="38" t="n">
        <x:v>0.6409090909090909</x:v>
      </x:c>
      <x:c r="Z3280" s="38" t="n">
        <x:v>0.6751050756958316</x:v>
      </x:c>
      <x:c r="AA3280"/>
    </x:row>
    <x:row r="3281">
      <x:c r="A3281" s="54" t="n">
        <x:v>45838</x:v>
      </x:c>
      <x:c r="B3281" t="n">
        <x:v>45838.624999988424</x:v>
      </x:c>
      <x:c r="C3281" t="str">
        <x:v>278470</x:v>
      </x:c>
      <x:c r="D3281" t="str">
        <x:v>에이피알</x:v>
      </x:c>
      <x:c r="E3281" t="str">
        <x:v>KOSPI</x:v>
      </x:c>
      <x:c r="F3281" t="str">
        <x:v>LARGE</x:v>
      </x:c>
      <x:c r="G3281" t="str">
        <x:v>ELIGIBLE</x:v>
      </x:c>
      <x:c r="H3281"/>
      <x:c r="I3281" s="54" t="n">
        <x:v>45838</x:v>
      </x:c>
      <x:c r="J3281" s="55" t="n">
        <x:v>154200</x:v>
      </x:c>
      <x:c r="K3281" s="55" t="n">
        <x:v>5866393281000</x:v>
      </x:c>
      <x:c r="L3281" s="55" t="n">
        <x:v>38044055</x:v>
      </x:c>
      <x:c r="M3281" t="str">
        <x:v>20250321001576</x:v>
      </x:c>
      <x:c r="N3281" t="n">
        <x:v>45737.624999988424</x:v>
      </x:c>
      <x:c r="O3281" s="54" t="n">
        <x:v>45657</x:v>
      </x:c>
      <x:c r="P3281" t="str">
        <x:v>False</x:v>
      </x:c>
      <x:c r="Q3281" t="str">
        <x:v>f7609415bf5ce4b11e77eb1d00c4fc74b4eb78a4969bb64576bca9efb0ed1049</x:v>
      </x:c>
      <x:c r="R3281" t="str">
        <x:v>a122a65065319d8563a5b5c6657e626da8e30a57fe454ee441ed9747c4fa0c0c</x:v>
      </x:c>
      <x:c r="S3281" t="n">
        <x:v>7</x:v>
      </x:c>
      <x:c r="T3281" t="str">
        <x:v>2019-12-31|2020-12-31|2021-12-31|2022-12-31|2023-12-31|2024-12-31</x:v>
      </x:c>
      <x:c r="U3281" s="57" t="n">
        <x:v>18790.675263241992</x:v>
      </x:c>
      <x:c r="V3281" s="57" t="n">
        <x:v>-0.8781408867494034</x:v>
      </x:c>
      <x:c r="W3281" t="n">
        <x:v>63</x:v>
      </x:c>
      <x:c r="X3281" t="n">
        <x:v>5</x:v>
      </x:c>
      <x:c r="Y3281" s="38" t="n">
        <x:v>0.6409090909090909</x:v>
      </x:c>
      <x:c r="Z3281" s="38" t="n">
        <x:v>0.6171119873468349</x:v>
      </x:c>
      <x:c r="AA3281"/>
    </x:row>
    <x:row r="3282">
      <x:c r="A3282" s="54" t="n">
        <x:v>45838</x:v>
      </x:c>
      <x:c r="B3282" t="n">
        <x:v>45838.624999988424</x:v>
      </x:c>
      <x:c r="C3282" t="str">
        <x:v>006260</x:v>
      </x:c>
      <x:c r="D3282" t="str">
        <x:v>LS</x:v>
      </x:c>
      <x:c r="E3282" t="str">
        <x:v>KOSPI</x:v>
      </x:c>
      <x:c r="F3282" t="str">
        <x:v>LARGE</x:v>
      </x:c>
      <x:c r="G3282" t="str">
        <x:v>DCF_SCREENING_EXCLUSION</x:v>
      </x:c>
      <x:c r="H3282" t="str">
        <x:v>UNRELIABLE_TERMINAL_VALUE_SHARE</x:v>
      </x:c>
      <x:c r="I3282" s="54" t="n">
        <x:v>45838</x:v>
      </x:c>
      <x:c r="J3282" s="55" t="n">
        <x:v>197000</x:v>
      </x:c>
      <x:c r="K3282" s="55" t="n">
        <x:v>6343400000000</x:v>
      </x:c>
      <x:c r="L3282" s="55" t="n">
        <x:v>32200000</x:v>
      </x:c>
      <x:c r="M3282" t="str">
        <x:v>20250326000601</x:v>
      </x:c>
      <x:c r="N3282" t="n">
        <x:v>45742.624999988424</x:v>
      </x:c>
      <x:c r="O3282" s="54" t="n">
        <x:v>45657</x:v>
      </x:c>
      <x:c r="P3282" t="str">
        <x:v>True</x:v>
      </x:c>
      <x:c r="Q3282" t="str">
        <x:v>33c95972b51db6c4ad361222c6e1af5f8a1c53d32ce70480d4099ed38f56276f</x:v>
      </x:c>
      <x:c r="R3282" t="str">
        <x:v>04c6e6d456f340191183a9ff2295e0224e58ec77af66e83990bbbc629e1bdfd8</x:v>
      </x:c>
      <x:c r="S3282" t="n">
        <x:v>7</x:v>
      </x:c>
      <x:c r="T3282" t="str">
        <x:v>2017-12-31|2018-12-31|2019-12-31|2020-12-31|2021-12-31|2022-12-31|2023-12-31|2024-12-31</x:v>
      </x:c>
      <x:c r="U3282" s="57" t="n">
        <x:v>90909.31643697644</x:v>
      </x:c>
      <x:c r="V3282" s="57" t="n">
        <x:v>-0.5385313886447897</x:v>
      </x:c>
      <x:c r="W3282"/>
      <x:c r="X3282"/>
      <x:c r="Y3282" s="38" t="n">
        <x:v>0.6409090909090909</x:v>
      </x:c>
      <x:c r="Z3282" s="38" t="n">
        <x:v>2.196652180568711</x:v>
      </x:c>
      <x:c r="AA3282" t="str">
        <x:v>UNRELIABLE_TERMINAL_VALUE_SHARE</x:v>
      </x:c>
    </x:row>
    <x:row r="3283">
      <x:c r="A3283" s="54" t="n">
        <x:v>45838</x:v>
      </x:c>
      <x:c r="B3283" t="n">
        <x:v>45838.624999988424</x:v>
      </x:c>
      <x:c r="C3283" t="str">
        <x:v>454910</x:v>
      </x:c>
      <x:c r="D3283" t="str">
        <x:v>두산로보틱스</x:v>
      </x:c>
      <x:c r="E3283" t="str">
        <x:v>KOSPI</x:v>
      </x:c>
      <x:c r="F3283" t="str">
        <x:v>LARGE</x:v>
      </x:c>
      <x:c r="G3283" t="str">
        <x:v>DCF_SCREENING_EXCLUSION</x:v>
      </x:c>
      <x:c r="H3283" t="str">
        <x:v>NON_POSITIVE_ENTERPRISE_VALUE|NON_POSITIVE_TERMINAL_FCF</x:v>
      </x:c>
      <x:c r="I3283" s="54" t="n">
        <x:v>45838</x:v>
      </x:c>
      <x:c r="J3283" s="55" t="n">
        <x:v>66100</x:v>
      </x:c>
      <x:c r="K3283" s="55" t="n">
        <x:v>4284600678000</x:v>
      </x:c>
      <x:c r="L3283" s="55" t="n">
        <x:v>64819980</x:v>
      </x:c>
      <x:c r="M3283" t="str">
        <x:v>20250321001817</x:v>
      </x:c>
      <x:c r="N3283" t="n">
        <x:v>45737.624999988424</x:v>
      </x:c>
      <x:c r="O3283" s="54" t="n">
        <x:v>45657</x:v>
      </x:c>
      <x:c r="P3283" t="str">
        <x:v>False</x:v>
      </x:c>
      <x:c r="Q3283" t="str">
        <x:v>d135448b29a66178c61f4ddc3802970762ebb00ebe201b81843842ce6a2586f9</x:v>
      </x:c>
      <x:c r="R3283" t="str">
        <x:v>3d5ad658078dec7b1dcae6ff524ae197c61130b5742c691b8c038680e9fd4719</x:v>
      </x:c>
      <x:c r="S3283" t="n">
        <x:v>6</x:v>
      </x:c>
      <x:c r="T3283" t="str">
        <x:v>2023-12-31|2024-12-31</x:v>
      </x:c>
      <x:c r="U3283" s="57" t="n">
        <x:v>2608.7559516523133</x:v>
      </x:c>
      <x:c r="V3283" s="57" t="n">
        <x:v>-0.9605331928645641</x:v>
      </x:c>
      <x:c r="W3283"/>
      <x:c r="X3283"/>
      <x:c r="Y3283" s="38" t="n">
        <x:v>0.6409090909090909</x:v>
      </x:c>
      <x:c r="Z3283" s="38" t="n">
        <x:v>0.7138439567509429</x:v>
      </x:c>
      <x:c r="AA3283" t="str">
        <x:v>NON_POSITIVE_ENTERPRISE_VALUE|NON_POSITIVE_TERMINAL_FCF</x:v>
      </x:c>
    </x:row>
    <x:row r="3284">
      <x:c r="A3284" s="54" t="n">
        <x:v>45838</x:v>
      </x:c>
      <x:c r="B3284" t="n">
        <x:v>45838.624999988424</x:v>
      </x:c>
      <x:c r="C3284" t="str">
        <x:v>012750</x:v>
      </x:c>
      <x:c r="D3284" t="str">
        <x:v>에스원</x:v>
      </x:c>
      <x:c r="E3284" t="str">
        <x:v>KOSPI</x:v>
      </x:c>
      <x:c r="F3284" t="str">
        <x:v>LARGE</x:v>
      </x:c>
      <x:c r="G3284" t="str">
        <x:v>ELIGIBLE</x:v>
      </x:c>
      <x:c r="H3284"/>
      <x:c r="I3284" s="54" t="n">
        <x:v>45838</x:v>
      </x:c>
      <x:c r="J3284" s="55" t="n">
        <x:v>68600</x:v>
      </x:c>
      <x:c r="K3284" s="55" t="n">
        <x:v>2606743610800</x:v>
      </x:c>
      <x:c r="L3284" s="55" t="n">
        <x:v>37999178</x:v>
      </x:c>
      <x:c r="M3284" t="str">
        <x:v>20250312000984</x:v>
      </x:c>
      <x:c r="N3284" t="n">
        <x:v>45728.624999988424</x:v>
      </x:c>
      <x:c r="O3284" s="54" t="n">
        <x:v>45657</x:v>
      </x:c>
      <x:c r="P3284" t="str">
        <x:v>False</x:v>
      </x:c>
      <x:c r="Q3284" t="str">
        <x:v>d1cf5dfb618d09ffc1359f28ad1fdc885c2c3911cc2af33bdac89bd6a3bdca65</x:v>
      </x:c>
      <x:c r="R3284" t="str">
        <x:v>da34f2257201badec5be64f4d3247e9d82573fb11d0f62a37f9cf258ee7604c9</x:v>
      </x:c>
      <x:c r="S3284" t="n">
        <x:v>7</x:v>
      </x:c>
      <x:c r="T3284" t="str">
        <x:v>2018-12-31|2019-12-31|2020-12-31|2021-12-31|2022-12-31|2023-12-31|2024-12-31</x:v>
      </x:c>
      <x:c r="U3284" s="57" t="n">
        <x:v>69046.64547965034</x:v>
      </x:c>
      <x:c r="V3284" s="57" t="n">
        <x:v>0.006510867050296454</x:v>
      </x:c>
      <x:c r="W3284" t="n">
        <x:v>22</x:v>
      </x:c>
      <x:c r="X3284" t="n">
        <x:v>2</x:v>
      </x:c>
      <x:c r="Y3284" s="38" t="n">
        <x:v>0.6409090909090909</x:v>
      </x:c>
      <x:c r="Z3284" s="38" t="n">
        <x:v>0.7174252575953354</x:v>
      </x:c>
      <x:c r="AA3284"/>
    </x:row>
    <x:row r="3285">
      <x:c r="A3285" s="54" t="n">
        <x:v>45838</x:v>
      </x:c>
      <x:c r="B3285" t="n">
        <x:v>45838.624999988424</x:v>
      </x:c>
      <x:c r="C3285" t="str">
        <x:v>081660</x:v>
      </x:c>
      <x:c r="D3285" t="str">
        <x:v>미스토홀딩스</x:v>
      </x:c>
      <x:c r="E3285" t="str">
        <x:v>KOSPI</x:v>
      </x:c>
      <x:c r="F3285" t="str">
        <x:v>LARGE</x:v>
      </x:c>
      <x:c r="G3285" t="str">
        <x:v>EXCLUDED_ARCHETYPE</x:v>
      </x:c>
      <x:c r="H3285" t="str">
        <x:v>FCFF_NOT_COMPARABLE_FOR_FINANCE_OR_HOLDING_HINT</x:v>
      </x:c>
      <x:c r="I3285" s="54"/>
      <x:c r="J3285" s="55"/>
      <x:c r="K3285" s="55"/>
      <x:c r="L3285" s="55"/>
      <x:c r="M3285"/>
      <x:c r="N3285"/>
      <x:c r="O3285" s="54"/>
      <x:c r="P3285"/>
      <x:c r="Q3285"/>
      <x:c r="R3285"/>
      <x:c r="S3285"/>
      <x:c r="T3285"/>
      <x:c r="U3285" s="57"/>
      <x:c r="V3285" s="57"/>
      <x:c r="W3285"/>
      <x:c r="X3285"/>
      <x:c r="Y3285" s="38"/>
      <x:c r="Z3285" s="38"/>
      <x:c r="AA3285"/>
    </x:row>
    <x:row r="3286">
      <x:c r="A3286" s="54" t="n">
        <x:v>45838</x:v>
      </x:c>
      <x:c r="B3286" t="n">
        <x:v>45838.624999988424</x:v>
      </x:c>
      <x:c r="C3286" t="str">
        <x:v>282330</x:v>
      </x:c>
      <x:c r="D3286" t="str">
        <x:v>BGF리테일</x:v>
      </x:c>
      <x:c r="E3286" t="str">
        <x:v>KOSPI</x:v>
      </x:c>
      <x:c r="F3286" t="str">
        <x:v>LARGE</x:v>
      </x:c>
      <x:c r="G3286" t="str">
        <x:v>ELIGIBLE</x:v>
      </x:c>
      <x:c r="H3286"/>
      <x:c r="I3286" s="54" t="n">
        <x:v>45838</x:v>
      </x:c>
      <x:c r="J3286" s="55" t="n">
        <x:v>121000</x:v>
      </x:c>
      <x:c r="K3286" s="55" t="n">
        <x:v>2091352626000</x:v>
      </x:c>
      <x:c r="L3286" s="55" t="n">
        <x:v>17283906</x:v>
      </x:c>
      <x:c r="M3286" t="str">
        <x:v>20250318000733</x:v>
      </x:c>
      <x:c r="N3286" t="n">
        <x:v>45734.624999988424</x:v>
      </x:c>
      <x:c r="O3286" s="54" t="n">
        <x:v>45657</x:v>
      </x:c>
      <x:c r="P3286" t="str">
        <x:v>False</x:v>
      </x:c>
      <x:c r="Q3286" t="str">
        <x:v>083efd2dee44b4a786970c0c389a46a610dc9a7977b06d3b9ad488970ad89861</x:v>
      </x:c>
      <x:c r="R3286" t="str">
        <x:v>56ffa1711ceebcefa7355b1524c61d7de5c48bb0a74b0d64a5a9c289e7378174</x:v>
      </x:c>
      <x:c r="S3286" t="n">
        <x:v>7</x:v>
      </x:c>
      <x:c r="T3286" t="str">
        <x:v>2018-12-31|2019-12-31|2020-12-31|2021-12-31|2022-12-31|2023-12-31|2024-12-31</x:v>
      </x:c>
      <x:c r="U3286" s="57" t="n">
        <x:v>97369.65699428694</x:v>
      </x:c>
      <x:c r="V3286" s="57" t="n">
        <x:v>-0.1952920909563063</x:v>
      </x:c>
      <x:c r="W3286" t="n">
        <x:v>25</x:v>
      </x:c>
      <x:c r="X3286" t="n">
        <x:v>2</x:v>
      </x:c>
      <x:c r="Y3286" s="38" t="n">
        <x:v>0.6409090909090909</x:v>
      </x:c>
      <x:c r="Z3286" s="38" t="n">
        <x:v>0.7160245016630836</x:v>
      </x:c>
      <x:c r="AA3286"/>
    </x:row>
    <x:row r="3287">
      <x:c r="A3287" s="54" t="n">
        <x:v>45838</x:v>
      </x:c>
      <x:c r="B3287" t="n">
        <x:v>45838.624999988424</x:v>
      </x:c>
      <x:c r="C3287" t="str">
        <x:v>023590</x:v>
      </x:c>
      <x:c r="D3287" t="str">
        <x:v>다우기술</x:v>
      </x:c>
      <x:c r="E3287" t="str">
        <x:v>KOSPI</x:v>
      </x:c>
      <x:c r="F3287" t="str">
        <x:v>LARGE</x:v>
      </x:c>
      <x:c r="G3287" t="str">
        <x:v>ELIGIBLE</x:v>
      </x:c>
      <x:c r="H3287"/>
      <x:c r="I3287" s="54" t="n">
        <x:v>45838</x:v>
      </x:c>
      <x:c r="J3287" s="55" t="n">
        <x:v>34250</x:v>
      </x:c>
      <x:c r="K3287" s="55" t="n">
        <x:v>1536681632250</x:v>
      </x:c>
      <x:c r="L3287" s="55" t="n">
        <x:v>44866617</x:v>
      </x:c>
      <x:c r="M3287" t="str">
        <x:v>20250318001202</x:v>
      </x:c>
      <x:c r="N3287" t="n">
        <x:v>45734.624999988424</x:v>
      </x:c>
      <x:c r="O3287" s="54" t="n">
        <x:v>45657</x:v>
      </x:c>
      <x:c r="P3287" t="str">
        <x:v>False</x:v>
      </x:c>
      <x:c r="Q3287" t="str">
        <x:v>259f89c3cf719530f4a45f36ebe82e9d42a2958b3a0bad4250982534efa965bf</x:v>
      </x:c>
      <x:c r="R3287" t="str">
        <x:v>f162e810ea5b1ec6181873739395cc55f53c015bda2f3eeeb43957d9146b406c</x:v>
      </x:c>
      <x:c r="S3287" t="n">
        <x:v>7</x:v>
      </x:c>
      <x:c r="T3287" t="str">
        <x:v>2015-12-31|2016-12-31|2017-12-31|2018-12-31|2019-12-31|2020-12-31|2021-12-31|2022-12-31|2023-12-31|2024-12-31</x:v>
      </x:c>
      <x:c r="U3287" s="57" t="n">
        <x:v>59589.212266086324</x:v>
      </x:c>
      <x:c r="V3287" s="57" t="n">
        <x:v>0.7398310150682139</x:v>
      </x:c>
      <x:c r="W3287" t="n">
        <x:v>12</x:v>
      </x:c>
      <x:c r="X3287" t="n">
        <x:v>1</x:v>
      </x:c>
      <x:c r="Y3287" s="38" t="n">
        <x:v>0.6409090909090909</x:v>
      </x:c>
      <x:c r="Z3287" s="38" t="n">
        <x:v>0.7691050447178945</x:v>
      </x:c>
      <x:c r="AA3287"/>
    </x:row>
    <x:row r="3288">
      <x:c r="A3288" s="54" t="n">
        <x:v>45838</x:v>
      </x:c>
      <x:c r="B3288" t="n">
        <x:v>45838.624999988424</x:v>
      </x:c>
      <x:c r="C3288" t="str">
        <x:v>300720</x:v>
      </x:c>
      <x:c r="D3288" t="str">
        <x:v>한일시멘트</x:v>
      </x:c>
      <x:c r="E3288" t="str">
        <x:v>KOSPI</x:v>
      </x:c>
      <x:c r="F3288" t="str">
        <x:v>LARGE</x:v>
      </x:c>
      <x:c r="G3288" t="str">
        <x:v>ELIGIBLE</x:v>
      </x:c>
      <x:c r="H3288"/>
      <x:c r="I3288" s="54" t="n">
        <x:v>45838</x:v>
      </x:c>
      <x:c r="J3288" s="55" t="n">
        <x:v>18610</x:v>
      </x:c>
      <x:c r="K3288" s="55" t="n">
        <x:v>1288957259400</x:v>
      </x:c>
      <x:c r="L3288" s="55" t="n">
        <x:v>69261540</x:v>
      </x:c>
      <x:c r="M3288" t="str">
        <x:v>20250317000951</x:v>
      </x:c>
      <x:c r="N3288" t="n">
        <x:v>45733.624999988424</x:v>
      </x:c>
      <x:c r="O3288" s="54" t="n">
        <x:v>45657</x:v>
      </x:c>
      <x:c r="P3288" t="str">
        <x:v>False</x:v>
      </x:c>
      <x:c r="Q3288" t="str">
        <x:v>30911143bec8cf6aff9f304bfd90906a82c9bec558d8c441b591e891325d0ae9</x:v>
      </x:c>
      <x:c r="R3288" t="str">
        <x:v>b37e74697d4529b317f1bdd4feab19c6cb7bf451a88dfded78cc6fe862b70595</x:v>
      </x:c>
      <x:c r="S3288" t="n">
        <x:v>7</x:v>
      </x:c>
      <x:c r="T3288" t="str">
        <x:v>2019-12-31|2020-12-31|2021-12-31|2022-12-31|2023-12-31|2024-12-31</x:v>
      </x:c>
      <x:c r="U3288" s="57" t="n">
        <x:v>25694.968065037032</x:v>
      </x:c>
      <x:c r="V3288" s="57" t="n">
        <x:v>0.38070758006647143</x:v>
      </x:c>
      <x:c r="W3288" t="n">
        <x:v>17</x:v>
      </x:c>
      <x:c r="X3288" t="n">
        <x:v>2</x:v>
      </x:c>
      <x:c r="Y3288" s="38" t="n">
        <x:v>0.6409090909090909</x:v>
      </x:c>
      <x:c r="Z3288" s="38" t="n">
        <x:v>0.7202822282990681</x:v>
      </x:c>
      <x:c r="AA3288"/>
    </x:row>
    <x:row r="3289">
      <x:c r="A3289" s="54" t="n">
        <x:v>45838</x:v>
      </x:c>
      <x:c r="B3289" t="n">
        <x:v>45838.624999988424</x:v>
      </x:c>
      <x:c r="C3289" t="str">
        <x:v>007070</x:v>
      </x:c>
      <x:c r="D3289" t="str">
        <x:v>GS리테일</x:v>
      </x:c>
      <x:c r="E3289" t="str">
        <x:v>KOSPI</x:v>
      </x:c>
      <x:c r="F3289" t="str">
        <x:v>LARGE</x:v>
      </x:c>
      <x:c r="G3289" t="str">
        <x:v>DCF_SCREENING_EXCLUSION</x:v>
      </x:c>
      <x:c r="H3289" t="str">
        <x:v>NON_POSITIVE_EQUITY_VALUE</x:v>
      </x:c>
      <x:c r="I3289" s="54" t="n">
        <x:v>45838</x:v>
      </x:c>
      <x:c r="J3289" s="55" t="n">
        <x:v>16650</x:v>
      </x:c>
      <x:c r="K3289" s="55" t="n">
        <x:v>1392063459750</x:v>
      </x:c>
      <x:c r="L3289" s="55" t="n">
        <x:v>83607415</x:v>
      </x:c>
      <x:c r="M3289" t="str">
        <x:v>20250312000991</x:v>
      </x:c>
      <x:c r="N3289" t="n">
        <x:v>45728.624999988424</x:v>
      </x:c>
      <x:c r="O3289" s="54" t="n">
        <x:v>45657</x:v>
      </x:c>
      <x:c r="P3289" t="str">
        <x:v>False</x:v>
      </x:c>
      <x:c r="Q3289" t="str">
        <x:v>b39e4b05ee59ed223056a91ca94074746528599728a5aa52d8931551e3faec1a</x:v>
      </x:c>
      <x:c r="R3289" t="str">
        <x:v>e06b50f8e71b363b781c7cedcc96ea7badc3c3bf4eba389e440fb48179232105</x:v>
      </x:c>
      <x:c r="S3289" t="n">
        <x:v>7</x:v>
      </x:c>
      <x:c r="T3289" t="str">
        <x:v>2018-12-31|2019-12-31|2020-12-31|2021-12-31|2022-12-31|2023-12-31|2024-12-31</x:v>
      </x:c>
      <x:c r="U3289" s="57" t="n">
        <x:v>-212.79090083230065</x:v>
      </x:c>
      <x:c r="V3289" s="57" t="n">
        <x:v>-1.0127802342842223</x:v>
      </x:c>
      <x:c r="W3289"/>
      <x:c r="X3289"/>
      <x:c r="Y3289" s="38" t="n">
        <x:v>0.6409090909090909</x:v>
      </x:c>
      <x:c r="Z3289" s="38" t="n">
        <x:v>0.7064171070380114</x:v>
      </x:c>
      <x:c r="AA3289" t="str">
        <x:v>NON_POSITIVE_EQUITY_VALUE</x:v>
      </x:c>
    </x:row>
    <x:row r="3290">
      <x:c r="A3290" s="54" t="n">
        <x:v>45838</x:v>
      </x:c>
      <x:c r="B3290" t="n">
        <x:v>45838.624999988424</x:v>
      </x:c>
      <x:c r="C3290" t="str">
        <x:v>280360</x:v>
      </x:c>
      <x:c r="D3290" t="str">
        <x:v>롯데웰푸드</x:v>
      </x:c>
      <x:c r="E3290" t="str">
        <x:v>KOSPI</x:v>
      </x:c>
      <x:c r="F3290" t="str">
        <x:v>LARGE</x:v>
      </x:c>
      <x:c r="G3290" t="str">
        <x:v>DCF_SCREENING_EXCLUSION</x:v>
      </x:c>
      <x:c r="H3290" t="str">
        <x:v>NON_POSITIVE_ENTERPRISE_VALUE|NON_POSITIVE_EQUITY_VALUE|NON_POSITIVE_TERMINAL_FCF</x:v>
      </x:c>
      <x:c r="I3290" s="54" t="n">
        <x:v>45838</x:v>
      </x:c>
      <x:c r="J3290" s="55" t="n">
        <x:v>115500</x:v>
      </x:c>
      <x:c r="K3290" s="55" t="n">
        <x:v>1074678297000</x:v>
      </x:c>
      <x:c r="L3290" s="55" t="n">
        <x:v>9304574</x:v>
      </x:c>
      <x:c r="M3290" t="str">
        <x:v>20250617000244</x:v>
      </x:c>
      <x:c r="N3290" t="n">
        <x:v>45825.624999988424</x:v>
      </x:c>
      <x:c r="O3290" s="54" t="n">
        <x:v>45657</x:v>
      </x:c>
      <x:c r="P3290" t="str">
        <x:v>True</x:v>
      </x:c>
      <x:c r="Q3290" t="str">
        <x:v>bc26db389126a3d67af47a6042f8dcddbe9b03e7f612fa5fbee2737ab5d1314b</x:v>
      </x:c>
      <x:c r="R3290" t="str">
        <x:v>204cc2273410cde1208d198c10c0ed78ff7031156d92dab5a6f05ec307295b2e</x:v>
      </x:c>
      <x:c r="S3290" t="n">
        <x:v>7</x:v>
      </x:c>
      <x:c r="T3290" t="str">
        <x:v>2018-12-31|2019-12-31|2020-12-31|2021-12-31|2022-12-31|2023-12-31|2024-12-31</x:v>
      </x:c>
      <x:c r="U3290" s="57" t="n">
        <x:v>-22370.023721934747</x:v>
      </x:c>
      <x:c r="V3290" s="57" t="n">
        <x:v>-1.19367985906437</x:v>
      </x:c>
      <x:c r="W3290"/>
      <x:c r="X3290"/>
      <x:c r="Y3290" s="38" t="n">
        <x:v>0.6409090909090909</x:v>
      </x:c>
      <x:c r="Z3290" s="38" t="n">
        <x:v>0.13113410707304196</x:v>
      </x:c>
      <x:c r="AA3290" t="str">
        <x:v>NON_POSITIVE_ENTERPRISE_VALUE|NON_POSITIVE_EQUITY_VALUE|NON_POSITIVE_TERMINAL_FCF</x:v>
      </x:c>
    </x:row>
    <x:row r="3291">
      <x:c r="A3291" s="54" t="n">
        <x:v>45838</x:v>
      </x:c>
      <x:c r="B3291" t="n">
        <x:v>45838.624999988424</x:v>
      </x:c>
      <x:c r="C3291" t="str">
        <x:v>039130</x:v>
      </x:c>
      <x:c r="D3291" t="str">
        <x:v>하나투어</x:v>
      </x:c>
      <x:c r="E3291" t="str">
        <x:v>KOSPI</x:v>
      </x:c>
      <x:c r="F3291" t="str">
        <x:v>LARGE</x:v>
      </x:c>
      <x:c r="G3291" t="str">
        <x:v>DCF_SCREENING_EXCLUSION</x:v>
      </x:c>
      <x:c r="H3291" t="str">
        <x:v>NON_POSITIVE_ENTERPRISE_VALUE|NON_POSITIVE_EQUITY_VALUE|NON_POSITIVE_TERMINAL_FCF|UNRELIABLE_TERMINAL_VALUE_SHARE</x:v>
      </x:c>
      <x:c r="I3291" s="54" t="n">
        <x:v>45838</x:v>
      </x:c>
      <x:c r="J3291" s="55" t="n">
        <x:v>54800</x:v>
      </x:c>
      <x:c r="K3291" s="55" t="n">
        <x:v>848848273600</x:v>
      </x:c>
      <x:c r="L3291" s="55" t="n">
        <x:v>15489932</x:v>
      </x:c>
      <x:c r="M3291" t="str">
        <x:v>20250320001129</x:v>
      </x:c>
      <x:c r="N3291" t="n">
        <x:v>45736.624999988424</x:v>
      </x:c>
      <x:c r="O3291" s="54" t="n">
        <x:v>45657</x:v>
      </x:c>
      <x:c r="P3291" t="str">
        <x:v>False</x:v>
      </x:c>
      <x:c r="Q3291" t="str">
        <x:v>2ce285ed4b9f246b62f3b829f8c279ca2708a0b849dba277787845940694cb64</x:v>
      </x:c>
      <x:c r="R3291" t="str">
        <x:v>ba19a4b0051f53e52a8148c95f9e25c1fbfdd9b2d77734956f4b16f9117ce20c</x:v>
      </x:c>
      <x:c r="S3291" t="n">
        <x:v>5</x:v>
      </x:c>
      <x:c r="T3291" t="str">
        <x:v>2018-12-31|2019-12-31|2020-12-31|2021-12-31|2022-12-31|2023-12-31|2024-12-31</x:v>
      </x:c>
      <x:c r="U3291" s="57" t="n">
        <x:v>-70763.31591002898</x:v>
      </x:c>
      <x:c r="V3291" s="57" t="n">
        <x:v>-2.2913013852195068</x:v>
      </x:c>
      <x:c r="W3291"/>
      <x:c r="X3291"/>
      <x:c r="Y3291" s="38" t="n">
        <x:v>0.6409090909090909</x:v>
      </x:c>
      <x:c r="Z3291" s="38" t="n">
        <x:v>0.8912188126147009</x:v>
      </x:c>
      <x:c r="AA3291" t="str">
        <x:v>NON_POSITIVE_ENTERPRISE_VALUE|NON_POSITIVE_EQUITY_VALUE|NON_POSITIVE_TERMINAL_FCF|UNRELIABLE_TERMINAL_VALUE_SHARE</x:v>
      </x:c>
    </x:row>
    <x:row r="3292">
      <x:c r="A3292" s="54" t="n">
        <x:v>45838</x:v>
      </x:c>
      <x:c r="B3292" t="n">
        <x:v>45838.624999988424</x:v>
      </x:c>
      <x:c r="C3292" t="str">
        <x:v>005690</x:v>
      </x:c>
      <x:c r="D3292" t="str">
        <x:v>파미셀</x:v>
      </x:c>
      <x:c r="E3292" t="str">
        <x:v>KOSPI</x:v>
      </x:c>
      <x:c r="F3292" t="str">
        <x:v>LARGE</x:v>
      </x:c>
      <x:c r="G3292" t="str">
        <x:v>DCF_SCREENING_EXCLUSION</x:v>
      </x:c>
      <x:c r="H3292" t="str">
        <x:v>UNRELIABLE_TERMINAL_VALUE_SHARE</x:v>
      </x:c>
      <x:c r="I3292" s="54" t="n">
        <x:v>45838</x:v>
      </x:c>
      <x:c r="J3292" s="55" t="n">
        <x:v>13280</x:v>
      </x:c>
      <x:c r="K3292" s="55" t="n">
        <x:v>797025281920</x:v>
      </x:c>
      <x:c r="L3292" s="55" t="n">
        <x:v>60016964</x:v>
      </x:c>
      <x:c r="M3292" t="str">
        <x:v>20250318000319</x:v>
      </x:c>
      <x:c r="N3292" t="n">
        <x:v>45734.624999988424</x:v>
      </x:c>
      <x:c r="O3292" s="54" t="n">
        <x:v>45657</x:v>
      </x:c>
      <x:c r="P3292" t="str">
        <x:v>False</x:v>
      </x:c>
      <x:c r="Q3292" t="str">
        <x:v>42ff16ba9237176276669aa358fe722d193606b88ed2444c597a8b4ce70c168a</x:v>
      </x:c>
      <x:c r="R3292" t="str">
        <x:v>7a369e43887f437d83aa84ba3a337136f087db50887d1d81e7d5caf1e6ce1e5f</x:v>
      </x:c>
      <x:c r="S3292" t="n">
        <x:v>6</x:v>
      </x:c>
      <x:c r="T3292" t="str">
        <x:v>2018-12-31|2019-12-31|2020-12-31|2021-12-31|2022-12-31|2023-12-31|2024-12-31</x:v>
      </x:c>
      <x:c r="U3292" s="57" t="n">
        <x:v>446.73762574244665</x:v>
      </x:c>
      <x:c r="V3292" s="57" t="n">
        <x:v>-0.9663601185434905</x:v>
      </x:c>
      <x:c r="W3292"/>
      <x:c r="X3292"/>
      <x:c r="Y3292" s="38" t="n">
        <x:v>0.6409090909090909</x:v>
      </x:c>
      <x:c r="Z3292" s="38" t="n">
        <x:v>0.9691769014163357</x:v>
      </x:c>
      <x:c r="AA3292" t="str">
        <x:v>UNRELIABLE_TERMINAL_VALUE_SHARE</x:v>
      </x:c>
    </x:row>
    <x:row r="3293">
      <x:c r="A3293" s="54" t="n">
        <x:v>45838</x:v>
      </x:c>
      <x:c r="B3293" t="n">
        <x:v>45838.624999988424</x:v>
      </x:c>
      <x:c r="C3293" t="str">
        <x:v>002030</x:v>
      </x:c>
      <x:c r="D3293" t="str">
        <x:v>아세아</x:v>
      </x:c>
      <x:c r="E3293" t="str">
        <x:v>KOSPI</x:v>
      </x:c>
      <x:c r="F3293" t="str">
        <x:v>LARGE</x:v>
      </x:c>
      <x:c r="G3293" t="str">
        <x:v>ELIGIBLE</x:v>
      </x:c>
      <x:c r="H3293"/>
      <x:c r="I3293" s="54" t="n">
        <x:v>45838</x:v>
      </x:c>
      <x:c r="J3293" s="55" t="n">
        <x:v>309500</x:v>
      </x:c>
      <x:c r="K3293" s="55" t="n">
        <x:v>645041330000</x:v>
      </x:c>
      <x:c r="L3293" s="55" t="n">
        <x:v>2084140</x:v>
      </x:c>
      <x:c r="M3293" t="str">
        <x:v>20250312000788</x:v>
      </x:c>
      <x:c r="N3293" t="n">
        <x:v>45728.624999988424</x:v>
      </x:c>
      <x:c r="O3293" s="54" t="n">
        <x:v>45657</x:v>
      </x:c>
      <x:c r="P3293" t="str">
        <x:v>False</x:v>
      </x:c>
      <x:c r="Q3293" t="str">
        <x:v>ea5f66da053d7b0f7058512e5d1ecb22d92df4af7e139ef4c7f13fee4d63099d</x:v>
      </x:c>
      <x:c r="R3293" t="str">
        <x:v>59ac1b52b451f2c299528bff970cce98f0bab8470a65b9cb2222276d3d445eca</x:v>
      </x:c>
      <x:c r="S3293" t="n">
        <x:v>6</x:v>
      </x:c>
      <x:c r="T3293" t="str">
        <x:v>2018-12-31|2019-12-31|2020-12-31|2021-12-31|2022-12-31|2023-12-31|2024-12-31</x:v>
      </x:c>
      <x:c r="U3293" s="57" t="n">
        <x:v>566610.7071043485</x:v>
      </x:c>
      <x:c r="V3293" s="57" t="n">
        <x:v>0.8307292636651001</x:v>
      </x:c>
      <x:c r="W3293" t="n">
        <x:v>10</x:v>
      </x:c>
      <x:c r="X3293" t="n">
        <x:v>1</x:v>
      </x:c>
      <x:c r="Y3293" s="38" t="n">
        <x:v>0.6409090909090909</x:v>
      </x:c>
      <x:c r="Z3293" s="38" t="n">
        <x:v>0.7385757163606029</x:v>
      </x:c>
      <x:c r="AA3293"/>
    </x:row>
    <x:row r="3294">
      <x:c r="A3294" s="54" t="n">
        <x:v>45838</x:v>
      </x:c>
      <x:c r="B3294" t="n">
        <x:v>45838.624999988424</x:v>
      </x:c>
      <x:c r="C3294" t="str">
        <x:v>009410</x:v>
      </x:c>
      <x:c r="D3294" t="str">
        <x:v>태영건설</x:v>
      </x:c>
      <x:c r="E3294" t="str">
        <x:v>KOSPI</x:v>
      </x:c>
      <x:c r="F3294" t="str">
        <x:v>LARGE</x:v>
      </x:c>
      <x:c r="G3294" t="str">
        <x:v>DCF_SCREENING_EXCLUSION</x:v>
      </x:c>
      <x:c r="H3294" t="str">
        <x:v>NON_POSITIVE_EQUITY_VALUE</x:v>
      </x:c>
      <x:c r="I3294" s="54" t="n">
        <x:v>45838</x:v>
      </x:c>
      <x:c r="J3294" s="55" t="n">
        <x:v>2905</x:v>
      </x:c>
      <x:c r="K3294" s="55" t="n">
        <x:v>855429173970</x:v>
      </x:c>
      <x:c r="L3294" s="55" t="n">
        <x:v>294467874</x:v>
      </x:c>
      <x:c r="M3294" t="str">
        <x:v>20250319000934</x:v>
      </x:c>
      <x:c r="N3294" t="n">
        <x:v>45735.624999988424</x:v>
      </x:c>
      <x:c r="O3294" s="54" t="n">
        <x:v>45657</x:v>
      </x:c>
      <x:c r="P3294" t="str">
        <x:v>False</x:v>
      </x:c>
      <x:c r="Q3294" t="str">
        <x:v>1ff734330124fbb0d4b03cbae75c4c3a7f4badc19e3b195241e4c04c09ee4381</x:v>
      </x:c>
      <x:c r="R3294" t="str">
        <x:v>fe3fa931b8b52576d35471ea5e9891644f9f6a7571c57e657f3d22cbe4613149</x:v>
      </x:c>
      <x:c r="S3294" t="n">
        <x:v>7</x:v>
      </x:c>
      <x:c r="T3294" t="str">
        <x:v>2018-12-31|2019-12-31|2020-12-31|2021-12-31|2022-12-31|2023-12-31|2024-12-31</x:v>
      </x:c>
      <x:c r="U3294" s="57" t="n">
        <x:v>-577.3082723531763</x:v>
      </x:c>
      <x:c r="V3294" s="57" t="n">
        <x:v>-1.198729181532935</x:v>
      </x:c>
      <x:c r="W3294"/>
      <x:c r="X3294"/>
      <x:c r="Y3294" s="38" t="n">
        <x:v>0.6409090909090909</x:v>
      </x:c>
      <x:c r="Z3294" s="38" t="n">
        <x:v>0.8239185671113427</x:v>
      </x:c>
      <x:c r="AA3294" t="str">
        <x:v>NON_POSITIVE_EQUITY_VALUE</x:v>
      </x:c>
    </x:row>
    <x:row r="3295">
      <x:c r="A3295" s="54" t="n">
        <x:v>45838</x:v>
      </x:c>
      <x:c r="B3295" t="n">
        <x:v>45838.624999988424</x:v>
      </x:c>
      <x:c r="C3295" t="str">
        <x:v>010780</x:v>
      </x:c>
      <x:c r="D3295" t="str">
        <x:v>아이에스동서</x:v>
      </x:c>
      <x:c r="E3295" t="str">
        <x:v>KOSPI</x:v>
      </x:c>
      <x:c r="F3295" t="str">
        <x:v>LARGE</x:v>
      </x:c>
      <x:c r="G3295" t="str">
        <x:v>ELIGIBLE</x:v>
      </x:c>
      <x:c r="H3295"/>
      <x:c r="I3295" s="54" t="n">
        <x:v>45838</x:v>
      </x:c>
      <x:c r="J3295" s="55" t="n">
        <x:v>21050</x:v>
      </x:c>
      <x:c r="K3295" s="55" t="n">
        <x:v>635435844800</x:v>
      </x:c>
      <x:c r="L3295" s="55" t="n">
        <x:v>30186976</x:v>
      </x:c>
      <x:c r="M3295" t="str">
        <x:v>20250319001050</x:v>
      </x:c>
      <x:c r="N3295" t="n">
        <x:v>45735.624999988424</x:v>
      </x:c>
      <x:c r="O3295" s="54" t="n">
        <x:v>45657</x:v>
      </x:c>
      <x:c r="P3295" t="str">
        <x:v>False</x:v>
      </x:c>
      <x:c r="Q3295" t="str">
        <x:v>62e562302d3f77018b083978563c92264fa7f7698b9b0c4d599d79705442146f</x:v>
      </x:c>
      <x:c r="R3295" t="str">
        <x:v>86742e5429646e5c4be52e0c193aef44dc4ae24353f965dc1dee721ec0906729</x:v>
      </x:c>
      <x:c r="S3295" t="n">
        <x:v>7</x:v>
      </x:c>
      <x:c r="T3295" t="str">
        <x:v>2018-12-31|2019-12-31|2020-12-31|2021-12-31|2022-12-31|2023-12-31|2024-12-31</x:v>
      </x:c>
      <x:c r="U3295" s="57" t="n">
        <x:v>85297.6743389066</x:v>
      </x:c>
      <x:c r="V3295" s="57" t="n">
        <x:v>3.0521460493542327</x:v>
      </x:c>
      <x:c r="W3295" t="n">
        <x:v>1</x:v>
      </x:c>
      <x:c r="X3295" t="n">
        <x:v>1</x:v>
      </x:c>
      <x:c r="Y3295" s="38" t="n">
        <x:v>0.6409090909090909</x:v>
      </x:c>
      <x:c r="Z3295" s="38" t="n">
        <x:v>0.7661732178613974</x:v>
      </x:c>
      <x:c r="AA3295"/>
    </x:row>
    <x:row r="3296">
      <x:c r="A3296" s="54" t="n">
        <x:v>45838</x:v>
      </x:c>
      <x:c r="B3296" t="n">
        <x:v>45838.624999988424</x:v>
      </x:c>
      <x:c r="C3296" t="str">
        <x:v>453340</x:v>
      </x:c>
      <x:c r="D3296" t="str">
        <x:v>현대그린푸드</x:v>
      </x:c>
      <x:c r="E3296" t="str">
        <x:v>KOSPI</x:v>
      </x:c>
      <x:c r="F3296" t="str">
        <x:v>LARGE</x:v>
      </x:c>
      <x:c r="G3296" t="str">
        <x:v>ELIGIBLE</x:v>
      </x:c>
      <x:c r="H3296"/>
      <x:c r="I3296" s="54" t="n">
        <x:v>45838</x:v>
      </x:c>
      <x:c r="J3296" s="55" t="n">
        <x:v>17370</x:v>
      </x:c>
      <x:c r="K3296" s="55" t="n">
        <x:v>575564329800</x:v>
      </x:c>
      <x:c r="L3296" s="55" t="n">
        <x:v>33135540</x:v>
      </x:c>
      <x:c r="M3296" t="str">
        <x:v>20250314000805</x:v>
      </x:c>
      <x:c r="N3296" t="n">
        <x:v>45730.624999988424</x:v>
      </x:c>
      <x:c r="O3296" s="54" t="n">
        <x:v>45657</x:v>
      </x:c>
      <x:c r="P3296" t="str">
        <x:v>False</x:v>
      </x:c>
      <x:c r="Q3296" t="str">
        <x:v>fbe3ca9d89bb15e710f3e0aca8fd1d56d5a9ceeba6889a66337454494774bd61</x:v>
      </x:c>
      <x:c r="R3296" t="str">
        <x:v>4b272bcdd24e4c4a3acef2a99e73f17c4a2922de23aac7db272de915f65e8e3e</x:v>
      </x:c>
      <x:c r="S3296" t="n">
        <x:v>7</x:v>
      </x:c>
      <x:c r="T3296" t="str">
        <x:v>2024-12-31</x:v>
      </x:c>
      <x:c r="U3296" s="57" t="n">
        <x:v>37642.143899229246</x:v>
      </x:c>
      <x:c r="V3296" s="57" t="n">
        <x:v>1.1670779446879245</x:v>
      </x:c>
      <x:c r="W3296" t="n">
        <x:v>8</x:v>
      </x:c>
      <x:c r="X3296" t="n">
        <x:v>1</x:v>
      </x:c>
      <x:c r="Y3296" s="38" t="n">
        <x:v>0.6409090909090909</x:v>
      </x:c>
      <x:c r="Z3296" s="38" t="n">
        <x:v>0.7013426708992583</x:v>
      </x:c>
      <x:c r="AA3296"/>
    </x:row>
    <x:row r="3297">
      <x:c r="A3297" s="54" t="n">
        <x:v>45838</x:v>
      </x:c>
      <x:c r="B3297" t="n">
        <x:v>45838.624999988424</x:v>
      </x:c>
      <x:c r="C3297" t="str">
        <x:v>006220</x:v>
      </x:c>
      <x:c r="D3297" t="str">
        <x:v>제주은행</x:v>
      </x:c>
      <x:c r="E3297" t="str">
        <x:v>KOSPI</x:v>
      </x:c>
      <x:c r="F3297" t="str">
        <x:v>LARGE</x:v>
      </x:c>
      <x:c r="G3297" t="str">
        <x:v>EXCLUDED_ARCHETYPE</x:v>
      </x:c>
      <x:c r="H3297" t="str">
        <x:v>FCFF_NOT_COMPARABLE_FOR_FINANCE_OR_HOLDING_HINT</x:v>
      </x:c>
      <x:c r="I3297" s="54"/>
      <x:c r="J3297" s="55"/>
      <x:c r="K3297" s="55"/>
      <x:c r="L3297" s="55"/>
      <x:c r="M3297"/>
      <x:c r="N3297"/>
      <x:c r="O3297" s="54"/>
      <x:c r="P3297"/>
      <x:c r="Q3297"/>
      <x:c r="R3297"/>
      <x:c r="S3297"/>
      <x:c r="T3297"/>
      <x:c r="U3297" s="57"/>
      <x:c r="V3297" s="57"/>
      <x:c r="W3297"/>
      <x:c r="X3297"/>
      <x:c r="Y3297" s="38"/>
      <x:c r="Z3297" s="38"/>
      <x:c r="AA3297"/>
    </x:row>
    <x:row r="3298">
      <x:c r="A3298" s="54" t="n">
        <x:v>45838</x:v>
      </x:c>
      <x:c r="B3298" t="n">
        <x:v>45838.624999988424</x:v>
      </x:c>
      <x:c r="C3298" t="str">
        <x:v>094800</x:v>
      </x:c>
      <x:c r="D3298" t="str">
        <x:v>맵스리얼티1</x:v>
      </x:c>
      <x:c r="E3298" t="str">
        <x:v>KOSPI</x:v>
      </x:c>
      <x:c r="F3298" t="str">
        <x:v>LARGE</x:v>
      </x:c>
      <x:c r="G3298" t="str">
        <x:v>NO_PIT_FINANCIALS</x:v>
      </x:c>
      <x:c r="H3298"/>
      <x:c r="I3298" s="54" t="n">
        <x:v>45838</x:v>
      </x:c>
      <x:c r="J3298" s="55" t="n">
        <x:v>4325</x:v>
      </x:c>
      <x:c r="K3298" s="55" t="n">
        <x:v>401508481575</x:v>
      </x:c>
      <x:c r="L3298" s="55" t="n">
        <x:v>92834331</x:v>
      </x:c>
      <x:c r="M3298"/>
      <x:c r="N3298"/>
      <x:c r="O3298" s="54"/>
      <x:c r="P3298"/>
      <x:c r="Q3298"/>
      <x:c r="R3298"/>
      <x:c r="S3298"/>
      <x:c r="T3298"/>
      <x:c r="U3298" s="57"/>
      <x:c r="V3298" s="57"/>
      <x:c r="W3298"/>
      <x:c r="X3298"/>
      <x:c r="Y3298" s="38"/>
      <x:c r="Z3298" s="38"/>
      <x:c r="AA3298"/>
    </x:row>
    <x:row r="3299">
      <x:c r="A3299" s="54" t="n">
        <x:v>45838</x:v>
      </x:c>
      <x:c r="B3299" t="n">
        <x:v>45838.624999988424</x:v>
      </x:c>
      <x:c r="C3299" t="str">
        <x:v>003160</x:v>
      </x:c>
      <x:c r="D3299" t="str">
        <x:v>디아이</x:v>
      </x:c>
      <x:c r="E3299" t="str">
        <x:v>KOSPI</x:v>
      </x:c>
      <x:c r="F3299" t="str">
        <x:v>LARGE</x:v>
      </x:c>
      <x:c r="G3299" t="str">
        <x:v>DCF_SCREENING_EXCLUSION</x:v>
      </x:c>
      <x:c r="H3299" t="str">
        <x:v>UNRELIABLE_TERMINAL_VALUE_SHARE</x:v>
      </x:c>
      <x:c r="I3299" s="54" t="n">
        <x:v>45838</x:v>
      </x:c>
      <x:c r="J3299" s="55" t="n">
        <x:v>15530</x:v>
      </x:c>
      <x:c r="K3299" s="55" t="n">
        <x:v>439499000000</x:v>
      </x:c>
      <x:c r="L3299" s="55" t="n">
        <x:v>28300000</x:v>
      </x:c>
      <x:c r="M3299" t="str">
        <x:v>20250313001050</x:v>
      </x:c>
      <x:c r="N3299" t="n">
        <x:v>45729.624999988424</x:v>
      </x:c>
      <x:c r="O3299" s="54" t="n">
        <x:v>45657</x:v>
      </x:c>
      <x:c r="P3299" t="str">
        <x:v>False</x:v>
      </x:c>
      <x:c r="Q3299" t="str">
        <x:v>91d1825c460d7d8f335099ca4043798440a5f26e8ff6eb24b51ef1a396a0230b</x:v>
      </x:c>
      <x:c r="R3299" t="str">
        <x:v>c9028f29495b2e3fb282e3fe3777fabd37bb53b56b66277b995b4614a0246cd1</x:v>
      </x:c>
      <x:c r="S3299" t="n">
        <x:v>6</x:v>
      </x:c>
      <x:c r="T3299" t="str">
        <x:v>2013-12-31|2014-12-31|2015-12-31|2016-12-31|2017-12-31|2018-12-31|2019-12-31|2020-12-31|2021-12-31|2022-12-31|2023-12-31|2024-12-31</x:v>
      </x:c>
      <x:c r="U3299" s="57" t="n">
        <x:v>832.3837869659055</x:v>
      </x:c>
      <x:c r="V3299" s="57" t="n">
        <x:v>-0.9464015591135927</x:v>
      </x:c>
      <x:c r="W3299"/>
      <x:c r="X3299"/>
      <x:c r="Y3299" s="38" t="n">
        <x:v>0.6409090909090909</x:v>
      </x:c>
      <x:c r="Z3299" s="38" t="n">
        <x:v>0.9136713076408913</x:v>
      </x:c>
      <x:c r="AA3299" t="str">
        <x:v>UNRELIABLE_TERMINAL_VALUE_SHARE</x:v>
      </x:c>
    </x:row>
    <x:row r="3300">
      <x:c r="A3300" s="54" t="n">
        <x:v>45838</x:v>
      </x:c>
      <x:c r="B3300" t="n">
        <x:v>45838.624999988424</x:v>
      </x:c>
      <x:c r="C3300" t="str">
        <x:v>001940</x:v>
      </x:c>
      <x:c r="D3300" t="str">
        <x:v>KISCO홀딩스</x:v>
      </x:c>
      <x:c r="E3300" t="str">
        <x:v>KOSPI</x:v>
      </x:c>
      <x:c r="F3300" t="str">
        <x:v>LARGE</x:v>
      </x:c>
      <x:c r="G3300" t="str">
        <x:v>EXCLUDED_ARCHETYPE</x:v>
      </x:c>
      <x:c r="H3300" t="str">
        <x:v>FCFF_NOT_COMPARABLE_FOR_FINANCE_OR_HOLDING_HINT</x:v>
      </x:c>
      <x:c r="I3300" s="54"/>
      <x:c r="J3300" s="55"/>
      <x:c r="K3300" s="55"/>
      <x:c r="L3300" s="55"/>
      <x:c r="M3300"/>
      <x:c r="N3300"/>
      <x:c r="O3300" s="54"/>
      <x:c r="P3300"/>
      <x:c r="Q3300"/>
      <x:c r="R3300"/>
      <x:c r="S3300"/>
      <x:c r="T3300"/>
      <x:c r="U3300" s="57"/>
      <x:c r="V3300" s="57"/>
      <x:c r="W3300"/>
      <x:c r="X3300"/>
      <x:c r="Y3300" s="38"/>
      <x:c r="Z3300" s="38"/>
      <x:c r="AA3300"/>
    </x:row>
    <x:row r="3301">
      <x:c r="A3301" s="54" t="n">
        <x:v>45838</x:v>
      </x:c>
      <x:c r="B3301" t="n">
        <x:v>45838.624999988424</x:v>
      </x:c>
      <x:c r="C3301" t="str">
        <x:v>009290</x:v>
      </x:c>
      <x:c r="D3301" t="str">
        <x:v>광동제약</x:v>
      </x:c>
      <x:c r="E3301" t="str">
        <x:v>KOSPI</x:v>
      </x:c>
      <x:c r="F3301" t="str">
        <x:v>LARGE</x:v>
      </x:c>
      <x:c r="G3301" t="str">
        <x:v>DCF_SCREENING_EXCLUSION</x:v>
      </x:c>
      <x:c r="H3301" t="str">
        <x:v>UNRELIABLE_TERMINAL_VALUE_SHARE</x:v>
      </x:c>
      <x:c r="I3301" s="54" t="n">
        <x:v>45838</x:v>
      </x:c>
      <x:c r="J3301" s="55" t="n">
        <x:v>5910</x:v>
      </x:c>
      <x:c r="K3301" s="55" t="n">
        <x:v>309807229410</x:v>
      </x:c>
      <x:c r="L3301" s="55" t="n">
        <x:v>52420851</x:v>
      </x:c>
      <x:c r="M3301" t="str">
        <x:v>20250325000803</x:v>
      </x:c>
      <x:c r="N3301" t="n">
        <x:v>45741.624999988424</x:v>
      </x:c>
      <x:c r="O3301" s="54" t="n">
        <x:v>45657</x:v>
      </x:c>
      <x:c r="P3301" t="str">
        <x:v>True</x:v>
      </x:c>
      <x:c r="Q3301" t="str">
        <x:v>84aab52ebef21452eb2d69ee9c9e84dce7390ceb539013762f3b4c3aa4ce1b99</x:v>
      </x:c>
      <x:c r="R3301" t="str">
        <x:v>b0e962f211fd428c8adc3db262d78ec70d91bdb30ab9708b22ac0208b97e7471</x:v>
      </x:c>
      <x:c r="S3301" t="n">
        <x:v>7</x:v>
      </x:c>
      <x:c r="T3301" t="str">
        <x:v>2018-12-31|2019-12-31|2020-12-31|2021-12-31|2022-12-31|2023-12-31|2024-12-31</x:v>
      </x:c>
      <x:c r="U3301" s="57" t="n">
        <x:v>205.89426200916276</x:v>
      </x:c>
      <x:c r="V3301" s="57" t="n">
        <x:v>-0.9651617153960808</x:v>
      </x:c>
      <x:c r="W3301"/>
      <x:c r="X3301"/>
      <x:c r="Y3301" s="38" t="n">
        <x:v>0.6409090909090909</x:v>
      </x:c>
      <x:c r="Z3301" s="38" t="n">
        <x:v>1.0678437497655486</x:v>
      </x:c>
      <x:c r="AA3301" t="str">
        <x:v>UNRELIABLE_TERMINAL_VALUE_SHARE</x:v>
      </x:c>
    </x:row>
    <x:row r="3302">
      <x:c r="A3302" s="54" t="n">
        <x:v>45930</x:v>
      </x:c>
      <x:c r="B3302" t="n">
        <x:v>45930.624999988424</x:v>
      </x:c>
      <x:c r="C3302" t="str">
        <x:v>168330</x:v>
      </x:c>
      <x:c r="D3302" t="str">
        <x:v>내츄럴엔도텍</x:v>
      </x:c>
      <x:c r="E3302" t="str">
        <x:v>KOSDAQ</x:v>
      </x:c>
      <x:c r="F3302" t="str">
        <x:v>SMALL</x:v>
      </x:c>
      <x:c r="G3302" t="str">
        <x:v>DCF_SCREENING_EXCLUSION</x:v>
      </x:c>
      <x:c r="H3302" t="str">
        <x:v>NON_POSITIVE_ENTERPRISE_VALUE|NON_POSITIVE_EQUITY_VALUE|NON_POSITIVE_TERMINAL_FCF</x:v>
      </x:c>
      <x:c r="I3302" s="54" t="n">
        <x:v>45930</x:v>
      </x:c>
      <x:c r="J3302" s="55" t="n">
        <x:v>2710</x:v>
      </x:c>
      <x:c r="K3302" s="55" t="n">
        <x:v>86055779000</x:v>
      </x:c>
      <x:c r="L3302" s="55" t="n">
        <x:v>31754900</x:v>
      </x:c>
      <x:c r="M3302" t="str">
        <x:v>20250317000636</x:v>
      </x:c>
      <x:c r="N3302" t="n">
        <x:v>45733.624999988424</x:v>
      </x:c>
      <x:c r="O3302" s="54" t="n">
        <x:v>45657</x:v>
      </x:c>
      <x:c r="P3302" t="str">
        <x:v>False</x:v>
      </x:c>
      <x:c r="Q3302" t="str">
        <x:v>393ad1ebed59ff0a68ab860026d67ed5b866581a0a55b4e163d664af6eeaa809</x:v>
      </x:c>
      <x:c r="R3302" t="str">
        <x:v>52e7b7bde18a6fc17259e78093bf80f6e5652a2efa734f9c999114cecdc394a5</x:v>
      </x:c>
      <x:c r="S3302" t="n">
        <x:v>6</x:v>
      </x:c>
      <x:c r="T3302" t="str">
        <x:v>2018-12-31|2019-12-31|2020-12-31|2021-12-31|2022-12-31|2023-12-31|2024-12-31</x:v>
      </x:c>
      <x:c r="U3302" s="57" t="n">
        <x:v>-1708.5379863226567</x:v>
      </x:c>
      <x:c r="V3302" s="57" t="n">
        <x:v>-1.6304568215212756</x:v>
      </x:c>
      <x:c r="W3302"/>
      <x:c r="X3302"/>
      <x:c r="Y3302" s="38" t="n">
        <x:v>0.6409090909090909</x:v>
      </x:c>
      <x:c r="Z3302" s="38" t="n">
        <x:v>0.6435800796882589</x:v>
      </x:c>
      <x:c r="AA3302" t="str">
        <x:v>NON_POSITIVE_ENTERPRISE_VALUE|NON_POSITIVE_EQUITY_VALUE|NON_POSITIVE_TERMINAL_FCF</x:v>
      </x:c>
    </x:row>
    <x:row r="3303">
      <x:c r="A3303" s="54" t="n">
        <x:v>45930</x:v>
      </x:c>
      <x:c r="B3303" t="n">
        <x:v>45930.624999988424</x:v>
      </x:c>
      <x:c r="C3303" t="str">
        <x:v>120240</x:v>
      </x:c>
      <x:c r="D3303" t="str">
        <x:v>대정화금</x:v>
      </x:c>
      <x:c r="E3303" t="str">
        <x:v>KOSDAQ</x:v>
      </x:c>
      <x:c r="F3303" t="str">
        <x:v>SMALL</x:v>
      </x:c>
      <x:c r="G3303" t="str">
        <x:v>ELIGIBLE</x:v>
      </x:c>
      <x:c r="H3303"/>
      <x:c r="I3303" s="54" t="n">
        <x:v>45930</x:v>
      </x:c>
      <x:c r="J3303" s="55" t="n">
        <x:v>12500</x:v>
      </x:c>
      <x:c r="K3303" s="55" t="n">
        <x:v>89879887500</x:v>
      </x:c>
      <x:c r="L3303" s="55" t="n">
        <x:v>7190391</x:v>
      </x:c>
      <x:c r="M3303" t="str">
        <x:v>20250318000203</x:v>
      </x:c>
      <x:c r="N3303" t="n">
        <x:v>45734.624999988424</x:v>
      </x:c>
      <x:c r="O3303" s="54" t="n">
        <x:v>45657</x:v>
      </x:c>
      <x:c r="P3303" t="str">
        <x:v>False</x:v>
      </x:c>
      <x:c r="Q3303" t="str">
        <x:v>7216f09b05b9d473c473d743a0010bcf9b2607b5e87344d2c7ab446105736111</x:v>
      </x:c>
      <x:c r="R3303" t="str">
        <x:v>35bdf81b8888be551aaa8d4a0e3601d9047dadc062d97e5ecf6afa94cdc03df7</x:v>
      </x:c>
      <x:c r="S3303" t="n">
        <x:v>6</x:v>
      </x:c>
      <x:c r="T3303" t="str">
        <x:v>2018-12-31|2019-12-31|2020-12-31|2021-12-31|2022-12-31|2023-12-31|2024-12-31</x:v>
      </x:c>
      <x:c r="U3303" s="57" t="n">
        <x:v>11359.177652950648</x:v>
      </x:c>
      <x:c r="V3303" s="57" t="n">
        <x:v>-0.09126578776394816</x:v>
      </x:c>
      <x:c r="W3303" t="n">
        <x:v>22</x:v>
      </x:c>
      <x:c r="X3303" t="n">
        <x:v>2</x:v>
      </x:c>
      <x:c r="Y3303" s="38" t="n">
        <x:v>0.6409090909090909</x:v>
      </x:c>
      <x:c r="Z3303" s="38" t="n">
        <x:v>0.6688178188384037</x:v>
      </x:c>
      <x:c r="AA3303"/>
    </x:row>
    <x:row r="3304">
      <x:c r="A3304" s="54" t="n">
        <x:v>45930</x:v>
      </x:c>
      <x:c r="B3304" t="n">
        <x:v>45930.624999988424</x:v>
      </x:c>
      <x:c r="C3304" t="str">
        <x:v>348350</x:v>
      </x:c>
      <x:c r="D3304" t="str">
        <x:v>위드텍</x:v>
      </x:c>
      <x:c r="E3304" t="str">
        <x:v>KOSDAQ</x:v>
      </x:c>
      <x:c r="F3304" t="str">
        <x:v>SMALL</x:v>
      </x:c>
      <x:c r="G3304" t="str">
        <x:v>ELIGIBLE</x:v>
      </x:c>
      <x:c r="H3304"/>
      <x:c r="I3304" s="54" t="n">
        <x:v>45930</x:v>
      </x:c>
      <x:c r="J3304" s="55" t="n">
        <x:v>9130</x:v>
      </x:c>
      <x:c r="K3304" s="55" t="n">
        <x:v>92976268000</x:v>
      </x:c>
      <x:c r="L3304" s="55" t="n">
        <x:v>10183600</x:v>
      </x:c>
      <x:c r="M3304" t="str">
        <x:v>20250314000933</x:v>
      </x:c>
      <x:c r="N3304" t="n">
        <x:v>45730.624999988424</x:v>
      </x:c>
      <x:c r="O3304" s="54" t="n">
        <x:v>45657</x:v>
      </x:c>
      <x:c r="P3304" t="str">
        <x:v>False</x:v>
      </x:c>
      <x:c r="Q3304" t="str">
        <x:v>6f709e5476961867f728a25c98f9935b5c9fe6eca8bd2928bd137fdd8b044c62</x:v>
      </x:c>
      <x:c r="R3304" t="str">
        <x:v>10775d4ef7a6033d3d0841bb87b9f9105baa7495e6eab4d085e9ffd61428bc76</x:v>
      </x:c>
      <x:c r="S3304" t="n">
        <x:v>5</x:v>
      </x:c>
      <x:c r="T3304" t="str">
        <x:v>2020-12-31|2021-12-31|2022-12-31|2023-12-31|2024-12-31</x:v>
      </x:c>
      <x:c r="U3304" s="57" t="n">
        <x:v>4884.9173136747495</x:v>
      </x:c>
      <x:c r="V3304" s="57" t="n">
        <x:v>-0.46495976849126514</x:v>
      </x:c>
      <x:c r="W3304" t="n">
        <x:v>39</x:v>
      </x:c>
      <x:c r="X3304" t="n">
        <x:v>3</x:v>
      </x:c>
      <x:c r="Y3304" s="38" t="n">
        <x:v>0.6409090909090909</x:v>
      </x:c>
      <x:c r="Z3304" s="38" t="n">
        <x:v>0.7444495230472721</x:v>
      </x:c>
      <x:c r="AA3304"/>
    </x:row>
    <x:row r="3305">
      <x:c r="A3305" s="54" t="n">
        <x:v>45930</x:v>
      </x:c>
      <x:c r="B3305" t="n">
        <x:v>45930.624999988424</x:v>
      </x:c>
      <x:c r="C3305" t="str">
        <x:v>226330</x:v>
      </x:c>
      <x:c r="D3305" t="str">
        <x:v>신테카바이오</x:v>
      </x:c>
      <x:c r="E3305" t="str">
        <x:v>KOSDAQ</x:v>
      </x:c>
      <x:c r="F3305" t="str">
        <x:v>SMALL</x:v>
      </x:c>
      <x:c r="G3305" t="str">
        <x:v>DCF_SCREENING_EXCLUSION</x:v>
      </x:c>
      <x:c r="H3305" t="str">
        <x:v>NON_POSITIVE_ENTERPRISE_VALUE|NON_POSITIVE_TERMINAL_FCF</x:v>
      </x:c>
      <x:c r="I3305" s="54" t="n">
        <x:v>45930</x:v>
      </x:c>
      <x:c r="J3305" s="55" t="n">
        <x:v>4085</x:v>
      </x:c>
      <x:c r="K3305" s="55" t="n">
        <x:v>62330870375</x:v>
      </x:c>
      <x:c r="L3305" s="55" t="n">
        <x:v>15258475</x:v>
      </x:c>
      <x:c r="M3305" t="str">
        <x:v>20250320001651</x:v>
      </x:c>
      <x:c r="N3305" t="n">
        <x:v>45736.624999988424</x:v>
      </x:c>
      <x:c r="O3305" s="54" t="n">
        <x:v>45657</x:v>
      </x:c>
      <x:c r="P3305" t="str">
        <x:v>False</x:v>
      </x:c>
      <x:c r="Q3305" t="str">
        <x:v>5e568a6cfc0ecc41eadf0ac856699c13d11f15d8cb1dd1b3012929e4b06d02ed</x:v>
      </x:c>
      <x:c r="R3305" t="str">
        <x:v>c843bdeef174882cfaba482b6af66fafbf7c7131eede1d9c56e897c4eac272ed</x:v>
      </x:c>
      <x:c r="S3305" t="n">
        <x:v>5</x:v>
      </x:c>
      <x:c r="T3305" t="str">
        <x:v>2019-12-31|2020-12-31|2021-12-31|2022-12-31|2023-12-31|2024-12-31</x:v>
      </x:c>
      <x:c r="U3305" s="57" t="n">
        <x:v>301.5966734730804</x:v>
      </x:c>
      <x:c r="V3305" s="57" t="n">
        <x:v>-0.9261697249759901</x:v>
      </x:c>
      <x:c r="W3305"/>
      <x:c r="X3305"/>
      <x:c r="Y3305" s="38" t="n">
        <x:v>0.6409090909090909</x:v>
      </x:c>
      <x:c r="Z3305" s="38" t="n">
        <x:v>0.6095054406520231</x:v>
      </x:c>
      <x:c r="AA3305" t="str">
        <x:v>NON_POSITIVE_ENTERPRISE_VALUE|NON_POSITIVE_TERMINAL_FCF</x:v>
      </x:c>
    </x:row>
    <x:row r="3306">
      <x:c r="A3306" s="54" t="n">
        <x:v>45930</x:v>
      </x:c>
      <x:c r="B3306" t="n">
        <x:v>45930.624999988424</x:v>
      </x:c>
      <x:c r="C3306" t="str">
        <x:v>215090</x:v>
      </x:c>
      <x:c r="D3306" t="str">
        <x:v>솔디펜스</x:v>
      </x:c>
      <x:c r="E3306" t="str">
        <x:v>KOSDAQ</x:v>
      </x:c>
      <x:c r="F3306" t="str">
        <x:v>SMALL</x:v>
      </x:c>
      <x:c r="G3306" t="str">
        <x:v>DCF_SCREENING_EXCLUSION</x:v>
      </x:c>
      <x:c r="H3306" t="str">
        <x:v>NON_POSITIVE_ENTERPRISE_VALUE|NON_POSITIVE_EQUITY_VALUE|NON_POSITIVE_TERMINAL_FCF|UNRELIABLE_TERMINAL_VALUE_SHARE</x:v>
      </x:c>
      <x:c r="I3306" s="54" t="n">
        <x:v>45930</x:v>
      </x:c>
      <x:c r="J3306" s="55" t="n">
        <x:v>3440</x:v>
      </x:c>
      <x:c r="K3306" s="55" t="n">
        <x:v>79655473840</x:v>
      </x:c>
      <x:c r="L3306" s="55" t="n">
        <x:v>23155661</x:v>
      </x:c>
      <x:c r="M3306" t="str">
        <x:v>20250814002679</x:v>
      </x:c>
      <x:c r="N3306" t="n">
        <x:v>45883.624999988424</x:v>
      </x:c>
      <x:c r="O3306" s="54" t="n">
        <x:v>45657</x:v>
      </x:c>
      <x:c r="P3306" t="str">
        <x:v>True</x:v>
      </x:c>
      <x:c r="Q3306" t="str">
        <x:v>f3223ec76ed532ba9e0dd97dcdc15a25c7d8aa509872f83ace2daabe3c039663</x:v>
      </x:c>
      <x:c r="R3306" t="str">
        <x:v>33d0c1329f925bed6093e85e15718db340b9514121bc236e25ba348f8e00e4b1</x:v>
      </x:c>
      <x:c r="S3306" t="n">
        <x:v>6</x:v>
      </x:c>
      <x:c r="T3306" t="str">
        <x:v>2018-12-31|2019-12-31|2020-12-31|2021-12-31|2022-12-31|2023-12-31|2024-12-31</x:v>
      </x:c>
      <x:c r="U3306" s="57" t="n">
        <x:v>-410.4008966560291</x:v>
      </x:c>
      <x:c r="V3306" s="57" t="n">
        <x:v>-1.1193025862372177</x:v>
      </x:c>
      <x:c r="W3306"/>
      <x:c r="X3306"/>
      <x:c r="Y3306" s="38" t="n">
        <x:v>0.6409090909090909</x:v>
      </x:c>
      <x:c r="Z3306" s="38" t="n">
        <x:v>0.9420841093056639</x:v>
      </x:c>
      <x:c r="AA3306" t="str">
        <x:v>NON_POSITIVE_ENTERPRISE_VALUE|NON_POSITIVE_EQUITY_VALUE|NON_POSITIVE_TERMINAL_FCF|UNRELIABLE_TERMINAL_VALUE_SHARE</x:v>
      </x:c>
    </x:row>
    <x:row r="3307">
      <x:c r="A3307" s="54" t="n">
        <x:v>45930</x:v>
      </x:c>
      <x:c r="B3307" t="n">
        <x:v>45930.624999988424</x:v>
      </x:c>
      <x:c r="C3307" t="str">
        <x:v>185490</x:v>
      </x:c>
      <x:c r="D3307" t="str">
        <x:v>아이진</x:v>
      </x:c>
      <x:c r="E3307" t="str">
        <x:v>KOSDAQ</x:v>
      </x:c>
      <x:c r="F3307" t="str">
        <x:v>SMALL</x:v>
      </x:c>
      <x:c r="G3307" t="str">
        <x:v>DCF_SCREENING_EXCLUSION</x:v>
      </x:c>
      <x:c r="H3307" t="str">
        <x:v>NON_POSITIVE_ENTERPRISE_VALUE|NON_POSITIVE_EQUITY_VALUE|NON_POSITIVE_TERMINAL_FCF</x:v>
      </x:c>
      <x:c r="I3307" s="54" t="n">
        <x:v>45930</x:v>
      </x:c>
      <x:c r="J3307" s="55" t="n">
        <x:v>2460</x:v>
      </x:c>
      <x:c r="K3307" s="55" t="n">
        <x:v>66493268640</x:v>
      </x:c>
      <x:c r="L3307" s="55" t="n">
        <x:v>27029784</x:v>
      </x:c>
      <x:c r="M3307" t="str">
        <x:v>20250318001453</x:v>
      </x:c>
      <x:c r="N3307" t="n">
        <x:v>45734.624999988424</x:v>
      </x:c>
      <x:c r="O3307" s="54" t="n">
        <x:v>45657</x:v>
      </x:c>
      <x:c r="P3307" t="str">
        <x:v>False</x:v>
      </x:c>
      <x:c r="Q3307" t="str">
        <x:v>8e9edeb5542bff8f8968c6523950fa0cc65e9c0420bdca35446a5118da00f5bb</x:v>
      </x:c>
      <x:c r="R3307" t="str">
        <x:v>e1e5ac497b167522bed9c2c69b76bd1820efd1a98382ec60bd951f1f2e70c6dc</x:v>
      </x:c>
      <x:c r="S3307" t="n">
        <x:v>6</x:v>
      </x:c>
      <x:c r="T3307" t="str">
        <x:v>2018-12-31|2019-12-31|2020-12-31|2021-12-31|2022-12-31|2023-12-31|2024-12-31</x:v>
      </x:c>
      <x:c r="U3307" s="57" t="n">
        <x:v>-220.75805075310163</x:v>
      </x:c>
      <x:c r="V3307" s="57" t="n">
        <x:v>-1.089739045021586</x:v>
      </x:c>
      <x:c r="W3307"/>
      <x:c r="X3307"/>
      <x:c r="Y3307" s="38" t="n">
        <x:v>0.6409090909090909</x:v>
      </x:c>
      <x:c r="Z3307" s="38" t="n">
        <x:v>0.6263304625560238</x:v>
      </x:c>
      <x:c r="AA3307" t="str">
        <x:v>NON_POSITIVE_ENTERPRISE_VALUE|NON_POSITIVE_EQUITY_VALUE|NON_POSITIVE_TERMINAL_FCF</x:v>
      </x:c>
    </x:row>
    <x:row r="3308">
      <x:c r="A3308" s="54" t="n">
        <x:v>45930</x:v>
      </x:c>
      <x:c r="B3308" t="n">
        <x:v>45930.624999988424</x:v>
      </x:c>
      <x:c r="C3308" t="str">
        <x:v>333620</x:v>
      </x:c>
      <x:c r="D3308" t="str">
        <x:v>엔시스</x:v>
      </x:c>
      <x:c r="E3308" t="str">
        <x:v>KOSDAQ</x:v>
      </x:c>
      <x:c r="F3308" t="str">
        <x:v>SMALL</x:v>
      </x:c>
      <x:c r="G3308" t="str">
        <x:v>ELIGIBLE</x:v>
      </x:c>
      <x:c r="H3308"/>
      <x:c r="I3308" s="54" t="n">
        <x:v>45930</x:v>
      </x:c>
      <x:c r="J3308" s="55" t="n">
        <x:v>6850</x:v>
      </x:c>
      <x:c r="K3308" s="55" t="n">
        <x:v>72310956400</x:v>
      </x:c>
      <x:c r="L3308" s="55" t="n">
        <x:v>10556344</x:v>
      </x:c>
      <x:c r="M3308" t="str">
        <x:v>20250321000654</x:v>
      </x:c>
      <x:c r="N3308" t="n">
        <x:v>45737.624999988424</x:v>
      </x:c>
      <x:c r="O3308" s="54" t="n">
        <x:v>45657</x:v>
      </x:c>
      <x:c r="P3308" t="str">
        <x:v>False</x:v>
      </x:c>
      <x:c r="Q3308" t="str">
        <x:v>12c0ea1530f52096cbc4a4008dfdba417c6855691d74d818189b9f6e9131f3e3</x:v>
      </x:c>
      <x:c r="R3308" t="str">
        <x:v>2f839f4be358bf57ccab48a95946f001631caa61bff7c3d968f914e6190f30ff</x:v>
      </x:c>
      <x:c r="S3308" t="n">
        <x:v>6</x:v>
      </x:c>
      <x:c r="T3308" t="str">
        <x:v>2020-12-31|2021-12-31|2022-12-31|2023-12-31|2024-12-31</x:v>
      </x:c>
      <x:c r="U3308" s="57" t="n">
        <x:v>9391.756160545618</x:v>
      </x:c>
      <x:c r="V3308" s="57" t="n">
        <x:v>0.3710592935103092</x:v>
      </x:c>
      <x:c r="W3308" t="n">
        <x:v>16</x:v>
      </x:c>
      <x:c r="X3308" t="n">
        <x:v>2</x:v>
      </x:c>
      <x:c r="Y3308" s="38" t="n">
        <x:v>0.6409090909090909</x:v>
      </x:c>
      <x:c r="Z3308" s="38" t="n">
        <x:v>0.6778943562992817</x:v>
      </x:c>
      <x:c r="AA3308"/>
    </x:row>
    <x:row r="3309">
      <x:c r="A3309" s="54" t="n">
        <x:v>45930</x:v>
      </x:c>
      <x:c r="B3309" t="n">
        <x:v>45930.624999988424</x:v>
      </x:c>
      <x:c r="C3309" t="str">
        <x:v>036710</x:v>
      </x:c>
      <x:c r="D3309" t="str">
        <x:v>심텍홀딩스</x:v>
      </x:c>
      <x:c r="E3309" t="str">
        <x:v>KOSDAQ</x:v>
      </x:c>
      <x:c r="F3309" t="str">
        <x:v>SMALL</x:v>
      </x:c>
      <x:c r="G3309" t="str">
        <x:v>EXCLUDED_ARCHETYPE</x:v>
      </x:c>
      <x:c r="H3309" t="str">
        <x:v>FCFF_NOT_COMPARABLE_FOR_FINANCE_OR_HOLDING_HINT</x:v>
      </x:c>
      <x:c r="I3309" s="54"/>
      <x:c r="J3309" s="55"/>
      <x:c r="K3309" s="55"/>
      <x:c r="L3309" s="55"/>
      <x:c r="M3309"/>
      <x:c r="N3309"/>
      <x:c r="O3309" s="54"/>
      <x:c r="P3309"/>
      <x:c r="Q3309"/>
      <x:c r="R3309"/>
      <x:c r="S3309"/>
      <x:c r="T3309"/>
      <x:c r="U3309" s="57"/>
      <x:c r="V3309" s="57"/>
      <x:c r="W3309"/>
      <x:c r="X3309"/>
      <x:c r="Y3309" s="38"/>
      <x:c r="Z3309" s="38"/>
      <x:c r="AA3309"/>
    </x:row>
    <x:row r="3310">
      <x:c r="A3310" s="54" t="n">
        <x:v>45930</x:v>
      </x:c>
      <x:c r="B3310" t="n">
        <x:v>45930.624999988424</x:v>
      </x:c>
      <x:c r="C3310" t="str">
        <x:v>049480</x:v>
      </x:c>
      <x:c r="D3310" t="str">
        <x:v>오픈베이스</x:v>
      </x:c>
      <x:c r="E3310" t="str">
        <x:v>KOSDAQ</x:v>
      </x:c>
      <x:c r="F3310" t="str">
        <x:v>SMALL</x:v>
      </x:c>
      <x:c r="G3310" t="str">
        <x:v>ELIGIBLE</x:v>
      </x:c>
      <x:c r="H3310"/>
      <x:c r="I3310" s="54" t="n">
        <x:v>45930</x:v>
      </x:c>
      <x:c r="J3310" s="55" t="n">
        <x:v>2530</x:v>
      </x:c>
      <x:c r="K3310" s="55" t="n">
        <x:v>79498628990</x:v>
      </x:c>
      <x:c r="L3310" s="55" t="n">
        <x:v>31422383</x:v>
      </x:c>
      <x:c r="M3310" t="str">
        <x:v>20250320001668</x:v>
      </x:c>
      <x:c r="N3310" t="n">
        <x:v>45736.624999988424</x:v>
      </x:c>
      <x:c r="O3310" s="54" t="n">
        <x:v>45657</x:v>
      </x:c>
      <x:c r="P3310" t="str">
        <x:v>True</x:v>
      </x:c>
      <x:c r="Q3310" t="str">
        <x:v>2e71618414776270bb14ea768ac0fb9af144049ee9c7b1121f37aa3cd65162d3</x:v>
      </x:c>
      <x:c r="R3310" t="str">
        <x:v>c41f0057bf29d849f5e0651b8d0dcb11ff1561bdbdcffb4e32ec7db9feb8c93b</x:v>
      </x:c>
      <x:c r="S3310" t="n">
        <x:v>6</x:v>
      </x:c>
      <x:c r="T3310" t="str">
        <x:v>2018-12-31|2019-12-31|2020-12-31|2021-12-31|2022-12-31|2023-12-31|2024-12-31</x:v>
      </x:c>
      <x:c r="U3310" s="57" t="n">
        <x:v>2177.763448520564</x:v>
      </x:c>
      <x:c r="V3310" s="57" t="n">
        <x:v>-0.13922393339108133</x:v>
      </x:c>
      <x:c r="W3310" t="n">
        <x:v>26</x:v>
      </x:c>
      <x:c r="X3310" t="n">
        <x:v>2</x:v>
      </x:c>
      <x:c r="Y3310" s="38" t="n">
        <x:v>0.6409090909090909</x:v>
      </x:c>
      <x:c r="Z3310" s="38" t="n">
        <x:v>0.6347185715712285</x:v>
      </x:c>
      <x:c r="AA3310"/>
    </x:row>
    <x:row r="3311">
      <x:c r="A3311" s="54" t="n">
        <x:v>45930</x:v>
      </x:c>
      <x:c r="B3311" t="n">
        <x:v>45930.624999988424</x:v>
      </x:c>
      <x:c r="C3311" t="str">
        <x:v>302430</x:v>
      </x:c>
      <x:c r="D3311" t="str">
        <x:v>이노메트리</x:v>
      </x:c>
      <x:c r="E3311" t="str">
        <x:v>KOSDAQ</x:v>
      </x:c>
      <x:c r="F3311" t="str">
        <x:v>SMALL</x:v>
      </x:c>
      <x:c r="G3311" t="str">
        <x:v>DCF_SCREENING_EXCLUSION</x:v>
      </x:c>
      <x:c r="H3311" t="str">
        <x:v>NON_POSITIVE_ENTERPRISE_VALUE|UNRELIABLE_TERMINAL_VALUE_SHARE</x:v>
      </x:c>
      <x:c r="I3311" s="54" t="n">
        <x:v>45930</x:v>
      </x:c>
      <x:c r="J3311" s="55" t="n">
        <x:v>7450</x:v>
      </x:c>
      <x:c r="K3311" s="55" t="n">
        <x:v>73257399600</x:v>
      </x:c>
      <x:c r="L3311" s="55" t="n">
        <x:v>9833208</x:v>
      </x:c>
      <x:c r="M3311" t="str">
        <x:v>20250318000217</x:v>
      </x:c>
      <x:c r="N3311" t="n">
        <x:v>45734.624999988424</x:v>
      </x:c>
      <x:c r="O3311" s="54" t="n">
        <x:v>45657</x:v>
      </x:c>
      <x:c r="P3311" t="str">
        <x:v>False</x:v>
      </x:c>
      <x:c r="Q3311" t="str">
        <x:v>4aa16bbae69a341bedfef0c102bf840bd89c60f70166cfad902abd390cf3be20</x:v>
      </x:c>
      <x:c r="R3311" t="str">
        <x:v>791e3dac82cf0abf03bb184b2532c746fd7af1577c7bfa47c2cbb368525f1e32</x:v>
      </x:c>
      <x:c r="S3311" t="n">
        <x:v>6</x:v>
      </x:c>
      <x:c r="T3311" t="str">
        <x:v>2018-12-31|2019-12-31|2020-12-31|2021-12-31|2022-12-31|2023-12-31|2024-12-31</x:v>
      </x:c>
      <x:c r="U3311" s="57" t="n">
        <x:v>2286.9893031993456</x:v>
      </x:c>
      <x:c r="V3311" s="57" t="n">
        <x:v>-0.6930215700403562</x:v>
      </x:c>
      <x:c r="W3311"/>
      <x:c r="X3311"/>
      <x:c r="Y3311" s="38" t="n">
        <x:v>0.6409090909090909</x:v>
      </x:c>
      <x:c r="Z3311" s="38" t="n">
        <x:v>-119.5633839572738</x:v>
      </x:c>
      <x:c r="AA3311" t="str">
        <x:v>NON_POSITIVE_ENTERPRISE_VALUE|UNRELIABLE_TERMINAL_VALUE_SHARE</x:v>
      </x:c>
    </x:row>
    <x:row r="3312">
      <x:c r="A3312" s="54" t="n">
        <x:v>45930</x:v>
      </x:c>
      <x:c r="B3312" t="n">
        <x:v>45930.624999988424</x:v>
      </x:c>
      <x:c r="C3312" t="str">
        <x:v>288620</x:v>
      </x:c>
      <x:c r="D3312" t="str">
        <x:v>에스퓨얼셀</x:v>
      </x:c>
      <x:c r="E3312" t="str">
        <x:v>KOSDAQ</x:v>
      </x:c>
      <x:c r="F3312" t="str">
        <x:v>SMALL</x:v>
      </x:c>
      <x:c r="G3312" t="str">
        <x:v>DCF_SCREENING_EXCLUSION</x:v>
      </x:c>
      <x:c r="H3312" t="str">
        <x:v>NON_POSITIVE_ENTERPRISE_VALUE|NON_POSITIVE_EQUITY_VALUE|UNRELIABLE_TERMINAL_VALUE_SHARE</x:v>
      </x:c>
      <x:c r="I3312" s="54" t="n">
        <x:v>45930</x:v>
      </x:c>
      <x:c r="J3312" s="55" t="n">
        <x:v>11470</x:v>
      </x:c>
      <x:c r="K3312" s="55" t="n">
        <x:v>80052754520</x:v>
      </x:c>
      <x:c r="L3312" s="55" t="n">
        <x:v>6979316</x:v>
      </x:c>
      <x:c r="M3312" t="str">
        <x:v>20250320001331</x:v>
      </x:c>
      <x:c r="N3312" t="n">
        <x:v>45736.624999988424</x:v>
      </x:c>
      <x:c r="O3312" s="54" t="n">
        <x:v>45657</x:v>
      </x:c>
      <x:c r="P3312" t="str">
        <x:v>False</x:v>
      </x:c>
      <x:c r="Q3312" t="str">
        <x:v>ae47bc33e98a0978f8be31137f095e22d26623a8e6ac774095ef50fe21b5e967</x:v>
      </x:c>
      <x:c r="R3312" t="str">
        <x:v>ddf00c6b9244661b80060a78eb033b53cf848f6c64a86ebed796937afa8c6ef3</x:v>
      </x:c>
      <x:c r="S3312" t="n">
        <x:v>6</x:v>
      </x:c>
      <x:c r="T3312" t="str">
        <x:v>2018-12-31|2019-12-31|2020-12-31|2021-12-31|2022-12-31|2023-12-31|2024-12-31</x:v>
      </x:c>
      <x:c r="U3312" s="57" t="n">
        <x:v>-23.15956640270945</x:v>
      </x:c>
      <x:c r="V3312" s="57" t="n">
        <x:v>-1.0020191426680654</x:v>
      </x:c>
      <x:c r="W3312"/>
      <x:c r="X3312"/>
      <x:c r="Y3312" s="38" t="n">
        <x:v>0.6409090909090909</x:v>
      </x:c>
      <x:c r="Z3312" s="38" t="n">
        <x:v>-4.161605526961185</x:v>
      </x:c>
      <x:c r="AA3312" t="str">
        <x:v>NON_POSITIVE_ENTERPRISE_VALUE|NON_POSITIVE_EQUITY_VALUE|UNRELIABLE_TERMINAL_VALUE_SHARE</x:v>
      </x:c>
    </x:row>
    <x:row r="3313">
      <x:c r="A3313" s="54" t="n">
        <x:v>45930</x:v>
      </x:c>
      <x:c r="B3313" t="n">
        <x:v>45930.624999988424</x:v>
      </x:c>
      <x:c r="C3313" t="str">
        <x:v>094840</x:v>
      </x:c>
      <x:c r="D3313" t="str">
        <x:v>슈프리마에이치큐</x:v>
      </x:c>
      <x:c r="E3313" t="str">
        <x:v>KOSDAQ</x:v>
      </x:c>
      <x:c r="F3313" t="str">
        <x:v>SMALL</x:v>
      </x:c>
      <x:c r="G3313" t="str">
        <x:v>ELIGIBLE</x:v>
      </x:c>
      <x:c r="H3313"/>
      <x:c r="I3313" s="54" t="n">
        <x:v>45930</x:v>
      </x:c>
      <x:c r="J3313" s="55" t="n">
        <x:v>6630</x:v>
      </x:c>
      <x:c r="K3313" s="55" t="n">
        <x:v>69428299200</x:v>
      </x:c>
      <x:c r="L3313" s="55" t="n">
        <x:v>10471840</x:v>
      </x:c>
      <x:c r="M3313" t="str">
        <x:v>20250317000777</x:v>
      </x:c>
      <x:c r="N3313" t="n">
        <x:v>45733.624999988424</x:v>
      </x:c>
      <x:c r="O3313" s="54" t="n">
        <x:v>45657</x:v>
      </x:c>
      <x:c r="P3313" t="str">
        <x:v>False</x:v>
      </x:c>
      <x:c r="Q3313" t="str">
        <x:v>7c3c3c9ba06a4dfb3a5d69c46f78a30b3f24223ea71de23c9273f2f5b41c3b3f</x:v>
      </x:c>
      <x:c r="R3313" t="str">
        <x:v>bf65dc25164875c9eb11fbad6804589cfb5fcaa02a070b65f406b4275b488254</x:v>
      </x:c>
      <x:c r="S3313" t="n">
        <x:v>5</x:v>
      </x:c>
      <x:c r="T3313" t="str">
        <x:v>2018-12-31|2019-12-31|2020-12-31|2021-12-31|2022-12-31|2023-12-31|2024-12-31</x:v>
      </x:c>
      <x:c r="U3313" s="57" t="n">
        <x:v>3486.234488717227</x:v>
      </x:c>
      <x:c r="V3313" s="57" t="n">
        <x:v>-0.47417277696572746</x:v>
      </x:c>
      <x:c r="W3313" t="n">
        <x:v>41</x:v>
      </x:c>
      <x:c r="X3313" t="n">
        <x:v>4</x:v>
      </x:c>
      <x:c r="Y3313" s="38" t="n">
        <x:v>0.6409090909090909</x:v>
      </x:c>
      <x:c r="Z3313" s="38" t="n">
        <x:v>0.6617836574250688</x:v>
      </x:c>
      <x:c r="AA3313"/>
    </x:row>
    <x:row r="3314">
      <x:c r="A3314" s="54" t="n">
        <x:v>45930</x:v>
      </x:c>
      <x:c r="B3314" t="n">
        <x:v>45930.624999988424</x:v>
      </x:c>
      <x:c r="C3314" t="str">
        <x:v>019990</x:v>
      </x:c>
      <x:c r="D3314" t="str">
        <x:v>에너토크</x:v>
      </x:c>
      <x:c r="E3314" t="str">
        <x:v>KOSDAQ</x:v>
      </x:c>
      <x:c r="F3314" t="str">
        <x:v>SMALL</x:v>
      </x:c>
      <x:c r="G3314" t="str">
        <x:v>DCF_SCREENING_EXCLUSION</x:v>
      </x:c>
      <x:c r="H3314" t="str">
        <x:v>NON_POSITIVE_ENTERPRISE_VALUE|NON_POSITIVE_TERMINAL_FCF</x:v>
      </x:c>
      <x:c r="I3314" s="54" t="n">
        <x:v>45930</x:v>
      </x:c>
      <x:c r="J3314" s="55" t="n">
        <x:v>8090</x:v>
      </x:c>
      <x:c r="K3314" s="55" t="n">
        <x:v>78926751920</x:v>
      </x:c>
      <x:c r="L3314" s="55" t="n">
        <x:v>9756088</x:v>
      </x:c>
      <x:c r="M3314" t="str">
        <x:v>20250320000739</x:v>
      </x:c>
      <x:c r="N3314" t="n">
        <x:v>45736.624999988424</x:v>
      </x:c>
      <x:c r="O3314" s="54" t="n">
        <x:v>45657</x:v>
      </x:c>
      <x:c r="P3314" t="str">
        <x:v>False</x:v>
      </x:c>
      <x:c r="Q3314" t="str">
        <x:v>507064ff30a14168cb3b754d3374c12ac69af1622cf2d87756d76a0d6334a115</x:v>
      </x:c>
      <x:c r="R3314" t="str">
        <x:v>8b8e2929a76e85cae5dfe32875e1560db69e5446d820e1fa88dfe6ef5791d94f</x:v>
      </x:c>
      <x:c r="S3314" t="n">
        <x:v>5</x:v>
      </x:c>
      <x:c r="T3314" t="str">
        <x:v>2018-12-31|2019-12-31|2020-12-31|2021-12-31|2022-12-31|2023-12-31|2024-12-31</x:v>
      </x:c>
      <x:c r="U3314" s="57" t="n">
        <x:v>135.10339936614665</x:v>
      </x:c>
      <x:c r="V3314" s="57" t="n">
        <x:v>-0.9832999506345925</x:v>
      </x:c>
      <x:c r="W3314"/>
      <x:c r="X3314"/>
      <x:c r="Y3314" s="38" t="n">
        <x:v>0.6409090909090909</x:v>
      </x:c>
      <x:c r="Z3314" s="38" t="n">
        <x:v>0.5919007373941</x:v>
      </x:c>
      <x:c r="AA3314" t="str">
        <x:v>NON_POSITIVE_ENTERPRISE_VALUE|NON_POSITIVE_TERMINAL_FCF</x:v>
      </x:c>
    </x:row>
    <x:row r="3315">
      <x:c r="A3315" s="54" t="n">
        <x:v>45930</x:v>
      </x:c>
      <x:c r="B3315" t="n">
        <x:v>45930.624999988424</x:v>
      </x:c>
      <x:c r="C3315" t="str">
        <x:v>024740</x:v>
      </x:c>
      <x:c r="D3315" t="str">
        <x:v>한일단조</x:v>
      </x:c>
      <x:c r="E3315" t="str">
        <x:v>KOSDAQ</x:v>
      </x:c>
      <x:c r="F3315" t="str">
        <x:v>SMALL</x:v>
      </x:c>
      <x:c r="G3315" t="str">
        <x:v>ELIGIBLE</x:v>
      </x:c>
      <x:c r="H3315"/>
      <x:c r="I3315" s="54" t="n">
        <x:v>45930</x:v>
      </x:c>
      <x:c r="J3315" s="55" t="n">
        <x:v>2325</x:v>
      </x:c>
      <x:c r="K3315" s="55" t="n">
        <x:v>76485638925</x:v>
      </x:c>
      <x:c r="L3315" s="55" t="n">
        <x:v>32897049</x:v>
      </x:c>
      <x:c r="M3315" t="str">
        <x:v>20250318001076</x:v>
      </x:c>
      <x:c r="N3315" t="n">
        <x:v>45734.624999988424</x:v>
      </x:c>
      <x:c r="O3315" s="54" t="n">
        <x:v>45657</x:v>
      </x:c>
      <x:c r="P3315" t="str">
        <x:v>False</x:v>
      </x:c>
      <x:c r="Q3315" t="str">
        <x:v>7bbd8ea476dc648cb0d8a8155ffad8304091eeb843bfb93ba59ec27c003f1126</x:v>
      </x:c>
      <x:c r="R3315" t="str">
        <x:v>509ec70f2f11ae4ae253db62514471823bf16bcd1d08016ac93322ee5a01830b</x:v>
      </x:c>
      <x:c r="S3315" t="n">
        <x:v>7</x:v>
      </x:c>
      <x:c r="T3315" t="str">
        <x:v>2018-12-31|2019-12-31|2020-12-31|2021-12-31|2022-12-31|2023-12-31|2024-12-31</x:v>
      </x:c>
      <x:c r="U3315" s="57" t="n">
        <x:v>247.97797544861652</x:v>
      </x:c>
      <x:c r="V3315" s="57" t="n">
        <x:v>-0.8933428062586596</x:v>
      </x:c>
      <x:c r="W3315" t="n">
        <x:v>64</x:v>
      </x:c>
      <x:c r="X3315" t="n">
        <x:v>5</x:v>
      </x:c>
      <x:c r="Y3315" s="38" t="n">
        <x:v>0.6409090909090909</x:v>
      </x:c>
      <x:c r="Z3315" s="38" t="n">
        <x:v>0.5540432712791499</x:v>
      </x:c>
      <x:c r="AA3315"/>
    </x:row>
    <x:row r="3316">
      <x:c r="A3316" s="54" t="n">
        <x:v>45930</x:v>
      </x:c>
      <x:c r="B3316" t="n">
        <x:v>45930.624999988424</x:v>
      </x:c>
      <x:c r="C3316" t="str">
        <x:v>340930</x:v>
      </x:c>
      <x:c r="D3316" t="str">
        <x:v>유일에너테크</x:v>
      </x:c>
      <x:c r="E3316" t="str">
        <x:v>KOSDAQ</x:v>
      </x:c>
      <x:c r="F3316" t="str">
        <x:v>SMALL</x:v>
      </x:c>
      <x:c r="G3316" t="str">
        <x:v>DCF_SCREENING_EXCLUSION</x:v>
      </x:c>
      <x:c r="H3316" t="str">
        <x:v>NON_POSITIVE_ENTERPRISE_VALUE|NON_POSITIVE_EQUITY_VALUE|NON_POSITIVE_TERMINAL_FCF</x:v>
      </x:c>
      <x:c r="I3316" s="54" t="n">
        <x:v>45930</x:v>
      </x:c>
      <x:c r="J3316" s="55" t="n">
        <x:v>1617</x:v>
      </x:c>
      <x:c r="K3316" s="55" t="n">
        <x:v>55308595650</x:v>
      </x:c>
      <x:c r="L3316" s="55" t="n">
        <x:v>34204450</x:v>
      </x:c>
      <x:c r="M3316" t="str">
        <x:v>20250814003264</x:v>
      </x:c>
      <x:c r="N3316" t="n">
        <x:v>45883.624999988424</x:v>
      </x:c>
      <x:c r="O3316" s="54" t="n">
        <x:v>45657</x:v>
      </x:c>
      <x:c r="P3316" t="str">
        <x:v>True</x:v>
      </x:c>
      <x:c r="Q3316" t="str">
        <x:v>e6e2f868be025103b9637747d705749fa7863205d49df3f19179dd2929bbcdc7</x:v>
      </x:c>
      <x:c r="R3316" t="str">
        <x:v>2417fa9cd0f503d2a2c46bee8988dc2d06621cfce94a1582b1d8a43eb33e08bc</x:v>
      </x:c>
      <x:c r="S3316" t="n">
        <x:v>7</x:v>
      </x:c>
      <x:c r="T3316" t="str">
        <x:v>2020-12-31|2021-12-31|2022-12-31|2023-12-31|2024-12-31</x:v>
      </x:c>
      <x:c r="U3316" s="57" t="n">
        <x:v>-5203.795105700722</x:v>
      </x:c>
      <x:c r="V3316" s="57" t="n">
        <x:v>-4.218178791404281</x:v>
      </x:c>
      <x:c r="W3316"/>
      <x:c r="X3316"/>
      <x:c r="Y3316" s="38" t="n">
        <x:v>0.6409090909090909</x:v>
      </x:c>
      <x:c r="Z3316" s="38" t="n">
        <x:v>0.6191120161833734</x:v>
      </x:c>
      <x:c r="AA3316" t="str">
        <x:v>NON_POSITIVE_ENTERPRISE_VALUE|NON_POSITIVE_EQUITY_VALUE|NON_POSITIVE_TERMINAL_FCF</x:v>
      </x:c>
    </x:row>
    <x:row r="3317">
      <x:c r="A3317" s="54" t="n">
        <x:v>45930</x:v>
      </x:c>
      <x:c r="B3317" t="n">
        <x:v>45930.624999988424</x:v>
      </x:c>
      <x:c r="C3317" t="str">
        <x:v>057030</x:v>
      </x:c>
      <x:c r="D3317" t="str">
        <x:v>YBM넷</x:v>
      </x:c>
      <x:c r="E3317" t="str">
        <x:v>KOSDAQ</x:v>
      </x:c>
      <x:c r="F3317" t="str">
        <x:v>SMALL</x:v>
      </x:c>
      <x:c r="G3317" t="str">
        <x:v>ELIGIBLE</x:v>
      </x:c>
      <x:c r="H3317"/>
      <x:c r="I3317" s="54" t="n">
        <x:v>45930</x:v>
      </x:c>
      <x:c r="J3317" s="55" t="n">
        <x:v>3200</x:v>
      </x:c>
      <x:c r="K3317" s="55" t="n">
        <x:v>52200630400</x:v>
      </x:c>
      <x:c r="L3317" s="55" t="n">
        <x:v>16312697</x:v>
      </x:c>
      <x:c r="M3317" t="str">
        <x:v>20250320000974</x:v>
      </x:c>
      <x:c r="N3317" t="n">
        <x:v>45736.624999988424</x:v>
      </x:c>
      <x:c r="O3317" s="54" t="n">
        <x:v>45657</x:v>
      </x:c>
      <x:c r="P3317" t="str">
        <x:v>False</x:v>
      </x:c>
      <x:c r="Q3317" t="str">
        <x:v>3fd8fb0f9c76a44e2b83b9006f1fc64ce5bb4e6a84ed22941c5589970f34a761</x:v>
      </x:c>
      <x:c r="R3317" t="str">
        <x:v>178ff0df64335fb9fd72a797013302e0d0f44e08c17bf5b94c86bf6f4060fd73</x:v>
      </x:c>
      <x:c r="S3317" t="n">
        <x:v>6</x:v>
      </x:c>
      <x:c r="T3317" t="str">
        <x:v>2018-12-31|2019-12-31|2020-12-31|2021-12-31|2022-12-31|2023-12-31|2024-12-31</x:v>
      </x:c>
      <x:c r="U3317" s="57" t="n">
        <x:v>1660.4453281950018</x:v>
      </x:c>
      <x:c r="V3317" s="57" t="n">
        <x:v>-0.481110834939062</x:v>
      </x:c>
      <x:c r="W3317" t="n">
        <x:v>42</x:v>
      </x:c>
      <x:c r="X3317" t="n">
        <x:v>4</x:v>
      </x:c>
      <x:c r="Y3317" s="38" t="n">
        <x:v>0.6409090909090909</x:v>
      </x:c>
      <x:c r="Z3317" s="38" t="n">
        <x:v>0.6191038980416463</x:v>
      </x:c>
      <x:c r="AA3317"/>
    </x:row>
    <x:row r="3318">
      <x:c r="A3318" s="54" t="n">
        <x:v>45930</x:v>
      </x:c>
      <x:c r="B3318" t="n">
        <x:v>45930.624999988424</x:v>
      </x:c>
      <x:c r="C3318" t="str">
        <x:v>053160</x:v>
      </x:c>
      <x:c r="D3318" t="str">
        <x:v>프리엠스</x:v>
      </x:c>
      <x:c r="E3318" t="str">
        <x:v>KOSDAQ</x:v>
      </x:c>
      <x:c r="F3318" t="str">
        <x:v>SMALL</x:v>
      </x:c>
      <x:c r="G3318" t="str">
        <x:v>DCF_SCREENING_EXCLUSION</x:v>
      </x:c>
      <x:c r="H3318" t="str">
        <x:v>NON_POSITIVE_ENTERPRISE_VALUE|NON_POSITIVE_TERMINAL_FCF</x:v>
      </x:c>
      <x:c r="I3318" s="54" t="n">
        <x:v>45930</x:v>
      </x:c>
      <x:c r="J3318" s="55" t="n">
        <x:v>7810</x:v>
      </x:c>
      <x:c r="K3318" s="55" t="n">
        <x:v>46860000000</x:v>
      </x:c>
      <x:c r="L3318" s="55" t="n">
        <x:v>6000000</x:v>
      </x:c>
      <x:c r="M3318" t="str">
        <x:v>20250314000331</x:v>
      </x:c>
      <x:c r="N3318" t="n">
        <x:v>45730.624999988424</x:v>
      </x:c>
      <x:c r="O3318" s="54" t="n">
        <x:v>45657</x:v>
      </x:c>
      <x:c r="P3318" t="str">
        <x:v>False</x:v>
      </x:c>
      <x:c r="Q3318" t="str">
        <x:v>e6423a02279c9457dbef12437884cdfb19425b38535268d79f73dfc510b3c9fc</x:v>
      </x:c>
      <x:c r="R3318" t="str">
        <x:v>0a161bc01e439aad8e27b02b5a9393f1198769c76da2ee5354aa9bbc5e3986b1</x:v>
      </x:c>
      <x:c r="S3318" t="n">
        <x:v>7</x:v>
      </x:c>
      <x:c r="T3318" t="str">
        <x:v>2018-12-31|2019-12-31|2020-12-31|2021-12-31|2022-12-31|2023-12-31|2024-12-31</x:v>
      </x:c>
      <x:c r="U3318" s="57" t="n">
        <x:v>2398.659539500975</x:v>
      </x:c>
      <x:c r="V3318" s="57" t="n">
        <x:v>-0.692873298399363</x:v>
      </x:c>
      <x:c r="W3318"/>
      <x:c r="X3318"/>
      <x:c r="Y3318" s="38" t="n">
        <x:v>0.6409090909090909</x:v>
      </x:c>
      <x:c r="Z3318" s="38" t="n">
        <x:v>0.17743138110763435</x:v>
      </x:c>
      <x:c r="AA3318" t="str">
        <x:v>NON_POSITIVE_ENTERPRISE_VALUE|NON_POSITIVE_TERMINAL_FCF</x:v>
      </x:c>
    </x:row>
    <x:row r="3319">
      <x:c r="A3319" s="54" t="n">
        <x:v>45930</x:v>
      </x:c>
      <x:c r="B3319" t="n">
        <x:v>45930.624999988424</x:v>
      </x:c>
      <x:c r="C3319" t="str">
        <x:v>038620</x:v>
      </x:c>
      <x:c r="D3319" t="str">
        <x:v>위즈코프</x:v>
      </x:c>
      <x:c r="E3319" t="str">
        <x:v>KOSDAQ</x:v>
      </x:c>
      <x:c r="F3319" t="str">
        <x:v>SMALL</x:v>
      </x:c>
      <x:c r="G3319" t="str">
        <x:v>ELIGIBLE</x:v>
      </x:c>
      <x:c r="H3319"/>
      <x:c r="I3319" s="54" t="n">
        <x:v>45930</x:v>
      </x:c>
      <x:c r="J3319" s="55" t="n">
        <x:v>592</x:v>
      </x:c>
      <x:c r="K3319" s="55" t="n">
        <x:v>44831843280</x:v>
      </x:c>
      <x:c r="L3319" s="55" t="n">
        <x:v>75729465</x:v>
      </x:c>
      <x:c r="M3319" t="str">
        <x:v>20250318001109</x:v>
      </x:c>
      <x:c r="N3319" t="n">
        <x:v>45734.624999988424</x:v>
      </x:c>
      <x:c r="O3319" s="54" t="n">
        <x:v>45657</x:v>
      </x:c>
      <x:c r="P3319" t="str">
        <x:v>False</x:v>
      </x:c>
      <x:c r="Q3319" t="str">
        <x:v>ce1d11f8bdf70c423644af2ac7c01cb0d4585abfdba85552f744eb85829ea28e</x:v>
      </x:c>
      <x:c r="R3319" t="str">
        <x:v>363ab7d6b4b6e0154d9e330fb122313886bf2d01389e80ba0c3a2958b454a296</x:v>
      </x:c>
      <x:c r="S3319" t="n">
        <x:v>6</x:v>
      </x:c>
      <x:c r="T3319" t="str">
        <x:v>2018-12-31|2019-12-31|2020-12-31|2021-12-31|2022-12-31|2023-12-31|2024-12-31</x:v>
      </x:c>
      <x:c r="U3319" s="57" t="n">
        <x:v>410.6562993454258</x:v>
      </x:c>
      <x:c r="V3319" s="57" t="n">
        <x:v>-0.3063238186732672</x:v>
      </x:c>
      <x:c r="W3319" t="n">
        <x:v>29</x:v>
      </x:c>
      <x:c r="X3319" t="n">
        <x:v>3</x:v>
      </x:c>
      <x:c r="Y3319" s="38" t="n">
        <x:v>0.6409090909090909</x:v>
      </x:c>
      <x:c r="Z3319" s="38" t="n">
        <x:v>0.6422566574366064</x:v>
      </x:c>
      <x:c r="AA3319"/>
    </x:row>
    <x:row r="3320">
      <x:c r="A3320" s="54" t="n">
        <x:v>45930</x:v>
      </x:c>
      <x:c r="B3320" t="n">
        <x:v>45930.624999988424</x:v>
      </x:c>
      <x:c r="C3320" t="str">
        <x:v>313760</x:v>
      </x:c>
      <x:c r="D3320" t="str">
        <x:v>캐리</x:v>
      </x:c>
      <x:c r="E3320" t="str">
        <x:v>KOSDAQ</x:v>
      </x:c>
      <x:c r="F3320" t="str">
        <x:v>SMALL</x:v>
      </x:c>
      <x:c r="G3320" t="str">
        <x:v>DCF_SCREENING_EXCLUSION</x:v>
      </x:c>
      <x:c r="H3320" t="str">
        <x:v>NON_POSITIVE_ENTERPRISE_VALUE|NON_POSITIVE_EQUITY_VALUE|NON_POSITIVE_TERMINAL_FCF</x:v>
      </x:c>
      <x:c r="I3320" s="54" t="n">
        <x:v>45930</x:v>
      </x:c>
      <x:c r="J3320" s="55" t="n">
        <x:v>2300</x:v>
      </x:c>
      <x:c r="K3320" s="55" t="n">
        <x:v>25776527800</x:v>
      </x:c>
      <x:c r="L3320" s="55" t="n">
        <x:v>11207186</x:v>
      </x:c>
      <x:c r="M3320" t="str">
        <x:v>20250326000865</x:v>
      </x:c>
      <x:c r="N3320" t="n">
        <x:v>45742.624999988424</x:v>
      </x:c>
      <x:c r="O3320" s="54" t="n">
        <x:v>45657</x:v>
      </x:c>
      <x:c r="P3320" t="str">
        <x:v>True</x:v>
      </x:c>
      <x:c r="Q3320" t="str">
        <x:v>db9a64bb6520dacf3ce36f4e0eb6a725dfd27efc554e5aee318a2e6a387d6007</x:v>
      </x:c>
      <x:c r="R3320" t="str">
        <x:v>75ce9f6982b8bde4cc92f1b1265d187dda2f5a3a216636fd3ba57a14db2eb7d1</x:v>
      </x:c>
      <x:c r="S3320" t="n">
        <x:v>6</x:v>
      </x:c>
      <x:c r="T3320" t="str">
        <x:v>2019-12-31|2020-12-31|2021-12-31|2022-12-31|2023-12-31|2024-12-31</x:v>
      </x:c>
      <x:c r="U3320" s="57" t="n">
        <x:v>-1940.0787808722098</x:v>
      </x:c>
      <x:c r="V3320" s="57" t="n">
        <x:v>-1.8435125134227</x:v>
      </x:c>
      <x:c r="W3320"/>
      <x:c r="X3320"/>
      <x:c r="Y3320" s="38" t="n">
        <x:v>0.6409090909090909</x:v>
      </x:c>
      <x:c r="Z3320" s="38" t="n">
        <x:v>0.5884023623150085</x:v>
      </x:c>
      <x:c r="AA3320" t="str">
        <x:v>NON_POSITIVE_ENTERPRISE_VALUE|NON_POSITIVE_EQUITY_VALUE|NON_POSITIVE_TERMINAL_FCF</x:v>
      </x:c>
    </x:row>
    <x:row r="3321">
      <x:c r="A3321" s="54" t="n">
        <x:v>45930</x:v>
      </x:c>
      <x:c r="B3321" t="n">
        <x:v>45930.624999988424</x:v>
      </x:c>
      <x:c r="C3321" t="str">
        <x:v>372800</x:v>
      </x:c>
      <x:c r="D3321" t="str">
        <x:v>아이티아이즈</x:v>
      </x:c>
      <x:c r="E3321" t="str">
        <x:v>KOSDAQ</x:v>
      </x:c>
      <x:c r="F3321" t="str">
        <x:v>SMALL</x:v>
      </x:c>
      <x:c r="G3321" t="str">
        <x:v>DCF_SCREENING_EXCLUSION</x:v>
      </x:c>
      <x:c r="H3321" t="str">
        <x:v>NON_POSITIVE_ENTERPRISE_VALUE|NON_POSITIVE_EQUITY_VALUE|NON_POSITIVE_TERMINAL_FCF</x:v>
      </x:c>
      <x:c r="I3321" s="54" t="n">
        <x:v>45930</x:v>
      </x:c>
      <x:c r="J3321" s="55" t="n">
        <x:v>5870</x:v>
      </x:c>
      <x:c r="K3321" s="55" t="n">
        <x:v>35495831300</x:v>
      </x:c>
      <x:c r="L3321" s="55" t="n">
        <x:v>6046990</x:v>
      </x:c>
      <x:c r="M3321" t="str">
        <x:v>20250813001229</x:v>
      </x:c>
      <x:c r="N3321" t="n">
        <x:v>45882.624999988424</x:v>
      </x:c>
      <x:c r="O3321" s="54" t="n">
        <x:v>45657</x:v>
      </x:c>
      <x:c r="P3321" t="str">
        <x:v>True</x:v>
      </x:c>
      <x:c r="Q3321" t="str">
        <x:v>ade369c95766d3a229c29247d35393ecb7c02fa5f73cab072defe7dfe903c5e7</x:v>
      </x:c>
      <x:c r="R3321" t="str">
        <x:v>b117fa7a22280eb81fce8ab79adb837836d51e488ea121e96c78f5f2a35a4e3b</x:v>
      </x:c>
      <x:c r="S3321" t="n">
        <x:v>7</x:v>
      </x:c>
      <x:c r="T3321" t="str">
        <x:v>2021-12-31|2022-12-31|2023-12-31|2024-12-31</x:v>
      </x:c>
      <x:c r="U3321" s="57" t="n">
        <x:v>-7379.956166749871</x:v>
      </x:c>
      <x:c r="V3321" s="57" t="n">
        <x:v>-2.2572327370953786</x:v>
      </x:c>
      <x:c r="W3321"/>
      <x:c r="X3321"/>
      <x:c r="Y3321" s="38" t="n">
        <x:v>0.6409090909090909</x:v>
      </x:c>
      <x:c r="Z3321" s="38" t="n">
        <x:v>0.775521739850821</x:v>
      </x:c>
      <x:c r="AA3321" t="str">
        <x:v>NON_POSITIVE_ENTERPRISE_VALUE|NON_POSITIVE_EQUITY_VALUE|NON_POSITIVE_TERMINAL_FCF</x:v>
      </x:c>
    </x:row>
    <x:row r="3322">
      <x:c r="A3322" s="54" t="n">
        <x:v>45930</x:v>
      </x:c>
      <x:c r="B3322" t="n">
        <x:v>45930.624999988424</x:v>
      </x:c>
      <x:c r="C3322" t="str">
        <x:v>332290</x:v>
      </x:c>
      <x:c r="D3322" t="str">
        <x:v>누보</x:v>
      </x:c>
      <x:c r="E3322" t="str">
        <x:v>KOSDAQ</x:v>
      </x:c>
      <x:c r="F3322" t="str">
        <x:v>SMALL</x:v>
      </x:c>
      <x:c r="G3322" t="str">
        <x:v>DCF_SCREENING_EXCLUSION</x:v>
      </x:c>
      <x:c r="H3322" t="str">
        <x:v>NON_POSITIVE_ENTERPRISE_VALUE|NON_POSITIVE_EQUITY_VALUE|NON_POSITIVE_TERMINAL_FCF</x:v>
      </x:c>
      <x:c r="I3322" s="54" t="n">
        <x:v>45930</x:v>
      </x:c>
      <x:c r="J3322" s="55" t="n">
        <x:v>1240</x:v>
      </x:c>
      <x:c r="K3322" s="55" t="n">
        <x:v>47505972320</x:v>
      </x:c>
      <x:c r="L3322" s="55" t="n">
        <x:v>38311268</x:v>
      </x:c>
      <x:c r="M3322" t="str">
        <x:v>20250320001064</x:v>
      </x:c>
      <x:c r="N3322" t="n">
        <x:v>45736.624999988424</x:v>
      </x:c>
      <x:c r="O3322" s="54" t="n">
        <x:v>45657</x:v>
      </x:c>
      <x:c r="P3322" t="str">
        <x:v>False</x:v>
      </x:c>
      <x:c r="Q3322" t="str">
        <x:v>80f468b2525d74e974158ac69af5200e412fdea17ca45a73120952c1d9d95397</x:v>
      </x:c>
      <x:c r="R3322" t="str">
        <x:v>d5301bb35bcc3a61099fc06ee3c56567e96151730aecd78b55a51ffc7569d6cc</x:v>
      </x:c>
      <x:c r="S3322" t="n">
        <x:v>6</x:v>
      </x:c>
      <x:c r="T3322" t="str">
        <x:v>2022-12-31|2023-12-31|2024-12-31</x:v>
      </x:c>
      <x:c r="U3322" s="57" t="n">
        <x:v>-1572.7648185962553</x:v>
      </x:c>
      <x:c r="V3322" s="57" t="n">
        <x:v>-2.2683587246743993</x:v>
      </x:c>
      <x:c r="W3322"/>
      <x:c r="X3322"/>
      <x:c r="Y3322" s="38" t="n">
        <x:v>0.6409090909090909</x:v>
      </x:c>
      <x:c r="Z3322" s="38" t="n">
        <x:v>0.7010152711625302</x:v>
      </x:c>
      <x:c r="AA3322" t="str">
        <x:v>NON_POSITIVE_ENTERPRISE_VALUE|NON_POSITIVE_EQUITY_VALUE|NON_POSITIVE_TERMINAL_FCF</x:v>
      </x:c>
    </x:row>
    <x:row r="3323">
      <x:c r="A3323" s="54" t="n">
        <x:v>45930</x:v>
      </x:c>
      <x:c r="B3323" t="n">
        <x:v>45930.624999988424</x:v>
      </x:c>
      <x:c r="C3323" t="str">
        <x:v>059100</x:v>
      </x:c>
      <x:c r="D3323" t="str">
        <x:v>아이컴포넌트</x:v>
      </x:c>
      <x:c r="E3323" t="str">
        <x:v>KOSDAQ</x:v>
      </x:c>
      <x:c r="F3323" t="str">
        <x:v>SMALL</x:v>
      </x:c>
      <x:c r="G3323" t="str">
        <x:v>ELIGIBLE</x:v>
      </x:c>
      <x:c r="H3323"/>
      <x:c r="I3323" s="54" t="n">
        <x:v>45930</x:v>
      </x:c>
      <x:c r="J3323" s="55" t="n">
        <x:v>5200</x:v>
      </x:c>
      <x:c r="K3323" s="55" t="n">
        <x:v>36768472000</x:v>
      </x:c>
      <x:c r="L3323" s="55" t="n">
        <x:v>7070860</x:v>
      </x:c>
      <x:c r="M3323" t="str">
        <x:v>20250318000193</x:v>
      </x:c>
      <x:c r="N3323" t="n">
        <x:v>45734.624999988424</x:v>
      </x:c>
      <x:c r="O3323" s="54" t="n">
        <x:v>45657</x:v>
      </x:c>
      <x:c r="P3323" t="str">
        <x:v>True</x:v>
      </x:c>
      <x:c r="Q3323" t="str">
        <x:v>622579001994424a41b4d003f1d5a074c67b337c6e9d84a155054d7dc470dc79</x:v>
      </x:c>
      <x:c r="R3323" t="str">
        <x:v>c3a0296456b102bccefe399e3be332821a4c011f87cc88b69932165b21fbd333</x:v>
      </x:c>
      <x:c r="S3323" t="n">
        <x:v>7</x:v>
      </x:c>
      <x:c r="T3323" t="str">
        <x:v>2018-12-31|2019-12-31|2020-12-31|2021-12-31|2022-12-31|2023-12-31|2024-12-31</x:v>
      </x:c>
      <x:c r="U3323" s="57" t="n">
        <x:v>3882.1488565240807</x:v>
      </x:c>
      <x:c r="V3323" s="57" t="n">
        <x:v>-0.25343291220690756</x:v>
      </x:c>
      <x:c r="W3323" t="n">
        <x:v>28</x:v>
      </x:c>
      <x:c r="X3323" t="n">
        <x:v>3</x:v>
      </x:c>
      <x:c r="Y3323" s="38" t="n">
        <x:v>0.6409090909090909</x:v>
      </x:c>
      <x:c r="Z3323" s="38" t="n">
        <x:v>0.6347882018916603</x:v>
      </x:c>
      <x:c r="AA3323"/>
    </x:row>
    <x:row r="3324">
      <x:c r="A3324" s="54" t="n">
        <x:v>45930</x:v>
      </x:c>
      <x:c r="B3324" t="n">
        <x:v>45930.624999988424</x:v>
      </x:c>
      <x:c r="C3324" t="str">
        <x:v>060900</x:v>
      </x:c>
      <x:c r="D3324" t="str">
        <x:v>DGP</x:v>
      </x:c>
      <x:c r="E3324" t="str">
        <x:v>KOSDAQ</x:v>
      </x:c>
      <x:c r="F3324" t="str">
        <x:v>SMALL</x:v>
      </x:c>
      <x:c r="G3324" t="str">
        <x:v>INSUFFICIENT_FINANCIAL_COVERAGE</x:v>
      </x:c>
      <x:c r="H3324"/>
      <x:c r="I3324" s="54" t="n">
        <x:v>45930</x:v>
      </x:c>
      <x:c r="J3324" s="55" t="n">
        <x:v>1519</x:v>
      </x:c>
      <x:c r="K3324" s="55" t="n">
        <x:v>39682400051</x:v>
      </x:c>
      <x:c r="L3324" s="55" t="n">
        <x:v>26124029</x:v>
      </x:c>
      <x:c r="M3324" t="str">
        <x:v>20250331003241</x:v>
      </x:c>
      <x:c r="N3324" t="n">
        <x:v>45747.624999988424</x:v>
      </x:c>
      <x:c r="O3324" s="54" t="n">
        <x:v>45657</x:v>
      </x:c>
      <x:c r="P3324" t="str">
        <x:v>True</x:v>
      </x:c>
      <x:c r="Q3324" t="str">
        <x:v>0c9d1e5ea994febea31a388f9b74833b1d56f4967c508e1340d827b06bab6aa7</x:v>
      </x:c>
      <x:c r="R3324" t="str">
        <x:v>6200eaf00893d8f56db3856e0b2f39eaec4ccb133205f43092fc9b6015f4ef3b</x:v>
      </x:c>
      <x:c r="S3324" t="n">
        <x:v>3</x:v>
      </x:c>
      <x:c r="T3324" t="str">
        <x:v>2018-12-31|2019-12-31|2021-12-31|2022-12-31|2023-12-31|2024-12-31</x:v>
      </x:c>
      <x:c r="U3324" s="57"/>
      <x:c r="V3324" s="57"/>
      <x:c r="W3324"/>
      <x:c r="X3324"/>
      <x:c r="Y3324" s="38"/>
      <x:c r="Z3324" s="38"/>
      <x:c r="AA3324"/>
    </x:row>
    <x:row r="3325">
      <x:c r="A3325" s="54" t="n">
        <x:v>45930</x:v>
      </x:c>
      <x:c r="B3325" t="n">
        <x:v>45930.624999988424</x:v>
      </x:c>
      <x:c r="C3325" t="str">
        <x:v>232830</x:v>
      </x:c>
      <x:c r="D3325" t="str">
        <x:v>아이티센피엔에스</x:v>
      </x:c>
      <x:c r="E3325" t="str">
        <x:v>KOSDAQ</x:v>
      </x:c>
      <x:c r="F3325" t="str">
        <x:v>SMALL</x:v>
      </x:c>
      <x:c r="G3325" t="str">
        <x:v>DCF_SCREENING_EXCLUSION</x:v>
      </x:c>
      <x:c r="H3325" t="str">
        <x:v>NON_POSITIVE_ENTERPRISE_VALUE|NON_POSITIVE_EQUITY_VALUE|NON_POSITIVE_TERMINAL_FCF</x:v>
      </x:c>
      <x:c r="I3325" s="54" t="n">
        <x:v>45930</x:v>
      </x:c>
      <x:c r="J3325" s="55" t="n">
        <x:v>2310</x:v>
      </x:c>
      <x:c r="K3325" s="55" t="n">
        <x:v>27044260320</x:v>
      </x:c>
      <x:c r="L3325" s="55" t="n">
        <x:v>11707472</x:v>
      </x:c>
      <x:c r="M3325" t="str">
        <x:v>20250317000980</x:v>
      </x:c>
      <x:c r="N3325" t="n">
        <x:v>45733.624999988424</x:v>
      </x:c>
      <x:c r="O3325" s="54" t="n">
        <x:v>45657</x:v>
      </x:c>
      <x:c r="P3325" t="str">
        <x:v>False</x:v>
      </x:c>
      <x:c r="Q3325" t="str">
        <x:v>f9ccdaea3b75542a6592ae16c9fdd4980771d23a336e2994cd9930b043be89f4</x:v>
      </x:c>
      <x:c r="R3325" t="str">
        <x:v>4a4b7536cfcb6704e1f4cca65df792eaa43274b29afc176badb79d28b8804a0b</x:v>
      </x:c>
      <x:c r="S3325" t="n">
        <x:v>6</x:v>
      </x:c>
      <x:c r="T3325" t="str">
        <x:v>2023-12-31|2024-12-31</x:v>
      </x:c>
      <x:c r="U3325" s="57" t="n">
        <x:v>-8505.33001720236</x:v>
      </x:c>
      <x:c r="V3325" s="57" t="n">
        <x:v>-4.681961046407948</x:v>
      </x:c>
      <x:c r="W3325"/>
      <x:c r="X3325"/>
      <x:c r="Y3325" s="38" t="n">
        <x:v>0.6409090909090909</x:v>
      </x:c>
      <x:c r="Z3325" s="38" t="n">
        <x:v>0.6293972392343816</x:v>
      </x:c>
      <x:c r="AA3325" t="str">
        <x:v>NON_POSITIVE_ENTERPRISE_VALUE|NON_POSITIVE_EQUITY_VALUE|NON_POSITIVE_TERMINAL_FCF</x:v>
      </x:c>
    </x:row>
    <x:row r="3326">
      <x:c r="A3326" s="54" t="n">
        <x:v>45930</x:v>
      </x:c>
      <x:c r="B3326" t="n">
        <x:v>45930.624999988424</x:v>
      </x:c>
      <x:c r="C3326" t="str">
        <x:v>070590</x:v>
      </x:c>
      <x:c r="D3326" t="str">
        <x:v>한솔인티큐브</x:v>
      </x:c>
      <x:c r="E3326" t="str">
        <x:v>KOSDAQ</x:v>
      </x:c>
      <x:c r="F3326" t="str">
        <x:v>SMALL</x:v>
      </x:c>
      <x:c r="G3326" t="str">
        <x:v>DCF_SCREENING_EXCLUSION</x:v>
      </x:c>
      <x:c r="H3326" t="str">
        <x:v>NON_POSITIVE_ENTERPRISE_VALUE|NON_POSITIVE_EQUITY_VALUE|NON_POSITIVE_TERMINAL_FCF</x:v>
      </x:c>
      <x:c r="I3326" s="54" t="n">
        <x:v>45930</x:v>
      </x:c>
      <x:c r="J3326" s="55" t="n">
        <x:v>2220</x:v>
      </x:c>
      <x:c r="K3326" s="55" t="n">
        <x:v>30812536620</x:v>
      </x:c>
      <x:c r="L3326" s="55" t="n">
        <x:v>13879521</x:v>
      </x:c>
      <x:c r="M3326" t="str">
        <x:v>20250312000696</x:v>
      </x:c>
      <x:c r="N3326" t="n">
        <x:v>45728.624999988424</x:v>
      </x:c>
      <x:c r="O3326" s="54" t="n">
        <x:v>45657</x:v>
      </x:c>
      <x:c r="P3326" t="str">
        <x:v>False</x:v>
      </x:c>
      <x:c r="Q3326" t="str">
        <x:v>56fbfec57f7c9d43fd0c5033895241c65f79484753cffbbf721bcc41f2c5faf1</x:v>
      </x:c>
      <x:c r="R3326" t="str">
        <x:v>095783b0970931b9b424c8ac6f6f6fab4b580d3f587e5e9418f76229c1086431</x:v>
      </x:c>
      <x:c r="S3326" t="n">
        <x:v>7</x:v>
      </x:c>
      <x:c r="T3326" t="str">
        <x:v>2018-12-31|2019-12-31|2020-12-31|2021-12-31|2022-12-31|2023-12-31|2024-12-31</x:v>
      </x:c>
      <x:c r="U3326" s="57" t="n">
        <x:v>-676.728213003706</x:v>
      </x:c>
      <x:c r="V3326" s="57" t="n">
        <x:v>-1.3048325283800477</x:v>
      </x:c>
      <x:c r="W3326"/>
      <x:c r="X3326"/>
      <x:c r="Y3326" s="38" t="n">
        <x:v>0.6409090909090909</x:v>
      </x:c>
      <x:c r="Z3326" s="38" t="n">
        <x:v>0.6346417546751518</x:v>
      </x:c>
      <x:c r="AA3326" t="str">
        <x:v>NON_POSITIVE_ENTERPRISE_VALUE|NON_POSITIVE_EQUITY_VALUE|NON_POSITIVE_TERMINAL_FCF</x:v>
      </x:c>
    </x:row>
    <x:row r="3327">
      <x:c r="A3327" s="54" t="n">
        <x:v>45930</x:v>
      </x:c>
      <x:c r="B3327" t="n">
        <x:v>45930.624999988424</x:v>
      </x:c>
      <x:c r="C3327" t="str">
        <x:v>163560</x:v>
      </x:c>
      <x:c r="D3327" t="str">
        <x:v>동일고무벨트</x:v>
      </x:c>
      <x:c r="E3327" t="str">
        <x:v>KOSPI</x:v>
      </x:c>
      <x:c r="F3327" t="str">
        <x:v>SMALL</x:v>
      </x:c>
      <x:c r="G3327" t="str">
        <x:v>ELIGIBLE</x:v>
      </x:c>
      <x:c r="H3327"/>
      <x:c r="I3327" s="54" t="n">
        <x:v>45930</x:v>
      </x:c>
      <x:c r="J3327" s="55" t="n">
        <x:v>6660</x:v>
      </x:c>
      <x:c r="K3327" s="55" t="n">
        <x:v>92574000000</x:v>
      </x:c>
      <x:c r="L3327" s="55" t="n">
        <x:v>13900000</x:v>
      </x:c>
      <x:c r="M3327" t="str">
        <x:v>20250312000762</x:v>
      </x:c>
      <x:c r="N3327" t="n">
        <x:v>45728.624999988424</x:v>
      </x:c>
      <x:c r="O3327" s="54" t="n">
        <x:v>45657</x:v>
      </x:c>
      <x:c r="P3327" t="str">
        <x:v>False</x:v>
      </x:c>
      <x:c r="Q3327" t="str">
        <x:v>3d84d46c81dd12c506f3e6e7411f8e03a54cf9403501806194005212a51761dd</x:v>
      </x:c>
      <x:c r="R3327" t="str">
        <x:v>938a176852d6cafe751241bc166ae18a0b47e63e6633199c08578da7a9c5b724</x:v>
      </x:c>
      <x:c r="S3327" t="n">
        <x:v>5</x:v>
      </x:c>
      <x:c r="T3327" t="str">
        <x:v>2018-12-31|2019-12-31|2020-12-31|2021-12-31|2022-12-31|2023-12-31|2024-12-31</x:v>
      </x:c>
      <x:c r="U3327" s="57" t="n">
        <x:v>3579.6791246994944</x:v>
      </x:c>
      <x:c r="V3327" s="57" t="n">
        <x:v>-0.46251064193701286</x:v>
      </x:c>
      <x:c r="W3327" t="n">
        <x:v>38</x:v>
      </x:c>
      <x:c r="X3327" t="n">
        <x:v>3</x:v>
      </x:c>
      <x:c r="Y3327" s="38" t="n">
        <x:v>0.6409090909090909</x:v>
      </x:c>
      <x:c r="Z3327" s="38" t="n">
        <x:v>0.6724515102417282</x:v>
      </x:c>
      <x:c r="AA3327"/>
    </x:row>
    <x:row r="3328">
      <x:c r="A3328" s="54" t="n">
        <x:v>45930</x:v>
      </x:c>
      <x:c r="B3328" t="n">
        <x:v>45930.624999988424</x:v>
      </x:c>
      <x:c r="C3328" t="str">
        <x:v>004830</x:v>
      </x:c>
      <x:c r="D3328" t="str">
        <x:v>덕성</x:v>
      </x:c>
      <x:c r="E3328" t="str">
        <x:v>KOSPI</x:v>
      </x:c>
      <x:c r="F3328" t="str">
        <x:v>SMALL</x:v>
      </x:c>
      <x:c r="G3328" t="str">
        <x:v>ELIGIBLE</x:v>
      </x:c>
      <x:c r="H3328"/>
      <x:c r="I3328" s="54" t="n">
        <x:v>45930</x:v>
      </x:c>
      <x:c r="J3328" s="55" t="n">
        <x:v>5230</x:v>
      </x:c>
      <x:c r="K3328" s="55" t="n">
        <x:v>82006400000</x:v>
      </x:c>
      <x:c r="L3328" s="55" t="n">
        <x:v>15680000</x:v>
      </x:c>
      <x:c r="M3328" t="str">
        <x:v>20250317000503</x:v>
      </x:c>
      <x:c r="N3328" t="n">
        <x:v>45733.624999988424</x:v>
      </x:c>
      <x:c r="O3328" s="54" t="n">
        <x:v>45657</x:v>
      </x:c>
      <x:c r="P3328" t="str">
        <x:v>False</x:v>
      </x:c>
      <x:c r="Q3328" t="str">
        <x:v>047b89dbd283e939934431c425f7d1537466f51373ac8b5ba0ef7155f7fdb8d1</x:v>
      </x:c>
      <x:c r="R3328" t="str">
        <x:v>f44466a9c2c59127a8b8d635e49b656badf1741cfb0a8a3c9680a488040bfd2e</x:v>
      </x:c>
      <x:c r="S3328" t="n">
        <x:v>7</x:v>
      </x:c>
      <x:c r="T3328" t="str">
        <x:v>2018-12-31|2019-12-31|2020-12-31|2021-12-31|2022-12-31|2023-12-31|2024-12-31</x:v>
      </x:c>
      <x:c r="U3328" s="57" t="n">
        <x:v>2050.17685873318</x:v>
      </x:c>
      <x:c r="V3328" s="57" t="n">
        <x:v>-0.6079967765328528</x:v>
      </x:c>
      <x:c r="W3328" t="n">
        <x:v>48</x:v>
      </x:c>
      <x:c r="X3328" t="n">
        <x:v>4</x:v>
      </x:c>
      <x:c r="Y3328" s="38" t="n">
        <x:v>0.6409090909090909</x:v>
      </x:c>
      <x:c r="Z3328" s="38" t="n">
        <x:v>0.5816117807164044</x:v>
      </x:c>
      <x:c r="AA3328"/>
    </x:row>
    <x:row r="3329">
      <x:c r="A3329" s="54" t="n">
        <x:v>45930</x:v>
      </x:c>
      <x:c r="B3329" t="n">
        <x:v>45930.624999988424</x:v>
      </x:c>
      <x:c r="C3329" t="str">
        <x:v>014440</x:v>
      </x:c>
      <x:c r="D3329" t="str">
        <x:v>영보화학</x:v>
      </x:c>
      <x:c r="E3329" t="str">
        <x:v>KOSPI</x:v>
      </x:c>
      <x:c r="F3329" t="str">
        <x:v>SMALL</x:v>
      </x:c>
      <x:c r="G3329" t="str">
        <x:v>ELIGIBLE</x:v>
      </x:c>
      <x:c r="H3329"/>
      <x:c r="I3329" s="54" t="n">
        <x:v>45930</x:v>
      </x:c>
      <x:c r="J3329" s="55" t="n">
        <x:v>4385</x:v>
      </x:c>
      <x:c r="K3329" s="55" t="n">
        <x:v>87700000000</x:v>
      </x:c>
      <x:c r="L3329" s="55" t="n">
        <x:v>20000000</x:v>
      </x:c>
      <x:c r="M3329" t="str">
        <x:v>20250312000962</x:v>
      </x:c>
      <x:c r="N3329" t="n">
        <x:v>45728.624999988424</x:v>
      </x:c>
      <x:c r="O3329" s="54" t="n">
        <x:v>45657</x:v>
      </x:c>
      <x:c r="P3329" t="str">
        <x:v>False</x:v>
      </x:c>
      <x:c r="Q3329" t="str">
        <x:v>821b0e62d7bf149a79e58c287e832ecf8605f6c32ad4957d629f026ddb3aa42e</x:v>
      </x:c>
      <x:c r="R3329" t="str">
        <x:v>573562a41b623182bc90c29cb5d92d4c660b859b315b1bb5f03f3cd959d25731</x:v>
      </x:c>
      <x:c r="S3329" t="n">
        <x:v>6</x:v>
      </x:c>
      <x:c r="T3329" t="str">
        <x:v>2018-12-31|2019-12-31|2020-12-31|2021-12-31|2022-12-31|2023-12-31|2024-12-31</x:v>
      </x:c>
      <x:c r="U3329" s="57" t="n">
        <x:v>2702.424401601988</x:v>
      </x:c>
      <x:c r="V3329" s="57" t="n">
        <x:v>-0.3837116529984064</x:v>
      </x:c>
      <x:c r="W3329" t="n">
        <x:v>35</x:v>
      </x:c>
      <x:c r="X3329" t="n">
        <x:v>3</x:v>
      </x:c>
      <x:c r="Y3329" s="38" t="n">
        <x:v>0.6409090909090909</x:v>
      </x:c>
      <x:c r="Z3329" s="38" t="n">
        <x:v>0.2753938697123028</x:v>
      </x:c>
      <x:c r="AA3329"/>
    </x:row>
    <x:row r="3330">
      <x:c r="A3330" s="54" t="n">
        <x:v>45930</x:v>
      </x:c>
      <x:c r="B3330" t="n">
        <x:v>45930.624999988424</x:v>
      </x:c>
      <x:c r="C3330" t="str">
        <x:v>009180</x:v>
      </x:c>
      <x:c r="D3330" t="str">
        <x:v>한솔로지스틱스</x:v>
      </x:c>
      <x:c r="E3330" t="str">
        <x:v>KOSPI</x:v>
      </x:c>
      <x:c r="F3330" t="str">
        <x:v>SMALL</x:v>
      </x:c>
      <x:c r="G3330" t="str">
        <x:v>ELIGIBLE</x:v>
      </x:c>
      <x:c r="H3330"/>
      <x:c r="I3330" s="54" t="n">
        <x:v>45930</x:v>
      </x:c>
      <x:c r="J3330" s="55" t="n">
        <x:v>2845</x:v>
      </x:c>
      <x:c r="K3330" s="55" t="n">
        <x:v>80103322125</x:v>
      </x:c>
      <x:c r="L3330" s="55" t="n">
        <x:v>28155825</x:v>
      </x:c>
      <x:c r="M3330" t="str">
        <x:v>20250311001053</x:v>
      </x:c>
      <x:c r="N3330" t="n">
        <x:v>45727.624999988424</x:v>
      </x:c>
      <x:c r="O3330" s="54" t="n">
        <x:v>45657</x:v>
      </x:c>
      <x:c r="P3330" t="str">
        <x:v>False</x:v>
      </x:c>
      <x:c r="Q3330" t="str">
        <x:v>59709c24464c56e3d0c7ef48c0bfedba59f5adc74c03993b7361dc6a6a889121</x:v>
      </x:c>
      <x:c r="R3330" t="str">
        <x:v>87c93be11916e0599394bc821ad5ee5da3f482650082174ad55c0837e8111452</x:v>
      </x:c>
      <x:c r="S3330" t="n">
        <x:v>6</x:v>
      </x:c>
      <x:c r="T3330" t="str">
        <x:v>2018-12-31|2019-12-31|2020-12-31|2021-12-31|2022-12-31|2023-12-31|2024-12-31</x:v>
      </x:c>
      <x:c r="U3330" s="57" t="n">
        <x:v>3416.0822713847656</x:v>
      </x:c>
      <x:c r="V3330" s="57" t="n">
        <x:v>0.20073190558339737</x:v>
      </x:c>
      <x:c r="W3330" t="n">
        <x:v>20</x:v>
      </x:c>
      <x:c r="X3330" t="n">
        <x:v>2</x:v>
      </x:c>
      <x:c r="Y3330" s="38" t="n">
        <x:v>0.6409090909090909</x:v>
      </x:c>
      <x:c r="Z3330" s="38" t="n">
        <x:v>0.680015703976489</x:v>
      </x:c>
      <x:c r="AA3330"/>
    </x:row>
    <x:row r="3331">
      <x:c r="A3331" s="54" t="n">
        <x:v>45930</x:v>
      </x:c>
      <x:c r="B3331" t="n">
        <x:v>45930.624999988424</x:v>
      </x:c>
      <x:c r="C3331" t="str">
        <x:v>004910</x:v>
      </x:c>
      <x:c r="D3331" t="str">
        <x:v>조광페인트</x:v>
      </x:c>
      <x:c r="E3331" t="str">
        <x:v>KOSPI</x:v>
      </x:c>
      <x:c r="F3331" t="str">
        <x:v>SMALL</x:v>
      </x:c>
      <x:c r="G3331" t="str">
        <x:v>DCF_SCREENING_EXCLUSION</x:v>
      </x:c>
      <x:c r="H3331" t="str">
        <x:v>NON_POSITIVE_ENTERPRISE_VALUE|NON_POSITIVE_EQUITY_VALUE|NON_POSITIVE_TERMINAL_FCF</x:v>
      </x:c>
      <x:c r="I3331" s="54" t="n">
        <x:v>45930</x:v>
      </x:c>
      <x:c r="J3331" s="55" t="n">
        <x:v>5480</x:v>
      </x:c>
      <x:c r="K3331" s="55" t="n">
        <x:v>70144000000</x:v>
      </x:c>
      <x:c r="L3331" s="55" t="n">
        <x:v>12800000</x:v>
      </x:c>
      <x:c r="M3331" t="str">
        <x:v>20250811000086</x:v>
      </x:c>
      <x:c r="N3331" t="n">
        <x:v>45880.624999988424</x:v>
      </x:c>
      <x:c r="O3331" s="54" t="n">
        <x:v>45657</x:v>
      </x:c>
      <x:c r="P3331" t="str">
        <x:v>True</x:v>
      </x:c>
      <x:c r="Q3331" t="str">
        <x:v>27eff6b496d810fbcaa002ae5f046249d00ecc2d3b74945f445f6373f58b7f82</x:v>
      </x:c>
      <x:c r="R3331" t="str">
        <x:v>3062b251c7380e7def6faf80ec8a875012c1e8e1f111d9347eef6ded70b47d95</x:v>
      </x:c>
      <x:c r="S3331" t="n">
        <x:v>6</x:v>
      </x:c>
      <x:c r="T3331" t="str">
        <x:v>2018-12-31|2019-12-31|2020-12-31|2021-12-31|2022-12-31|2023-12-31|2024-12-31</x:v>
      </x:c>
      <x:c r="U3331" s="57" t="n">
        <x:v>-11774.923010008273</x:v>
      </x:c>
      <x:c r="V3331" s="57" t="n">
        <x:v>-3.1487085784686633</x:v>
      </x:c>
      <x:c r="W3331"/>
      <x:c r="X3331"/>
      <x:c r="Y3331" s="38" t="n">
        <x:v>0.6409090909090909</x:v>
      </x:c>
      <x:c r="Z3331" s="38" t="n">
        <x:v>0.716994323080108</x:v>
      </x:c>
      <x:c r="AA3331" t="str">
        <x:v>NON_POSITIVE_ENTERPRISE_VALUE|NON_POSITIVE_EQUITY_VALUE|NON_POSITIVE_TERMINAL_FCF</x:v>
      </x:c>
    </x:row>
    <x:row r="3332">
      <x:c r="A3332" s="54" t="n">
        <x:v>45930</x:v>
      </x:c>
      <x:c r="B3332" t="n">
        <x:v>45930.624999988424</x:v>
      </x:c>
      <x:c r="C3332" t="str">
        <x:v>004870</x:v>
      </x:c>
      <x:c r="D3332" t="str">
        <x:v>티웨이홀딩스</x:v>
      </x:c>
      <x:c r="E3332" t="str">
        <x:v>KOSPI</x:v>
      </x:c>
      <x:c r="F3332" t="str">
        <x:v>SMALL</x:v>
      </x:c>
      <x:c r="G3332" t="str">
        <x:v>EXCLUDED_ARCHETYPE</x:v>
      </x:c>
      <x:c r="H3332" t="str">
        <x:v>FCFF_NOT_COMPARABLE_FOR_FINANCE_OR_HOLDING_HINT</x:v>
      </x:c>
      <x:c r="I3332" s="54"/>
      <x:c r="J3332" s="55"/>
      <x:c r="K3332" s="55"/>
      <x:c r="L3332" s="55"/>
      <x:c r="M3332"/>
      <x:c r="N3332"/>
      <x:c r="O3332" s="54"/>
      <x:c r="P3332"/>
      <x:c r="Q3332"/>
      <x:c r="R3332"/>
      <x:c r="S3332"/>
      <x:c r="T3332"/>
      <x:c r="U3332" s="57"/>
      <x:c r="V3332" s="57"/>
      <x:c r="W3332"/>
      <x:c r="X3332"/>
      <x:c r="Y3332" s="38"/>
      <x:c r="Z3332" s="38"/>
      <x:c r="AA3332"/>
    </x:row>
    <x:row r="3333">
      <x:c r="A3333" s="54" t="n">
        <x:v>45930</x:v>
      </x:c>
      <x:c r="B3333" t="n">
        <x:v>45930.624999988424</x:v>
      </x:c>
      <x:c r="C3333" t="str">
        <x:v>010770</x:v>
      </x:c>
      <x:c r="D3333" t="str">
        <x:v>평화홀딩스</x:v>
      </x:c>
      <x:c r="E3333" t="str">
        <x:v>KOSPI</x:v>
      </x:c>
      <x:c r="F3333" t="str">
        <x:v>SMALL</x:v>
      </x:c>
      <x:c r="G3333" t="str">
        <x:v>EXCLUDED_ARCHETYPE</x:v>
      </x:c>
      <x:c r="H3333" t="str">
        <x:v>FCFF_NOT_COMPARABLE_FOR_FINANCE_OR_HOLDING_HINT</x:v>
      </x:c>
      <x:c r="I3333" s="54"/>
      <x:c r="J3333" s="55"/>
      <x:c r="K3333" s="55"/>
      <x:c r="L3333" s="55"/>
      <x:c r="M3333"/>
      <x:c r="N3333"/>
      <x:c r="O3333" s="54"/>
      <x:c r="P3333"/>
      <x:c r="Q3333"/>
      <x:c r="R3333"/>
      <x:c r="S3333"/>
      <x:c r="T3333"/>
      <x:c r="U3333" s="57"/>
      <x:c r="V3333" s="57"/>
      <x:c r="W3333"/>
      <x:c r="X3333"/>
      <x:c r="Y3333" s="38"/>
      <x:c r="Z3333" s="38"/>
      <x:c r="AA3333"/>
    </x:row>
    <x:row r="3334">
      <x:c r="A3334" s="54" t="n">
        <x:v>45930</x:v>
      </x:c>
      <x:c r="B3334" t="n">
        <x:v>45930.624999988424</x:v>
      </x:c>
      <x:c r="C3334" t="str">
        <x:v>001290</x:v>
      </x:c>
      <x:c r="D3334" t="str">
        <x:v>상상인증권</x:v>
      </x:c>
      <x:c r="E3334" t="str">
        <x:v>KOSPI</x:v>
      </x:c>
      <x:c r="F3334" t="str">
        <x:v>SMALL</x:v>
      </x:c>
      <x:c r="G3334" t="str">
        <x:v>EXCLUDED_ARCHETYPE</x:v>
      </x:c>
      <x:c r="H3334" t="str">
        <x:v>FCFF_NOT_COMPARABLE_FOR_FINANCE_OR_HOLDING_HINT</x:v>
      </x:c>
      <x:c r="I3334" s="54"/>
      <x:c r="J3334" s="55"/>
      <x:c r="K3334" s="55"/>
      <x:c r="L3334" s="55"/>
      <x:c r="M3334"/>
      <x:c r="N3334"/>
      <x:c r="O3334" s="54"/>
      <x:c r="P3334"/>
      <x:c r="Q3334"/>
      <x:c r="R3334"/>
      <x:c r="S3334"/>
      <x:c r="T3334"/>
      <x:c r="U3334" s="57"/>
      <x:c r="V3334" s="57"/>
      <x:c r="W3334"/>
      <x:c r="X3334"/>
      <x:c r="Y3334" s="38"/>
      <x:c r="Z3334" s="38"/>
      <x:c r="AA3334"/>
    </x:row>
    <x:row r="3335">
      <x:c r="A3335" s="54" t="n">
        <x:v>45930</x:v>
      </x:c>
      <x:c r="B3335" t="n">
        <x:v>45930.624999988424</x:v>
      </x:c>
      <x:c r="C3335" t="str">
        <x:v>047400</x:v>
      </x:c>
      <x:c r="D3335" t="str">
        <x:v>유니온머티리얼</x:v>
      </x:c>
      <x:c r="E3335" t="str">
        <x:v>KOSPI</x:v>
      </x:c>
      <x:c r="F3335" t="str">
        <x:v>SMALL</x:v>
      </x:c>
      <x:c r="G3335" t="str">
        <x:v>DCF_SCREENING_EXCLUSION</x:v>
      </x:c>
      <x:c r="H3335" t="str">
        <x:v>NON_POSITIVE_ENTERPRISE_VALUE|NON_POSITIVE_EQUITY_VALUE|NON_POSITIVE_TERMINAL_FCF</x:v>
      </x:c>
      <x:c r="I3335" s="54" t="n">
        <x:v>45930</x:v>
      </x:c>
      <x:c r="J3335" s="55" t="n">
        <x:v>1313</x:v>
      </x:c>
      <x:c r="K3335" s="55" t="n">
        <x:v>55146000000</x:v>
      </x:c>
      <x:c r="L3335" s="55" t="n">
        <x:v>42000000</x:v>
      </x:c>
      <x:c r="M3335" t="str">
        <x:v>20250319000740</x:v>
      </x:c>
      <x:c r="N3335" t="n">
        <x:v>45735.624999988424</x:v>
      </x:c>
      <x:c r="O3335" s="54" t="n">
        <x:v>45657</x:v>
      </x:c>
      <x:c r="P3335" t="str">
        <x:v>False</x:v>
      </x:c>
      <x:c r="Q3335" t="str">
        <x:v>a8242c53f0ad44f64b3db687429fc578de052a0697c88c72b7c659019d024840</x:v>
      </x:c>
      <x:c r="R3335" t="str">
        <x:v>97c5afa8df14b5ec6caebc6e645bf729b68091c12f4d5b89f814251a1f31d678</x:v>
      </x:c>
      <x:c r="S3335" t="n">
        <x:v>7</x:v>
      </x:c>
      <x:c r="T3335" t="str">
        <x:v>2018-12-31|2019-12-31|2020-12-31|2021-12-31|2022-12-31|2023-12-31|2024-12-31</x:v>
      </x:c>
      <x:c r="U3335" s="57" t="n">
        <x:v>-2782.089618403416</x:v>
      </x:c>
      <x:c r="V3335" s="57" t="n">
        <x:v>-3.1188801358746505</x:v>
      </x:c>
      <x:c r="W3335"/>
      <x:c r="X3335"/>
      <x:c r="Y3335" s="38" t="n">
        <x:v>0.6409090909090909</x:v>
      </x:c>
      <x:c r="Z3335" s="38" t="n">
        <x:v>0.27674932142790226</x:v>
      </x:c>
      <x:c r="AA3335" t="str">
        <x:v>NON_POSITIVE_ENTERPRISE_VALUE|NON_POSITIVE_EQUITY_VALUE|NON_POSITIVE_TERMINAL_FCF</x:v>
      </x:c>
    </x:row>
    <x:row r="3336">
      <x:c r="A3336" s="54" t="n">
        <x:v>45930</x:v>
      </x:c>
      <x:c r="B3336" t="n">
        <x:v>45930.624999988424</x:v>
      </x:c>
      <x:c r="C3336" t="str">
        <x:v>011300</x:v>
      </x:c>
      <x:c r="D3336" t="str">
        <x:v>성안머티리얼스</x:v>
      </x:c>
      <x:c r="E3336" t="str">
        <x:v>KOSPI</x:v>
      </x:c>
      <x:c r="F3336" t="str">
        <x:v>SMALL</x:v>
      </x:c>
      <x:c r="G3336" t="str">
        <x:v>DCF_SCREENING_EXCLUSION</x:v>
      </x:c>
      <x:c r="H3336" t="str">
        <x:v>NON_POSITIVE_ENTERPRISE_VALUE|NON_POSITIVE_EQUITY_VALUE|NON_POSITIVE_TERMINAL_FCF</x:v>
      </x:c>
      <x:c r="I3336" s="54" t="n">
        <x:v>45930</x:v>
      </x:c>
      <x:c r="J3336" s="55" t="n">
        <x:v>400</x:v>
      </x:c>
      <x:c r="K3336" s="55" t="n">
        <x:v>62247070000</x:v>
      </x:c>
      <x:c r="L3336" s="55" t="n">
        <x:v>155617675</x:v>
      </x:c>
      <x:c r="M3336" t="str">
        <x:v>20250320000581</x:v>
      </x:c>
      <x:c r="N3336" t="n">
        <x:v>45736.624999988424</x:v>
      </x:c>
      <x:c r="O3336" s="54" t="n">
        <x:v>45657</x:v>
      </x:c>
      <x:c r="P3336" t="str">
        <x:v>False</x:v>
      </x:c>
      <x:c r="Q3336" t="str">
        <x:v>c4acc0803989eb38af3f11fcc20482eee7b03e36392835b52689e3bfe0cbc9d5</x:v>
      </x:c>
      <x:c r="R3336" t="str">
        <x:v>34b92e77046a192f0a546c78e4754be4ed5bfd65ecd5aace3f2333550c2ab478</x:v>
      </x:c>
      <x:c r="S3336" t="n">
        <x:v>7</x:v>
      </x:c>
      <x:c r="T3336" t="str">
        <x:v>2018-12-31|2019-12-31|2020-12-31|2021-12-31|2022-12-31|2023-12-31|2024-12-31</x:v>
      </x:c>
      <x:c r="U3336" s="57" t="n">
        <x:v>-193.18443652594374</x:v>
      </x:c>
      <x:c r="V3336" s="57" t="n">
        <x:v>-1.4829610913148594</x:v>
      </x:c>
      <x:c r="W3336"/>
      <x:c r="X3336"/>
      <x:c r="Y3336" s="38" t="n">
        <x:v>0.6409090909090909</x:v>
      </x:c>
      <x:c r="Z3336" s="38" t="n">
        <x:v>0.4326814893151209</x:v>
      </x:c>
      <x:c r="AA3336" t="str">
        <x:v>NON_POSITIVE_ENTERPRISE_VALUE|NON_POSITIVE_EQUITY_VALUE|NON_POSITIVE_TERMINAL_FCF</x:v>
      </x:c>
    </x:row>
    <x:row r="3337">
      <x:c r="A3337" s="54" t="n">
        <x:v>45930</x:v>
      </x:c>
      <x:c r="B3337" t="n">
        <x:v>45930.624999988424</x:v>
      </x:c>
      <x:c r="C3337" t="str">
        <x:v>018500</x:v>
      </x:c>
      <x:c r="D3337" t="str">
        <x:v>동원금속</x:v>
      </x:c>
      <x:c r="E3337" t="str">
        <x:v>KOSPI</x:v>
      </x:c>
      <x:c r="F3337" t="str">
        <x:v>SMALL</x:v>
      </x:c>
      <x:c r="G3337" t="str">
        <x:v>DCF_SCREENING_EXCLUSION</x:v>
      </x:c>
      <x:c r="H3337" t="str">
        <x:v>NON_POSITIVE_EQUITY_VALUE</x:v>
      </x:c>
      <x:c r="I3337" s="54" t="n">
        <x:v>45930</x:v>
      </x:c>
      <x:c r="J3337" s="55" t="n">
        <x:v>1296</x:v>
      </x:c>
      <x:c r="K3337" s="55" t="n">
        <x:v>60594393168</x:v>
      </x:c>
      <x:c r="L3337" s="55" t="n">
        <x:v>46754933</x:v>
      </x:c>
      <x:c r="M3337" t="str">
        <x:v>20250618000195</x:v>
      </x:c>
      <x:c r="N3337" t="n">
        <x:v>45826.624999988424</x:v>
      </x:c>
      <x:c r="O3337" s="54" t="n">
        <x:v>45747</x:v>
      </x:c>
      <x:c r="P3337" t="str">
        <x:v>False</x:v>
      </x:c>
      <x:c r="Q3337" t="str">
        <x:v>c6ff625c08a122fdf490e0124f7e291ff5261d8fab6855036190e3631f7f1a94</x:v>
      </x:c>
      <x:c r="R3337" t="str">
        <x:v>6248e048713473d90cd3a0ff9f10981040a8e3838de8bd37f62a16f8da309c1d</x:v>
      </x:c>
      <x:c r="S3337" t="n">
        <x:v>6</x:v>
      </x:c>
      <x:c r="T3337" t="str">
        <x:v>2019-03-31|2020-03-31|2021-03-31|2022-03-31|2023-03-31|2024-03-31|2025-03-31</x:v>
      </x:c>
      <x:c r="U3337" s="57" t="n">
        <x:v>-2171.1598492495386</x:v>
      </x:c>
      <x:c r="V3337" s="57" t="n">
        <x:v>-2.675277661457977</x:v>
      </x:c>
      <x:c r="W3337"/>
      <x:c r="X3337"/>
      <x:c r="Y3337" s="38" t="n">
        <x:v>0.6409090909090909</x:v>
      </x:c>
      <x:c r="Z3337" s="38" t="n">
        <x:v>0.06462240494450419</x:v>
      </x:c>
      <x:c r="AA3337" t="str">
        <x:v>NON_POSITIVE_EQUITY_VALUE</x:v>
      </x:c>
    </x:row>
    <x:row r="3338">
      <x:c r="A3338" s="54" t="n">
        <x:v>45930</x:v>
      </x:c>
      <x:c r="B3338" t="n">
        <x:v>45930.624999988424</x:v>
      </x:c>
      <x:c r="C3338" t="str">
        <x:v>004770</x:v>
      </x:c>
      <x:c r="D3338" t="str">
        <x:v>써니전자</x:v>
      </x:c>
      <x:c r="E3338" t="str">
        <x:v>KOSPI</x:v>
      </x:c>
      <x:c r="F3338" t="str">
        <x:v>SMALL</x:v>
      </x:c>
      <x:c r="G3338" t="str">
        <x:v>ELIGIBLE</x:v>
      </x:c>
      <x:c r="H3338"/>
      <x:c r="I3338" s="54" t="n">
        <x:v>45930</x:v>
      </x:c>
      <x:c r="J3338" s="55" t="n">
        <x:v>1555</x:v>
      </x:c>
      <x:c r="K3338" s="55" t="n">
        <x:v>55214066090</x:v>
      </x:c>
      <x:c r="L3338" s="55" t="n">
        <x:v>35507438</x:v>
      </x:c>
      <x:c r="M3338" t="str">
        <x:v>20250317000934</x:v>
      </x:c>
      <x:c r="N3338" t="n">
        <x:v>45733.624999988424</x:v>
      </x:c>
      <x:c r="O3338" s="54" t="n">
        <x:v>45657</x:v>
      </x:c>
      <x:c r="P3338" t="str">
        <x:v>False</x:v>
      </x:c>
      <x:c r="Q3338" t="str">
        <x:v>c66f294c0844e2ff06a9fb7db0538848bd7373f72bea991b9a35ef3ce6e80b54</x:v>
      </x:c>
      <x:c r="R3338" t="str">
        <x:v>f3f195bfe5a776ba4dbad8ccf07ace080d1f2b954107d8e0762b6ece9b5486de</x:v>
      </x:c>
      <x:c r="S3338" t="n">
        <x:v>5</x:v>
      </x:c>
      <x:c r="T3338" t="str">
        <x:v>2018-12-31|2019-12-31|2020-12-31|2021-12-31|2022-12-31|2023-12-31|2024-12-31</x:v>
      </x:c>
      <x:c r="U3338" s="57" t="n">
        <x:v>363.5147766696898</x:v>
      </x:c>
      <x:c r="V3338" s="57" t="n">
        <x:v>-0.766228439440714</x:v>
      </x:c>
      <x:c r="W3338" t="n">
        <x:v>60</x:v>
      </x:c>
      <x:c r="X3338" t="n">
        <x:v>5</x:v>
      </x:c>
      <x:c r="Y3338" s="38" t="n">
        <x:v>0.6409090909090909</x:v>
      </x:c>
      <x:c r="Z3338" s="38" t="n">
        <x:v>0.49542393931877315</x:v>
      </x:c>
      <x:c r="AA3338"/>
    </x:row>
    <x:row r="3339">
      <x:c r="A3339" s="54" t="n">
        <x:v>45930</x:v>
      </x:c>
      <x:c r="B3339" t="n">
        <x:v>45930.624999988424</x:v>
      </x:c>
      <x:c r="C3339" t="str">
        <x:v>000890</x:v>
      </x:c>
      <x:c r="D3339" t="str">
        <x:v>보해양조</x:v>
      </x:c>
      <x:c r="E3339" t="str">
        <x:v>KOSPI</x:v>
      </x:c>
      <x:c r="F3339" t="str">
        <x:v>SMALL</x:v>
      </x:c>
      <x:c r="G3339" t="str">
        <x:v>DCF_SCREENING_EXCLUSION</x:v>
      </x:c>
      <x:c r="H3339" t="str">
        <x:v>NON_POSITIVE_ENTERPRISE_VALUE|NON_POSITIVE_EQUITY_VALUE|NON_POSITIVE_TERMINAL_FCF</x:v>
      </x:c>
      <x:c r="I3339" s="54" t="n">
        <x:v>45930</x:v>
      </x:c>
      <x:c r="J3339" s="55" t="n">
        <x:v>443</x:v>
      </x:c>
      <x:c r="K3339" s="55" t="n">
        <x:v>61630217147</x:v>
      </x:c>
      <x:c r="L3339" s="55" t="n">
        <x:v>139120129</x:v>
      </x:c>
      <x:c r="M3339" t="str">
        <x:v>20250318001002</x:v>
      </x:c>
      <x:c r="N3339" t="n">
        <x:v>45734.624999988424</x:v>
      </x:c>
      <x:c r="O3339" s="54" t="n">
        <x:v>45657</x:v>
      </x:c>
      <x:c r="P3339" t="str">
        <x:v>False</x:v>
      </x:c>
      <x:c r="Q3339" t="str">
        <x:v>8054cb7166001473f94a0d9e21af21ddb8f261c499dfb529c5afbbf86549a334</x:v>
      </x:c>
      <x:c r="R3339" t="str">
        <x:v>f7bbeeae58b22f4ef34bb68ef5da8eeac18b94ac5776f0d967654ab8e36058ab</x:v>
      </x:c>
      <x:c r="S3339" t="n">
        <x:v>6</x:v>
      </x:c>
      <x:c r="T3339" t="str">
        <x:v>2018-12-31|2019-12-31|2020-12-31|2021-12-31|2022-12-31|2023-12-31|2024-12-31</x:v>
      </x:c>
      <x:c r="U3339" s="57" t="n">
        <x:v>-150.13214468034548</x:v>
      </x:c>
      <x:c r="V3339" s="57" t="n">
        <x:v>-1.3388987464567619</x:v>
      </x:c>
      <x:c r="W3339"/>
      <x:c r="X3339"/>
      <x:c r="Y3339" s="38" t="n">
        <x:v>0.6409090909090909</x:v>
      </x:c>
      <x:c r="Z3339" s="38" t="n">
        <x:v>0.7960065703909888</x:v>
      </x:c>
      <x:c r="AA3339" t="str">
        <x:v>NON_POSITIVE_ENTERPRISE_VALUE|NON_POSITIVE_EQUITY_VALUE|NON_POSITIVE_TERMINAL_FCF</x:v>
      </x:c>
    </x:row>
    <x:row r="3340">
      <x:c r="A3340" s="54" t="n">
        <x:v>45930</x:v>
      </x:c>
      <x:c r="B3340" t="n">
        <x:v>45930.624999988424</x:v>
      </x:c>
      <x:c r="C3340" t="str">
        <x:v>021050</x:v>
      </x:c>
      <x:c r="D3340" t="str">
        <x:v>서원</x:v>
      </x:c>
      <x:c r="E3340" t="str">
        <x:v>KOSPI</x:v>
      </x:c>
      <x:c r="F3340" t="str">
        <x:v>SMALL</x:v>
      </x:c>
      <x:c r="G3340" t="str">
        <x:v>DCF_SCREENING_EXCLUSION</x:v>
      </x:c>
      <x:c r="H3340" t="str">
        <x:v>NON_POSITIVE_EQUITY_VALUE</x:v>
      </x:c>
      <x:c r="I3340" s="54" t="n">
        <x:v>45930</x:v>
      </x:c>
      <x:c r="J3340" s="55" t="n">
        <x:v>1138</x:v>
      </x:c>
      <x:c r="K3340" s="55" t="n">
        <x:v>54026083420</x:v>
      </x:c>
      <x:c r="L3340" s="55" t="n">
        <x:v>47474590</x:v>
      </x:c>
      <x:c r="M3340" t="str">
        <x:v>20250320001156</x:v>
      </x:c>
      <x:c r="N3340" t="n">
        <x:v>45736.624999988424</x:v>
      </x:c>
      <x:c r="O3340" s="54" t="n">
        <x:v>45657</x:v>
      </x:c>
      <x:c r="P3340" t="str">
        <x:v>False</x:v>
      </x:c>
      <x:c r="Q3340" t="str">
        <x:v>b685ef75de2be36493fead8fba5a53ebf7b3f2a968a40c9efa56d3dd00b48e98</x:v>
      </x:c>
      <x:c r="R3340" t="str">
        <x:v>aa6e8d32d4333b0e8bbaacb8e4c78a70981592cac081cd73f9020f551d826684</x:v>
      </x:c>
      <x:c r="S3340" t="n">
        <x:v>6</x:v>
      </x:c>
      <x:c r="T3340" t="str">
        <x:v>2018-12-31|2019-12-31|2020-12-31|2021-12-31|2022-12-31|2023-12-31|2024-12-31</x:v>
      </x:c>
      <x:c r="U3340" s="57" t="n">
        <x:v>-5789.297709897163</x:v>
      </x:c>
      <x:c r="V3340" s="57" t="n">
        <x:v>-6.087256335586259</x:v>
      </x:c>
      <x:c r="W3340"/>
      <x:c r="X3340"/>
      <x:c r="Y3340" s="38" t="n">
        <x:v>0.6409090909090909</x:v>
      </x:c>
      <x:c r="Z3340" s="38" t="n">
        <x:v>0.7153986289447738</x:v>
      </x:c>
      <x:c r="AA3340" t="str">
        <x:v>NON_POSITIVE_EQUITY_VALUE</x:v>
      </x:c>
    </x:row>
    <x:row r="3341">
      <x:c r="A3341" s="54" t="n">
        <x:v>45930</x:v>
      </x:c>
      <x:c r="B3341" t="n">
        <x:v>45930.624999988424</x:v>
      </x:c>
      <x:c r="C3341" t="str">
        <x:v>134790</x:v>
      </x:c>
      <x:c r="D3341" t="str">
        <x:v>시디즈</x:v>
      </x:c>
      <x:c r="E3341" t="str">
        <x:v>KOSPI</x:v>
      </x:c>
      <x:c r="F3341" t="str">
        <x:v>SMALL</x:v>
      </x:c>
      <x:c r="G3341" t="str">
        <x:v>DCF_SCREENING_EXCLUSION</x:v>
      </x:c>
      <x:c r="H3341" t="str">
        <x:v>UNRELIABLE_TERMINAL_VALUE_SHARE</x:v>
      </x:c>
      <x:c r="I3341" s="54" t="n">
        <x:v>45930</x:v>
      </x:c>
      <x:c r="J3341" s="55" t="n">
        <x:v>23650</x:v>
      </x:c>
      <x:c r="K3341" s="55" t="n">
        <x:v>47300000000</x:v>
      </x:c>
      <x:c r="L3341" s="55" t="n">
        <x:v>2000000</x:v>
      </x:c>
      <x:c r="M3341" t="str">
        <x:v>20250814002709</x:v>
      </x:c>
      <x:c r="N3341" t="n">
        <x:v>45883.624999988424</x:v>
      </x:c>
      <x:c r="O3341" s="54" t="n">
        <x:v>45657</x:v>
      </x:c>
      <x:c r="P3341" t="str">
        <x:v>True</x:v>
      </x:c>
      <x:c r="Q3341" t="str">
        <x:v>24c084bd216be411d513fb4105f733ea71a2201139662cc2d61fe9fda3e9881e</x:v>
      </x:c>
      <x:c r="R3341" t="str">
        <x:v>c201a60b772704c827b0fca8223a3d28651edb7ba3390093a12eea2914c1bbff</x:v>
      </x:c>
      <x:c r="S3341" t="n">
        <x:v>6</x:v>
      </x:c>
      <x:c r="T3341" t="str">
        <x:v>2018-12-31|2019-12-31|2020-12-31|2021-12-31|2022-12-31|2023-12-31|2024-12-31</x:v>
      </x:c>
      <x:c r="U3341" s="57" t="n">
        <x:v>12330.527772252397</x:v>
      </x:c>
      <x:c r="V3341" s="57" t="n">
        <x:v>-0.4786246185094124</x:v>
      </x:c>
      <x:c r="W3341"/>
      <x:c r="X3341"/>
      <x:c r="Y3341" s="38" t="n">
        <x:v>0.6409090909090909</x:v>
      </x:c>
      <x:c r="Z3341" s="38" t="n">
        <x:v>1.09981550173828</x:v>
      </x:c>
      <x:c r="AA3341" t="str">
        <x:v>UNRELIABLE_TERMINAL_VALUE_SHARE</x:v>
      </x:c>
    </x:row>
    <x:row r="3342">
      <x:c r="A3342" s="54" t="n">
        <x:v>45930</x:v>
      </x:c>
      <x:c r="B3342" t="n">
        <x:v>45930.624999988424</x:v>
      </x:c>
      <x:c r="C3342" t="str">
        <x:v>004920</x:v>
      </x:c>
      <x:c r="D3342" t="str">
        <x:v>씨아이테크</x:v>
      </x:c>
      <x:c r="E3342" t="str">
        <x:v>KOSPI</x:v>
      </x:c>
      <x:c r="F3342" t="str">
        <x:v>SMALL</x:v>
      </x:c>
      <x:c r="G3342" t="str">
        <x:v>DCF_SCREENING_EXCLUSION</x:v>
      </x:c>
      <x:c r="H3342" t="str">
        <x:v>NON_POSITIVE_ENTERPRISE_VALUE|NON_POSITIVE_EQUITY_VALUE|NON_POSITIVE_TERMINAL_FCF</x:v>
      </x:c>
      <x:c r="I3342" s="54" t="n">
        <x:v>45930</x:v>
      </x:c>
      <x:c r="J3342" s="55" t="n">
        <x:v>1327</x:v>
      </x:c>
      <x:c r="K3342" s="55" t="n">
        <x:v>66437307311</x:v>
      </x:c>
      <x:c r="L3342" s="55" t="n">
        <x:v>50065793</x:v>
      </x:c>
      <x:c r="M3342" t="str">
        <x:v>20250321000753</x:v>
      </x:c>
      <x:c r="N3342" t="n">
        <x:v>45737.624999988424</x:v>
      </x:c>
      <x:c r="O3342" s="54" t="n">
        <x:v>45657</x:v>
      </x:c>
      <x:c r="P3342" t="str">
        <x:v>False</x:v>
      </x:c>
      <x:c r="Q3342" t="str">
        <x:v>4606073a08144d6a2a56e71ffc64dcaab42951eb56480e2afc1bc44d5186e920</x:v>
      </x:c>
      <x:c r="R3342" t="str">
        <x:v>a28345c7c43d50b0cf348240aa5fbf254a925a1c72684fc69a6af89f671ccb9a</x:v>
      </x:c>
      <x:c r="S3342" t="n">
        <x:v>6</x:v>
      </x:c>
      <x:c r="T3342" t="str">
        <x:v>2018-12-31|2019-12-31|2020-12-31|2021-12-31|2022-12-31|2024-12-31</x:v>
      </x:c>
      <x:c r="U3342" s="57" t="n">
        <x:v>-803.1174312182962</x:v>
      </x:c>
      <x:c r="V3342" s="57" t="n">
        <x:v>-1.6052128343770131</x:v>
      </x:c>
      <x:c r="W3342"/>
      <x:c r="X3342"/>
      <x:c r="Y3342" s="38" t="n">
        <x:v>0.6409090909090909</x:v>
      </x:c>
      <x:c r="Z3342" s="38" t="n">
        <x:v>0.5598566007081642</x:v>
      </x:c>
      <x:c r="AA3342" t="str">
        <x:v>NON_POSITIVE_ENTERPRISE_VALUE|NON_POSITIVE_EQUITY_VALUE|NON_POSITIVE_TERMINAL_FCF</x:v>
      </x:c>
    </x:row>
    <x:row r="3343">
      <x:c r="A3343" s="54" t="n">
        <x:v>45930</x:v>
      </x:c>
      <x:c r="B3343" t="n">
        <x:v>45930.624999988424</x:v>
      </x:c>
      <x:c r="C3343" t="str">
        <x:v>058730</x:v>
      </x:c>
      <x:c r="D3343" t="str">
        <x:v>다스코</x:v>
      </x:c>
      <x:c r="E3343" t="str">
        <x:v>KOSPI</x:v>
      </x:c>
      <x:c r="F3343" t="str">
        <x:v>SMALL</x:v>
      </x:c>
      <x:c r="G3343" t="str">
        <x:v>DCF_SCREENING_EXCLUSION</x:v>
      </x:c>
      <x:c r="H3343" t="str">
        <x:v>UNRELIABLE_TERMINAL_VALUE_SHARE</x:v>
      </x:c>
      <x:c r="I3343" s="54" t="n">
        <x:v>45930</x:v>
      </x:c>
      <x:c r="J3343" s="55" t="n">
        <x:v>2790</x:v>
      </x:c>
      <x:c r="K3343" s="55" t="n">
        <x:v>52443465390</x:v>
      </x:c>
      <x:c r="L3343" s="55" t="n">
        <x:v>18796941</x:v>
      </x:c>
      <x:c r="M3343" t="str">
        <x:v>20250314000954</x:v>
      </x:c>
      <x:c r="N3343" t="n">
        <x:v>45730.624999988424</x:v>
      </x:c>
      <x:c r="O3343" s="54" t="n">
        <x:v>45657</x:v>
      </x:c>
      <x:c r="P3343" t="str">
        <x:v>False</x:v>
      </x:c>
      <x:c r="Q3343" t="str">
        <x:v>fa1d8ec6a006c09e770c711aa7e4b87adadd981e96034f1b065f252260d0c46e</x:v>
      </x:c>
      <x:c r="R3343" t="str">
        <x:v>614c48babc6a1cfec15605db94e5f9e896887d76082d901b490b241f48590823</x:v>
      </x:c>
      <x:c r="S3343" t="n">
        <x:v>7</x:v>
      </x:c>
      <x:c r="T3343" t="str">
        <x:v>2019-12-31|2020-12-31|2021-12-31|2022-12-31|2023-12-31|2024-12-31</x:v>
      </x:c>
      <x:c r="U3343" s="57" t="n">
        <x:v>2140.7137085885065</x:v>
      </x:c>
      <x:c r="V3343" s="57" t="n">
        <x:v>-0.2327191008643345</x:v>
      </x:c>
      <x:c r="W3343"/>
      <x:c r="X3343"/>
      <x:c r="Y3343" s="38" t="n">
        <x:v>0.6409090909090909</x:v>
      </x:c>
      <x:c r="Z3343" s="38" t="n">
        <x:v>1.2046212679337829</x:v>
      </x:c>
      <x:c r="AA3343" t="str">
        <x:v>UNRELIABLE_TERMINAL_VALUE_SHARE</x:v>
      </x:c>
    </x:row>
    <x:row r="3344">
      <x:c r="A3344" s="54" t="n">
        <x:v>45930</x:v>
      </x:c>
      <x:c r="B3344" t="n">
        <x:v>45930.624999988424</x:v>
      </x:c>
      <x:c r="C3344" t="str">
        <x:v>465770</x:v>
      </x:c>
      <x:c r="D3344" t="str">
        <x:v>STX그린로지스</x:v>
      </x:c>
      <x:c r="E3344" t="str">
        <x:v>KOSPI</x:v>
      </x:c>
      <x:c r="F3344" t="str">
        <x:v>SMALL</x:v>
      </x:c>
      <x:c r="G3344" t="str">
        <x:v>DCF_SCREENING_EXCLUSION</x:v>
      </x:c>
      <x:c r="H3344" t="str">
        <x:v>NON_POSITIVE_EQUITY_VALUE</x:v>
      </x:c>
      <x:c r="I3344" s="54" t="n">
        <x:v>45930</x:v>
      </x:c>
      <x:c r="J3344" s="55" t="n">
        <x:v>7350</x:v>
      </x:c>
      <x:c r="K3344" s="55" t="n">
        <x:v>52707085200</x:v>
      </x:c>
      <x:c r="L3344" s="55" t="n">
        <x:v>7171032</x:v>
      </x:c>
      <x:c r="M3344" t="str">
        <x:v>20250320001570</x:v>
      </x:c>
      <x:c r="N3344" t="n">
        <x:v>45736.624999988424</x:v>
      </x:c>
      <x:c r="O3344" s="54" t="n">
        <x:v>45657</x:v>
      </x:c>
      <x:c r="P3344" t="str">
        <x:v>False</x:v>
      </x:c>
      <x:c r="Q3344" t="str">
        <x:v>d121e14c692cac8ceb602b9a7980a2acc3cea9da60dbd30b1ecbd780002c6e62</x:v>
      </x:c>
      <x:c r="R3344" t="str">
        <x:v>54e470457badd0c42cfa2d363b4ba2b6a74816f35a1067daae482dc1d10324a2</x:v>
      </x:c>
      <x:c r="S3344" t="n">
        <x:v>6</x:v>
      </x:c>
      <x:c r="T3344" t="str">
        <x:v>2024-12-31</x:v>
      </x:c>
      <x:c r="U3344" s="57" t="n">
        <x:v>-1760.214629273583</x:v>
      </x:c>
      <x:c r="V3344" s="57" t="n">
        <x:v>-1.239484983574637</x:v>
      </x:c>
      <x:c r="W3344"/>
      <x:c r="X3344"/>
      <x:c r="Y3344" s="38" t="n">
        <x:v>0.6409090909090909</x:v>
      </x:c>
      <x:c r="Z3344" s="38" t="n">
        <x:v>0.6264850986190418</x:v>
      </x:c>
      <x:c r="AA3344" t="str">
        <x:v>NON_POSITIVE_EQUITY_VALUE</x:v>
      </x:c>
    </x:row>
    <x:row r="3345">
      <x:c r="A3345" s="54" t="n">
        <x:v>45930</x:v>
      </x:c>
      <x:c r="B3345" t="n">
        <x:v>45930.624999988424</x:v>
      </x:c>
      <x:c r="C3345" t="str">
        <x:v>000950</x:v>
      </x:c>
      <x:c r="D3345" t="str">
        <x:v>전방</x:v>
      </x:c>
      <x:c r="E3345" t="str">
        <x:v>KOSPI</x:v>
      </x:c>
      <x:c r="F3345" t="str">
        <x:v>SMALL</x:v>
      </x:c>
      <x:c r="G3345" t="str">
        <x:v>DCF_SCREENING_EXCLUSION</x:v>
      </x:c>
      <x:c r="H3345" t="str">
        <x:v>NON_POSITIVE_ENTERPRISE_VALUE|NON_POSITIVE_EQUITY_VALUE|NON_POSITIVE_TERMINAL_FCF</x:v>
      </x:c>
      <x:c r="I3345" s="54" t="n">
        <x:v>45930</x:v>
      </x:c>
      <x:c r="J3345" s="55" t="n">
        <x:v>36500</x:v>
      </x:c>
      <x:c r="K3345" s="55" t="n">
        <x:v>61320000000</x:v>
      </x:c>
      <x:c r="L3345" s="55" t="n">
        <x:v>1680000</x:v>
      </x:c>
      <x:c r="M3345" t="str">
        <x:v>20250814001278</x:v>
      </x:c>
      <x:c r="N3345" t="n">
        <x:v>45883.624999988424</x:v>
      </x:c>
      <x:c r="O3345" s="54" t="n">
        <x:v>45657</x:v>
      </x:c>
      <x:c r="P3345" t="str">
        <x:v>True</x:v>
      </x:c>
      <x:c r="Q3345" t="str">
        <x:v>8dc8c440b04752bcd1c03196a236d58624f21d8d8359676930d128677ec1aa4a</x:v>
      </x:c>
      <x:c r="R3345" t="str">
        <x:v>da902546618a7a45013c23679d3b0491116eb2035db05fd5e5546eff9874bcee</x:v>
      </x:c>
      <x:c r="S3345" t="n">
        <x:v>6</x:v>
      </x:c>
      <x:c r="T3345" t="str">
        <x:v>2018-12-31|2019-12-31|2020-12-31|2021-12-31|2022-12-31|2023-12-31|2024-12-31</x:v>
      </x:c>
      <x:c r="U3345" s="57" t="n">
        <x:v>-34229.73384126007</x:v>
      </x:c>
      <x:c r="V3345" s="57" t="n">
        <x:v>-1.9378009271578103</x:v>
      </x:c>
      <x:c r="W3345"/>
      <x:c r="X3345"/>
      <x:c r="Y3345" s="38" t="n">
        <x:v>0.6409090909090909</x:v>
      </x:c>
      <x:c r="Z3345" s="38" t="n">
        <x:v>0.67601505059011</x:v>
      </x:c>
      <x:c r="AA3345" t="str">
        <x:v>NON_POSITIVE_ENTERPRISE_VALUE|NON_POSITIVE_EQUITY_VALUE|NON_POSITIVE_TERMINAL_FCF</x:v>
      </x:c>
    </x:row>
    <x:row r="3346">
      <x:c r="A3346" s="54" t="n">
        <x:v>45930</x:v>
      </x:c>
      <x:c r="B3346" t="n">
        <x:v>45930.624999988424</x:v>
      </x:c>
      <x:c r="C3346" t="str">
        <x:v>019180</x:v>
      </x:c>
      <x:c r="D3346" t="str">
        <x:v>티에이치엔</x:v>
      </x:c>
      <x:c r="E3346" t="str">
        <x:v>KOSPI</x:v>
      </x:c>
      <x:c r="F3346" t="str">
        <x:v>SMALL</x:v>
      </x:c>
      <x:c r="G3346" t="str">
        <x:v>ELIGIBLE</x:v>
      </x:c>
      <x:c r="H3346"/>
      <x:c r="I3346" s="54" t="n">
        <x:v>45930</x:v>
      </x:c>
      <x:c r="J3346" s="55" t="n">
        <x:v>5820</x:v>
      </x:c>
      <x:c r="K3346" s="55" t="n">
        <x:v>104760000000</x:v>
      </x:c>
      <x:c r="L3346" s="55" t="n">
        <x:v>18000000</x:v>
      </x:c>
      <x:c r="M3346" t="str">
        <x:v>20250319001022</x:v>
      </x:c>
      <x:c r="N3346" t="n">
        <x:v>45735.624999988424</x:v>
      </x:c>
      <x:c r="O3346" s="54" t="n">
        <x:v>45657</x:v>
      </x:c>
      <x:c r="P3346" t="str">
        <x:v>False</x:v>
      </x:c>
      <x:c r="Q3346" t="str">
        <x:v>573f266eaebe16204c58a9dadb3dcdaa6152ac3917c11c554f66009c97884879</x:v>
      </x:c>
      <x:c r="R3346" t="str">
        <x:v>5c2cc694c9832735f982261b31d37532714d82e03b78684a246e3a97c2429987</x:v>
      </x:c>
      <x:c r="S3346" t="n">
        <x:v>6</x:v>
      </x:c>
      <x:c r="T3346" t="str">
        <x:v>2018-12-31|2019-12-31|2020-12-31|2021-12-31|2022-12-31|2023-12-31|2024-12-31</x:v>
      </x:c>
      <x:c r="U3346" s="57" t="n">
        <x:v>8989.47960606312</x:v>
      </x:c>
      <x:c r="V3346" s="57" t="n">
        <x:v>0.5445841247531132</x:v>
      </x:c>
      <x:c r="W3346" t="n">
        <x:v>14</x:v>
      </x:c>
      <x:c r="X3346" t="n">
        <x:v>1</x:v>
      </x:c>
      <x:c r="Y3346" s="38" t="n">
        <x:v>0.6409090909090909</x:v>
      </x:c>
      <x:c r="Z3346" s="38" t="n">
        <x:v>0.674716089310188</x:v>
      </x:c>
      <x:c r="AA3346"/>
    </x:row>
    <x:row r="3347">
      <x:c r="A3347" s="54" t="n">
        <x:v>45930</x:v>
      </x:c>
      <x:c r="B3347" t="n">
        <x:v>45930.624999988424</x:v>
      </x:c>
      <x:c r="C3347" t="str">
        <x:v>020760</x:v>
      </x:c>
      <x:c r="D3347" t="str">
        <x:v>일진디스플</x:v>
      </x:c>
      <x:c r="E3347" t="str">
        <x:v>KOSPI</x:v>
      </x:c>
      <x:c r="F3347" t="str">
        <x:v>SMALL</x:v>
      </x:c>
      <x:c r="G3347" t="str">
        <x:v>DCF_SCREENING_EXCLUSION</x:v>
      </x:c>
      <x:c r="H3347" t="str">
        <x:v>NON_POSITIVE_ENTERPRISE_VALUE|NON_POSITIVE_EQUITY_VALUE|NON_POSITIVE_TERMINAL_FCF</x:v>
      </x:c>
      <x:c r="I3347" s="54" t="n">
        <x:v>45930</x:v>
      </x:c>
      <x:c r="J3347" s="55" t="n">
        <x:v>902</x:v>
      </x:c>
      <x:c r="K3347" s="55" t="n">
        <x:v>46465394382</x:v>
      </x:c>
      <x:c r="L3347" s="55" t="n">
        <x:v>51513741</x:v>
      </x:c>
      <x:c r="M3347" t="str">
        <x:v>20250320000779</x:v>
      </x:c>
      <x:c r="N3347" t="n">
        <x:v>45736.624999988424</x:v>
      </x:c>
      <x:c r="O3347" s="54" t="n">
        <x:v>45657</x:v>
      </x:c>
      <x:c r="P3347" t="str">
        <x:v>False</x:v>
      </x:c>
      <x:c r="Q3347" t="str">
        <x:v>16b8835561dc517a9382bd570df752c796d3792b155120b70f5f9625f768f5cf</x:v>
      </x:c>
      <x:c r="R3347" t="str">
        <x:v>bcfeb149ae389f115043d549814c300b4b0db4c5de38e3a26d6d3ef0be62ff18</x:v>
      </x:c>
      <x:c r="S3347" t="n">
        <x:v>6</x:v>
      </x:c>
      <x:c r="T3347" t="str">
        <x:v>2018-12-31|2019-12-31|2020-12-31|2021-12-31|2022-12-31|2023-12-31|2024-12-31</x:v>
      </x:c>
      <x:c r="U3347" s="57" t="n">
        <x:v>-1878.0025515690484</x:v>
      </x:c>
      <x:c r="V3347" s="57" t="n">
        <x:v>-3.082042740098723</x:v>
      </x:c>
      <x:c r="W3347"/>
      <x:c r="X3347"/>
      <x:c r="Y3347" s="38" t="n">
        <x:v>0.6409090909090909</x:v>
      </x:c>
      <x:c r="Z3347" s="38" t="n">
        <x:v>0.8007232961037322</x:v>
      </x:c>
      <x:c r="AA3347" t="str">
        <x:v>NON_POSITIVE_ENTERPRISE_VALUE|NON_POSITIVE_EQUITY_VALUE|NON_POSITIVE_TERMINAL_FCF</x:v>
      </x:c>
    </x:row>
    <x:row r="3348">
      <x:c r="A3348" s="54" t="n">
        <x:v>45930</x:v>
      </x:c>
      <x:c r="B3348" t="n">
        <x:v>45930.624999988424</x:v>
      </x:c>
      <x:c r="C3348" t="str">
        <x:v>069640</x:v>
      </x:c>
      <x:c r="D3348" t="str">
        <x:v>한세엠케이</x:v>
      </x:c>
      <x:c r="E3348" t="str">
        <x:v>KOSPI</x:v>
      </x:c>
      <x:c r="F3348" t="str">
        <x:v>SMALL</x:v>
      </x:c>
      <x:c r="G3348" t="str">
        <x:v>DCF_SCREENING_EXCLUSION</x:v>
      </x:c>
      <x:c r="H3348" t="str">
        <x:v>NON_POSITIVE_ENTERPRISE_VALUE|NON_POSITIVE_EQUITY_VALUE|NON_POSITIVE_TERMINAL_FCF</x:v>
      </x:c>
      <x:c r="I3348" s="54" t="n">
        <x:v>45930</x:v>
      </x:c>
      <x:c r="J3348" s="55" t="n">
        <x:v>784</x:v>
      </x:c>
      <x:c r="K3348" s="55" t="n">
        <x:v>35128297568</x:v>
      </x:c>
      <x:c r="L3348" s="55" t="n">
        <x:v>44806502</x:v>
      </x:c>
      <x:c r="M3348" t="str">
        <x:v>20250318000981</x:v>
      </x:c>
      <x:c r="N3348" t="n">
        <x:v>45734.624999988424</x:v>
      </x:c>
      <x:c r="O3348" s="54" t="n">
        <x:v>45657</x:v>
      </x:c>
      <x:c r="P3348" t="str">
        <x:v>False</x:v>
      </x:c>
      <x:c r="Q3348" t="str">
        <x:v>9c58323ae1aac5c3f40ffa8edf007ceee6686444a02103d418f1ed14604a5192</x:v>
      </x:c>
      <x:c r="R3348" t="str">
        <x:v>fe0eb01acddbc7e8e59dc02117ad9b76925ce6c97658cb38a2196272fc052398</x:v>
      </x:c>
      <x:c r="S3348" t="n">
        <x:v>6</x:v>
      </x:c>
      <x:c r="T3348" t="str">
        <x:v>2018-12-31|2019-12-31|2020-12-31|2021-12-31|2022-12-31|2023-12-31|2024-12-31</x:v>
      </x:c>
      <x:c r="U3348" s="57" t="n">
        <x:v>-6527.135044026834</x:v>
      </x:c>
      <x:c r="V3348" s="57" t="n">
        <x:v>-9.325427352075044</x:v>
      </x:c>
      <x:c r="W3348"/>
      <x:c r="X3348"/>
      <x:c r="Y3348" s="38" t="n">
        <x:v>0.6409090909090909</x:v>
      </x:c>
      <x:c r="Z3348" s="38" t="n">
        <x:v>0.6496510441218734</x:v>
      </x:c>
      <x:c r="AA3348" t="str">
        <x:v>NON_POSITIVE_ENTERPRISE_VALUE|NON_POSITIVE_EQUITY_VALUE|NON_POSITIVE_TERMINAL_FCF</x:v>
      </x:c>
    </x:row>
    <x:row r="3349">
      <x:c r="A3349" s="54" t="n">
        <x:v>45930</x:v>
      </x:c>
      <x:c r="B3349" t="n">
        <x:v>45930.624999988424</x:v>
      </x:c>
      <x:c r="C3349" t="str">
        <x:v>000040</x:v>
      </x:c>
      <x:c r="D3349" t="str">
        <x:v>KR모터스</x:v>
      </x:c>
      <x:c r="E3349" t="str">
        <x:v>KOSPI</x:v>
      </x:c>
      <x:c r="F3349" t="str">
        <x:v>SMALL</x:v>
      </x:c>
      <x:c r="G3349" t="str">
        <x:v>DCF_SCREENING_EXCLUSION</x:v>
      </x:c>
      <x:c r="H3349" t="str">
        <x:v>NON_POSITIVE_ENTERPRISE_VALUE|NON_POSITIVE_EQUITY_VALUE|NON_POSITIVE_TERMINAL_FCF</x:v>
      </x:c>
      <x:c r="I3349" s="54" t="n">
        <x:v>45930</x:v>
      </x:c>
      <x:c r="J3349" s="55" t="n">
        <x:v>550</x:v>
      </x:c>
      <x:c r="K3349" s="55" t="n">
        <x:v>47506351200</x:v>
      </x:c>
      <x:c r="L3349" s="55" t="n">
        <x:v>86375184</x:v>
      </x:c>
      <x:c r="M3349" t="str">
        <x:v>20250319000576</x:v>
      </x:c>
      <x:c r="N3349" t="n">
        <x:v>45735.624999988424</x:v>
      </x:c>
      <x:c r="O3349" s="54" t="n">
        <x:v>45657</x:v>
      </x:c>
      <x:c r="P3349" t="str">
        <x:v>False</x:v>
      </x:c>
      <x:c r="Q3349" t="str">
        <x:v>4f5ab78e7a1b7476add909277456c1a4491388edb5f660301b186880dd65de8a</x:v>
      </x:c>
      <x:c r="R3349" t="str">
        <x:v>4788091e9dcdc8bc2510aeb6ed40fcfc22bdbd3141a793fe3bc85d445b2507cf</x:v>
      </x:c>
      <x:c r="S3349" t="n">
        <x:v>6</x:v>
      </x:c>
      <x:c r="T3349" t="str">
        <x:v>2018-12-31|2019-12-31|2020-12-31|2021-12-31|2022-12-31|2023-12-31|2024-12-31</x:v>
      </x:c>
      <x:c r="U3349" s="57" t="n">
        <x:v>-434.0464673671284</x:v>
      </x:c>
      <x:c r="V3349" s="57" t="n">
        <x:v>-1.7891753952129608</x:v>
      </x:c>
      <x:c r="W3349"/>
      <x:c r="X3349"/>
      <x:c r="Y3349" s="38" t="n">
        <x:v>0.6409090909090909</x:v>
      </x:c>
      <x:c r="Z3349" s="38" t="n">
        <x:v>0.5996076659126696</x:v>
      </x:c>
      <x:c r="AA3349" t="str">
        <x:v>NON_POSITIVE_ENTERPRISE_VALUE|NON_POSITIVE_EQUITY_VALUE|NON_POSITIVE_TERMINAL_FCF</x:v>
      </x:c>
    </x:row>
    <x:row r="3350">
      <x:c r="A3350" s="54" t="n">
        <x:v>45930</x:v>
      </x:c>
      <x:c r="B3350" t="n">
        <x:v>45930.624999988424</x:v>
      </x:c>
      <x:c r="C3350" t="str">
        <x:v>003680</x:v>
      </x:c>
      <x:c r="D3350" t="str">
        <x:v>한성기업</x:v>
      </x:c>
      <x:c r="E3350" t="str">
        <x:v>KOSPI</x:v>
      </x:c>
      <x:c r="F3350" t="str">
        <x:v>SMALL</x:v>
      </x:c>
      <x:c r="G3350" t="str">
        <x:v>ELIGIBLE</x:v>
      </x:c>
      <x:c r="H3350"/>
      <x:c r="I3350" s="54" t="n">
        <x:v>45930</x:v>
      </x:c>
      <x:c r="J3350" s="55" t="n">
        <x:v>5420</x:v>
      </x:c>
      <x:c r="K3350" s="55" t="n">
        <x:v>33655571300</x:v>
      </x:c>
      <x:c r="L3350" s="55" t="n">
        <x:v>6209515</x:v>
      </x:c>
      <x:c r="M3350" t="str">
        <x:v>20250318001322</x:v>
      </x:c>
      <x:c r="N3350" t="n">
        <x:v>45734.624999988424</x:v>
      </x:c>
      <x:c r="O3350" s="54" t="n">
        <x:v>45657</x:v>
      </x:c>
      <x:c r="P3350" t="str">
        <x:v>False</x:v>
      </x:c>
      <x:c r="Q3350" t="str">
        <x:v>5241605bdc758e0ffb8ed8129cf39dcec770d090d1f4fc731e1e9cf1bc134878</x:v>
      </x:c>
      <x:c r="R3350" t="str">
        <x:v>46dca6e7e2b5dcf66ade73d250129a28e775eaeefea52bebe6e134b3485e8e6f</x:v>
      </x:c>
      <x:c r="S3350" t="n">
        <x:v>7</x:v>
      </x:c>
      <x:c r="T3350" t="str">
        <x:v>2018-12-31|2019-12-31|2020-12-31|2021-12-31|2022-12-31|2023-12-31|2024-12-31</x:v>
      </x:c>
      <x:c r="U3350" s="57" t="n">
        <x:v>6589.2841745280675</x:v>
      </x:c>
      <x:c r="V3350" s="57" t="n">
        <x:v>0.215735087551304</x:v>
      </x:c>
      <x:c r="W3350" t="n">
        <x:v>19</x:v>
      </x:c>
      <x:c r="X3350" t="n">
        <x:v>2</x:v>
      </x:c>
      <x:c r="Y3350" s="38" t="n">
        <x:v>0.6409090909090909</x:v>
      </x:c>
      <x:c r="Z3350" s="38" t="n">
        <x:v>0.5604404041626484</x:v>
      </x:c>
      <x:c r="AA3350"/>
    </x:row>
    <x:row r="3351">
      <x:c r="A3351" s="54" t="n">
        <x:v>45930</x:v>
      </x:c>
      <x:c r="B3351" t="n">
        <x:v>45930.624999988424</x:v>
      </x:c>
      <x:c r="C3351" t="str">
        <x:v>008600</x:v>
      </x:c>
      <x:c r="D3351" t="str">
        <x:v>윌비스</x:v>
      </x:c>
      <x:c r="E3351" t="str">
        <x:v>KOSPI</x:v>
      </x:c>
      <x:c r="F3351" t="str">
        <x:v>SMALL</x:v>
      </x:c>
      <x:c r="G3351" t="str">
        <x:v>DCF_SCREENING_EXCLUSION</x:v>
      </x:c>
      <x:c r="H3351" t="str">
        <x:v>NON_POSITIVE_ENTERPRISE_VALUE|NON_POSITIVE_EQUITY_VALUE|NON_POSITIVE_TERMINAL_FCF</x:v>
      </x:c>
      <x:c r="I3351" s="54" t="n">
        <x:v>45930</x:v>
      </x:c>
      <x:c r="J3351" s="55" t="n">
        <x:v>324</x:v>
      </x:c>
      <x:c r="K3351" s="55" t="n">
        <x:v>21784476636</x:v>
      </x:c>
      <x:c r="L3351" s="55" t="n">
        <x:v>67236039</x:v>
      </x:c>
      <x:c r="M3351" t="str">
        <x:v>20250327001289</x:v>
      </x:c>
      <x:c r="N3351" t="n">
        <x:v>45743.624999988424</x:v>
      </x:c>
      <x:c r="O3351" s="54" t="n">
        <x:v>45657</x:v>
      </x:c>
      <x:c r="P3351" t="str">
        <x:v>False</x:v>
      </x:c>
      <x:c r="Q3351" t="str">
        <x:v>568775c89ab7f3228b1a6d38af4e2946d92cf0673716b3c18208ea502609ef38</x:v>
      </x:c>
      <x:c r="R3351" t="str">
        <x:v>d956a0c82704e8133e88cfa62430f585474645b847691fe88b454e58037d3dd4</x:v>
      </x:c>
      <x:c r="S3351" t="n">
        <x:v>6</x:v>
      </x:c>
      <x:c r="T3351" t="str">
        <x:v>2018-12-31|2019-12-31|2020-12-31|2021-12-31|2022-12-31|2023-12-31|2024-12-31</x:v>
      </x:c>
      <x:c r="U3351" s="57" t="n">
        <x:v>-2844.6925454416023</x:v>
      </x:c>
      <x:c r="V3351" s="57" t="n">
        <x:v>-9.77991526370865</x:v>
      </x:c>
      <x:c r="W3351"/>
      <x:c r="X3351"/>
      <x:c r="Y3351" s="38" t="n">
        <x:v>0.6409090909090909</x:v>
      </x:c>
      <x:c r="Z3351" s="38" t="n">
        <x:v>0.4646642476024235</x:v>
      </x:c>
      <x:c r="AA3351" t="str">
        <x:v>NON_POSITIVE_ENTERPRISE_VALUE|NON_POSITIVE_EQUITY_VALUE|NON_POSITIVE_TERMINAL_FCF</x:v>
      </x:c>
    </x:row>
    <x:row r="3352">
      <x:c r="A3352" s="54" t="n">
        <x:v>45930</x:v>
      </x:c>
      <x:c r="B3352" t="n">
        <x:v>45930.624999988424</x:v>
      </x:c>
      <x:c r="C3352" t="str">
        <x:v>018310</x:v>
      </x:c>
      <x:c r="D3352" t="str">
        <x:v>삼목에스폼</x:v>
      </x:c>
      <x:c r="E3352" t="str">
        <x:v>KOSDAQ</x:v>
      </x:c>
      <x:c r="F3352" t="str">
        <x:v>MID</x:v>
      </x:c>
      <x:c r="G3352" t="str">
        <x:v>ELIGIBLE</x:v>
      </x:c>
      <x:c r="H3352"/>
      <x:c r="I3352" s="54" t="n">
        <x:v>45930</x:v>
      </x:c>
      <x:c r="J3352" s="55" t="n">
        <x:v>22800</x:v>
      </x:c>
      <x:c r="K3352" s="55" t="n">
        <x:v>335160000000</x:v>
      </x:c>
      <x:c r="L3352" s="55" t="n">
        <x:v>14700000</x:v>
      </x:c>
      <x:c r="M3352" t="str">
        <x:v>20250320001557</x:v>
      </x:c>
      <x:c r="N3352" t="n">
        <x:v>45736.624999988424</x:v>
      </x:c>
      <x:c r="O3352" s="54" t="n">
        <x:v>45657</x:v>
      </x:c>
      <x:c r="P3352" t="str">
        <x:v>False</x:v>
      </x:c>
      <x:c r="Q3352" t="str">
        <x:v>143b4484fd75ff7a47f5cc16f19390bb5cc41a3582e07f0208e5f7daafbac63c</x:v>
      </x:c>
      <x:c r="R3352" t="str">
        <x:v>878ba03abda96cfd7fd3a85c53ade97321db7faf3ccc10122c5d3cf6b7a576eb</x:v>
      </x:c>
      <x:c r="S3352" t="n">
        <x:v>7</x:v>
      </x:c>
      <x:c r="T3352" t="str">
        <x:v>2018-12-31|2019-12-31|2020-12-31|2021-12-31|2022-12-31|2023-12-31|2024-12-31</x:v>
      </x:c>
      <x:c r="U3352" s="57" t="n">
        <x:v>77823.44787466203</x:v>
      </x:c>
      <x:c r="V3352" s="57" t="n">
        <x:v>2.4133091173097383</x:v>
      </x:c>
      <x:c r="W3352" t="n">
        <x:v>2</x:v>
      </x:c>
      <x:c r="X3352" t="n">
        <x:v>1</x:v>
      </x:c>
      <x:c r="Y3352" s="38" t="n">
        <x:v>0.6409090909090909</x:v>
      </x:c>
      <x:c r="Z3352" s="38" t="n">
        <x:v>0.6923848310222026</x:v>
      </x:c>
      <x:c r="AA3352"/>
    </x:row>
    <x:row r="3353">
      <x:c r="A3353" s="54" t="n">
        <x:v>45930</x:v>
      </x:c>
      <x:c r="B3353" t="n">
        <x:v>45930.624999988424</x:v>
      </x:c>
      <x:c r="C3353" t="str">
        <x:v>090360</x:v>
      </x:c>
      <x:c r="D3353" t="str">
        <x:v>로보스타</x:v>
      </x:c>
      <x:c r="E3353" t="str">
        <x:v>KOSDAQ</x:v>
      </x:c>
      <x:c r="F3353" t="str">
        <x:v>MID</x:v>
      </x:c>
      <x:c r="G3353" t="str">
        <x:v>DCF_SCREENING_EXCLUSION</x:v>
      </x:c>
      <x:c r="H3353" t="str">
        <x:v>NON_POSITIVE_ENTERPRISE_VALUE|NON_POSITIVE_TERMINAL_FCF|UNRELIABLE_TERMINAL_VALUE_SHARE</x:v>
      </x:c>
      <x:c r="I3353" s="54" t="n">
        <x:v>45930</x:v>
      </x:c>
      <x:c r="J3353" s="55" t="n">
        <x:v>44500</x:v>
      </x:c>
      <x:c r="K3353" s="55" t="n">
        <x:v>433875000000</x:v>
      </x:c>
      <x:c r="L3353" s="55" t="n">
        <x:v>9750000</x:v>
      </x:c>
      <x:c r="M3353" t="str">
        <x:v>20250313001105</x:v>
      </x:c>
      <x:c r="N3353" t="n">
        <x:v>45729.624999988424</x:v>
      </x:c>
      <x:c r="O3353" s="54" t="n">
        <x:v>45657</x:v>
      </x:c>
      <x:c r="P3353" t="str">
        <x:v>False</x:v>
      </x:c>
      <x:c r="Q3353" t="str">
        <x:v>26e45c537b6f2838a2381bc66ab038990f5de805ff8e8ecc9feb364708303158</x:v>
      </x:c>
      <x:c r="R3353" t="str">
        <x:v>75b05092f616451ff27bdd03babb1cfb602383368bedb95d27ef0de6f7bcaf85</x:v>
      </x:c>
      <x:c r="S3353" t="n">
        <x:v>5</x:v>
      </x:c>
      <x:c r="T3353" t="str">
        <x:v>2018-12-31|2019-12-31|2020-12-31|2021-12-31|2022-12-31|2023-12-31|2024-12-31</x:v>
      </x:c>
      <x:c r="U3353" s="57" t="n">
        <x:v>2662.2609233060643</x:v>
      </x:c>
      <x:c r="V3353" s="57" t="n">
        <x:v>-0.9401739118358188</x:v>
      </x:c>
      <x:c r="W3353"/>
      <x:c r="X3353"/>
      <x:c r="Y3353" s="38" t="n">
        <x:v>0.6409090909090909</x:v>
      </x:c>
      <x:c r="Z3353" s="38" t="n">
        <x:v>0.8762995317786666</x:v>
      </x:c>
      <x:c r="AA3353" t="str">
        <x:v>NON_POSITIVE_ENTERPRISE_VALUE|NON_POSITIVE_TERMINAL_FCF|UNRELIABLE_TERMINAL_VALUE_SHARE</x:v>
      </x:c>
    </x:row>
    <x:row r="3354">
      <x:c r="A3354" s="54" t="n">
        <x:v>45930</x:v>
      </x:c>
      <x:c r="B3354" t="n">
        <x:v>45930.624999988424</x:v>
      </x:c>
      <x:c r="C3354" t="str">
        <x:v>144960</x:v>
      </x:c>
      <x:c r="D3354" t="str">
        <x:v>뉴파워프라즈마</x:v>
      </x:c>
      <x:c r="E3354" t="str">
        <x:v>KOSDAQ</x:v>
      </x:c>
      <x:c r="F3354" t="str">
        <x:v>MID</x:v>
      </x:c>
      <x:c r="G3354" t="str">
        <x:v>ELIGIBLE</x:v>
      </x:c>
      <x:c r="H3354"/>
      <x:c r="I3354" s="54" t="n">
        <x:v>45930</x:v>
      </x:c>
      <x:c r="J3354" s="55" t="n">
        <x:v>5270</x:v>
      </x:c>
      <x:c r="K3354" s="55" t="n">
        <x:v>230260128480</x:v>
      </x:c>
      <x:c r="L3354" s="55" t="n">
        <x:v>43692624</x:v>
      </x:c>
      <x:c r="M3354" t="str">
        <x:v>20250324000690</x:v>
      </x:c>
      <x:c r="N3354" t="n">
        <x:v>45740.624999988424</x:v>
      </x:c>
      <x:c r="O3354" s="54" t="n">
        <x:v>45657</x:v>
      </x:c>
      <x:c r="P3354" t="str">
        <x:v>True</x:v>
      </x:c>
      <x:c r="Q3354" t="str">
        <x:v>0f78d90a8c907ce591baf7d7c77329193639e9c00e10cc7031b2492324fb5443</x:v>
      </x:c>
      <x:c r="R3354" t="str">
        <x:v>5dbe41559ac546aed42726eb6edc56bba1e9e7097927de2b5ab6c6309a185e9f</x:v>
      </x:c>
      <x:c r="S3354" t="n">
        <x:v>6</x:v>
      </x:c>
      <x:c r="T3354" t="str">
        <x:v>2018-12-31|2019-12-31|2020-12-31|2021-12-31|2022-12-31|2023-12-31|2024-12-31</x:v>
      </x:c>
      <x:c r="U3354" s="57" t="n">
        <x:v>85.04589892434575</x:v>
      </x:c>
      <x:c r="V3354" s="57" t="n">
        <x:v>-0.9838622582686251</x:v>
      </x:c>
      <x:c r="W3354" t="n">
        <x:v>66</x:v>
      </x:c>
      <x:c r="X3354" t="n">
        <x:v>5</x:v>
      </x:c>
      <x:c r="Y3354" s="38" t="n">
        <x:v>0.6409090909090909</x:v>
      </x:c>
      <x:c r="Z3354" s="38" t="n">
        <x:v>0.8401481986839568</x:v>
      </x:c>
      <x:c r="AA3354"/>
    </x:row>
    <x:row r="3355">
      <x:c r="A3355" s="54" t="n">
        <x:v>45930</x:v>
      </x:c>
      <x:c r="B3355" t="n">
        <x:v>45930.624999988424</x:v>
      </x:c>
      <x:c r="C3355" t="str">
        <x:v>065660</x:v>
      </x:c>
      <x:c r="D3355" t="str">
        <x:v>안트로젠</x:v>
      </x:c>
      <x:c r="E3355" t="str">
        <x:v>KOSDAQ</x:v>
      </x:c>
      <x:c r="F3355" t="str">
        <x:v>MID</x:v>
      </x:c>
      <x:c r="G3355" t="str">
        <x:v>DCF_SCREENING_EXCLUSION</x:v>
      </x:c>
      <x:c r="H3355" t="str">
        <x:v>NON_POSITIVE_ENTERPRISE_VALUE|NON_POSITIVE_EQUITY_VALUE|NON_POSITIVE_TERMINAL_FCF</x:v>
      </x:c>
      <x:c r="I3355" s="54" t="n">
        <x:v>45930</x:v>
      </x:c>
      <x:c r="J3355" s="55" t="n">
        <x:v>24350</x:v>
      </x:c>
      <x:c r="K3355" s="55" t="n">
        <x:v>243648535000</x:v>
      </x:c>
      <x:c r="L3355" s="55" t="n">
        <x:v>10006100</x:v>
      </x:c>
      <x:c r="M3355" t="str">
        <x:v>20250313000775</x:v>
      </x:c>
      <x:c r="N3355" t="n">
        <x:v>45729.624999988424</x:v>
      </x:c>
      <x:c r="O3355" s="54" t="n">
        <x:v>45657</x:v>
      </x:c>
      <x:c r="P3355" t="str">
        <x:v>False</x:v>
      </x:c>
      <x:c r="Q3355" t="str">
        <x:v>2ceafd4c116814e005a848414a49b25b5e40b06da9996819312c999815f64e29</x:v>
      </x:c>
      <x:c r="R3355" t="str">
        <x:v>9b5b9838fa482c6784ee24360dcfd1395efba84f779a56d46ce617ea3d57451b</x:v>
      </x:c>
      <x:c r="S3355" t="n">
        <x:v>5</x:v>
      </x:c>
      <x:c r="T3355" t="str">
        <x:v>2018-12-31|2019-12-31|2020-12-31|2021-12-31|2023-12-31|2024-12-31</x:v>
      </x:c>
      <x:c r="U3355" s="57" t="n">
        <x:v>-1756.5817853233727</x:v>
      </x:c>
      <x:c r="V3355" s="57" t="n">
        <x:v>-1.0721388823541427</x:v>
      </x:c>
      <x:c r="W3355"/>
      <x:c r="X3355"/>
      <x:c r="Y3355" s="38" t="n">
        <x:v>0.6409090909090909</x:v>
      </x:c>
      <x:c r="Z3355" s="38" t="n">
        <x:v>0.6671375319521345</x:v>
      </x:c>
      <x:c r="AA3355" t="str">
        <x:v>NON_POSITIVE_ENTERPRISE_VALUE|NON_POSITIVE_EQUITY_VALUE|NON_POSITIVE_TERMINAL_FCF</x:v>
      </x:c>
    </x:row>
    <x:row r="3356">
      <x:c r="A3356" s="54" t="n">
        <x:v>45930</x:v>
      </x:c>
      <x:c r="B3356" t="n">
        <x:v>45930.624999988424</x:v>
      </x:c>
      <x:c r="C3356" t="str">
        <x:v>255220</x:v>
      </x:c>
      <x:c r="D3356" t="str">
        <x:v>SG</x:v>
      </x:c>
      <x:c r="E3356" t="str">
        <x:v>KOSDAQ</x:v>
      </x:c>
      <x:c r="F3356" t="str">
        <x:v>MID</x:v>
      </x:c>
      <x:c r="G3356" t="str">
        <x:v>DCF_SCREENING_EXCLUSION</x:v>
      </x:c>
      <x:c r="H3356" t="str">
        <x:v>NON_POSITIVE_ENTERPRISE_VALUE|NON_POSITIVE_EQUITY_VALUE|NON_POSITIVE_TERMINAL_FCF</x:v>
      </x:c>
      <x:c r="I3356" s="54" t="n">
        <x:v>45930</x:v>
      </x:c>
      <x:c r="J3356" s="55" t="n">
        <x:v>2120</x:v>
      </x:c>
      <x:c r="K3356" s="55" t="n">
        <x:v>209191835280</x:v>
      </x:c>
      <x:c r="L3356" s="55" t="n">
        <x:v>98675394</x:v>
      </x:c>
      <x:c r="M3356" t="str">
        <x:v>20250318000939</x:v>
      </x:c>
      <x:c r="N3356" t="n">
        <x:v>45734.624999988424</x:v>
      </x:c>
      <x:c r="O3356" s="54" t="n">
        <x:v>45657</x:v>
      </x:c>
      <x:c r="P3356" t="str">
        <x:v>False</x:v>
      </x:c>
      <x:c r="Q3356" t="str">
        <x:v>21161b34d363c761ec9ff6a75d7ced575dcfc9cefd8742cfc9677930b6f8f357</x:v>
      </x:c>
      <x:c r="R3356" t="str">
        <x:v>b2c23fcc790a88c59740dd4a0b037902930a79739124629b243596a67c738508</x:v>
      </x:c>
      <x:c r="S3356" t="n">
        <x:v>6</x:v>
      </x:c>
      <x:c r="T3356" t="str">
        <x:v>2018-12-31|2019-12-31|2020-12-31|2021-12-31|2022-12-31|2023-12-31|2024-12-31</x:v>
      </x:c>
      <x:c r="U3356" s="57" t="n">
        <x:v>-357.170857264496</x:v>
      </x:c>
      <x:c r="V3356" s="57" t="n">
        <x:v>-1.1684768194643849</x:v>
      </x:c>
      <x:c r="W3356"/>
      <x:c r="X3356"/>
      <x:c r="Y3356" s="38" t="n">
        <x:v>0.6409090909090909</x:v>
      </x:c>
      <x:c r="Z3356" s="38" t="n">
        <x:v>0.4427730011554671</x:v>
      </x:c>
      <x:c r="AA3356" t="str">
        <x:v>NON_POSITIVE_ENTERPRISE_VALUE|NON_POSITIVE_EQUITY_VALUE|NON_POSITIVE_TERMINAL_FCF</x:v>
      </x:c>
    </x:row>
    <x:row r="3357">
      <x:c r="A3357" s="54" t="n">
        <x:v>45930</x:v>
      </x:c>
      <x:c r="B3357" t="n">
        <x:v>45930.624999988424</x:v>
      </x:c>
      <x:c r="C3357" t="str">
        <x:v>356680</x:v>
      </x:c>
      <x:c r="D3357" t="str">
        <x:v>엑스게이트</x:v>
      </x:c>
      <x:c r="E3357" t="str">
        <x:v>KOSDAQ</x:v>
      </x:c>
      <x:c r="F3357" t="str">
        <x:v>MID</x:v>
      </x:c>
      <x:c r="G3357" t="str">
        <x:v>DCF_SCREENING_EXCLUSION</x:v>
      </x:c>
      <x:c r="H3357" t="str">
        <x:v>UNRELIABLE_TERMINAL_VALUE_SHARE</x:v>
      </x:c>
      <x:c r="I3357" s="54" t="n">
        <x:v>45930</x:v>
      </x:c>
      <x:c r="J3357" s="55" t="n">
        <x:v>7720</x:v>
      </x:c>
      <x:c r="K3357" s="55" t="n">
        <x:v>220355758240</x:v>
      </x:c>
      <x:c r="L3357" s="55" t="n">
        <x:v>28543492</x:v>
      </x:c>
      <x:c r="M3357" t="str">
        <x:v>20250319000691</x:v>
      </x:c>
      <x:c r="N3357" t="n">
        <x:v>45735.624999988424</x:v>
      </x:c>
      <x:c r="O3357" s="54" t="n">
        <x:v>45657</x:v>
      </x:c>
      <x:c r="P3357" t="str">
        <x:v>False</x:v>
      </x:c>
      <x:c r="Q3357" t="str">
        <x:v>1e727de7b15978db733b6e32a6e9c0f1eb8a5e18e2753f9463f12a17d4198a0d</x:v>
      </x:c>
      <x:c r="R3357" t="str">
        <x:v>3b4e2b9ea53c4f1c474fcc31a5f13c06037396ed3946f7a4dc016d49d9f20655</x:v>
      </x:c>
      <x:c r="S3357" t="n">
        <x:v>7</x:v>
      </x:c>
      <x:c r="T3357" t="str">
        <x:v>2022-12-31|2023-12-31|2024-12-31</x:v>
      </x:c>
      <x:c r="U3357" s="57" t="n">
        <x:v>456.07271545457144</x:v>
      </x:c>
      <x:c r="V3357" s="57" t="n">
        <x:v>-0.9409232233867135</x:v>
      </x:c>
      <x:c r="W3357"/>
      <x:c r="X3357"/>
      <x:c r="Y3357" s="38" t="n">
        <x:v>0.6409090909090909</x:v>
      </x:c>
      <x:c r="Z3357" s="38" t="n">
        <x:v>1.8777652303190557</x:v>
      </x:c>
      <x:c r="AA3357" t="str">
        <x:v>UNRELIABLE_TERMINAL_VALUE_SHARE</x:v>
      </x:c>
    </x:row>
    <x:row r="3358">
      <x:c r="A3358" s="54" t="n">
        <x:v>45930</x:v>
      </x:c>
      <x:c r="B3358" t="n">
        <x:v>45930.624999988424</x:v>
      </x:c>
      <x:c r="C3358" t="str">
        <x:v>038390</x:v>
      </x:c>
      <x:c r="D3358" t="str">
        <x:v>레드캡투어</x:v>
      </x:c>
      <x:c r="E3358" t="str">
        <x:v>KOSDAQ</x:v>
      </x:c>
      <x:c r="F3358" t="str">
        <x:v>MID</x:v>
      </x:c>
      <x:c r="G3358" t="str">
        <x:v>ELIGIBLE</x:v>
      </x:c>
      <x:c r="H3358"/>
      <x:c r="I3358" s="54" t="n">
        <x:v>45930</x:v>
      </x:c>
      <x:c r="J3358" s="55" t="n">
        <x:v>11780</x:v>
      </x:c>
      <x:c r="K3358" s="55" t="n">
        <x:v>196971283160</x:v>
      </x:c>
      <x:c r="L3358" s="55" t="n">
        <x:v>16720822</x:v>
      </x:c>
      <x:c r="M3358" t="str">
        <x:v>20250320001478</x:v>
      </x:c>
      <x:c r="N3358" t="n">
        <x:v>45736.624999988424</x:v>
      </x:c>
      <x:c r="O3358" s="54" t="n">
        <x:v>45657</x:v>
      </x:c>
      <x:c r="P3358" t="str">
        <x:v>False</x:v>
      </x:c>
      <x:c r="Q3358" t="str">
        <x:v>67bcd6369c58872313ac6b33e13c53a0fb84018ffd14618f38a855bd1550dfb8</x:v>
      </x:c>
      <x:c r="R3358" t="str">
        <x:v>a51e0b54ef9de954b8905f61c83ec02bc19a394780ef932fca0a829af4ea0563</x:v>
      </x:c>
      <x:c r="S3358" t="n">
        <x:v>7</x:v>
      </x:c>
      <x:c r="T3358" t="str">
        <x:v>2018-12-31|2019-12-31|2020-12-31|2021-12-31|2022-12-31|2023-12-31|2024-12-31</x:v>
      </x:c>
      <x:c r="U3358" s="57" t="n">
        <x:v>27403.972015623454</x:v>
      </x:c>
      <x:c r="V3358" s="57" t="n">
        <x:v>1.3263134138899368</x:v>
      </x:c>
      <x:c r="W3358" t="n">
        <x:v>5</x:v>
      </x:c>
      <x:c r="X3358" t="n">
        <x:v>1</x:v>
      </x:c>
      <x:c r="Y3358" s="38" t="n">
        <x:v>0.6409090909090909</x:v>
      </x:c>
      <x:c r="Z3358" s="38" t="n">
        <x:v>0.6692880839920571</x:v>
      </x:c>
      <x:c r="AA3358"/>
    </x:row>
    <x:row r="3359">
      <x:c r="A3359" s="54" t="n">
        <x:v>45930</x:v>
      </x:c>
      <x:c r="B3359" t="n">
        <x:v>45930.624999988424</x:v>
      </x:c>
      <x:c r="C3359" t="str">
        <x:v>083930</x:v>
      </x:c>
      <x:c r="D3359" t="str">
        <x:v>아바코</x:v>
      </x:c>
      <x:c r="E3359" t="str">
        <x:v>KOSDAQ</x:v>
      </x:c>
      <x:c r="F3359" t="str">
        <x:v>MID</x:v>
      </x:c>
      <x:c r="G3359" t="str">
        <x:v>ELIGIBLE</x:v>
      </x:c>
      <x:c r="H3359"/>
      <x:c r="I3359" s="54" t="n">
        <x:v>45930</x:v>
      </x:c>
      <x:c r="J3359" s="55" t="n">
        <x:v>15740</x:v>
      </x:c>
      <x:c r="K3359" s="55" t="n">
        <x:v>231019899260</x:v>
      </x:c>
      <x:c r="L3359" s="55" t="n">
        <x:v>14677249</x:v>
      </x:c>
      <x:c r="M3359" t="str">
        <x:v>20250812000784</x:v>
      </x:c>
      <x:c r="N3359" t="n">
        <x:v>45881.624999988424</x:v>
      </x:c>
      <x:c r="O3359" s="54" t="n">
        <x:v>45657</x:v>
      </x:c>
      <x:c r="P3359" t="str">
        <x:v>True</x:v>
      </x:c>
      <x:c r="Q3359" t="str">
        <x:v>87997b397a63bc78709353b4371848c060c0442034f98817f147292abeda31b5</x:v>
      </x:c>
      <x:c r="R3359" t="str">
        <x:v>4ae34681b96839ec26b4c15dbe6c610304561165d17d9109ebcf817a96fd239e</x:v>
      </x:c>
      <x:c r="S3359" t="n">
        <x:v>7</x:v>
      </x:c>
      <x:c r="T3359" t="str">
        <x:v>2018-12-31|2019-12-31|2020-12-31|2021-12-31|2022-12-31|2023-12-31|2024-12-31</x:v>
      </x:c>
      <x:c r="U3359" s="57" t="n">
        <x:v>9906.632508757055</x:v>
      </x:c>
      <x:c r="V3359" s="57" t="n">
        <x:v>-0.37060784569523153</x:v>
      </x:c>
      <x:c r="W3359" t="n">
        <x:v>33</x:v>
      </x:c>
      <x:c r="X3359" t="n">
        <x:v>3</x:v>
      </x:c>
      <x:c r="Y3359" s="38" t="n">
        <x:v>0.6409090909090909</x:v>
      </x:c>
      <x:c r="Z3359" s="38" t="n">
        <x:v>0.5546297344265984</x:v>
      </x:c>
      <x:c r="AA3359"/>
    </x:row>
    <x:row r="3360">
      <x:c r="A3360" s="54" t="n">
        <x:v>45930</x:v>
      </x:c>
      <x:c r="B3360" t="n">
        <x:v>45930.624999988424</x:v>
      </x:c>
      <x:c r="C3360" t="str">
        <x:v>089600</x:v>
      </x:c>
      <x:c r="D3360" t="str">
        <x:v>KT나스미디어</x:v>
      </x:c>
      <x:c r="E3360" t="str">
        <x:v>KOSDAQ</x:v>
      </x:c>
      <x:c r="F3360" t="str">
        <x:v>MID</x:v>
      </x:c>
      <x:c r="G3360" t="str">
        <x:v>ELIGIBLE</x:v>
      </x:c>
      <x:c r="H3360"/>
      <x:c r="I3360" s="54" t="n">
        <x:v>45930</x:v>
      </x:c>
      <x:c r="J3360" s="55" t="n">
        <x:v>14250</x:v>
      </x:c>
      <x:c r="K3360" s="55" t="n">
        <x:v>164846322750</x:v>
      </x:c>
      <x:c r="L3360" s="55" t="n">
        <x:v>11568163</x:v>
      </x:c>
      <x:c r="M3360" t="str">
        <x:v>20250320000791</x:v>
      </x:c>
      <x:c r="N3360" t="n">
        <x:v>45736.624999988424</x:v>
      </x:c>
      <x:c r="O3360" s="54" t="n">
        <x:v>45657</x:v>
      </x:c>
      <x:c r="P3360" t="str">
        <x:v>False</x:v>
      </x:c>
      <x:c r="Q3360" t="str">
        <x:v>fd1f109f4067daa35bc799c7548aa8684ddaaf17ee92db1ee9f7eef8be9771fe</x:v>
      </x:c>
      <x:c r="R3360" t="str">
        <x:v>632be81c57e6db7cf7303cff961a215690db511ca245d0f8956f8cba104a8c88</x:v>
      </x:c>
      <x:c r="S3360" t="n">
        <x:v>6</x:v>
      </x:c>
      <x:c r="T3360" t="str">
        <x:v>2019-12-31|2020-12-31|2021-12-31|2022-12-31|2023-12-31|2024-12-31</x:v>
      </x:c>
      <x:c r="U3360" s="57" t="n">
        <x:v>24511.501692637525</x:v>
      </x:c>
      <x:c r="V3360" s="57" t="n">
        <x:v>0.7201053819394753</x:v>
      </x:c>
      <x:c r="W3360" t="n">
        <x:v>11</x:v>
      </x:c>
      <x:c r="X3360" t="n">
        <x:v>1</x:v>
      </x:c>
      <x:c r="Y3360" s="38" t="n">
        <x:v>0.6409090909090909</x:v>
      </x:c>
      <x:c r="Z3360" s="38" t="n">
        <x:v>0.7087130694190394</x:v>
      </x:c>
      <x:c r="AA3360"/>
    </x:row>
    <x:row r="3361">
      <x:c r="A3361" s="54" t="n">
        <x:v>45930</x:v>
      </x:c>
      <x:c r="B3361" t="n">
        <x:v>45930.624999988424</x:v>
      </x:c>
      <x:c r="C3361" t="str">
        <x:v>091120</x:v>
      </x:c>
      <x:c r="D3361" t="str">
        <x:v>이엠텍</x:v>
      </x:c>
      <x:c r="E3361" t="str">
        <x:v>KOSDAQ</x:v>
      </x:c>
      <x:c r="F3361" t="str">
        <x:v>MID</x:v>
      </x:c>
      <x:c r="G3361" t="str">
        <x:v>DCF_SCREENING_EXCLUSION</x:v>
      </x:c>
      <x:c r="H3361" t="str">
        <x:v>NON_POSITIVE_ENTERPRISE_VALUE|NON_POSITIVE_EQUITY_VALUE|NON_POSITIVE_TERMINAL_FCF</x:v>
      </x:c>
      <x:c r="I3361" s="54" t="n">
        <x:v>45930</x:v>
      </x:c>
      <x:c r="J3361" s="55" t="n">
        <x:v>9530</x:v>
      </x:c>
      <x:c r="K3361" s="55" t="n">
        <x:v>163276880080</x:v>
      </x:c>
      <x:c r="L3361" s="55" t="n">
        <x:v>17132936</x:v>
      </x:c>
      <x:c r="M3361" t="str">
        <x:v>20250318000325</x:v>
      </x:c>
      <x:c r="N3361" t="n">
        <x:v>45734.624999988424</x:v>
      </x:c>
      <x:c r="O3361" s="54" t="n">
        <x:v>45657</x:v>
      </x:c>
      <x:c r="P3361" t="str">
        <x:v>False</x:v>
      </x:c>
      <x:c r="Q3361" t="str">
        <x:v>bbde6b801951bfd9e20218a2f6879cba531f6607e02452bbc79ed0261a6fa116</x:v>
      </x:c>
      <x:c r="R3361" t="str">
        <x:v>9b1e85619d70832b303b32748eff0677f25cf8c11c7f183f42bd5e0b596b20e9</x:v>
      </x:c>
      <x:c r="S3361" t="n">
        <x:v>6</x:v>
      </x:c>
      <x:c r="T3361" t="str">
        <x:v>2018-12-31|2019-12-31|2020-12-31|2021-12-31|2022-12-31|2023-12-31|2024-12-31</x:v>
      </x:c>
      <x:c r="U3361" s="57" t="n">
        <x:v>-8240.993846715857</x:v>
      </x:c>
      <x:c r="V3361" s="57" t="n">
        <x:v>-1.8647422714287365</x:v>
      </x:c>
      <x:c r="W3361"/>
      <x:c r="X3361"/>
      <x:c r="Y3361" s="38" t="n">
        <x:v>0.6409090909090909</x:v>
      </x:c>
      <x:c r="Z3361" s="38" t="n">
        <x:v>0.31463718232834725</x:v>
      </x:c>
      <x:c r="AA3361" t="str">
        <x:v>NON_POSITIVE_ENTERPRISE_VALUE|NON_POSITIVE_EQUITY_VALUE|NON_POSITIVE_TERMINAL_FCF</x:v>
      </x:c>
    </x:row>
    <x:row r="3362">
      <x:c r="A3362" s="54" t="n">
        <x:v>45930</x:v>
      </x:c>
      <x:c r="B3362" t="n">
        <x:v>45930.624999988424</x:v>
      </x:c>
      <x:c r="C3362" t="str">
        <x:v>353810</x:v>
      </x:c>
      <x:c r="D3362" t="str">
        <x:v>이지바이오</x:v>
      </x:c>
      <x:c r="E3362" t="str">
        <x:v>KOSDAQ</x:v>
      </x:c>
      <x:c r="F3362" t="str">
        <x:v>MID</x:v>
      </x:c>
      <x:c r="G3362" t="str">
        <x:v>ELIGIBLE</x:v>
      </x:c>
      <x:c r="H3362"/>
      <x:c r="I3362" s="54" t="n">
        <x:v>45930</x:v>
      </x:c>
      <x:c r="J3362" s="55" t="n">
        <x:v>6350</x:v>
      </x:c>
      <x:c r="K3362" s="55" t="n">
        <x:v>210070192000</x:v>
      </x:c>
      <x:c r="L3362" s="55" t="n">
        <x:v>33081920</x:v>
      </x:c>
      <x:c r="M3362" t="str">
        <x:v>20250321001235</x:v>
      </x:c>
      <x:c r="N3362" t="n">
        <x:v>45737.624999988424</x:v>
      </x:c>
      <x:c r="O3362" s="54" t="n">
        <x:v>45657</x:v>
      </x:c>
      <x:c r="P3362" t="str">
        <x:v>False</x:v>
      </x:c>
      <x:c r="Q3362" t="str">
        <x:v>6d5cc301a2efa14d095945ce06813f062cc6629607e4357cc387c49d3e4eb2e2</x:v>
      </x:c>
      <x:c r="R3362" t="str">
        <x:v>bd3cbb712d512794e2bf3e90c8463e503e9fd766af29ec309fac626c46833185</x:v>
      </x:c>
      <x:c r="S3362" t="n">
        <x:v>6</x:v>
      </x:c>
      <x:c r="T3362" t="str">
        <x:v>2021-12-31|2022-12-31|2023-12-31|2024-12-31</x:v>
      </x:c>
      <x:c r="U3362" s="57" t="n">
        <x:v>13370.821817079626</x:v>
      </x:c>
      <x:c r="V3362" s="57" t="n">
        <x:v>1.1056412310361616</x:v>
      </x:c>
      <x:c r="W3362" t="n">
        <x:v>6</x:v>
      </x:c>
      <x:c r="X3362" t="n">
        <x:v>1</x:v>
      </x:c>
      <x:c r="Y3362" s="38" t="n">
        <x:v>0.6409090909090909</x:v>
      </x:c>
      <x:c r="Z3362" s="38" t="n">
        <x:v>0.742395009509296</x:v>
      </x:c>
      <x:c r="AA3362"/>
    </x:row>
    <x:row r="3363">
      <x:c r="A3363" s="54" t="n">
        <x:v>45930</x:v>
      </x:c>
      <x:c r="B3363" t="n">
        <x:v>45930.624999988424</x:v>
      </x:c>
      <x:c r="C3363" t="str">
        <x:v>203650</x:v>
      </x:c>
      <x:c r="D3363" t="str">
        <x:v>드림시큐리티</x:v>
      </x:c>
      <x:c r="E3363" t="str">
        <x:v>KOSDAQ</x:v>
      </x:c>
      <x:c r="F3363" t="str">
        <x:v>MID</x:v>
      </x:c>
      <x:c r="G3363" t="str">
        <x:v>ELIGIBLE</x:v>
      </x:c>
      <x:c r="H3363"/>
      <x:c r="I3363" s="54" t="n">
        <x:v>45930</x:v>
      </x:c>
      <x:c r="J3363" s="55" t="n">
        <x:v>3470</x:v>
      </x:c>
      <x:c r="K3363" s="55" t="n">
        <x:v>165922984340</x:v>
      </x:c>
      <x:c r="L3363" s="55" t="n">
        <x:v>47816422</x:v>
      </x:c>
      <x:c r="M3363" t="str">
        <x:v>20250318001191</x:v>
      </x:c>
      <x:c r="N3363" t="n">
        <x:v>45734.624999988424</x:v>
      </x:c>
      <x:c r="O3363" s="54" t="n">
        <x:v>45657</x:v>
      </x:c>
      <x:c r="P3363" t="str">
        <x:v>False</x:v>
      </x:c>
      <x:c r="Q3363" t="str">
        <x:v>cad166863b3f1de651893c7b9a29d8a1830030233da004d22717f0480b318624</x:v>
      </x:c>
      <x:c r="R3363" t="str">
        <x:v>0905aab91f9578264a1b97c7ff21ad61d9afebb4e0e862cf931b15a5f00b0843</x:v>
      </x:c>
      <x:c r="S3363" t="n">
        <x:v>6</x:v>
      </x:c>
      <x:c r="T3363" t="str">
        <x:v>2018-12-31|2019-12-31|2020-12-31|2021-12-31|2022-12-31|2023-12-31|2024-12-31</x:v>
      </x:c>
      <x:c r="U3363" s="57" t="n">
        <x:v>3067.2831825284775</x:v>
      </x:c>
      <x:c r="V3363" s="57" t="n">
        <x:v>-0.1160567197324273</x:v>
      </x:c>
      <x:c r="W3363" t="n">
        <x:v>25</x:v>
      </x:c>
      <x:c r="X3363" t="n">
        <x:v>2</x:v>
      </x:c>
      <x:c r="Y3363" s="38" t="n">
        <x:v>0.6409090909090909</x:v>
      </x:c>
      <x:c r="Z3363" s="38" t="n">
        <x:v>0.6847587029208964</x:v>
      </x:c>
      <x:c r="AA3363"/>
    </x:row>
    <x:row r="3364">
      <x:c r="A3364" s="54" t="n">
        <x:v>45930</x:v>
      </x:c>
      <x:c r="B3364" t="n">
        <x:v>45930.624999988424</x:v>
      </x:c>
      <x:c r="C3364" t="str">
        <x:v>251120</x:v>
      </x:c>
      <x:c r="D3364" t="str">
        <x:v>바이오에프디엔씨</x:v>
      </x:c>
      <x:c r="E3364" t="str">
        <x:v>KOSDAQ</x:v>
      </x:c>
      <x:c r="F3364" t="str">
        <x:v>MID</x:v>
      </x:c>
      <x:c r="G3364" t="str">
        <x:v>ELIGIBLE</x:v>
      </x:c>
      <x:c r="H3364"/>
      <x:c r="I3364" s="54" t="n">
        <x:v>45930</x:v>
      </x:c>
      <x:c r="J3364" s="55" t="n">
        <x:v>17530</x:v>
      </x:c>
      <x:c r="K3364" s="55" t="n">
        <x:v>152435621000</x:v>
      </x:c>
      <x:c r="L3364" s="55" t="n">
        <x:v>8695700</x:v>
      </x:c>
      <x:c r="M3364" t="str">
        <x:v>20250321000230</x:v>
      </x:c>
      <x:c r="N3364" t="n">
        <x:v>45737.624999988424</x:v>
      </x:c>
      <x:c r="O3364" s="54" t="n">
        <x:v>45657</x:v>
      </x:c>
      <x:c r="P3364" t="str">
        <x:v>False</x:v>
      </x:c>
      <x:c r="Q3364" t="str">
        <x:v>d0f48fe65ea1aa6baee499ea4c8f4acc42b5257c44ca056d1566dc44f41d3969</x:v>
      </x:c>
      <x:c r="R3364" t="str">
        <x:v>fdd9ea590ab0df6027795c1e40f39723911233c5f95773f81cccad7cd756e288</x:v>
      </x:c>
      <x:c r="S3364" t="n">
        <x:v>5</x:v>
      </x:c>
      <x:c r="T3364" t="str">
        <x:v>2021-12-31|2022-12-31|2023-12-31|2024-12-31</x:v>
      </x:c>
      <x:c r="U3364" s="57" t="n">
        <x:v>5849.461093195673</x:v>
      </x:c>
      <x:c r="V3364" s="57" t="n">
        <x:v>-0.6663171082033272</x:v>
      </x:c>
      <x:c r="W3364" t="n">
        <x:v>51</x:v>
      </x:c>
      <x:c r="X3364" t="n">
        <x:v>4</x:v>
      </x:c>
      <x:c r="Y3364" s="38" t="n">
        <x:v>0.6409090909090909</x:v>
      </x:c>
      <x:c r="Z3364" s="38" t="n">
        <x:v>0.6732997062168055</x:v>
      </x:c>
      <x:c r="AA3364"/>
    </x:row>
    <x:row r="3365">
      <x:c r="A3365" s="54" t="n">
        <x:v>45930</x:v>
      </x:c>
      <x:c r="B3365" t="n">
        <x:v>45930.624999988424</x:v>
      </x:c>
      <x:c r="C3365" t="str">
        <x:v>094820</x:v>
      </x:c>
      <x:c r="D3365" t="str">
        <x:v>일진파워</x:v>
      </x:c>
      <x:c r="E3365" t="str">
        <x:v>KOSDAQ</x:v>
      </x:c>
      <x:c r="F3365" t="str">
        <x:v>MID</x:v>
      </x:c>
      <x:c r="G3365" t="str">
        <x:v>ELIGIBLE</x:v>
      </x:c>
      <x:c r="H3365"/>
      <x:c r="I3365" s="54" t="n">
        <x:v>45930</x:v>
      </x:c>
      <x:c r="J3365" s="55" t="n">
        <x:v>10270</x:v>
      </x:c>
      <x:c r="K3365" s="55" t="n">
        <x:v>154858341430</x:v>
      </x:c>
      <x:c r="L3365" s="55" t="n">
        <x:v>15078709</x:v>
      </x:c>
      <x:c r="M3365" t="str">
        <x:v>20250320000993</x:v>
      </x:c>
      <x:c r="N3365" t="n">
        <x:v>45736.624999988424</x:v>
      </x:c>
      <x:c r="O3365" s="54" t="n">
        <x:v>45657</x:v>
      </x:c>
      <x:c r="P3365" t="str">
        <x:v>False</x:v>
      </x:c>
      <x:c r="Q3365" t="str">
        <x:v>3c9d1f0a624ce515fe91a52c12aed6702977299d8b0e262ece292b4ff2b83ab9</x:v>
      </x:c>
      <x:c r="R3365" t="str">
        <x:v>fc48d3eeb6d44a9e2d9192b7cca407bdf7f0b62d7c2090573c0845635ffb82da</x:v>
      </x:c>
      <x:c r="S3365" t="n">
        <x:v>6</x:v>
      </x:c>
      <x:c r="T3365" t="str">
        <x:v>2018-12-31|2019-12-31|2020-12-31|2021-12-31|2022-12-31|2023-12-31|2024-12-31</x:v>
      </x:c>
      <x:c r="U3365" s="57" t="n">
        <x:v>9203.134979044744</x:v>
      </x:c>
      <x:c r="V3365" s="57" t="n">
        <x:v>-0.10388169629554586</x:v>
      </x:c>
      <x:c r="W3365" t="n">
        <x:v>24</x:v>
      </x:c>
      <x:c r="X3365" t="n">
        <x:v>2</x:v>
      </x:c>
      <x:c r="Y3365" s="38" t="n">
        <x:v>0.6409090909090909</x:v>
      </x:c>
      <x:c r="Z3365" s="38" t="n">
        <x:v>0.7227852830123499</x:v>
      </x:c>
      <x:c r="AA3365"/>
    </x:row>
    <x:row r="3366">
      <x:c r="A3366" s="54" t="n">
        <x:v>45930</x:v>
      </x:c>
      <x:c r="B3366" t="n">
        <x:v>45930.624999988424</x:v>
      </x:c>
      <x:c r="C3366" t="str">
        <x:v>333430</x:v>
      </x:c>
      <x:c r="D3366" t="str">
        <x:v>일승</x:v>
      </x:c>
      <x:c r="E3366" t="str">
        <x:v>KOSDAQ</x:v>
      </x:c>
      <x:c r="F3366" t="str">
        <x:v>MID</x:v>
      </x:c>
      <x:c r="G3366" t="str">
        <x:v>ELIGIBLE</x:v>
      </x:c>
      <x:c r="H3366"/>
      <x:c r="I3366" s="54" t="n">
        <x:v>45930</x:v>
      </x:c>
      <x:c r="J3366" s="55" t="n">
        <x:v>7700</x:v>
      </x:c>
      <x:c r="K3366" s="55" t="n">
        <x:v>236595951900</x:v>
      </x:c>
      <x:c r="L3366" s="55" t="n">
        <x:v>30726747</x:v>
      </x:c>
      <x:c r="M3366" t="str">
        <x:v>20250321001525</x:v>
      </x:c>
      <x:c r="N3366" t="n">
        <x:v>45737.624999988424</x:v>
      </x:c>
      <x:c r="O3366" s="54" t="n">
        <x:v>45657</x:v>
      </x:c>
      <x:c r="P3366" t="str">
        <x:v>False</x:v>
      </x:c>
      <x:c r="Q3366" t="str">
        <x:v>c597fc54279d091bc090c43da4388f028e09b9f2883c277fa3953555ea6b15ae</x:v>
      </x:c>
      <x:c r="R3366" t="str">
        <x:v>22a70044ce308ef649f306a121c5f5198fed14ad02648bc34c478907d0aa8784</x:v>
      </x:c>
      <x:c r="S3366" t="n">
        <x:v>6</x:v>
      </x:c>
      <x:c r="T3366" t="str">
        <x:v>2021-12-31|2022-12-31|2023-12-31|2024-12-31</x:v>
      </x:c>
      <x:c r="U3366" s="57" t="n">
        <x:v>2137.453351095315</x:v>
      </x:c>
      <x:c r="V3366" s="57" t="n">
        <x:v>-0.7224086557019072</x:v>
      </x:c>
      <x:c r="W3366" t="n">
        <x:v>56</x:v>
      </x:c>
      <x:c r="X3366" t="n">
        <x:v>5</x:v>
      </x:c>
      <x:c r="Y3366" s="38" t="n">
        <x:v>0.6409090909090909</x:v>
      </x:c>
      <x:c r="Z3366" s="38" t="n">
        <x:v>0.5746767150889374</x:v>
      </x:c>
      <x:c r="AA3366"/>
    </x:row>
    <x:row r="3367">
      <x:c r="A3367" s="54" t="n">
        <x:v>45930</x:v>
      </x:c>
      <x:c r="B3367" t="n">
        <x:v>45930.624999988424</x:v>
      </x:c>
      <x:c r="C3367" t="str">
        <x:v>041440</x:v>
      </x:c>
      <x:c r="D3367" t="str">
        <x:v>현대에버다임</x:v>
      </x:c>
      <x:c r="E3367" t="str">
        <x:v>KOSDAQ</x:v>
      </x:c>
      <x:c r="F3367" t="str">
        <x:v>MID</x:v>
      </x:c>
      <x:c r="G3367" t="str">
        <x:v>DCF_SCREENING_EXCLUSION</x:v>
      </x:c>
      <x:c r="H3367" t="str">
        <x:v>NON_POSITIVE_EQUITY_VALUE</x:v>
      </x:c>
      <x:c r="I3367" s="54" t="n">
        <x:v>45930</x:v>
      </x:c>
      <x:c r="J3367" s="55" t="n">
        <x:v>7530</x:v>
      </x:c>
      <x:c r="K3367" s="55" t="n">
        <x:v>134907058320</x:v>
      </x:c>
      <x:c r="L3367" s="55" t="n">
        <x:v>17915944</x:v>
      </x:c>
      <x:c r="M3367" t="str">
        <x:v>20250311001079</x:v>
      </x:c>
      <x:c r="N3367" t="n">
        <x:v>45727.624999988424</x:v>
      </x:c>
      <x:c r="O3367" s="54" t="n">
        <x:v>45657</x:v>
      </x:c>
      <x:c r="P3367" t="str">
        <x:v>False</x:v>
      </x:c>
      <x:c r="Q3367" t="str">
        <x:v>81d5fd43b90bdb7ca7256d6dbf2b9d8d1466c124a6bfcb5ea34bc23b10f34184</x:v>
      </x:c>
      <x:c r="R3367" t="str">
        <x:v>af782e98f72d55d525c2e1b1db4f793b3cd080d80a947690cf1d9c78d68ac79c</x:v>
      </x:c>
      <x:c r="S3367" t="n">
        <x:v>7</x:v>
      </x:c>
      <x:c r="T3367" t="str">
        <x:v>2018-12-31|2019-12-31|2020-12-31|2021-12-31|2022-12-31|2023-12-31|2024-12-31</x:v>
      </x:c>
      <x:c r="U3367" s="57" t="n">
        <x:v>-696.0624146515481</x:v>
      </x:c>
      <x:c r="V3367" s="57" t="n">
        <x:v>-1.0924385676828086</x:v>
      </x:c>
      <x:c r="W3367"/>
      <x:c r="X3367"/>
      <x:c r="Y3367" s="38" t="n">
        <x:v>0.6409090909090909</x:v>
      </x:c>
      <x:c r="Z3367" s="38" t="n">
        <x:v>0.7238262460833904</x:v>
      </x:c>
      <x:c r="AA3367" t="str">
        <x:v>NON_POSITIVE_EQUITY_VALUE</x:v>
      </x:c>
    </x:row>
    <x:row r="3368">
      <x:c r="A3368" s="54" t="n">
        <x:v>45930</x:v>
      </x:c>
      <x:c r="B3368" t="n">
        <x:v>45930.624999988424</x:v>
      </x:c>
      <x:c r="C3368" t="str">
        <x:v>067990</x:v>
      </x:c>
      <x:c r="D3368" t="str">
        <x:v>도이치모터스</x:v>
      </x:c>
      <x:c r="E3368" t="str">
        <x:v>KOSDAQ</x:v>
      </x:c>
      <x:c r="F3368" t="str">
        <x:v>MID</x:v>
      </x:c>
      <x:c r="G3368" t="str">
        <x:v>DCF_SCREENING_EXCLUSION</x:v>
      </x:c>
      <x:c r="H3368" t="str">
        <x:v>UNRELIABLE_TERMINAL_VALUE_SHARE</x:v>
      </x:c>
      <x:c r="I3368" s="54" t="n">
        <x:v>45930</x:v>
      </x:c>
      <x:c r="J3368" s="55" t="n">
        <x:v>4655</x:v>
      </x:c>
      <x:c r="K3368" s="55" t="n">
        <x:v>135840115250</x:v>
      </x:c>
      <x:c r="L3368" s="55" t="n">
        <x:v>29181550</x:v>
      </x:c>
      <x:c r="M3368" t="str">
        <x:v>20250321001755</x:v>
      </x:c>
      <x:c r="N3368" t="n">
        <x:v>45737.624999988424</x:v>
      </x:c>
      <x:c r="O3368" s="54" t="n">
        <x:v>45657</x:v>
      </x:c>
      <x:c r="P3368" t="str">
        <x:v>False</x:v>
      </x:c>
      <x:c r="Q3368" t="str">
        <x:v>178076c4e3fddc7cfa7179478f88d8aed054ffd596228c75f12dd2c904e25473</x:v>
      </x:c>
      <x:c r="R3368" t="str">
        <x:v>3c32482a44035b482a6faa83bcb00b78917f4db97e61d8254eb0ee6e1706ac92</x:v>
      </x:c>
      <x:c r="S3368" t="n">
        <x:v>7</x:v>
      </x:c>
      <x:c r="T3368" t="str">
        <x:v>2016-12-31|2018-12-31|2019-12-31|2020-12-31|2021-12-31|2022-12-31|2023-12-31|2024-12-31</x:v>
      </x:c>
      <x:c r="U3368" s="57" t="n">
        <x:v>19478.198742155677</x:v>
      </x:c>
      <x:c r="V3368" s="57" t="n">
        <x:v>3.1843606320420355</x:v>
      </x:c>
      <x:c r="W3368"/>
      <x:c r="X3368"/>
      <x:c r="Y3368" s="38" t="n">
        <x:v>0.6409090909090909</x:v>
      </x:c>
      <x:c r="Z3368" s="38" t="n">
        <x:v>0.8811067697239441</x:v>
      </x:c>
      <x:c r="AA3368" t="str">
        <x:v>UNRELIABLE_TERMINAL_VALUE_SHARE</x:v>
      </x:c>
    </x:row>
    <x:row r="3369">
      <x:c r="A3369" s="54" t="n">
        <x:v>45930</x:v>
      </x:c>
      <x:c r="B3369" t="n">
        <x:v>45930.624999988424</x:v>
      </x:c>
      <x:c r="C3369" t="str">
        <x:v>037070</x:v>
      </x:c>
      <x:c r="D3369" t="str">
        <x:v>파세코</x:v>
      </x:c>
      <x:c r="E3369" t="str">
        <x:v>KOSDAQ</x:v>
      </x:c>
      <x:c r="F3369" t="str">
        <x:v>MID</x:v>
      </x:c>
      <x:c r="G3369" t="str">
        <x:v>DCF_SCREENING_EXCLUSION</x:v>
      </x:c>
      <x:c r="H3369" t="str">
        <x:v>UNRELIABLE_TERMINAL_VALUE_SHARE</x:v>
      </x:c>
      <x:c r="I3369" s="54" t="n">
        <x:v>45930</x:v>
      </x:c>
      <x:c r="J3369" s="55" t="n">
        <x:v>5900</x:v>
      </x:c>
      <x:c r="K3369" s="55" t="n">
        <x:v>118000000000</x:v>
      </x:c>
      <x:c r="L3369" s="55" t="n">
        <x:v>20000000</x:v>
      </x:c>
      <x:c r="M3369" t="str">
        <x:v>20250320000469</x:v>
      </x:c>
      <x:c r="N3369" t="n">
        <x:v>45736.624999988424</x:v>
      </x:c>
      <x:c r="O3369" s="54" t="n">
        <x:v>45657</x:v>
      </x:c>
      <x:c r="P3369" t="str">
        <x:v>False</x:v>
      </x:c>
      <x:c r="Q3369" t="str">
        <x:v>539674eab56ffa57c5f02a24fc1f87bedff775d8e823d4b9621f80e0c991c37c</x:v>
      </x:c>
      <x:c r="R3369" t="str">
        <x:v>b99f2859db57c98dd4809f7f904a1d3e1506141243a6c2e32cd3bc8019c874a5</x:v>
      </x:c>
      <x:c r="S3369" t="n">
        <x:v>6</x:v>
      </x:c>
      <x:c r="T3369" t="str">
        <x:v>2018-12-31|2019-12-31|2020-12-31|2021-12-31|2022-12-31|2023-12-31|2024-12-31</x:v>
      </x:c>
      <x:c r="U3369" s="57" t="n">
        <x:v>1569.2972000747948</x:v>
      </x:c>
      <x:c r="V3369" s="57" t="n">
        <x:v>-0.7340174237161364</x:v>
      </x:c>
      <x:c r="W3369"/>
      <x:c r="X3369"/>
      <x:c r="Y3369" s="38" t="n">
        <x:v>0.6409090909090909</x:v>
      </x:c>
      <x:c r="Z3369" s="38" t="n">
        <x:v>2.1036943942426674</x:v>
      </x:c>
      <x:c r="AA3369" t="str">
        <x:v>UNRELIABLE_TERMINAL_VALUE_SHARE</x:v>
      </x:c>
    </x:row>
    <x:row r="3370">
      <x:c r="A3370" s="54" t="n">
        <x:v>45930</x:v>
      </x:c>
      <x:c r="B3370" t="n">
        <x:v>45930.624999988424</x:v>
      </x:c>
      <x:c r="C3370" t="str">
        <x:v>365330</x:v>
      </x:c>
      <x:c r="D3370" t="str">
        <x:v>에스와이스틸텍</x:v>
      </x:c>
      <x:c r="E3370" t="str">
        <x:v>KOSDAQ</x:v>
      </x:c>
      <x:c r="F3370" t="str">
        <x:v>MID</x:v>
      </x:c>
      <x:c r="G3370" t="str">
        <x:v>ELIGIBLE</x:v>
      </x:c>
      <x:c r="H3370"/>
      <x:c r="I3370" s="54" t="n">
        <x:v>45930</x:v>
      </x:c>
      <x:c r="J3370" s="55" t="n">
        <x:v>3210</x:v>
      </x:c>
      <x:c r="K3370" s="55" t="n">
        <x:v>146408100000</x:v>
      </x:c>
      <x:c r="L3370" s="55" t="n">
        <x:v>45610000</x:v>
      </x:c>
      <x:c r="M3370" t="str">
        <x:v>20250318001018</x:v>
      </x:c>
      <x:c r="N3370" t="n">
        <x:v>45734.624999988424</x:v>
      </x:c>
      <x:c r="O3370" s="54" t="n">
        <x:v>45657</x:v>
      </x:c>
      <x:c r="P3370" t="str">
        <x:v>False</x:v>
      </x:c>
      <x:c r="Q3370" t="str">
        <x:v>c2ebdd487bcabf223f276738367d6daf30f5f1d14de41aa06973b8bfcce75956</x:v>
      </x:c>
      <x:c r="R3370" t="str">
        <x:v>7a7508eeb8d1a23d43a096bf5fd3e0fea30be794877dafe2b9b0a53a2df4d736</x:v>
      </x:c>
      <x:c r="S3370" t="n">
        <x:v>6</x:v>
      </x:c>
      <x:c r="T3370" t="str">
        <x:v>2023-12-31|2024-12-31</x:v>
      </x:c>
      <x:c r="U3370" s="57" t="n">
        <x:v>1417.6232363305319</x:v>
      </x:c>
      <x:c r="V3370" s="57" t="n">
        <x:v>-0.558372823573043</x:v>
      </x:c>
      <x:c r="W3370" t="n">
        <x:v>46</x:v>
      </x:c>
      <x:c r="X3370" t="n">
        <x:v>4</x:v>
      </x:c>
      <x:c r="Y3370" s="38" t="n">
        <x:v>0.6409090909090909</x:v>
      </x:c>
      <x:c r="Z3370" s="38" t="n">
        <x:v>0.6860657024721134</x:v>
      </x:c>
      <x:c r="AA3370"/>
    </x:row>
    <x:row r="3371">
      <x:c r="A3371" s="54" t="n">
        <x:v>45930</x:v>
      </x:c>
      <x:c r="B3371" t="n">
        <x:v>45930.624999988424</x:v>
      </x:c>
      <x:c r="C3371" t="str">
        <x:v>086960</x:v>
      </x:c>
      <x:c r="D3371" t="str">
        <x:v>MDS테크</x:v>
      </x:c>
      <x:c r="E3371" t="str">
        <x:v>KOSDAQ</x:v>
      </x:c>
      <x:c r="F3371" t="str">
        <x:v>MID</x:v>
      </x:c>
      <x:c r="G3371" t="str">
        <x:v>ELIGIBLE</x:v>
      </x:c>
      <x:c r="H3371"/>
      <x:c r="I3371" s="54" t="n">
        <x:v>45930</x:v>
      </x:c>
      <x:c r="J3371" s="55" t="n">
        <x:v>1417</x:v>
      </x:c>
      <x:c r="K3371" s="55" t="n">
        <x:v>131528473596</x:v>
      </x:c>
      <x:c r="L3371" s="55" t="n">
        <x:v>92821788</x:v>
      </x:c>
      <x:c r="M3371" t="str">
        <x:v>20250320001212</x:v>
      </x:c>
      <x:c r="N3371" t="n">
        <x:v>45736.624999988424</x:v>
      </x:c>
      <x:c r="O3371" s="54" t="n">
        <x:v>45657</x:v>
      </x:c>
      <x:c r="P3371" t="str">
        <x:v>False</x:v>
      </x:c>
      <x:c r="Q3371" t="str">
        <x:v>08b172732dfb38e585826cf691b0a0ec896aee6ddb150e7efe20babfa81057c7</x:v>
      </x:c>
      <x:c r="R3371" t="str">
        <x:v>1e0d5c83137cfc143b7f10f3067871a7502b72edd69ea5b29af3ef1e488a9810</x:v>
      </x:c>
      <x:c r="S3371" t="n">
        <x:v>6</x:v>
      </x:c>
      <x:c r="T3371" t="str">
        <x:v>2018-12-31|2019-12-31|2020-12-31|2021-12-31|2022-12-31|2023-12-31|2024-12-31</x:v>
      </x:c>
      <x:c r="U3371" s="57" t="n">
        <x:v>947.2098814790393</x:v>
      </x:c>
      <x:c r="V3371" s="57" t="n">
        <x:v>-0.33153854518063564</x:v>
      </x:c>
      <x:c r="W3371" t="n">
        <x:v>31</x:v>
      </x:c>
      <x:c r="X3371" t="n">
        <x:v>3</x:v>
      </x:c>
      <x:c r="Y3371" s="38" t="n">
        <x:v>0.6409090909090909</x:v>
      </x:c>
      <x:c r="Z3371" s="38" t="n">
        <x:v>0.6532825883664135</x:v>
      </x:c>
      <x:c r="AA3371"/>
    </x:row>
    <x:row r="3372">
      <x:c r="A3372" s="54" t="n">
        <x:v>45930</x:v>
      </x:c>
      <x:c r="B3372" t="n">
        <x:v>45930.624999988424</x:v>
      </x:c>
      <x:c r="C3372" t="str">
        <x:v>014970</x:v>
      </x:c>
      <x:c r="D3372" t="str">
        <x:v>삼륭물산</x:v>
      </x:c>
      <x:c r="E3372" t="str">
        <x:v>KOSDAQ</x:v>
      </x:c>
      <x:c r="F3372" t="str">
        <x:v>MID</x:v>
      </x:c>
      <x:c r="G3372" t="str">
        <x:v>DCF_SCREENING_EXCLUSION</x:v>
      </x:c>
      <x:c r="H3372" t="str">
        <x:v>NON_POSITIVE_EQUITY_VALUE|NON_POSITIVE_TERMINAL_FCF|UNRELIABLE_TERMINAL_VALUE_SHARE</x:v>
      </x:c>
      <x:c r="I3372" s="54" t="n">
        <x:v>45930</x:v>
      </x:c>
      <x:c r="J3372" s="55" t="n">
        <x:v>6910</x:v>
      </x:c>
      <x:c r="K3372" s="55" t="n">
        <x:v>104513750000</x:v>
      </x:c>
      <x:c r="L3372" s="55" t="n">
        <x:v>15125000</x:v>
      </x:c>
      <x:c r="M3372" t="str">
        <x:v>20250320000980</x:v>
      </x:c>
      <x:c r="N3372" t="n">
        <x:v>45736.624999988424</x:v>
      </x:c>
      <x:c r="O3372" s="54" t="n">
        <x:v>45657</x:v>
      </x:c>
      <x:c r="P3372" t="str">
        <x:v>False</x:v>
      </x:c>
      <x:c r="Q3372" t="str">
        <x:v>6f8e7f5705f2643cef863a875ec2d297c25be06befeaed9c6d2cff396f19384d</x:v>
      </x:c>
      <x:c r="R3372" t="str">
        <x:v>e1951eaefee2d83e805b2da8ec68816c01f25d73acefe6285da78c79a4153983</x:v>
      </x:c>
      <x:c r="S3372" t="n">
        <x:v>6</x:v>
      </x:c>
      <x:c r="T3372" t="str">
        <x:v>2018-12-31|2019-12-31|2020-12-31|2021-12-31|2022-12-31|2023-12-31|2024-12-31</x:v>
      </x:c>
      <x:c r="U3372" s="57" t="n">
        <x:v>-753.213884159769</x:v>
      </x:c>
      <x:c r="V3372" s="57" t="n">
        <x:v>-1.1090034564630635</x:v>
      </x:c>
      <x:c r="W3372"/>
      <x:c r="X3372"/>
      <x:c r="Y3372" s="38" t="n">
        <x:v>0.6409090909090909</x:v>
      </x:c>
      <x:c r="Z3372" s="38" t="n">
        <x:v>-0.12816825399384127</x:v>
      </x:c>
      <x:c r="AA3372" t="str">
        <x:v>NON_POSITIVE_EQUITY_VALUE|NON_POSITIVE_TERMINAL_FCF|UNRELIABLE_TERMINAL_VALUE_SHARE</x:v>
      </x:c>
    </x:row>
    <x:row r="3373">
      <x:c r="A3373" s="54" t="n">
        <x:v>45930</x:v>
      </x:c>
      <x:c r="B3373" t="n">
        <x:v>45930.624999988424</x:v>
      </x:c>
      <x:c r="C3373" t="str">
        <x:v>088390</x:v>
      </x:c>
      <x:c r="D3373" t="str">
        <x:v>이녹스</x:v>
      </x:c>
      <x:c r="E3373" t="str">
        <x:v>KOSDAQ</x:v>
      </x:c>
      <x:c r="F3373" t="str">
        <x:v>MID</x:v>
      </x:c>
      <x:c r="G3373" t="str">
        <x:v>ELIGIBLE</x:v>
      </x:c>
      <x:c r="H3373"/>
      <x:c r="I3373" s="54" t="n">
        <x:v>45930</x:v>
      </x:c>
      <x:c r="J3373" s="55" t="n">
        <x:v>9970</x:v>
      </x:c>
      <x:c r="K3373" s="55" t="n">
        <x:v>93576864680</x:v>
      </x:c>
      <x:c r="L3373" s="55" t="n">
        <x:v>9385844</x:v>
      </x:c>
      <x:c r="M3373" t="str">
        <x:v>20250318001304</x:v>
      </x:c>
      <x:c r="N3373" t="n">
        <x:v>45734.624999988424</x:v>
      </x:c>
      <x:c r="O3373" s="54" t="n">
        <x:v>45657</x:v>
      </x:c>
      <x:c r="P3373" t="str">
        <x:v>False</x:v>
      </x:c>
      <x:c r="Q3373" t="str">
        <x:v>f01a446f03e59a219c219c23e90ed08b1bdc3759eef2ddb7e02dc2e9b28f9bd2</x:v>
      </x:c>
      <x:c r="R3373" t="str">
        <x:v>9738421b76fb9ca6a9f321c55160042641f1d329c511181a00022f62b2e62a17</x:v>
      </x:c>
      <x:c r="S3373" t="n">
        <x:v>6</x:v>
      </x:c>
      <x:c r="T3373" t="str">
        <x:v>2018-12-31|2019-12-31|2020-12-31|2021-12-31|2022-12-31|2023-12-31|2024-12-31</x:v>
      </x:c>
      <x:c r="U3373" s="57" t="n">
        <x:v>5731.424757990951</x:v>
      </x:c>
      <x:c r="V3373" s="57" t="n">
        <x:v>-0.4251329229698144</x:v>
      </x:c>
      <x:c r="W3373" t="n">
        <x:v>36</x:v>
      </x:c>
      <x:c r="X3373" t="n">
        <x:v>3</x:v>
      </x:c>
      <x:c r="Y3373" s="38" t="n">
        <x:v>0.6409090909090909</x:v>
      </x:c>
      <x:c r="Z3373" s="38" t="n">
        <x:v>0.6606635726672196</x:v>
      </x:c>
      <x:c r="AA3373"/>
    </x:row>
    <x:row r="3374">
      <x:c r="A3374" s="54" t="n">
        <x:v>45930</x:v>
      </x:c>
      <x:c r="B3374" t="n">
        <x:v>45930.624999988424</x:v>
      </x:c>
      <x:c r="C3374" t="str">
        <x:v>170920</x:v>
      </x:c>
      <x:c r="D3374" t="str">
        <x:v>엘티씨</x:v>
      </x:c>
      <x:c r="E3374" t="str">
        <x:v>KOSDAQ</x:v>
      </x:c>
      <x:c r="F3374" t="str">
        <x:v>MID</x:v>
      </x:c>
      <x:c r="G3374" t="str">
        <x:v>ELIGIBLE</x:v>
      </x:c>
      <x:c r="H3374"/>
      <x:c r="I3374" s="54" t="n">
        <x:v>45930</x:v>
      </x:c>
      <x:c r="J3374" s="55" t="n">
        <x:v>19500</x:v>
      </x:c>
      <x:c r="K3374" s="55" t="n">
        <x:v>189857772000</x:v>
      </x:c>
      <x:c r="L3374" s="55" t="n">
        <x:v>9736296</x:v>
      </x:c>
      <x:c r="M3374" t="str">
        <x:v>20250328001821</x:v>
      </x:c>
      <x:c r="N3374" t="n">
        <x:v>45744.624999988424</x:v>
      </x:c>
      <x:c r="O3374" s="54" t="n">
        <x:v>45657</x:v>
      </x:c>
      <x:c r="P3374" t="str">
        <x:v>True</x:v>
      </x:c>
      <x:c r="Q3374" t="str">
        <x:v>82f68014fed9ea6560d91cda820e865233a89c2f8e6699ddffef307623ef241e</x:v>
      </x:c>
      <x:c r="R3374" t="str">
        <x:v>8512cd29ddbc45f0c751330f10f75690ebfb9a5b566e7673f904eaf3693bf3cc</x:v>
      </x:c>
      <x:c r="S3374" t="n">
        <x:v>6</x:v>
      </x:c>
      <x:c r="T3374" t="str">
        <x:v>2018-12-31|2019-12-31|2020-12-31|2021-12-31|2022-12-31|2023-12-31|2024-12-31</x:v>
      </x:c>
      <x:c r="U3374" s="57" t="n">
        <x:v>2733.550508331747</x:v>
      </x:c>
      <x:c r="V3374" s="57" t="n">
        <x:v>-0.859817922649654</x:v>
      </x:c>
      <x:c r="W3374" t="n">
        <x:v>62</x:v>
      </x:c>
      <x:c r="X3374" t="n">
        <x:v>5</x:v>
      </x:c>
      <x:c r="Y3374" s="38" t="n">
        <x:v>0.6409090909090909</x:v>
      </x:c>
      <x:c r="Z3374" s="38" t="n">
        <x:v>0.43281158465940023</x:v>
      </x:c>
      <x:c r="AA3374"/>
    </x:row>
    <x:row r="3375">
      <x:c r="A3375" s="54" t="n">
        <x:v>45930</x:v>
      </x:c>
      <x:c r="B3375" t="n">
        <x:v>45930.624999988424</x:v>
      </x:c>
      <x:c r="C3375" t="str">
        <x:v>021080</x:v>
      </x:c>
      <x:c r="D3375" t="str">
        <x:v>에이티넘인베스트</x:v>
      </x:c>
      <x:c r="E3375" t="str">
        <x:v>KOSDAQ</x:v>
      </x:c>
      <x:c r="F3375" t="str">
        <x:v>MID</x:v>
      </x:c>
      <x:c r="G3375" t="str">
        <x:v>ELIGIBLE</x:v>
      </x:c>
      <x:c r="H3375"/>
      <x:c r="I3375" s="54" t="n">
        <x:v>45930</x:v>
      </x:c>
      <x:c r="J3375" s="55" t="n">
        <x:v>2650</x:v>
      </x:c>
      <x:c r="K3375" s="55" t="n">
        <x:v>127200000000</x:v>
      </x:c>
      <x:c r="L3375" s="55" t="n">
        <x:v>48000000</x:v>
      </x:c>
      <x:c r="M3375" t="str">
        <x:v>20250311001310</x:v>
      </x:c>
      <x:c r="N3375" t="n">
        <x:v>45728.624999988424</x:v>
      </x:c>
      <x:c r="O3375" s="54" t="n">
        <x:v>45657</x:v>
      </x:c>
      <x:c r="P3375" t="str">
        <x:v>False</x:v>
      </x:c>
      <x:c r="Q3375" t="str">
        <x:v>a1603c2fcc2068336a7bc3fa9b8a19fe892ed585a8ab7a4b2703f28f5085be47</x:v>
      </x:c>
      <x:c r="R3375" t="str">
        <x:v>2c96946943f799db2b9961595886975f5db8e595b3abee09ebfc8cccc943cf57</x:v>
      </x:c>
      <x:c r="S3375" t="n">
        <x:v>5</x:v>
      </x:c>
      <x:c r="T3375" t="str">
        <x:v>2018-12-31|2019-12-31|2020-12-31|2021-12-31|2022-12-31|2023-12-31|2024-12-31</x:v>
      </x:c>
      <x:c r="U3375" s="57" t="n">
        <x:v>4850.450445377758</x:v>
      </x:c>
      <x:c r="V3375" s="57" t="n">
        <x:v>0.8303586586331163</x:v>
      </x:c>
      <x:c r="W3375" t="n">
        <x:v>8</x:v>
      </x:c>
      <x:c r="X3375" t="n">
        <x:v>1</x:v>
      </x:c>
      <x:c r="Y3375" s="38" t="n">
        <x:v>0.6409090909090909</x:v>
      </x:c>
      <x:c r="Z3375" s="38" t="n">
        <x:v>0.7149988896107878</x:v>
      </x:c>
      <x:c r="AA3375"/>
    </x:row>
    <x:row r="3376">
      <x:c r="A3376" s="54" t="n">
        <x:v>45930</x:v>
      </x:c>
      <x:c r="B3376" t="n">
        <x:v>45930.624999988424</x:v>
      </x:c>
      <x:c r="C3376" t="str">
        <x:v>302550</x:v>
      </x:c>
      <x:c r="D3376" t="str">
        <x:v>리메드</x:v>
      </x:c>
      <x:c r="E3376" t="str">
        <x:v>KOSDAQ</x:v>
      </x:c>
      <x:c r="F3376" t="str">
        <x:v>MID</x:v>
      </x:c>
      <x:c r="G3376" t="str">
        <x:v>ELIGIBLE</x:v>
      </x:c>
      <x:c r="H3376"/>
      <x:c r="I3376" s="54" t="n">
        <x:v>45930</x:v>
      </x:c>
      <x:c r="J3376" s="55" t="n">
        <x:v>3665</x:v>
      </x:c>
      <x:c r="K3376" s="55" t="n">
        <x:v>115431110120</x:v>
      </x:c>
      <x:c r="L3376" s="55" t="n">
        <x:v>31495528</x:v>
      </x:c>
      <x:c r="M3376" t="str">
        <x:v>20250318001367</x:v>
      </x:c>
      <x:c r="N3376" t="n">
        <x:v>45734.624999988424</x:v>
      </x:c>
      <x:c r="O3376" s="54" t="n">
        <x:v>45657</x:v>
      </x:c>
      <x:c r="P3376" t="str">
        <x:v>False</x:v>
      </x:c>
      <x:c r="Q3376" t="str">
        <x:v>c8e33df87c4c63d21435004c0981ab7b1302f4e8ec074b819926d7d755c09a34</x:v>
      </x:c>
      <x:c r="R3376" t="str">
        <x:v>98fc5c22e0d19f51c1a9370ef8f02898af69daad21c6905236ab144b6322b99b</x:v>
      </x:c>
      <x:c r="S3376" t="n">
        <x:v>5</x:v>
      </x:c>
      <x:c r="T3376" t="str">
        <x:v>2019-12-31|2020-12-31|2021-12-31|2022-12-31|2024-12-31</x:v>
      </x:c>
      <x:c r="U3376" s="57" t="n">
        <x:v>903.2115933475097</x:v>
      </x:c>
      <x:c r="V3376" s="57" t="n">
        <x:v>-0.7535575461534761</x:v>
      </x:c>
      <x:c r="W3376" t="n">
        <x:v>58</x:v>
      </x:c>
      <x:c r="X3376" t="n">
        <x:v>5</x:v>
      </x:c>
      <x:c r="Y3376" s="38" t="n">
        <x:v>0.6409090909090909</x:v>
      </x:c>
      <x:c r="Z3376" s="38" t="n">
        <x:v>0.7960827540725356</x:v>
      </x:c>
      <x:c r="AA3376"/>
    </x:row>
    <x:row r="3377">
      <x:c r="A3377" s="54" t="n">
        <x:v>45930</x:v>
      </x:c>
      <x:c r="B3377" t="n">
        <x:v>45930.624999988424</x:v>
      </x:c>
      <x:c r="C3377" t="str">
        <x:v>011760</x:v>
      </x:c>
      <x:c r="D3377" t="str">
        <x:v>현대코퍼레이션</x:v>
      </x:c>
      <x:c r="E3377" t="str">
        <x:v>KOSPI</x:v>
      </x:c>
      <x:c r="F3377" t="str">
        <x:v>MID</x:v>
      </x:c>
      <x:c r="G3377" t="str">
        <x:v>DCF_SCREENING_EXCLUSION</x:v>
      </x:c>
      <x:c r="H3377" t="str">
        <x:v>NON_POSITIVE_ENTERPRISE_VALUE|NON_POSITIVE_TERMINAL_FCF</x:v>
      </x:c>
      <x:c r="I3377" s="54" t="n">
        <x:v>45930</x:v>
      </x:c>
      <x:c r="J3377" s="55" t="n">
        <x:v>21150</x:v>
      </x:c>
      <x:c r="K3377" s="55" t="n">
        <x:v>279792630900</x:v>
      </x:c>
      <x:c r="L3377" s="55" t="n">
        <x:v>13228966</x:v>
      </x:c>
      <x:c r="M3377" t="str">
        <x:v>20250324000696</x:v>
      </x:c>
      <x:c r="N3377" t="n">
        <x:v>45740.624999988424</x:v>
      </x:c>
      <x:c r="O3377" s="54" t="n">
        <x:v>45657</x:v>
      </x:c>
      <x:c r="P3377" t="str">
        <x:v>True</x:v>
      </x:c>
      <x:c r="Q3377" t="str">
        <x:v>68ee43a0174ac144c0fe7ab9f51033c2bd53b706db9c4bdc3128edce16e5e12f</x:v>
      </x:c>
      <x:c r="R3377" t="str">
        <x:v>55f2a3f3d0bcbbf7f2182fc4f7fdc29ada8d243d4334cac43043e0c6ab108d5c</x:v>
      </x:c>
      <x:c r="S3377" t="n">
        <x:v>7</x:v>
      </x:c>
      <x:c r="T3377" t="str">
        <x:v>2018-12-31|2019-12-31|2020-12-31|2021-12-31|2022-12-31|2023-12-31|2024-12-31</x:v>
      </x:c>
      <x:c r="U3377" s="57" t="n">
        <x:v>15119.610637335732</x:v>
      </x:c>
      <x:c r="V3377" s="57" t="n">
        <x:v>-0.2851247925609583</x:v>
      </x:c>
      <x:c r="W3377"/>
      <x:c r="X3377"/>
      <x:c r="Y3377" s="38" t="n">
        <x:v>0.6409090909090909</x:v>
      </x:c>
      <x:c r="Z3377" s="38" t="n">
        <x:v>0.2921718857711688</x:v>
      </x:c>
      <x:c r="AA3377" t="str">
        <x:v>NON_POSITIVE_ENTERPRISE_VALUE|NON_POSITIVE_TERMINAL_FCF</x:v>
      </x:c>
    </x:row>
    <x:row r="3378">
      <x:c r="A3378" s="54" t="n">
        <x:v>45930</x:v>
      </x:c>
      <x:c r="B3378" t="n">
        <x:v>45930.624999988424</x:v>
      </x:c>
      <x:c r="C3378" t="str">
        <x:v>010690</x:v>
      </x:c>
      <x:c r="D3378" t="str">
        <x:v>화신</x:v>
      </x:c>
      <x:c r="E3378" t="str">
        <x:v>KOSPI</x:v>
      </x:c>
      <x:c r="F3378" t="str">
        <x:v>MID</x:v>
      </x:c>
      <x:c r="G3378" t="str">
        <x:v>DCF_SCREENING_EXCLUSION</x:v>
      </x:c>
      <x:c r="H3378" t="str">
        <x:v>NON_POSITIVE_ENTERPRISE_VALUE|NON_POSITIVE_EQUITY_VALUE|NON_POSITIVE_TERMINAL_FCF</x:v>
      </x:c>
      <x:c r="I3378" s="54" t="n">
        <x:v>45930</x:v>
      </x:c>
      <x:c r="J3378" s="55" t="n">
        <x:v>7740</x:v>
      </x:c>
      <x:c r="K3378" s="55" t="n">
        <x:v>270283973400</x:v>
      </x:c>
      <x:c r="L3378" s="55" t="n">
        <x:v>34920410</x:v>
      </x:c>
      <x:c r="M3378" t="str">
        <x:v>20250317000376</x:v>
      </x:c>
      <x:c r="N3378" t="n">
        <x:v>45733.624999988424</x:v>
      </x:c>
      <x:c r="O3378" s="54" t="n">
        <x:v>45657</x:v>
      </x:c>
      <x:c r="P3378" t="str">
        <x:v>False</x:v>
      </x:c>
      <x:c r="Q3378" t="str">
        <x:v>da0f0eb8f18c5a7098923d744bc237781b32caed397bc9058d80382937d77299</x:v>
      </x:c>
      <x:c r="R3378" t="str">
        <x:v>03073b3d74461b169c46638dac3e04b7110b3d52b5eac0bcd1ebd01d561ee241</x:v>
      </x:c>
      <x:c r="S3378" t="n">
        <x:v>6</x:v>
      </x:c>
      <x:c r="T3378" t="str">
        <x:v>2018-12-31|2019-12-31|2020-12-31|2021-12-31|2022-12-31|2023-12-31|2024-12-31</x:v>
      </x:c>
      <x:c r="U3378" s="57" t="n">
        <x:v>-8861.949437601435</x:v>
      </x:c>
      <x:c r="V3378" s="57" t="n">
        <x:v>-2.144954707700444</x:v>
      </x:c>
      <x:c r="W3378"/>
      <x:c r="X3378"/>
      <x:c r="Y3378" s="38" t="n">
        <x:v>0.6409090909090909</x:v>
      </x:c>
      <x:c r="Z3378" s="38" t="n">
        <x:v>0.8291622965175354</x:v>
      </x:c>
      <x:c r="AA3378" t="str">
        <x:v>NON_POSITIVE_ENTERPRISE_VALUE|NON_POSITIVE_EQUITY_VALUE|NON_POSITIVE_TERMINAL_FCF</x:v>
      </x:c>
    </x:row>
    <x:row r="3379">
      <x:c r="A3379" s="54" t="n">
        <x:v>45930</x:v>
      </x:c>
      <x:c r="B3379" t="n">
        <x:v>45930.624999988424</x:v>
      </x:c>
      <x:c r="C3379" t="str">
        <x:v>029460</x:v>
      </x:c>
      <x:c r="D3379" t="str">
        <x:v>케이씨</x:v>
      </x:c>
      <x:c r="E3379" t="str">
        <x:v>KOSPI</x:v>
      </x:c>
      <x:c r="F3379" t="str">
        <x:v>MID</x:v>
      </x:c>
      <x:c r="G3379" t="str">
        <x:v>ELIGIBLE</x:v>
      </x:c>
      <x:c r="H3379"/>
      <x:c r="I3379" s="54" t="n">
        <x:v>45930</x:v>
      </x:c>
      <x:c r="J3379" s="55" t="n">
        <x:v>26150</x:v>
      </x:c>
      <x:c r="K3379" s="55" t="n">
        <x:v>345997527450</x:v>
      </x:c>
      <x:c r="L3379" s="55" t="n">
        <x:v>13231263</x:v>
      </x:c>
      <x:c r="M3379" t="str">
        <x:v>20250318001395</x:v>
      </x:c>
      <x:c r="N3379" t="n">
        <x:v>45734.624999988424</x:v>
      </x:c>
      <x:c r="O3379" s="54" t="n">
        <x:v>45657</x:v>
      </x:c>
      <x:c r="P3379" t="str">
        <x:v>False</x:v>
      </x:c>
      <x:c r="Q3379" t="str">
        <x:v>464d0555151422c07764d16729d174af7e0cb1d5907de9408a81802340081853</x:v>
      </x:c>
      <x:c r="R3379" t="str">
        <x:v>c2032c08046026aff128df41622f5bffe7b5f774a8bfa88eeeb7ed85354f0bf1</x:v>
      </x:c>
      <x:c r="S3379" t="n">
        <x:v>7</x:v>
      </x:c>
      <x:c r="T3379" t="str">
        <x:v>2018-12-31|2019-12-31|2020-12-31|2021-12-31|2022-12-31|2023-12-31|2024-12-31</x:v>
      </x:c>
      <x:c r="U3379" s="57" t="n">
        <x:v>40329.13587582702</x:v>
      </x:c>
      <x:c r="V3379" s="57" t="n">
        <x:v>0.5422231692476871</x:v>
      </x:c>
      <x:c r="W3379" t="n">
        <x:v>15</x:v>
      </x:c>
      <x:c r="X3379" t="n">
        <x:v>2</x:v>
      </x:c>
      <x:c r="Y3379" s="38" t="n">
        <x:v>0.6409090909090909</x:v>
      </x:c>
      <x:c r="Z3379" s="38" t="n">
        <x:v>0.7980834065611973</x:v>
      </x:c>
      <x:c r="AA3379"/>
    </x:row>
    <x:row r="3380">
      <x:c r="A3380" s="54" t="n">
        <x:v>45930</x:v>
      </x:c>
      <x:c r="B3380" t="n">
        <x:v>45930.624999988424</x:v>
      </x:c>
      <x:c r="C3380" t="str">
        <x:v>122900</x:v>
      </x:c>
      <x:c r="D3380" t="str">
        <x:v>아이마켓코리아</x:v>
      </x:c>
      <x:c r="E3380" t="str">
        <x:v>KOSPI</x:v>
      </x:c>
      <x:c r="F3380" t="str">
        <x:v>MID</x:v>
      </x:c>
      <x:c r="G3380" t="str">
        <x:v>ELIGIBLE</x:v>
      </x:c>
      <x:c r="H3380"/>
      <x:c r="I3380" s="54" t="n">
        <x:v>45930</x:v>
      </x:c>
      <x:c r="J3380" s="55" t="n">
        <x:v>8200</x:v>
      </x:c>
      <x:c r="K3380" s="55" t="n">
        <x:v>274116488000</x:v>
      </x:c>
      <x:c r="L3380" s="55" t="n">
        <x:v>33428840</x:v>
      </x:c>
      <x:c r="M3380" t="str">
        <x:v>20250320001632</x:v>
      </x:c>
      <x:c r="N3380" t="n">
        <x:v>45736.624999988424</x:v>
      </x:c>
      <x:c r="O3380" s="54" t="n">
        <x:v>45657</x:v>
      </x:c>
      <x:c r="P3380" t="str">
        <x:v>False</x:v>
      </x:c>
      <x:c r="Q3380" t="str">
        <x:v>e212963ad9bde643af10aa0bd891a52d33878d6d9b4a9c8cd0ebe1baf7a67fd9</x:v>
      </x:c>
      <x:c r="R3380" t="str">
        <x:v>081c47b6392b818d1ef0875c1b8bacccac5d14ebdbc7f40e7fc9af0e62e4fe8c</x:v>
      </x:c>
      <x:c r="S3380" t="n">
        <x:v>7</x:v>
      </x:c>
      <x:c r="T3380" t="str">
        <x:v>2018-12-31|2019-12-31|2020-12-31|2021-12-31|2022-12-31|2023-12-31|2024-12-31</x:v>
      </x:c>
      <x:c r="U3380" s="57" t="n">
        <x:v>4334.757476567481</x:v>
      </x:c>
      <x:c r="V3380" s="57" t="n">
        <x:v>-0.47137103944299014</x:v>
      </x:c>
      <x:c r="W3380" t="n">
        <x:v>40</x:v>
      </x:c>
      <x:c r="X3380" t="n">
        <x:v>3</x:v>
      </x:c>
      <x:c r="Y3380" s="38" t="n">
        <x:v>0.6409090909090909</x:v>
      </x:c>
      <x:c r="Z3380" s="38" t="n">
        <x:v>0.4285933385330603</x:v>
      </x:c>
      <x:c r="AA3380"/>
    </x:row>
    <x:row r="3381">
      <x:c r="A3381" s="54" t="n">
        <x:v>45930</x:v>
      </x:c>
      <x:c r="B3381" t="n">
        <x:v>45930.624999988424</x:v>
      </x:c>
      <x:c r="C3381" t="str">
        <x:v>001820</x:v>
      </x:c>
      <x:c r="D3381" t="str">
        <x:v>삼화콘덴서</x:v>
      </x:c>
      <x:c r="E3381" t="str">
        <x:v>KOSPI</x:v>
      </x:c>
      <x:c r="F3381" t="str">
        <x:v>MID</x:v>
      </x:c>
      <x:c r="G3381" t="str">
        <x:v>ELIGIBLE</x:v>
      </x:c>
      <x:c r="H3381"/>
      <x:c r="I3381" s="54" t="n">
        <x:v>45930</x:v>
      </x:c>
      <x:c r="J3381" s="55" t="n">
        <x:v>32150</x:v>
      </x:c>
      <x:c r="K3381" s="55" t="n">
        <x:v>334199250000</x:v>
      </x:c>
      <x:c r="L3381" s="55" t="n">
        <x:v>10395000</x:v>
      </x:c>
      <x:c r="M3381" t="str">
        <x:v>20250313000953</x:v>
      </x:c>
      <x:c r="N3381" t="n">
        <x:v>45729.624999988424</x:v>
      </x:c>
      <x:c r="O3381" s="54" t="n">
        <x:v>45657</x:v>
      </x:c>
      <x:c r="P3381" t="str">
        <x:v>False</x:v>
      </x:c>
      <x:c r="Q3381" t="str">
        <x:v>32de5b8671fddcc7842aa2a95ef1033b7dc5f72e59b2acf4984c3969a0094970</x:v>
      </x:c>
      <x:c r="R3381" t="str">
        <x:v>fed592dfa2d91e9fcab52960c37c24f80f97645071e2dde2510e13867fbb84b3</x:v>
      </x:c>
      <x:c r="S3381" t="n">
        <x:v>5</x:v>
      </x:c>
      <x:c r="T3381" t="str">
        <x:v>2018-12-31|2019-12-31|2020-12-31|2021-12-31|2022-12-31|2023-12-31|2024-12-31</x:v>
      </x:c>
      <x:c r="U3381" s="57" t="n">
        <x:v>20075.75881827716</x:v>
      </x:c>
      <x:c r="V3381" s="57" t="n">
        <x:v>-0.3755596012977555</x:v>
      </x:c>
      <x:c r="W3381" t="n">
        <x:v>34</x:v>
      </x:c>
      <x:c r="X3381" t="n">
        <x:v>3</x:v>
      </x:c>
      <x:c r="Y3381" s="38" t="n">
        <x:v>0.6409090909090909</x:v>
      </x:c>
      <x:c r="Z3381" s="38" t="n">
        <x:v>0.7774307287133866</x:v>
      </x:c>
      <x:c r="AA3381"/>
    </x:row>
    <x:row r="3382">
      <x:c r="A3382" s="54" t="n">
        <x:v>45930</x:v>
      </x:c>
      <x:c r="B3382" t="n">
        <x:v>45930.624999988424</x:v>
      </x:c>
      <x:c r="C3382" t="str">
        <x:v>001790</x:v>
      </x:c>
      <x:c r="D3382" t="str">
        <x:v>대한제당</x:v>
      </x:c>
      <x:c r="E3382" t="str">
        <x:v>KOSPI</x:v>
      </x:c>
      <x:c r="F3382" t="str">
        <x:v>MID</x:v>
      </x:c>
      <x:c r="G3382" t="str">
        <x:v>ELIGIBLE</x:v>
      </x:c>
      <x:c r="H3382"/>
      <x:c r="I3382" s="54" t="n">
        <x:v>45930</x:v>
      </x:c>
      <x:c r="J3382" s="55" t="n">
        <x:v>2855</x:v>
      </x:c>
      <x:c r="K3382" s="55" t="n">
        <x:v>256083735900</x:v>
      </x:c>
      <x:c r="L3382" s="55" t="n">
        <x:v>89696580</x:v>
      </x:c>
      <x:c r="M3382" t="str">
        <x:v>20250313001084</x:v>
      </x:c>
      <x:c r="N3382" t="n">
        <x:v>45729.624999988424</x:v>
      </x:c>
      <x:c r="O3382" s="54" t="n">
        <x:v>45657</x:v>
      </x:c>
      <x:c r="P3382" t="str">
        <x:v>False</x:v>
      </x:c>
      <x:c r="Q3382" t="str">
        <x:v>70a71fdd9a89f3ec8ece67cee20f991f14f95880a59c9b0273b79524d818c498</x:v>
      </x:c>
      <x:c r="R3382" t="str">
        <x:v>11994b75602dcb258bf28fb74f6b0631f80d4850bfe39ed8327b39358517a61a</x:v>
      </x:c>
      <x:c r="S3382" t="n">
        <x:v>7</x:v>
      </x:c>
      <x:c r="T3382" t="str">
        <x:v>2018-12-31|2019-12-31|2020-12-31|2021-12-31|2022-12-31|2023-12-31|2024-12-31</x:v>
      </x:c>
      <x:c r="U3382" s="57" t="n">
        <x:v>894.4676888036394</x:v>
      </x:c>
      <x:c r="V3382" s="57" t="n">
        <x:v>-0.6867013349199161</x:v>
      </x:c>
      <x:c r="W3382" t="n">
        <x:v>52</x:v>
      </x:c>
      <x:c r="X3382" t="n">
        <x:v>4</x:v>
      </x:c>
      <x:c r="Y3382" s="38" t="n">
        <x:v>0.6409090909090909</x:v>
      </x:c>
      <x:c r="Z3382" s="38" t="n">
        <x:v>0.6733915242702966</x:v>
      </x:c>
      <x:c r="AA3382"/>
    </x:row>
    <x:row r="3383">
      <x:c r="A3383" s="54" t="n">
        <x:v>45930</x:v>
      </x:c>
      <x:c r="B3383" t="n">
        <x:v>45930.624999988424</x:v>
      </x:c>
      <x:c r="C3383" t="str">
        <x:v>001340</x:v>
      </x:c>
      <x:c r="D3383" t="str">
        <x:v>PKC</x:v>
      </x:c>
      <x:c r="E3383" t="str">
        <x:v>KOSPI</x:v>
      </x:c>
      <x:c r="F3383" t="str">
        <x:v>MID</x:v>
      </x:c>
      <x:c r="G3383" t="str">
        <x:v>DCF_SCREENING_EXCLUSION</x:v>
      </x:c>
      <x:c r="H3383" t="str">
        <x:v>NON_POSITIVE_EQUITY_VALUE|UNRELIABLE_TERMINAL_VALUE_SHARE</x:v>
      </x:c>
      <x:c r="I3383" s="54" t="n">
        <x:v>45930</x:v>
      </x:c>
      <x:c r="J3383" s="55" t="n">
        <x:v>5470</x:v>
      </x:c>
      <x:c r="K3383" s="55" t="n">
        <x:v>245703686290</x:v>
      </x:c>
      <x:c r="L3383" s="55" t="n">
        <x:v>44918407</x:v>
      </x:c>
      <x:c r="M3383" t="str">
        <x:v>20250318001326</x:v>
      </x:c>
      <x:c r="N3383" t="n">
        <x:v>45734.624999988424</x:v>
      </x:c>
      <x:c r="O3383" s="54" t="n">
        <x:v>45657</x:v>
      </x:c>
      <x:c r="P3383" t="str">
        <x:v>False</x:v>
      </x:c>
      <x:c r="Q3383" t="str">
        <x:v>448422d0b664c1641c1409a6b550302ed7843caaad8693595fcf64767a2bf153</x:v>
      </x:c>
      <x:c r="R3383" t="str">
        <x:v>d7f4e26fd2d59a2733a35c8f825adbcbfe131ec6897357144d8cd186caa2ccea</x:v>
      </x:c>
      <x:c r="S3383" t="n">
        <x:v>6</x:v>
      </x:c>
      <x:c r="T3383" t="str">
        <x:v>2016-12-31|2017-12-31|2018-12-31|2019-12-31|2020-12-31|2021-12-31|2022-12-31|2023-12-31|2024-12-31</x:v>
      </x:c>
      <x:c r="U3383" s="57" t="n">
        <x:v>-1931.2583769092985</x:v>
      </x:c>
      <x:c r="V3383" s="57" t="n">
        <x:v>-1.3530636886488663</x:v>
      </x:c>
      <x:c r="W3383"/>
      <x:c r="X3383"/>
      <x:c r="Y3383" s="38" t="n">
        <x:v>0.6409090909090909</x:v>
      </x:c>
      <x:c r="Z3383" s="38" t="n">
        <x:v>1.077545612439398</x:v>
      </x:c>
      <x:c r="AA3383" t="str">
        <x:v>NON_POSITIVE_EQUITY_VALUE|UNRELIABLE_TERMINAL_VALUE_SHARE</x:v>
      </x:c>
    </x:row>
    <x:row r="3384">
      <x:c r="A3384" s="54" t="n">
        <x:v>45930</x:v>
      </x:c>
      <x:c r="B3384" t="n">
        <x:v>45930.624999988424</x:v>
      </x:c>
      <x:c r="C3384" t="str">
        <x:v>096760</x:v>
      </x:c>
      <x:c r="D3384" t="str">
        <x:v>JW홀딩스</x:v>
      </x:c>
      <x:c r="E3384" t="str">
        <x:v>KOSPI</x:v>
      </x:c>
      <x:c r="F3384" t="str">
        <x:v>MID</x:v>
      </x:c>
      <x:c r="G3384" t="str">
        <x:v>EXCLUDED_ARCHETYPE</x:v>
      </x:c>
      <x:c r="H3384" t="str">
        <x:v>FCFF_NOT_COMPARABLE_FOR_FINANCE_OR_HOLDING_HINT</x:v>
      </x:c>
      <x:c r="I3384" s="54"/>
      <x:c r="J3384" s="55"/>
      <x:c r="K3384" s="55"/>
      <x:c r="L3384" s="55"/>
      <x:c r="M3384"/>
      <x:c r="N3384"/>
      <x:c r="O3384" s="54"/>
      <x:c r="P3384"/>
      <x:c r="Q3384"/>
      <x:c r="R3384"/>
      <x:c r="S3384"/>
      <x:c r="T3384"/>
      <x:c r="U3384" s="57"/>
      <x:c r="V3384" s="57"/>
      <x:c r="W3384"/>
      <x:c r="X3384"/>
      <x:c r="Y3384" s="38"/>
      <x:c r="Z3384" s="38"/>
      <x:c r="AA3384"/>
    </x:row>
    <x:row r="3385">
      <x:c r="A3385" s="54" t="n">
        <x:v>45930</x:v>
      </x:c>
      <x:c r="B3385" t="n">
        <x:v>45930.624999988424</x:v>
      </x:c>
      <x:c r="C3385" t="str">
        <x:v>005010</x:v>
      </x:c>
      <x:c r="D3385" t="str">
        <x:v>휴스틸</x:v>
      </x:c>
      <x:c r="E3385" t="str">
        <x:v>KOSPI</x:v>
      </x:c>
      <x:c r="F3385" t="str">
        <x:v>MID</x:v>
      </x:c>
      <x:c r="G3385" t="str">
        <x:v>ELIGIBLE</x:v>
      </x:c>
      <x:c r="H3385"/>
      <x:c r="I3385" s="54" t="n">
        <x:v>45930</x:v>
      </x:c>
      <x:c r="J3385" s="55" t="n">
        <x:v>3900</x:v>
      </x:c>
      <x:c r="K3385" s="55" t="n">
        <x:v>219133492500</x:v>
      </x:c>
      <x:c r="L3385" s="55" t="n">
        <x:v>56188075</x:v>
      </x:c>
      <x:c r="M3385" t="str">
        <x:v>20250318001178</x:v>
      </x:c>
      <x:c r="N3385" t="n">
        <x:v>45734.624999988424</x:v>
      </x:c>
      <x:c r="O3385" s="54" t="n">
        <x:v>45657</x:v>
      </x:c>
      <x:c r="P3385" t="str">
        <x:v>False</x:v>
      </x:c>
      <x:c r="Q3385" t="str">
        <x:v>ebd1bae8300c69238e0a9e599d93730f19c06298ae3de9f1e44a88d3bcc9c46c</x:v>
      </x:c>
      <x:c r="R3385" t="str">
        <x:v>8b598b2a34d56804b2da12e7baeabc6a6f5137d2326d7baa9c526ed2e79a06c5</x:v>
      </x:c>
      <x:c r="S3385" t="n">
        <x:v>7</x:v>
      </x:c>
      <x:c r="T3385" t="str">
        <x:v>2018-12-31|2019-12-31|2020-12-31|2021-12-31|2022-12-31|2023-12-31|2024-12-31</x:v>
      </x:c>
      <x:c r="U3385" s="57" t="n">
        <x:v>2225.32104209166</x:v>
      </x:c>
      <x:c r="V3385" s="57" t="n">
        <x:v>-0.42940486100213854</x:v>
      </x:c>
      <x:c r="W3385" t="n">
        <x:v>37</x:v>
      </x:c>
      <x:c r="X3385" t="n">
        <x:v>3</x:v>
      </x:c>
      <x:c r="Y3385" s="38" t="n">
        <x:v>0.6409090909090909</x:v>
      </x:c>
      <x:c r="Z3385" s="38" t="n">
        <x:v>0.54988561429415</x:v>
      </x:c>
      <x:c r="AA3385"/>
    </x:row>
    <x:row r="3386">
      <x:c r="A3386" s="54" t="n">
        <x:v>45930</x:v>
      </x:c>
      <x:c r="B3386" t="n">
        <x:v>45930.624999988424</x:v>
      </x:c>
      <x:c r="C3386" t="str">
        <x:v>001630</x:v>
      </x:c>
      <x:c r="D3386" t="str">
        <x:v>종근당홀딩스</x:v>
      </x:c>
      <x:c r="E3386" t="str">
        <x:v>KOSPI</x:v>
      </x:c>
      <x:c r="F3386" t="str">
        <x:v>MID</x:v>
      </x:c>
      <x:c r="G3386" t="str">
        <x:v>EXCLUDED_ARCHETYPE</x:v>
      </x:c>
      <x:c r="H3386" t="str">
        <x:v>FCFF_NOT_COMPARABLE_FOR_FINANCE_OR_HOLDING_HINT</x:v>
      </x:c>
      <x:c r="I3386" s="54"/>
      <x:c r="J3386" s="55"/>
      <x:c r="K3386" s="55"/>
      <x:c r="L3386" s="55"/>
      <x:c r="M3386"/>
      <x:c r="N3386"/>
      <x:c r="O3386" s="54"/>
      <x:c r="P3386"/>
      <x:c r="Q3386"/>
      <x:c r="R3386"/>
      <x:c r="S3386"/>
      <x:c r="T3386"/>
      <x:c r="U3386" s="57"/>
      <x:c r="V3386" s="57"/>
      <x:c r="W3386"/>
      <x:c r="X3386"/>
      <x:c r="Y3386" s="38"/>
      <x:c r="Z3386" s="38"/>
      <x:c r="AA3386"/>
    </x:row>
    <x:row r="3387">
      <x:c r="A3387" s="54" t="n">
        <x:v>45930</x:v>
      </x:c>
      <x:c r="B3387" t="n">
        <x:v>45930.624999988424</x:v>
      </x:c>
      <x:c r="C3387" t="str">
        <x:v>005680</x:v>
      </x:c>
      <x:c r="D3387" t="str">
        <x:v>삼영전자</x:v>
      </x:c>
      <x:c r="E3387" t="str">
        <x:v>KOSPI</x:v>
      </x:c>
      <x:c r="F3387" t="str">
        <x:v>MID</x:v>
      </x:c>
      <x:c r="G3387" t="str">
        <x:v>ELIGIBLE</x:v>
      </x:c>
      <x:c r="H3387"/>
      <x:c r="I3387" s="54" t="n">
        <x:v>45930</x:v>
      </x:c>
      <x:c r="J3387" s="55" t="n">
        <x:v>10650</x:v>
      </x:c>
      <x:c r="K3387" s="55" t="n">
        <x:v>213000000000</x:v>
      </x:c>
      <x:c r="L3387" s="55" t="n">
        <x:v>20000000</x:v>
      </x:c>
      <x:c r="M3387" t="str">
        <x:v>20250320001464</x:v>
      </x:c>
      <x:c r="N3387" t="n">
        <x:v>45736.624999988424</x:v>
      </x:c>
      <x:c r="O3387" s="54" t="n">
        <x:v>45657</x:v>
      </x:c>
      <x:c r="P3387" t="str">
        <x:v>True</x:v>
      </x:c>
      <x:c r="Q3387" t="str">
        <x:v>cfa68a3e5b0fd8673d21354705fac8384fabebe6413b9d8e922db8dd5ac307a9</x:v>
      </x:c>
      <x:c r="R3387" t="str">
        <x:v>f26000ddb6d0698789eab6fc0b9208c592530321b1e323298d356eb9d6515620</x:v>
      </x:c>
      <x:c r="S3387" t="n">
        <x:v>6</x:v>
      </x:c>
      <x:c r="T3387" t="str">
        <x:v>2018-12-31|2019-12-31|2020-12-31|2021-12-31|2022-12-31|2023-12-31|2024-12-31</x:v>
      </x:c>
      <x:c r="U3387" s="57" t="n">
        <x:v>3180.700331297927</x:v>
      </x:c>
      <x:c r="V3387" s="57" t="n">
        <x:v>-0.7013426918969082</x:v>
      </x:c>
      <x:c r="W3387" t="n">
        <x:v>53</x:v>
      </x:c>
      <x:c r="X3387" t="n">
        <x:v>4</x:v>
      </x:c>
      <x:c r="Y3387" s="38" t="n">
        <x:v>0.6409090909090909</x:v>
      </x:c>
      <x:c r="Z3387" s="38" t="n">
        <x:v>0.5248739212793108</x:v>
      </x:c>
      <x:c r="AA3387"/>
    </x:row>
    <x:row r="3388">
      <x:c r="A3388" s="54" t="n">
        <x:v>45930</x:v>
      </x:c>
      <x:c r="B3388" t="n">
        <x:v>45930.624999988424</x:v>
      </x:c>
      <x:c r="C3388" t="str">
        <x:v>028100</x:v>
      </x:c>
      <x:c r="D3388" t="str">
        <x:v>동아지질</x:v>
      </x:c>
      <x:c r="E3388" t="str">
        <x:v>KOSPI</x:v>
      </x:c>
      <x:c r="F3388" t="str">
        <x:v>MID</x:v>
      </x:c>
      <x:c r="G3388" t="str">
        <x:v>DCF_SCREENING_EXCLUSION</x:v>
      </x:c>
      <x:c r="H3388" t="str">
        <x:v>NON_POSITIVE_ENTERPRISE_VALUE|NON_POSITIVE_TERMINAL_FCF</x:v>
      </x:c>
      <x:c r="I3388" s="54" t="n">
        <x:v>45930</x:v>
      </x:c>
      <x:c r="J3388" s="55" t="n">
        <x:v>15080</x:v>
      </x:c>
      <x:c r="K3388" s="55" t="n">
        <x:v>201913690160</x:v>
      </x:c>
      <x:c r="L3388" s="55" t="n">
        <x:v>13389502</x:v>
      </x:c>
      <x:c r="M3388" t="str">
        <x:v>20250814003141</x:v>
      </x:c>
      <x:c r="N3388" t="n">
        <x:v>45883.624999988424</x:v>
      </x:c>
      <x:c r="O3388" s="54" t="n">
        <x:v>45657</x:v>
      </x:c>
      <x:c r="P3388" t="str">
        <x:v>True</x:v>
      </x:c>
      <x:c r="Q3388" t="str">
        <x:v>02e4f736e01636539c92af216545c87d212144941264ad557c4701d5ff16f4f9</x:v>
      </x:c>
      <x:c r="R3388" t="str">
        <x:v>4643efd10db91237f232262c9034c2287404192e889e65a486f7aa525538eae0</x:v>
      </x:c>
      <x:c r="S3388" t="n">
        <x:v>6</x:v>
      </x:c>
      <x:c r="T3388" t="str">
        <x:v>2018-12-31|2019-12-31|2020-12-31|2021-12-31|2022-12-31|2023-12-31|2024-12-31</x:v>
      </x:c>
      <x:c r="U3388" s="57" t="n">
        <x:v>4992.707269123689</x:v>
      </x:c>
      <x:c r="V3388" s="57" t="n">
        <x:v>-0.6689186161058562</x:v>
      </x:c>
      <x:c r="W3388"/>
      <x:c r="X3388"/>
      <x:c r="Y3388" s="38" t="n">
        <x:v>0.6409090909090909</x:v>
      </x:c>
      <x:c r="Z3388" s="38" t="n">
        <x:v>0.8226680380877903</x:v>
      </x:c>
      <x:c r="AA3388" t="str">
        <x:v>NON_POSITIVE_ENTERPRISE_VALUE|NON_POSITIVE_TERMINAL_FCF</x:v>
      </x:c>
    </x:row>
    <x:row r="3389">
      <x:c r="A3389" s="54" t="n">
        <x:v>45930</x:v>
      </x:c>
      <x:c r="B3389" t="n">
        <x:v>45930.624999988424</x:v>
      </x:c>
      <x:c r="C3389" t="str">
        <x:v>001750</x:v>
      </x:c>
      <x:c r="D3389" t="str">
        <x:v>한양증권</x:v>
      </x:c>
      <x:c r="E3389" t="str">
        <x:v>KOSPI</x:v>
      </x:c>
      <x:c r="F3389" t="str">
        <x:v>MID</x:v>
      </x:c>
      <x:c r="G3389" t="str">
        <x:v>EXCLUDED_ARCHETYPE</x:v>
      </x:c>
      <x:c r="H3389" t="str">
        <x:v>FCFF_NOT_COMPARABLE_FOR_FINANCE_OR_HOLDING_HINT</x:v>
      </x:c>
      <x:c r="I3389" s="54"/>
      <x:c r="J3389" s="55"/>
      <x:c r="K3389" s="55"/>
      <x:c r="L3389" s="55"/>
      <x:c r="M3389"/>
      <x:c r="N3389"/>
      <x:c r="O3389" s="54"/>
      <x:c r="P3389"/>
      <x:c r="Q3389"/>
      <x:c r="R3389"/>
      <x:c r="S3389"/>
      <x:c r="T3389"/>
      <x:c r="U3389" s="57"/>
      <x:c r="V3389" s="57"/>
      <x:c r="W3389"/>
      <x:c r="X3389"/>
      <x:c r="Y3389" s="38"/>
      <x:c r="Z3389" s="38"/>
      <x:c r="AA3389"/>
    </x:row>
    <x:row r="3390">
      <x:c r="A3390" s="54" t="n">
        <x:v>45930</x:v>
      </x:c>
      <x:c r="B3390" t="n">
        <x:v>45930.624999988424</x:v>
      </x:c>
      <x:c r="C3390" t="str">
        <x:v>102460</x:v>
      </x:c>
      <x:c r="D3390" t="str">
        <x:v>이연제약</x:v>
      </x:c>
      <x:c r="E3390" t="str">
        <x:v>KOSPI</x:v>
      </x:c>
      <x:c r="F3390" t="str">
        <x:v>MID</x:v>
      </x:c>
      <x:c r="G3390" t="str">
        <x:v>DCF_SCREENING_EXCLUSION</x:v>
      </x:c>
      <x:c r="H3390" t="str">
        <x:v>UNRELIABLE_TERMINAL_VALUE_SHARE</x:v>
      </x:c>
      <x:c r="I3390" s="54" t="n">
        <x:v>45930</x:v>
      </x:c>
      <x:c r="J3390" s="55" t="n">
        <x:v>11240</x:v>
      </x:c>
      <x:c r="K3390" s="55" t="n">
        <x:v>208915755640</x:v>
      </x:c>
      <x:c r="L3390" s="55" t="n">
        <x:v>18586811</x:v>
      </x:c>
      <x:c r="M3390" t="str">
        <x:v>20250801000808</x:v>
      </x:c>
      <x:c r="N3390" t="n">
        <x:v>45870.624999988424</x:v>
      </x:c>
      <x:c r="O3390" s="54" t="n">
        <x:v>45657</x:v>
      </x:c>
      <x:c r="P3390" t="str">
        <x:v>True</x:v>
      </x:c>
      <x:c r="Q3390" t="str">
        <x:v>a80e22133168086478b651f9b9d5f7525c6ff2d5b21ab172cb591ad27454933b</x:v>
      </x:c>
      <x:c r="R3390" t="str">
        <x:v>c3118087f2dac45a5d890db1c8e5391dba38a0edde31e4a5dec9bcb45ee6769e</x:v>
      </x:c>
      <x:c r="S3390" t="n">
        <x:v>4</x:v>
      </x:c>
      <x:c r="T3390" t="str">
        <x:v>2018-12-31|2019-12-31|2020-12-31|2021-12-31|2022-12-31|2023-12-31|2024-12-31</x:v>
      </x:c>
      <x:c r="U3390" s="57" t="n">
        <x:v>863.8027586973582</x:v>
      </x:c>
      <x:c r="V3390" s="57" t="n">
        <x:v>-0.9231492207564628</x:v>
      </x:c>
      <x:c r="W3390"/>
      <x:c r="X3390"/>
      <x:c r="Y3390" s="38" t="n">
        <x:v>0.6409090909090909</x:v>
      </x:c>
      <x:c r="Z3390" s="38" t="n">
        <x:v>1.4736293116330543</x:v>
      </x:c>
      <x:c r="AA3390" t="str">
        <x:v>UNRELIABLE_TERMINAL_VALUE_SHARE</x:v>
      </x:c>
    </x:row>
    <x:row r="3391">
      <x:c r="A3391" s="54" t="n">
        <x:v>45930</x:v>
      </x:c>
      <x:c r="B3391" t="n">
        <x:v>45930.624999988424</x:v>
      </x:c>
      <x:c r="C3391" t="str">
        <x:v>053690</x:v>
      </x:c>
      <x:c r="D3391" t="str">
        <x:v>한미글로벌</x:v>
      </x:c>
      <x:c r="E3391" t="str">
        <x:v>KOSPI</x:v>
      </x:c>
      <x:c r="F3391" t="str">
        <x:v>MID</x:v>
      </x:c>
      <x:c r="G3391" t="str">
        <x:v>ELIGIBLE</x:v>
      </x:c>
      <x:c r="H3391"/>
      <x:c r="I3391" s="54" t="n">
        <x:v>45930</x:v>
      </x:c>
      <x:c r="J3391" s="55" t="n">
        <x:v>20650</x:v>
      </x:c>
      <x:c r="K3391" s="55" t="n">
        <x:v>226273407500</x:v>
      </x:c>
      <x:c r="L3391" s="55" t="n">
        <x:v>10957550</x:v>
      </x:c>
      <x:c r="M3391" t="str">
        <x:v>20250814003308</x:v>
      </x:c>
      <x:c r="N3391" t="n">
        <x:v>45883.624999988424</x:v>
      </x:c>
      <x:c r="O3391" s="54" t="n">
        <x:v>45657</x:v>
      </x:c>
      <x:c r="P3391" t="str">
        <x:v>True</x:v>
      </x:c>
      <x:c r="Q3391" t="str">
        <x:v>ab6bc1d4ce7b5efdfec5ed2056580656266496d720878da23fc7645d3e64bdd9</x:v>
      </x:c>
      <x:c r="R3391" t="str">
        <x:v>c7bfdbcc3ca3899102604bd002781e2b024d539de6c4004af12ffd55e7fd6f79</x:v>
      </x:c>
      <x:c r="S3391" t="n">
        <x:v>6</x:v>
      </x:c>
      <x:c r="T3391" t="str">
        <x:v>2018-12-31|2019-12-31|2020-12-31|2021-12-31|2022-12-31|2023-12-31|2024-12-31</x:v>
      </x:c>
      <x:c r="U3391" s="57" t="n">
        <x:v>25669.93652281849</x:v>
      </x:c>
      <x:c r="V3391" s="57" t="n">
        <x:v>0.24309619965222717</x:v>
      </x:c>
      <x:c r="W3391" t="n">
        <x:v>18</x:v>
      </x:c>
      <x:c r="X3391" t="n">
        <x:v>2</x:v>
      </x:c>
      <x:c r="Y3391" s="38" t="n">
        <x:v>0.6409090909090909</x:v>
      </x:c>
      <x:c r="Z3391" s="38" t="n">
        <x:v>0.6713982026034973</x:v>
      </x:c>
      <x:c r="AA3391"/>
    </x:row>
    <x:row r="3392">
      <x:c r="A3392" s="54" t="n">
        <x:v>45930</x:v>
      </x:c>
      <x:c r="B3392" t="n">
        <x:v>45930.624999988424</x:v>
      </x:c>
      <x:c r="C3392" t="str">
        <x:v>213500</x:v>
      </x:c>
      <x:c r="D3392" t="str">
        <x:v>한솔제지</x:v>
      </x:c>
      <x:c r="E3392" t="str">
        <x:v>KOSPI</x:v>
      </x:c>
      <x:c r="F3392" t="str">
        <x:v>MID</x:v>
      </x:c>
      <x:c r="G3392" t="str">
        <x:v>ELIGIBLE</x:v>
      </x:c>
      <x:c r="H3392"/>
      <x:c r="I3392" s="54" t="n">
        <x:v>45930</x:v>
      </x:c>
      <x:c r="J3392" s="55" t="n">
        <x:v>8490</x:v>
      </x:c>
      <x:c r="K3392" s="55" t="n">
        <x:v>202066890240</x:v>
      </x:c>
      <x:c r="L3392" s="55" t="n">
        <x:v>23800576</x:v>
      </x:c>
      <x:c r="M3392" t="str">
        <x:v>20250314001432</x:v>
      </x:c>
      <x:c r="N3392" t="n">
        <x:v>45730.624999988424</x:v>
      </x:c>
      <x:c r="O3392" s="54" t="n">
        <x:v>45657</x:v>
      </x:c>
      <x:c r="P3392" t="str">
        <x:v>False</x:v>
      </x:c>
      <x:c r="Q3392" t="str">
        <x:v>d0978a0d36a431723ed04405f703f04ac71e2d1dbff5bb3f5397b1e6ec83fb20</x:v>
      </x:c>
      <x:c r="R3392" t="str">
        <x:v>ed373e46bae1d3c657a1613bfcbee15625037781b008f63df173a1e11209b7b0</x:v>
      </x:c>
      <x:c r="S3392" t="n">
        <x:v>7</x:v>
      </x:c>
      <x:c r="T3392" t="str">
        <x:v>2018-12-31|2019-12-31|2020-12-31|2021-12-31|2022-12-31|2023-12-31|2024-12-31</x:v>
      </x:c>
      <x:c r="U3392" s="57" t="n">
        <x:v>5671.430230340832</x:v>
      </x:c>
      <x:c r="V3392" s="57" t="n">
        <x:v>-0.33198701644984313</x:v>
      </x:c>
      <x:c r="W3392" t="n">
        <x:v>32</x:v>
      </x:c>
      <x:c r="X3392" t="n">
        <x:v>3</x:v>
      </x:c>
      <x:c r="Y3392" s="38" t="n">
        <x:v>0.6409090909090909</x:v>
      </x:c>
      <x:c r="Z3392" s="38" t="n">
        <x:v>0.7998796037584048</x:v>
      </x:c>
      <x:c r="AA3392"/>
    </x:row>
    <x:row r="3393">
      <x:c r="A3393" s="54" t="n">
        <x:v>45930</x:v>
      </x:c>
      <x:c r="B3393" t="n">
        <x:v>45930.624999988424</x:v>
      </x:c>
      <x:c r="C3393" t="str">
        <x:v>005430</x:v>
      </x:c>
      <x:c r="D3393" t="str">
        <x:v>한국공항</x:v>
      </x:c>
      <x:c r="E3393" t="str">
        <x:v>KOSPI</x:v>
      </x:c>
      <x:c r="F3393" t="str">
        <x:v>MID</x:v>
      </x:c>
      <x:c r="G3393" t="str">
        <x:v>ELIGIBLE</x:v>
      </x:c>
      <x:c r="H3393"/>
      <x:c r="I3393" s="54" t="n">
        <x:v>45930</x:v>
      </x:c>
      <x:c r="J3393" s="55" t="n">
        <x:v>68300</x:v>
      </x:c>
      <x:c r="K3393" s="55" t="n">
        <x:v>216262046500</x:v>
      </x:c>
      <x:c r="L3393" s="55" t="n">
        <x:v>3166355</x:v>
      </x:c>
      <x:c r="M3393" t="str">
        <x:v>20250318000741</x:v>
      </x:c>
      <x:c r="N3393" t="n">
        <x:v>45734.624999988424</x:v>
      </x:c>
      <x:c r="O3393" s="54" t="n">
        <x:v>45657</x:v>
      </x:c>
      <x:c r="P3393" t="str">
        <x:v>False</x:v>
      </x:c>
      <x:c r="Q3393" t="str">
        <x:v>96c22147bc0b6b2724a33264dc05abcad0e492329dcdf2014cd880db88c6a714</x:v>
      </x:c>
      <x:c r="R3393" t="str">
        <x:v>c881c5fe66bed1fa063450b028b0795c4fb4761a902f6bfde68499129e317f5d</x:v>
      </x:c>
      <x:c r="S3393" t="n">
        <x:v>7</x:v>
      </x:c>
      <x:c r="T3393" t="str">
        <x:v>2018-12-31|2019-12-31|2020-12-31|2021-12-31|2022-12-31|2023-12-31|2024-12-31</x:v>
      </x:c>
      <x:c r="U3393" s="57" t="n">
        <x:v>119764.62363728922</x:v>
      </x:c>
      <x:c r="V3393" s="57" t="n">
        <x:v>0.7535083987890074</x:v>
      </x:c>
      <x:c r="W3393" t="n">
        <x:v>10</x:v>
      </x:c>
      <x:c r="X3393" t="n">
        <x:v>1</x:v>
      </x:c>
      <x:c r="Y3393" s="38" t="n">
        <x:v>0.6409090909090909</x:v>
      </x:c>
      <x:c r="Z3393" s="38" t="n">
        <x:v>0.6100815592248533</x:v>
      </x:c>
      <x:c r="AA3393"/>
    </x:row>
    <x:row r="3394">
      <x:c r="A3394" s="54" t="n">
        <x:v>45930</x:v>
      </x:c>
      <x:c r="B3394" t="n">
        <x:v>45930.624999988424</x:v>
      </x:c>
      <x:c r="C3394" t="str">
        <x:v>003460</x:v>
      </x:c>
      <x:c r="D3394" t="str">
        <x:v>유화증권</x:v>
      </x:c>
      <x:c r="E3394" t="str">
        <x:v>KOSPI</x:v>
      </x:c>
      <x:c r="F3394" t="str">
        <x:v>MID</x:v>
      </x:c>
      <x:c r="G3394" t="str">
        <x:v>EXCLUDED_ARCHETYPE</x:v>
      </x:c>
      <x:c r="H3394" t="str">
        <x:v>FCFF_NOT_COMPARABLE_FOR_FINANCE_OR_HOLDING_HINT</x:v>
      </x:c>
      <x:c r="I3394" s="54"/>
      <x:c r="J3394" s="55"/>
      <x:c r="K3394" s="55"/>
      <x:c r="L3394" s="55"/>
      <x:c r="M3394"/>
      <x:c r="N3394"/>
      <x:c r="O3394" s="54"/>
      <x:c r="P3394"/>
      <x:c r="Q3394"/>
      <x:c r="R3394"/>
      <x:c r="S3394"/>
      <x:c r="T3394"/>
      <x:c r="U3394" s="57"/>
      <x:c r="V3394" s="57"/>
      <x:c r="W3394"/>
      <x:c r="X3394"/>
      <x:c r="Y3394" s="38"/>
      <x:c r="Z3394" s="38"/>
      <x:c r="AA3394"/>
    </x:row>
    <x:row r="3395">
      <x:c r="A3395" s="54" t="n">
        <x:v>45930</x:v>
      </x:c>
      <x:c r="B3395" t="n">
        <x:v>45930.624999988424</x:v>
      </x:c>
      <x:c r="C3395" t="str">
        <x:v>004140</x:v>
      </x:c>
      <x:c r="D3395" t="str">
        <x:v>동방</x:v>
      </x:c>
      <x:c r="E3395" t="str">
        <x:v>KOSPI</x:v>
      </x:c>
      <x:c r="F3395" t="str">
        <x:v>MID</x:v>
      </x:c>
      <x:c r="G3395" t="str">
        <x:v>DCF_SCREENING_EXCLUSION</x:v>
      </x:c>
      <x:c r="H3395" t="str">
        <x:v>NON_POSITIVE_ENTERPRISE_VALUE|NON_POSITIVE_TERMINAL_FCF|UNRELIABLE_TERMINAL_VALUE_SHARE</x:v>
      </x:c>
      <x:c r="I3395" s="54" t="n">
        <x:v>45930</x:v>
      </x:c>
      <x:c r="J3395" s="55" t="n">
        <x:v>2960</x:v>
      </x:c>
      <x:c r="K3395" s="55" t="n">
        <x:v>141996427360</x:v>
      </x:c>
      <x:c r="L3395" s="55" t="n">
        <x:v>47971766</x:v>
      </x:c>
      <x:c r="M3395" t="str">
        <x:v>20250320001398</x:v>
      </x:c>
      <x:c r="N3395" t="n">
        <x:v>45736.624999988424</x:v>
      </x:c>
      <x:c r="O3395" s="54" t="n">
        <x:v>45657</x:v>
      </x:c>
      <x:c r="P3395" t="str">
        <x:v>False</x:v>
      </x:c>
      <x:c r="Q3395" t="str">
        <x:v>f5c84d1176c3bde373541e8a79d93c72b302ce811ccd9f329af5275bc0793557</x:v>
      </x:c>
      <x:c r="R3395" t="str">
        <x:v>9af185b2febf5374cc86bf236d00af680b0237c328db8eb8dd3b49288c0fcf44</x:v>
      </x:c>
      <x:c r="S3395" t="n">
        <x:v>7</x:v>
      </x:c>
      <x:c r="T3395" t="str">
        <x:v>2013-12-31|2014-12-31|2015-12-31|2016-12-31|2018-12-31|2019-12-31|2020-12-31|2021-12-31|2022-12-31|2023-12-31|2024-12-31</x:v>
      </x:c>
      <x:c r="U3395" s="57" t="n">
        <x:v>23.453197098881997</x:v>
      </x:c>
      <x:c r="V3395" s="57" t="n">
        <x:v>-0.992076622601729</x:v>
      </x:c>
      <x:c r="W3395"/>
      <x:c r="X3395"/>
      <x:c r="Y3395" s="38" t="n">
        <x:v>0.6409090909090909</x:v>
      </x:c>
      <x:c r="Z3395" s="38" t="n">
        <x:v>0.9762425382103627</x:v>
      </x:c>
      <x:c r="AA3395" t="str">
        <x:v>NON_POSITIVE_ENTERPRISE_VALUE|NON_POSITIVE_TERMINAL_FCF|UNRELIABLE_TERMINAL_VALUE_SHARE</x:v>
      </x:c>
    </x:row>
    <x:row r="3396">
      <x:c r="A3396" s="54" t="n">
        <x:v>45930</x:v>
      </x:c>
      <x:c r="B3396" t="n">
        <x:v>45930.624999988424</x:v>
      </x:c>
      <x:c r="C3396" t="str">
        <x:v>317400</x:v>
      </x:c>
      <x:c r="D3396" t="str">
        <x:v>자이에스앤디</x:v>
      </x:c>
      <x:c r="E3396" t="str">
        <x:v>KOSPI</x:v>
      </x:c>
      <x:c r="F3396" t="str">
        <x:v>MID</x:v>
      </x:c>
      <x:c r="G3396" t="str">
        <x:v>DCF_SCREENING_EXCLUSION</x:v>
      </x:c>
      <x:c r="H3396" t="str">
        <x:v>UNRELIABLE_TERMINAL_VALUE_SHARE</x:v>
      </x:c>
      <x:c r="I3396" s="54" t="n">
        <x:v>45930</x:v>
      </x:c>
      <x:c r="J3396" s="55" t="n">
        <x:v>3290</x:v>
      </x:c>
      <x:c r="K3396" s="55" t="n">
        <x:v>127594490800</x:v>
      </x:c>
      <x:c r="L3396" s="55" t="n">
        <x:v>38782520</x:v>
      </x:c>
      <x:c r="M3396" t="str">
        <x:v>20250725000507</x:v>
      </x:c>
      <x:c r="N3396" t="n">
        <x:v>45863.624999988424</x:v>
      </x:c>
      <x:c r="O3396" s="54" t="n">
        <x:v>45657</x:v>
      </x:c>
      <x:c r="P3396" t="str">
        <x:v>True</x:v>
      </x:c>
      <x:c r="Q3396" t="str">
        <x:v>f250d2425be3827cd7ea4ef909252370d27c9e9500d3337910324b90a6cafbbe</x:v>
      </x:c>
      <x:c r="R3396" t="str">
        <x:v>df0e457461076730937a5d9ae9ef5a302b2e4469b8efb7dc85fcf5ab0ad0b8e6</x:v>
      </x:c>
      <x:c r="S3396" t="n">
        <x:v>7</x:v>
      </x:c>
      <x:c r="T3396" t="str">
        <x:v>2019-12-31|2020-12-31|2021-12-31|2022-12-31|2023-12-31|2024-12-31</x:v>
      </x:c>
      <x:c r="U3396" s="57" t="n">
        <x:v>23861.006194453326</x:v>
      </x:c>
      <x:c r="V3396" s="57" t="n">
        <x:v>6.2525854694387</x:v>
      </x:c>
      <x:c r="W3396"/>
      <x:c r="X3396"/>
      <x:c r="Y3396" s="38" t="n">
        <x:v>0.6409090909090909</x:v>
      </x:c>
      <x:c r="Z3396" s="38" t="n">
        <x:v>0.9375254827577386</x:v>
      </x:c>
      <x:c r="AA3396" t="str">
        <x:v>UNRELIABLE_TERMINAL_VALUE_SHARE</x:v>
      </x:c>
    </x:row>
    <x:row r="3397">
      <x:c r="A3397" s="54" t="n">
        <x:v>45930</x:v>
      </x:c>
      <x:c r="B3397" t="n">
        <x:v>45930.624999988424</x:v>
      </x:c>
      <x:c r="C3397" t="str">
        <x:v>077500</x:v>
      </x:c>
      <x:c r="D3397" t="str">
        <x:v>유니퀘스트</x:v>
      </x:c>
      <x:c r="E3397" t="str">
        <x:v>KOSPI</x:v>
      </x:c>
      <x:c r="F3397" t="str">
        <x:v>MID</x:v>
      </x:c>
      <x:c r="G3397" t="str">
        <x:v>ELIGIBLE</x:v>
      </x:c>
      <x:c r="H3397"/>
      <x:c r="I3397" s="54" t="n">
        <x:v>45930</x:v>
      </x:c>
      <x:c r="J3397" s="55" t="n">
        <x:v>6810</x:v>
      </x:c>
      <x:c r="K3397" s="55" t="n">
        <x:v>147096694620</x:v>
      </x:c>
      <x:c r="L3397" s="55" t="n">
        <x:v>21600102</x:v>
      </x:c>
      <x:c r="M3397" t="str">
        <x:v>20250320001187</x:v>
      </x:c>
      <x:c r="N3397" t="n">
        <x:v>45736.624999988424</x:v>
      </x:c>
      <x:c r="O3397" s="54" t="n">
        <x:v>45657</x:v>
      </x:c>
      <x:c r="P3397" t="str">
        <x:v>False</x:v>
      </x:c>
      <x:c r="Q3397" t="str">
        <x:v>20fef9a32a94d25e12a224707b2024d167c2ea3f7355313aaafaecad0b5664a9</x:v>
      </x:c>
      <x:c r="R3397" t="str">
        <x:v>addd5aac89175dc9fe81f0df423580bfce3794b20725d2900fe98bd1a2373756</x:v>
      </x:c>
      <x:c r="S3397" t="n">
        <x:v>6</x:v>
      </x:c>
      <x:c r="T3397" t="str">
        <x:v>2011-12-31|2012-12-31|2013-12-31|2014-12-31|2015-12-31|2016-12-31|2017-12-31|2018-12-31|2019-12-31|2020-12-31|2021-12-31|2022-12-31|2023-12-31|2024-12-31</x:v>
      </x:c>
      <x:c r="U3397" s="57" t="n">
        <x:v>4709.8188552567735</x:v>
      </x:c>
      <x:c r="V3397" s="57" t="n">
        <x:v>-0.3083966438683152</x:v>
      </x:c>
      <x:c r="W3397" t="n">
        <x:v>30</x:v>
      </x:c>
      <x:c r="X3397" t="n">
        <x:v>3</x:v>
      </x:c>
      <x:c r="Y3397" s="38" t="n">
        <x:v>0.6409090909090909</x:v>
      </x:c>
      <x:c r="Z3397" s="38" t="n">
        <x:v>0.644083878682151</x:v>
      </x:c>
      <x:c r="AA3397"/>
    </x:row>
    <x:row r="3398">
      <x:c r="A3398" s="54" t="n">
        <x:v>45930</x:v>
      </x:c>
      <x:c r="B3398" t="n">
        <x:v>45930.624999988424</x:v>
      </x:c>
      <x:c r="C3398" t="str">
        <x:v>012800</x:v>
      </x:c>
      <x:c r="D3398" t="str">
        <x:v>대창</x:v>
      </x:c>
      <x:c r="E3398" t="str">
        <x:v>KOSPI</x:v>
      </x:c>
      <x:c r="F3398" t="str">
        <x:v>MID</x:v>
      </x:c>
      <x:c r="G3398" t="str">
        <x:v>DCF_SCREENING_EXCLUSION</x:v>
      </x:c>
      <x:c r="H3398" t="str">
        <x:v>NON_POSITIVE_EQUITY_VALUE</x:v>
      </x:c>
      <x:c r="I3398" s="54" t="n">
        <x:v>45930</x:v>
      </x:c>
      <x:c r="J3398" s="55" t="n">
        <x:v>1284</x:v>
      </x:c>
      <x:c r="K3398" s="55" t="n">
        <x:v>117024400716</x:v>
      </x:c>
      <x:c r="L3398" s="55" t="n">
        <x:v>91140499</x:v>
      </x:c>
      <x:c r="M3398" t="str">
        <x:v>20250318001233</x:v>
      </x:c>
      <x:c r="N3398" t="n">
        <x:v>45734.624999988424</x:v>
      </x:c>
      <x:c r="O3398" s="54" t="n">
        <x:v>45657</x:v>
      </x:c>
      <x:c r="P3398" t="str">
        <x:v>True</x:v>
      </x:c>
      <x:c r="Q3398" t="str">
        <x:v>50647b987ecda3afdcc18e9b6df35eb05d3bbdf3edbbc98616b0e8fd56b8a9ba</x:v>
      </x:c>
      <x:c r="R3398" t="str">
        <x:v>dca155884fae78e9fd54b2f49c324e4712bfcd13aff3cc960af63af6a36197fa</x:v>
      </x:c>
      <x:c r="S3398" t="n">
        <x:v>7</x:v>
      </x:c>
      <x:c r="T3398" t="str">
        <x:v>2018-12-31|2019-12-31|2020-12-31|2021-12-31|2022-12-31|2023-12-31|2024-12-31</x:v>
      </x:c>
      <x:c r="U3398" s="57" t="n">
        <x:v>-2397.047614700418</x:v>
      </x:c>
      <x:c r="V3398" s="57" t="n">
        <x:v>-2.866859513006556</x:v>
      </x:c>
      <x:c r="W3398"/>
      <x:c r="X3398"/>
      <x:c r="Y3398" s="38" t="n">
        <x:v>0.6409090909090909</x:v>
      </x:c>
      <x:c r="Z3398" s="38" t="n">
        <x:v>0.611114804315932</x:v>
      </x:c>
      <x:c r="AA3398" t="str">
        <x:v>NON_POSITIVE_EQUITY_VALUE</x:v>
      </x:c>
    </x:row>
    <x:row r="3399">
      <x:c r="A3399" s="54" t="n">
        <x:v>45930</x:v>
      </x:c>
      <x:c r="B3399" t="n">
        <x:v>45930.624999988424</x:v>
      </x:c>
      <x:c r="C3399" t="str">
        <x:v>063160</x:v>
      </x:c>
      <x:c r="D3399" t="str">
        <x:v>종근당바이오</x:v>
      </x:c>
      <x:c r="E3399" t="str">
        <x:v>KOSPI</x:v>
      </x:c>
      <x:c r="F3399" t="str">
        <x:v>MID</x:v>
      </x:c>
      <x:c r="G3399" t="str">
        <x:v>DCF_SCREENING_EXCLUSION</x:v>
      </x:c>
      <x:c r="H3399" t="str">
        <x:v>NON_POSITIVE_ENTERPRISE_VALUE|NON_POSITIVE_EQUITY_VALUE|NON_POSITIVE_TERMINAL_FCF</x:v>
      </x:c>
      <x:c r="I3399" s="54" t="n">
        <x:v>45930</x:v>
      </x:c>
      <x:c r="J3399" s="55" t="n">
        <x:v>22850</x:v>
      </x:c>
      <x:c r="K3399" s="55" t="n">
        <x:v>125354231700</x:v>
      </x:c>
      <x:c r="L3399" s="55" t="n">
        <x:v>5485962</x:v>
      </x:c>
      <x:c r="M3399" t="str">
        <x:v>20250318001004</x:v>
      </x:c>
      <x:c r="N3399" t="n">
        <x:v>45734.624999988424</x:v>
      </x:c>
      <x:c r="O3399" s="54" t="n">
        <x:v>45657</x:v>
      </x:c>
      <x:c r="P3399" t="str">
        <x:v>False</x:v>
      </x:c>
      <x:c r="Q3399" t="str">
        <x:v>0e8d2a3f1976dcaf071cc8cc3046914ccc349e2d2d61de9afc116da12bd09fd2</x:v>
      </x:c>
      <x:c r="R3399" t="str">
        <x:v>bea30eaf5f780a405f9f61afc14f9b67ec246b241bfeca6b820aab8ee9ed3075</x:v>
      </x:c>
      <x:c r="S3399" t="n">
        <x:v>6</x:v>
      </x:c>
      <x:c r="T3399" t="str">
        <x:v>2018-12-31|2019-12-31|2020-12-31|2021-12-31|2022-12-31|2023-12-31|2024-12-31</x:v>
      </x:c>
      <x:c r="U3399" s="57" t="n">
        <x:v>-16092.188461958165</x:v>
      </x:c>
      <x:c r="V3399" s="57" t="n">
        <x:v>-1.7042533243745368</x:v>
      </x:c>
      <x:c r="W3399"/>
      <x:c r="X3399"/>
      <x:c r="Y3399" s="38" t="n">
        <x:v>0.6409090909090909</x:v>
      </x:c>
      <x:c r="Z3399" s="38" t="n">
        <x:v>0.4517788473237937</x:v>
      </x:c>
      <x:c r="AA3399" t="str">
        <x:v>NON_POSITIVE_ENTERPRISE_VALUE|NON_POSITIVE_EQUITY_VALUE|NON_POSITIVE_TERMINAL_FCF</x:v>
      </x:c>
    </x:row>
    <x:row r="3400">
      <x:c r="A3400" s="54" t="n">
        <x:v>45930</x:v>
      </x:c>
      <x:c r="B3400" t="n">
        <x:v>45930.624999988424</x:v>
      </x:c>
      <x:c r="C3400" t="str">
        <x:v>013570</x:v>
      </x:c>
      <x:c r="D3400" t="str">
        <x:v>디와이</x:v>
      </x:c>
      <x:c r="E3400" t="str">
        <x:v>KOSPI</x:v>
      </x:c>
      <x:c r="F3400" t="str">
        <x:v>MID</x:v>
      </x:c>
      <x:c r="G3400" t="str">
        <x:v>ELIGIBLE</x:v>
      </x:c>
      <x:c r="H3400"/>
      <x:c r="I3400" s="54" t="n">
        <x:v>45930</x:v>
      </x:c>
      <x:c r="J3400" s="55" t="n">
        <x:v>4260</x:v>
      </x:c>
      <x:c r="K3400" s="55" t="n">
        <x:v>112121636580</x:v>
      </x:c>
      <x:c r="L3400" s="55" t="n">
        <x:v>26319633</x:v>
      </x:c>
      <x:c r="M3400" t="str">
        <x:v>20250312001047</x:v>
      </x:c>
      <x:c r="N3400" t="n">
        <x:v>45728.624999988424</x:v>
      </x:c>
      <x:c r="O3400" s="54" t="n">
        <x:v>45657</x:v>
      </x:c>
      <x:c r="P3400" t="str">
        <x:v>False</x:v>
      </x:c>
      <x:c r="Q3400" t="str">
        <x:v>32c954e8e3027a04b5264076321f2793542bdc91dc4aedb110a2663defeb0d3f</x:v>
      </x:c>
      <x:c r="R3400" t="str">
        <x:v>e3239a1e1ab0b87c9ced172a39df12620775beece85508ada6cd43f3d579ab30</x:v>
      </x:c>
      <x:c r="S3400" t="n">
        <x:v>6</x:v>
      </x:c>
      <x:c r="T3400" t="str">
        <x:v>2018-12-31|2019-12-31|2020-12-31|2021-12-31|2022-12-31|2023-12-31|2024-12-31</x:v>
      </x:c>
      <x:c r="U3400" s="57" t="n">
        <x:v>7927.346157614621</x:v>
      </x:c>
      <x:c r="V3400" s="57" t="n">
        <x:v>0.860879379721742</x:v>
      </x:c>
      <x:c r="W3400" t="n">
        <x:v>7</x:v>
      </x:c>
      <x:c r="X3400" t="n">
        <x:v>1</x:v>
      </x:c>
      <x:c r="Y3400" s="38" t="n">
        <x:v>0.6409090909090909</x:v>
      </x:c>
      <x:c r="Z3400" s="38" t="n">
        <x:v>0.7969349027262828</x:v>
      </x:c>
      <x:c r="AA3400"/>
    </x:row>
    <x:row r="3401">
      <x:c r="A3401" s="54" t="n">
        <x:v>45930</x:v>
      </x:c>
      <x:c r="B3401" t="n">
        <x:v>45930.624999988424</x:v>
      </x:c>
      <x:c r="C3401" t="str">
        <x:v>227840</x:v>
      </x:c>
      <x:c r="D3401" t="str">
        <x:v>현대코퍼레이션홀딩스</x:v>
      </x:c>
      <x:c r="E3401" t="str">
        <x:v>KOSPI</x:v>
      </x:c>
      <x:c r="F3401" t="str">
        <x:v>MID</x:v>
      </x:c>
      <x:c r="G3401" t="str">
        <x:v>EXCLUDED_ARCHETYPE</x:v>
      </x:c>
      <x:c r="H3401" t="str">
        <x:v>FCFF_NOT_COMPARABLE_FOR_FINANCE_OR_HOLDING_HINT</x:v>
      </x:c>
      <x:c r="I3401" s="54"/>
      <x:c r="J3401" s="55"/>
      <x:c r="K3401" s="55"/>
      <x:c r="L3401" s="55"/>
      <x:c r="M3401"/>
      <x:c r="N3401"/>
      <x:c r="O3401" s="54"/>
      <x:c r="P3401"/>
      <x:c r="Q3401"/>
      <x:c r="R3401"/>
      <x:c r="S3401"/>
      <x:c r="T3401"/>
      <x:c r="U3401" s="57"/>
      <x:c r="V3401" s="57"/>
      <x:c r="W3401"/>
      <x:c r="X3401"/>
      <x:c r="Y3401" s="38"/>
      <x:c r="Z3401" s="38"/>
      <x:c r="AA3401"/>
    </x:row>
    <x:row r="3402">
      <x:c r="A3402" s="54" t="n">
        <x:v>45930</x:v>
      </x:c>
      <x:c r="B3402" t="n">
        <x:v>45930.624999988424</x:v>
      </x:c>
      <x:c r="C3402" t="str">
        <x:v>247540</x:v>
      </x:c>
      <x:c r="D3402" t="str">
        <x:v>에코프로비엠</x:v>
      </x:c>
      <x:c r="E3402" t="str">
        <x:v>KOSDAQ</x:v>
      </x:c>
      <x:c r="F3402" t="str">
        <x:v>LARGE</x:v>
      </x:c>
      <x:c r="G3402" t="str">
        <x:v>DCF_SCREENING_EXCLUSION</x:v>
      </x:c>
      <x:c r="H3402" t="str">
        <x:v>NON_POSITIVE_ENTERPRISE_VALUE|NON_POSITIVE_EQUITY_VALUE|NON_POSITIVE_TERMINAL_FCF</x:v>
      </x:c>
      <x:c r="I3402" s="54" t="n">
        <x:v>45930</x:v>
      </x:c>
      <x:c r="J3402" s="55" t="n">
        <x:v>113000</x:v>
      </x:c>
      <x:c r="K3402" s="55" t="n">
        <x:v>11051551872000</x:v>
      </x:c>
      <x:c r="L3402" s="55" t="n">
        <x:v>97801344</x:v>
      </x:c>
      <x:c r="M3402" t="str">
        <x:v>20250325000761</x:v>
      </x:c>
      <x:c r="N3402" t="n">
        <x:v>45741.624999988424</x:v>
      </x:c>
      <x:c r="O3402" s="54" t="n">
        <x:v>45657</x:v>
      </x:c>
      <x:c r="P3402" t="str">
        <x:v>True</x:v>
      </x:c>
      <x:c r="Q3402" t="str">
        <x:v>51465b76d94edd32029c405c6b9d711705e90e7de71e157dde30c2309abc411c</x:v>
      </x:c>
      <x:c r="R3402" t="str">
        <x:v>c614ffd12312e158a9a83be9dd44996720ce8c92352d8f5fedc0bebc94ca563c</x:v>
      </x:c>
      <x:c r="S3402" t="n">
        <x:v>7</x:v>
      </x:c>
      <x:c r="T3402" t="str">
        <x:v>2018-12-31|2019-12-31|2020-12-31|2021-12-31|2022-12-31|2023-12-31|2024-12-31</x:v>
      </x:c>
      <x:c r="U3402" s="57" t="n">
        <x:v>-56640.88059222847</x:v>
      </x:c>
      <x:c r="V3402" s="57" t="n">
        <x:v>-1.5012467309046766</x:v>
      </x:c>
      <x:c r="W3402"/>
      <x:c r="X3402"/>
      <x:c r="Y3402" s="38" t="n">
        <x:v>0.6409090909090909</x:v>
      </x:c>
      <x:c r="Z3402" s="38" t="n">
        <x:v>0.6026277944725961</x:v>
      </x:c>
      <x:c r="AA3402" t="str">
        <x:v>NON_POSITIVE_ENTERPRISE_VALUE|NON_POSITIVE_EQUITY_VALUE|NON_POSITIVE_TERMINAL_FCF</x:v>
      </x:c>
    </x:row>
    <x:row r="3403">
      <x:c r="A3403" s="54" t="n">
        <x:v>45930</x:v>
      </x:c>
      <x:c r="B3403" t="n">
        <x:v>45930.624999988424</x:v>
      </x:c>
      <x:c r="C3403" t="str">
        <x:v>086520</x:v>
      </x:c>
      <x:c r="D3403" t="str">
        <x:v>에코프로</x:v>
      </x:c>
      <x:c r="E3403" t="str">
        <x:v>KOSDAQ</x:v>
      </x:c>
      <x:c r="F3403" t="str">
        <x:v>LARGE</x:v>
      </x:c>
      <x:c r="G3403" t="str">
        <x:v>DCF_SCREENING_EXCLUSION</x:v>
      </x:c>
      <x:c r="H3403" t="str">
        <x:v>NON_POSITIVE_ENTERPRISE_VALUE|NON_POSITIVE_EQUITY_VALUE|NON_POSITIVE_TERMINAL_FCF</x:v>
      </x:c>
      <x:c r="I3403" s="54" t="n">
        <x:v>45930</x:v>
      </x:c>
      <x:c r="J3403" s="55" t="n">
        <x:v>47450</x:v>
      </x:c>
      <x:c r="K3403" s="55" t="n">
        <x:v>6442578412400</x:v>
      </x:c>
      <x:c r="L3403" s="55" t="n">
        <x:v>135776152</x:v>
      </x:c>
      <x:c r="M3403" t="str">
        <x:v>20250318001116</x:v>
      </x:c>
      <x:c r="N3403" t="n">
        <x:v>45734.624999988424</x:v>
      </x:c>
      <x:c r="O3403" s="54" t="n">
        <x:v>45657</x:v>
      </x:c>
      <x:c r="P3403" t="str">
        <x:v>False</x:v>
      </x:c>
      <x:c r="Q3403" t="str">
        <x:v>9878f62437ba0f8822ab58907dd3dbfbb9f34be5e9e9b68a45c1eb2944f46745</x:v>
      </x:c>
      <x:c r="R3403" t="str">
        <x:v>7aac01ad95c2630588ab73067ae7c9d8b3ed2b356db73c401bd42524dbe1de93</x:v>
      </x:c>
      <x:c r="S3403" t="n">
        <x:v>7</x:v>
      </x:c>
      <x:c r="T3403" t="str">
        <x:v>2018-12-31|2019-12-31|2020-12-31|2021-12-31|2022-12-31|2023-12-31|2024-12-31</x:v>
      </x:c>
      <x:c r="U3403" s="57" t="n">
        <x:v>-43657.393162516055</x:v>
      </x:c>
      <x:c r="V3403" s="57" t="n">
        <x:v>-1.9200715102743109</x:v>
      </x:c>
      <x:c r="W3403"/>
      <x:c r="X3403"/>
      <x:c r="Y3403" s="38" t="n">
        <x:v>0.6409090909090909</x:v>
      </x:c>
      <x:c r="Z3403" s="38" t="n">
        <x:v>0.4535277148782437</x:v>
      </x:c>
      <x:c r="AA3403" t="str">
        <x:v>NON_POSITIVE_ENTERPRISE_VALUE|NON_POSITIVE_EQUITY_VALUE|NON_POSITIVE_TERMINAL_FCF</x:v>
      </x:c>
    </x:row>
    <x:row r="3404">
      <x:c r="A3404" s="54" t="n">
        <x:v>45930</x:v>
      </x:c>
      <x:c r="B3404" t="n">
        <x:v>45930.624999988424</x:v>
      </x:c>
      <x:c r="C3404" t="str">
        <x:v>214450</x:v>
      </x:c>
      <x:c r="D3404" t="str">
        <x:v>파마리서치</x:v>
      </x:c>
      <x:c r="E3404" t="str">
        <x:v>KOSDAQ</x:v>
      </x:c>
      <x:c r="F3404" t="str">
        <x:v>LARGE</x:v>
      </x:c>
      <x:c r="G3404" t="str">
        <x:v>ELIGIBLE</x:v>
      </x:c>
      <x:c r="H3404"/>
      <x:c r="I3404" s="54" t="n">
        <x:v>45930</x:v>
      </x:c>
      <x:c r="J3404" s="55" t="n">
        <x:v>601000</x:v>
      </x:c>
      <x:c r="K3404" s="55" t="n">
        <x:v>6244178448000</x:v>
      </x:c>
      <x:c r="L3404" s="55" t="n">
        <x:v>10389648</x:v>
      </x:c>
      <x:c r="M3404" t="str">
        <x:v>20250317000758</x:v>
      </x:c>
      <x:c r="N3404" t="n">
        <x:v>45733.624999988424</x:v>
      </x:c>
      <x:c r="O3404" s="54" t="n">
        <x:v>45657</x:v>
      </x:c>
      <x:c r="P3404" t="str">
        <x:v>False</x:v>
      </x:c>
      <x:c r="Q3404" t="str">
        <x:v>faede7d4d9274326deaf57222c12b3d69bbcfd2224dd7dec2d7337ca1f5e466d</x:v>
      </x:c>
      <x:c r="R3404" t="str">
        <x:v>4ae010ce987a6cc14a859c4cda502b3cb52e693e353b9dcfea71841eda794183</x:v>
      </x:c>
      <x:c r="S3404" t="n">
        <x:v>6</x:v>
      </x:c>
      <x:c r="T3404" t="str">
        <x:v>2018-12-31|2019-12-31|2020-12-31|2021-12-31|2022-12-31|2023-12-31|2024-12-31</x:v>
      </x:c>
      <x:c r="U3404" s="57" t="n">
        <x:v>147970.21492249647</x:v>
      </x:c>
      <x:c r="V3404" s="57" t="n">
        <x:v>-0.7537933195965116</x:v>
      </x:c>
      <x:c r="W3404" t="n">
        <x:v>59</x:v>
      </x:c>
      <x:c r="X3404" t="n">
        <x:v>5</x:v>
      </x:c>
      <x:c r="Y3404" s="38" t="n">
        <x:v>0.6409090909090909</x:v>
      </x:c>
      <x:c r="Z3404" s="38" t="n">
        <x:v>0.7180092749573916</x:v>
      </x:c>
      <x:c r="AA3404"/>
    </x:row>
    <x:row r="3405">
      <x:c r="A3405" s="54" t="n">
        <x:v>45930</x:v>
      </x:c>
      <x:c r="B3405" t="n">
        <x:v>45930.624999988424</x:v>
      </x:c>
      <x:c r="C3405" t="str">
        <x:v>277810</x:v>
      </x:c>
      <x:c r="D3405" t="str">
        <x:v>레인보우로보틱스</x:v>
      </x:c>
      <x:c r="E3405" t="str">
        <x:v>KOSDAQ</x:v>
      </x:c>
      <x:c r="F3405" t="str">
        <x:v>LARGE</x:v>
      </x:c>
      <x:c r="G3405" t="str">
        <x:v>DCF_SCREENING_EXCLUSION</x:v>
      </x:c>
      <x:c r="H3405" t="str">
        <x:v>NON_POSITIVE_ENTERPRISE_VALUE|NON_POSITIVE_TERMINAL_FCF</x:v>
      </x:c>
      <x:c r="I3405" s="54" t="n">
        <x:v>45930</x:v>
      </x:c>
      <x:c r="J3405" s="55" t="n">
        <x:v>309000</x:v>
      </x:c>
      <x:c r="K3405" s="55" t="n">
        <x:v>5994556122000</x:v>
      </x:c>
      <x:c r="L3405" s="55" t="n">
        <x:v>19399858</x:v>
      </x:c>
      <x:c r="M3405" t="str">
        <x:v>20250814002961</x:v>
      </x:c>
      <x:c r="N3405" t="n">
        <x:v>45883.624999988424</x:v>
      </x:c>
      <x:c r="O3405" s="54" t="n">
        <x:v>45657</x:v>
      </x:c>
      <x:c r="P3405" t="str">
        <x:v>True</x:v>
      </x:c>
      <x:c r="Q3405" t="str">
        <x:v>3ba3b4d433622a99bcf20ffb53dbd2b451a423241a25488cbec2a0d571a788d6</x:v>
      </x:c>
      <x:c r="R3405" t="str">
        <x:v>23709158d9bca66e9af66c3233ab22dd65f1bb8897bc6d1e313201df74663633</x:v>
      </x:c>
      <x:c r="S3405" t="n">
        <x:v>6</x:v>
      </x:c>
      <x:c r="T3405" t="str">
        <x:v>2020-12-31|2021-12-31|2022-12-31|2023-12-31|2024-12-31</x:v>
      </x:c>
      <x:c r="U3405" s="57" t="n">
        <x:v>681.784394704917</x:v>
      </x:c>
      <x:c r="V3405" s="57" t="n">
        <x:v>-0.9977935780106637</x:v>
      </x:c>
      <x:c r="W3405"/>
      <x:c r="X3405"/>
      <x:c r="Y3405" s="38" t="n">
        <x:v>0.6409090909090909</x:v>
      </x:c>
      <x:c r="Z3405" s="38" t="n">
        <x:v>0.6883890650287107</x:v>
      </x:c>
      <x:c r="AA3405" t="str">
        <x:v>NON_POSITIVE_ENTERPRISE_VALUE|NON_POSITIVE_TERMINAL_FCF</x:v>
      </x:c>
    </x:row>
    <x:row r="3406">
      <x:c r="A3406" s="54" t="n">
        <x:v>45930</x:v>
      </x:c>
      <x:c r="B3406" t="n">
        <x:v>45930.624999988424</x:v>
      </x:c>
      <x:c r="C3406" t="str">
        <x:v>310210</x:v>
      </x:c>
      <x:c r="D3406" t="str">
        <x:v>보로노이</x:v>
      </x:c>
      <x:c r="E3406" t="str">
        <x:v>KOSDAQ</x:v>
      </x:c>
      <x:c r="F3406" t="str">
        <x:v>LARGE</x:v>
      </x:c>
      <x:c r="G3406" t="str">
        <x:v>DCF_SCREENING_EXCLUSION</x:v>
      </x:c>
      <x:c r="H3406" t="str">
        <x:v>NON_POSITIVE_ENTERPRISE_VALUE|NON_POSITIVE_EQUITY_VALUE|NON_POSITIVE_TERMINAL_FCF</x:v>
      </x:c>
      <x:c r="I3406" s="54" t="n">
        <x:v>45930</x:v>
      </x:c>
      <x:c r="J3406" s="55" t="n">
        <x:v>162500</x:v>
      </x:c>
      <x:c r="K3406" s="55" t="n">
        <x:v>2988605912500</x:v>
      </x:c>
      <x:c r="L3406" s="55" t="n">
        <x:v>18391421</x:v>
      </x:c>
      <x:c r="M3406" t="str">
        <x:v>20230323001447</x:v>
      </x:c>
      <x:c r="N3406" t="n">
        <x:v>45008.624999988424</x:v>
      </x:c>
      <x:c r="O3406" s="54" t="n">
        <x:v>44926</x:v>
      </x:c>
      <x:c r="P3406" t="str">
        <x:v>False</x:v>
      </x:c>
      <x:c r="Q3406" t="str">
        <x:v>38d2b1f5e9c968f4f6fa965d42cb2f1a325c069332624c3eed7a50315d302dcc</x:v>
      </x:c>
      <x:c r="R3406" t="str">
        <x:v>576c97c4daed21efafcbd8890e5b797da413a5a092541c93f1595fcf7c74e341</x:v>
      </x:c>
      <x:c r="S3406" t="n">
        <x:v>5</x:v>
      </x:c>
      <x:c r="T3406" t="str">
        <x:v>2022-12-31</x:v>
      </x:c>
      <x:c r="U3406" s="57" t="n">
        <x:v>-2019.7389978447015</x:v>
      </x:c>
      <x:c r="V3406" s="57" t="n">
        <x:v>-1.0124291630636597</x:v>
      </x:c>
      <x:c r="W3406"/>
      <x:c r="X3406"/>
      <x:c r="Y3406" s="38" t="n">
        <x:v>0.6409090909090909</x:v>
      </x:c>
      <x:c r="Z3406" s="38" t="n">
        <x:v>0.7013426708992583</x:v>
      </x:c>
      <x:c r="AA3406" t="str">
        <x:v>NON_POSITIVE_ENTERPRISE_VALUE|NON_POSITIVE_EQUITY_VALUE|NON_POSITIVE_TERMINAL_FCF</x:v>
      </x:c>
    </x:row>
    <x:row r="3407">
      <x:c r="A3407" s="54" t="n">
        <x:v>45930</x:v>
      </x:c>
      <x:c r="B3407" t="n">
        <x:v>45930.624999988424</x:v>
      </x:c>
      <x:c r="C3407" t="str">
        <x:v>195940</x:v>
      </x:c>
      <x:c r="D3407" t="str">
        <x:v>HK이노엔</x:v>
      </x:c>
      <x:c r="E3407" t="str">
        <x:v>KOSDAQ</x:v>
      </x:c>
      <x:c r="F3407" t="str">
        <x:v>LARGE</x:v>
      </x:c>
      <x:c r="G3407" t="str">
        <x:v>ELIGIBLE</x:v>
      </x:c>
      <x:c r="H3407"/>
      <x:c r="I3407" s="54" t="n">
        <x:v>45930</x:v>
      </x:c>
      <x:c r="J3407" s="55" t="n">
        <x:v>44400</x:v>
      </x:c>
      <x:c r="K3407" s="55" t="n">
        <x:v>1257847160400</x:v>
      </x:c>
      <x:c r="L3407" s="55" t="n">
        <x:v>28329891</x:v>
      </x:c>
      <x:c r="M3407" t="str">
        <x:v>20250318000969</x:v>
      </x:c>
      <x:c r="N3407" t="n">
        <x:v>45734.624999988424</x:v>
      </x:c>
      <x:c r="O3407" s="54" t="n">
        <x:v>45657</x:v>
      </x:c>
      <x:c r="P3407" t="str">
        <x:v>False</x:v>
      </x:c>
      <x:c r="Q3407" t="str">
        <x:v>fa16614ba7e691a8e0ad69d03120bca6d70d738ed51702fd890920569f20dab5</x:v>
      </x:c>
      <x:c r="R3407" t="str">
        <x:v>bcaf1cd53ad4ef7e9662441842e5225b7cba3d1b628aabe6c7bcce31a7013557</x:v>
      </x:c>
      <x:c r="S3407" t="n">
        <x:v>7</x:v>
      </x:c>
      <x:c r="T3407" t="str">
        <x:v>2021-12-31|2022-12-31|2023-12-31|2024-12-31</x:v>
      </x:c>
      <x:c r="U3407" s="57" t="n">
        <x:v>22281.19024435669</x:v>
      </x:c>
      <x:c r="V3407" s="57" t="n">
        <x:v>-0.4981713908928673</x:v>
      </x:c>
      <x:c r="W3407" t="n">
        <x:v>43</x:v>
      </x:c>
      <x:c r="X3407" t="n">
        <x:v>4</x:v>
      </x:c>
      <x:c r="Y3407" s="38" t="n">
        <x:v>0.6409090909090909</x:v>
      </x:c>
      <x:c r="Z3407" s="38" t="n">
        <x:v>0.7063661785712254</x:v>
      </x:c>
      <x:c r="AA3407"/>
    </x:row>
    <x:row r="3408">
      <x:c r="A3408" s="54" t="n">
        <x:v>45930</x:v>
      </x:c>
      <x:c r="B3408" t="n">
        <x:v>45930.624999988424</x:v>
      </x:c>
      <x:c r="C3408" t="str">
        <x:v>039200</x:v>
      </x:c>
      <x:c r="D3408" t="str">
        <x:v>오스코텍</x:v>
      </x:c>
      <x:c r="E3408" t="str">
        <x:v>KOSDAQ</x:v>
      </x:c>
      <x:c r="F3408" t="str">
        <x:v>LARGE</x:v>
      </x:c>
      <x:c r="G3408" t="str">
        <x:v>DCF_SCREENING_EXCLUSION</x:v>
      </x:c>
      <x:c r="H3408" t="str">
        <x:v>NON_POSITIVE_ENTERPRISE_VALUE|NON_POSITIVE_EQUITY_VALUE|NON_POSITIVE_TERMINAL_FCF</x:v>
      </x:c>
      <x:c r="I3408" s="54" t="n">
        <x:v>45930</x:v>
      </x:c>
      <x:c r="J3408" s="55" t="n">
        <x:v>46850</x:v>
      </x:c>
      <x:c r="K3408" s="55" t="n">
        <x:v>1792254995600</x:v>
      </x:c>
      <x:c r="L3408" s="55" t="n">
        <x:v>38255176</x:v>
      </x:c>
      <x:c r="M3408" t="str">
        <x:v>20250319000506</x:v>
      </x:c>
      <x:c r="N3408" t="n">
        <x:v>45735.624999988424</x:v>
      </x:c>
      <x:c r="O3408" s="54" t="n">
        <x:v>45657</x:v>
      </x:c>
      <x:c r="P3408" t="str">
        <x:v>False</x:v>
      </x:c>
      <x:c r="Q3408" t="str">
        <x:v>d0b01686a5b2c173bba03211ce153f285e1b311afae7f6fe450fba08a95f8340</x:v>
      </x:c>
      <x:c r="R3408" t="str">
        <x:v>069fd5ee2c2bcb3fff3bb5b8431aab412e3b552b5e0ec2cdaacace69207c2d16</x:v>
      </x:c>
      <x:c r="S3408" t="n">
        <x:v>6</x:v>
      </x:c>
      <x:c r="T3408" t="str">
        <x:v>2018-12-31|2019-12-31|2020-12-31|2021-12-31|2022-12-31|2023-12-31|2024-12-31</x:v>
      </x:c>
      <x:c r="U3408" s="57" t="n">
        <x:v>-2035.8536104207735</x:v>
      </x:c>
      <x:c r="V3408" s="57" t="n">
        <x:v>-1.0434547195393975</x:v>
      </x:c>
      <x:c r="W3408"/>
      <x:c r="X3408"/>
      <x:c r="Y3408" s="38" t="n">
        <x:v>0.6409090909090909</x:v>
      </x:c>
      <x:c r="Z3408" s="38" t="n">
        <x:v>0.75819577858392</x:v>
      </x:c>
      <x:c r="AA3408" t="str">
        <x:v>NON_POSITIVE_ENTERPRISE_VALUE|NON_POSITIVE_EQUITY_VALUE|NON_POSITIVE_TERMINAL_FCF</x:v>
      </x:c>
    </x:row>
    <x:row r="3409">
      <x:c r="A3409" s="54" t="n">
        <x:v>45930</x:v>
      </x:c>
      <x:c r="B3409" t="n">
        <x:v>45930.624999988424</x:v>
      </x:c>
      <x:c r="C3409" t="str">
        <x:v>084370</x:v>
      </x:c>
      <x:c r="D3409" t="str">
        <x:v>유진테크</x:v>
      </x:c>
      <x:c r="E3409" t="str">
        <x:v>KOSDAQ</x:v>
      </x:c>
      <x:c r="F3409" t="str">
        <x:v>LARGE</x:v>
      </x:c>
      <x:c r="G3409" t="str">
        <x:v>ELIGIBLE</x:v>
      </x:c>
      <x:c r="H3409"/>
      <x:c r="I3409" s="54" t="n">
        <x:v>45930</x:v>
      </x:c>
      <x:c r="J3409" s="55" t="n">
        <x:v>69900</x:v>
      </x:c>
      <x:c r="K3409" s="55" t="n">
        <x:v>1601831335800</x:v>
      </x:c>
      <x:c r="L3409" s="55" t="n">
        <x:v>22916042</x:v>
      </x:c>
      <x:c r="M3409" t="str">
        <x:v>20250320000992</x:v>
      </x:c>
      <x:c r="N3409" t="n">
        <x:v>45736.624999988424</x:v>
      </x:c>
      <x:c r="O3409" s="54" t="n">
        <x:v>45657</x:v>
      </x:c>
      <x:c r="P3409" t="str">
        <x:v>False</x:v>
      </x:c>
      <x:c r="Q3409" t="str">
        <x:v>b8f5e0d2e85cbb6d73c81da8d4fb35b8690fc78357d8faaca3eb4ea344ac2018</x:v>
      </x:c>
      <x:c r="R3409" t="str">
        <x:v>d57eacb77cdee02e41cc8175f933c4c721c08b5edf05aea9431bb01f1a149447</x:v>
      </x:c>
      <x:c r="S3409" t="n">
        <x:v>6</x:v>
      </x:c>
      <x:c r="T3409" t="str">
        <x:v>2018-12-31|2019-12-31|2020-12-31|2021-12-31|2022-12-31|2023-12-31|2024-12-31</x:v>
      </x:c>
      <x:c r="U3409" s="57" t="n">
        <x:v>20147.300899521157</x:v>
      </x:c>
      <x:c r="V3409" s="57" t="n">
        <x:v>-0.7117696580898261</x:v>
      </x:c>
      <x:c r="W3409" t="n">
        <x:v>55</x:v>
      </x:c>
      <x:c r="X3409" t="n">
        <x:v>5</x:v>
      </x:c>
      <x:c r="Y3409" s="38" t="n">
        <x:v>0.6409090909090909</x:v>
      </x:c>
      <x:c r="Z3409" s="38" t="n">
        <x:v>0.6706572910224177</x:v>
      </x:c>
      <x:c r="AA3409"/>
    </x:row>
    <x:row r="3410">
      <x:c r="A3410" s="54" t="n">
        <x:v>45930</x:v>
      </x:c>
      <x:c r="B3410" t="n">
        <x:v>45930.624999988424</x:v>
      </x:c>
      <x:c r="C3410" t="str">
        <x:v>160190</x:v>
      </x:c>
      <x:c r="D3410" t="str">
        <x:v>하이젠알앤엠</x:v>
      </x:c>
      <x:c r="E3410" t="str">
        <x:v>KOSDAQ</x:v>
      </x:c>
      <x:c r="F3410" t="str">
        <x:v>LARGE</x:v>
      </x:c>
      <x:c r="G3410" t="str">
        <x:v>DCF_SCREENING_EXCLUSION</x:v>
      </x:c>
      <x:c r="H3410" t="str">
        <x:v>NON_POSITIVE_ENTERPRISE_VALUE|NON_POSITIVE_EQUITY_VALUE|NON_POSITIVE_TERMINAL_FCF</x:v>
      </x:c>
      <x:c r="I3410" s="54" t="n">
        <x:v>45930</x:v>
      </x:c>
      <x:c r="J3410" s="55" t="n">
        <x:v>43450</x:v>
      </x:c>
      <x:c r="K3410" s="55" t="n">
        <x:v>1342083600000</x:v>
      </x:c>
      <x:c r="L3410" s="55" t="n">
        <x:v>30888000</x:v>
      </x:c>
      <x:c r="M3410" t="str">
        <x:v>20250318000179</x:v>
      </x:c>
      <x:c r="N3410" t="n">
        <x:v>45734.624999988424</x:v>
      </x:c>
      <x:c r="O3410" s="54" t="n">
        <x:v>45657</x:v>
      </x:c>
      <x:c r="P3410" t="str">
        <x:v>False</x:v>
      </x:c>
      <x:c r="Q3410" t="str">
        <x:v>785fa493d232b623cf536acbb22e4935d57d3b39fc0f7e9a572e373b080005ac</x:v>
      </x:c>
      <x:c r="R3410" t="str">
        <x:v>5801f6f6c76620401327c5c077200387545ebc6df06c641bbdd735148b6f6d24</x:v>
      </x:c>
      <x:c r="S3410" t="n">
        <x:v>6</x:v>
      </x:c>
      <x:c r="T3410" t="str">
        <x:v>2024-12-31</x:v>
      </x:c>
      <x:c r="U3410" s="57" t="n">
        <x:v>-841.427289365881</x:v>
      </x:c>
      <x:c r="V3410" s="57" t="n">
        <x:v>-1.0193654151752791</x:v>
      </x:c>
      <x:c r="W3410"/>
      <x:c r="X3410"/>
      <x:c r="Y3410" s="38" t="n">
        <x:v>0.6409090909090909</x:v>
      </x:c>
      <x:c r="Z3410" s="38" t="n">
        <x:v>0.7013426708992583</x:v>
      </x:c>
      <x:c r="AA3410" t="str">
        <x:v>NON_POSITIVE_ENTERPRISE_VALUE|NON_POSITIVE_EQUITY_VALUE|NON_POSITIVE_TERMINAL_FCF</x:v>
      </x:c>
    </x:row>
    <x:row r="3411">
      <x:c r="A3411" s="54" t="n">
        <x:v>45930</x:v>
      </x:c>
      <x:c r="B3411" t="n">
        <x:v>45930.624999988424</x:v>
      </x:c>
      <x:c r="C3411" t="str">
        <x:v>281740</x:v>
      </x:c>
      <x:c r="D3411" t="str">
        <x:v>레이크머티리얼즈</x:v>
      </x:c>
      <x:c r="E3411" t="str">
        <x:v>KOSDAQ</x:v>
      </x:c>
      <x:c r="F3411" t="str">
        <x:v>LARGE</x:v>
      </x:c>
      <x:c r="G3411" t="str">
        <x:v>ELIGIBLE</x:v>
      </x:c>
      <x:c r="H3411"/>
      <x:c r="I3411" s="54" t="n">
        <x:v>45930</x:v>
      </x:c>
      <x:c r="J3411" s="55" t="n">
        <x:v>12230</x:v>
      </x:c>
      <x:c r="K3411" s="55" t="n">
        <x:v>803884602040</x:v>
      </x:c>
      <x:c r="L3411" s="55" t="n">
        <x:v>65730548</x:v>
      </x:c>
      <x:c r="M3411" t="str">
        <x:v>20250318000856</x:v>
      </x:c>
      <x:c r="N3411" t="n">
        <x:v>45734.624999988424</x:v>
      </x:c>
      <x:c r="O3411" s="54" t="n">
        <x:v>45657</x:v>
      </x:c>
      <x:c r="P3411" t="str">
        <x:v>False</x:v>
      </x:c>
      <x:c r="Q3411" t="str">
        <x:v>96207983627f79563bdb5775f63541cd8d82061603c54b74443f6e2ae5e0f70e</x:v>
      </x:c>
      <x:c r="R3411" t="str">
        <x:v>f1e89ef6494ba28eda6c9530a162f799209849c9b925872513700cd2ed1beec6</x:v>
      </x:c>
      <x:c r="S3411" t="n">
        <x:v>6</x:v>
      </x:c>
      <x:c r="T3411" t="str">
        <x:v>2020-12-31|2021-12-31|2022-12-31|2023-12-31|2024-12-31</x:v>
      </x:c>
      <x:c r="U3411" s="57" t="n">
        <x:v>3574.2287652768405</x:v>
      </x:c>
      <x:c r="V3411" s="57" t="n">
        <x:v>-0.7077490788816975</x:v>
      </x:c>
      <x:c r="W3411" t="n">
        <x:v>54</x:v>
      </x:c>
      <x:c r="X3411" t="n">
        <x:v>5</x:v>
      </x:c>
      <x:c r="Y3411" s="38" t="n">
        <x:v>0.6409090909090909</x:v>
      </x:c>
      <x:c r="Z3411" s="38" t="n">
        <x:v>0.8076641449266643</x:v>
      </x:c>
      <x:c r="AA3411"/>
    </x:row>
    <x:row r="3412">
      <x:c r="A3412" s="54" t="n">
        <x:v>45930</x:v>
      </x:c>
      <x:c r="B3412" t="n">
        <x:v>45930.624999988424</x:v>
      </x:c>
      <x:c r="C3412" t="str">
        <x:v>078130</x:v>
      </x:c>
      <x:c r="D3412" t="str">
        <x:v>국일제지</x:v>
      </x:c>
      <x:c r="E3412" t="str">
        <x:v>KOSDAQ</x:v>
      </x:c>
      <x:c r="F3412" t="str">
        <x:v>LARGE</x:v>
      </x:c>
      <x:c r="G3412" t="str">
        <x:v>DCF_SCREENING_EXCLUSION</x:v>
      </x:c>
      <x:c r="H3412" t="str">
        <x:v>NON_POSITIVE_ENTERPRISE_VALUE|NON_POSITIVE_EQUITY_VALUE|NON_POSITIVE_TERMINAL_FCF</x:v>
      </x:c>
      <x:c r="I3412" s="54" t="n">
        <x:v>45930</x:v>
      </x:c>
      <x:c r="J3412" s="55" t="n">
        <x:v>441</x:v>
      </x:c>
      <x:c r="K3412" s="55" t="n">
        <x:v>497185989111</x:v>
      </x:c>
      <x:c r="L3412" s="55" t="n">
        <x:v>1127405871</x:v>
      </x:c>
      <x:c r="M3412" t="str">
        <x:v>20250320001247</x:v>
      </x:c>
      <x:c r="N3412" t="n">
        <x:v>45736.624999988424</x:v>
      </x:c>
      <x:c r="O3412" s="54" t="n">
        <x:v>45657</x:v>
      </x:c>
      <x:c r="P3412" t="str">
        <x:v>False</x:v>
      </x:c>
      <x:c r="Q3412" t="str">
        <x:v>e52d9735838ac309b7ba8a7a9bac0f863b22bd63c425fe2b4f206d8e24431620</x:v>
      </x:c>
      <x:c r="R3412" t="str">
        <x:v>04840ac0a2a964ec7f0ca43a02e39ac55182c21e3c7ad85b76f8f677094eec06</x:v>
      </x:c>
      <x:c r="S3412" t="n">
        <x:v>6</x:v>
      </x:c>
      <x:c r="T3412" t="str">
        <x:v>2018-12-31|2019-12-31|2020-12-31|2021-12-31|2022-12-31|2023-12-31|2024-12-31</x:v>
      </x:c>
      <x:c r="U3412" s="57" t="n">
        <x:v>-7.35376792191045</x:v>
      </x:c>
      <x:c r="V3412" s="57" t="n">
        <x:v>-1.0166752107072798</x:v>
      </x:c>
      <x:c r="W3412"/>
      <x:c r="X3412"/>
      <x:c r="Y3412" s="38" t="n">
        <x:v>0.6409090909090909</x:v>
      </x:c>
      <x:c r="Z3412" s="38" t="n">
        <x:v>0.6508519834576526</x:v>
      </x:c>
      <x:c r="AA3412" t="str">
        <x:v>NON_POSITIVE_ENTERPRISE_VALUE|NON_POSITIVE_EQUITY_VALUE|NON_POSITIVE_TERMINAL_FCF</x:v>
      </x:c>
    </x:row>
    <x:row r="3413">
      <x:c r="A3413" s="54" t="n">
        <x:v>45930</x:v>
      </x:c>
      <x:c r="B3413" t="n">
        <x:v>45930.624999988424</x:v>
      </x:c>
      <x:c r="C3413" t="str">
        <x:v>131970</x:v>
      </x:c>
      <x:c r="D3413" t="str">
        <x:v>두산테스나</x:v>
      </x:c>
      <x:c r="E3413" t="str">
        <x:v>KOSDAQ</x:v>
      </x:c>
      <x:c r="F3413" t="str">
        <x:v>LARGE</x:v>
      </x:c>
      <x:c r="G3413" t="str">
        <x:v>ELIGIBLE</x:v>
      </x:c>
      <x:c r="H3413"/>
      <x:c r="I3413" s="54" t="n">
        <x:v>45930</x:v>
      </x:c>
      <x:c r="J3413" s="55" t="n">
        <x:v>39850</x:v>
      </x:c>
      <x:c r="K3413" s="55" t="n">
        <x:v>770190434300</x:v>
      </x:c>
      <x:c r="L3413" s="55" t="n">
        <x:v>19327238</x:v>
      </x:c>
      <x:c r="M3413" t="str">
        <x:v>20250318001201</x:v>
      </x:c>
      <x:c r="N3413" t="n">
        <x:v>45734.624999988424</x:v>
      </x:c>
      <x:c r="O3413" s="54" t="n">
        <x:v>45657</x:v>
      </x:c>
      <x:c r="P3413" t="str">
        <x:v>False</x:v>
      </x:c>
      <x:c r="Q3413" t="str">
        <x:v>c2af22c03970d694f284e8dac9306adb8450aa0cf42e0d34d052e650f8b74965</x:v>
      </x:c>
      <x:c r="R3413" t="str">
        <x:v>0eeb9313148467311a1e4135195446df6da79ccd9975c28c01390f5b8c8b29d4</x:v>
      </x:c>
      <x:c r="S3413" t="n">
        <x:v>7</x:v>
      </x:c>
      <x:c r="T3413" t="str">
        <x:v>2018-12-31|2019-12-31|2020-12-31|2021-12-31|2022-12-31|2023-12-31|2024-12-31</x:v>
      </x:c>
      <x:c r="U3413" s="57" t="n">
        <x:v>37130.689760392816</x:v>
      </x:c>
      <x:c r="V3413" s="57" t="n">
        <x:v>-0.06823865093117158</x:v>
      </x:c>
      <x:c r="W3413" t="n">
        <x:v>21</x:v>
      </x:c>
      <x:c r="X3413" t="n">
        <x:v>2</x:v>
      </x:c>
      <x:c r="Y3413" s="38" t="n">
        <x:v>0.6409090909090909</x:v>
      </x:c>
      <x:c r="Z3413" s="38" t="n">
        <x:v>0.8060538608591259</x:v>
      </x:c>
      <x:c r="AA3413"/>
    </x:row>
    <x:row r="3414">
      <x:c r="A3414" s="54" t="n">
        <x:v>45930</x:v>
      </x:c>
      <x:c r="B3414" t="n">
        <x:v>45930.624999988424</x:v>
      </x:c>
      <x:c r="C3414" t="str">
        <x:v>025320</x:v>
      </x:c>
      <x:c r="D3414" t="str">
        <x:v>시노펙스</x:v>
      </x:c>
      <x:c r="E3414" t="str">
        <x:v>KOSDAQ</x:v>
      </x:c>
      <x:c r="F3414" t="str">
        <x:v>LARGE</x:v>
      </x:c>
      <x:c r="G3414" t="str">
        <x:v>ELIGIBLE</x:v>
      </x:c>
      <x:c r="H3414"/>
      <x:c r="I3414" s="54" t="n">
        <x:v>45930</x:v>
      </x:c>
      <x:c r="J3414" s="55" t="n">
        <x:v>6800</x:v>
      </x:c>
      <x:c r="K3414" s="55" t="n">
        <x:v>596552072800</x:v>
      </x:c>
      <x:c r="L3414" s="55" t="n">
        <x:v>87728246</x:v>
      </x:c>
      <x:c r="M3414" t="str">
        <x:v>20250318001412</x:v>
      </x:c>
      <x:c r="N3414" t="n">
        <x:v>45734.624999988424</x:v>
      </x:c>
      <x:c r="O3414" s="54" t="n">
        <x:v>45657</x:v>
      </x:c>
      <x:c r="P3414" t="str">
        <x:v>False</x:v>
      </x:c>
      <x:c r="Q3414" t="str">
        <x:v>3276bbb06edd646a72ee9fe00dcadce30bb3a9570058a941d49d1e5511491869</x:v>
      </x:c>
      <x:c r="R3414" t="str">
        <x:v>3f247a009f5e30ddc81af11433caf7dd013c37707f26827d32846b5198497226</x:v>
      </x:c>
      <x:c r="S3414" t="n">
        <x:v>5</x:v>
      </x:c>
      <x:c r="T3414" t="str">
        <x:v>2018-12-31|2019-12-31|2020-12-31|2021-12-31|2022-12-31|2023-12-31|2024-12-31</x:v>
      </x:c>
      <x:c r="U3414" s="57" t="n">
        <x:v>751.2376699468742</x:v>
      </x:c>
      <x:c r="V3414" s="57" t="n">
        <x:v>-0.8895238720666362</x:v>
      </x:c>
      <x:c r="W3414" t="n">
        <x:v>63</x:v>
      </x:c>
      <x:c r="X3414" t="n">
        <x:v>5</x:v>
      </x:c>
      <x:c r="Y3414" s="38" t="n">
        <x:v>0.6409090909090909</x:v>
      </x:c>
      <x:c r="Z3414" s="38" t="n">
        <x:v>0.5208940068707834</x:v>
      </x:c>
      <x:c r="AA3414"/>
    </x:row>
    <x:row r="3415">
      <x:c r="A3415" s="54" t="n">
        <x:v>45930</x:v>
      </x:c>
      <x:c r="B3415" t="n">
        <x:v>45930.624999988424</x:v>
      </x:c>
      <x:c r="C3415" t="str">
        <x:v>347700</x:v>
      </x:c>
      <x:c r="D3415" t="str">
        <x:v>스피어</x:v>
      </x:c>
      <x:c r="E3415" t="str">
        <x:v>KOSDAQ</x:v>
      </x:c>
      <x:c r="F3415" t="str">
        <x:v>LARGE</x:v>
      </x:c>
      <x:c r="G3415" t="str">
        <x:v>DCF_SCREENING_EXCLUSION</x:v>
      </x:c>
      <x:c r="H3415" t="str">
        <x:v>NON_POSITIVE_ENTERPRISE_VALUE|NON_POSITIVE_TERMINAL_FCF</x:v>
      </x:c>
      <x:c r="I3415" s="54" t="n">
        <x:v>45930</x:v>
      </x:c>
      <x:c r="J3415" s="55" t="n">
        <x:v>10420</x:v>
      </x:c>
      <x:c r="K3415" s="55" t="n">
        <x:v>408760125980</x:v>
      </x:c>
      <x:c r="L3415" s="55" t="n">
        <x:v>39228419</x:v>
      </x:c>
      <x:c r="M3415" t="str">
        <x:v>20250317000467</x:v>
      </x:c>
      <x:c r="N3415" t="n">
        <x:v>45733.624999988424</x:v>
      </x:c>
      <x:c r="O3415" s="54" t="n">
        <x:v>45657</x:v>
      </x:c>
      <x:c r="P3415" t="str">
        <x:v>False</x:v>
      </x:c>
      <x:c r="Q3415" t="str">
        <x:v>1fb88dd7fdba6996b26c8497f311b0e9b8d9a11ac4649a7e4228554c31e82bc8</x:v>
      </x:c>
      <x:c r="R3415" t="str">
        <x:v>977a4e07020c8f299a9a9e2524396d8ee9b57be2da539d759a4daa254520f7c2</x:v>
      </x:c>
      <x:c r="S3415" t="n">
        <x:v>6</x:v>
      </x:c>
      <x:c r="T3415" t="str">
        <x:v>2020-12-31|2021-12-31|2022-12-31|2023-12-31|2024-12-31</x:v>
      </x:c>
      <x:c r="U3415" s="57" t="n">
        <x:v>338.50056163387706</x:v>
      </x:c>
      <x:c r="V3415" s="57" t="n">
        <x:v>-0.9675143414938697</x:v>
      </x:c>
      <x:c r="W3415"/>
      <x:c r="X3415"/>
      <x:c r="Y3415" s="38" t="n">
        <x:v>0.6409090909090909</x:v>
      </x:c>
      <x:c r="Z3415" s="38" t="n">
        <x:v>0.6959960630715714</x:v>
      </x:c>
      <x:c r="AA3415" t="str">
        <x:v>NON_POSITIVE_ENTERPRISE_VALUE|NON_POSITIVE_TERMINAL_FCF</x:v>
      </x:c>
    </x:row>
    <x:row r="3416">
      <x:c r="A3416" s="54" t="n">
        <x:v>45930</x:v>
      </x:c>
      <x:c r="B3416" t="n">
        <x:v>45930.624999988424</x:v>
      </x:c>
      <x:c r="C3416" t="str">
        <x:v>119850</x:v>
      </x:c>
      <x:c r="D3416" t="str">
        <x:v>지엔씨에너지</x:v>
      </x:c>
      <x:c r="E3416" t="str">
        <x:v>KOSDAQ</x:v>
      </x:c>
      <x:c r="F3416" t="str">
        <x:v>LARGE</x:v>
      </x:c>
      <x:c r="G3416" t="str">
        <x:v>ELIGIBLE</x:v>
      </x:c>
      <x:c r="H3416"/>
      <x:c r="I3416" s="54" t="n">
        <x:v>45930</x:v>
      </x:c>
      <x:c r="J3416" s="55" t="n">
        <x:v>31450</x:v>
      </x:c>
      <x:c r="K3416" s="55" t="n">
        <x:v>517318188050</x:v>
      </x:c>
      <x:c r="L3416" s="55" t="n">
        <x:v>16448909</x:v>
      </x:c>
      <x:c r="M3416" t="str">
        <x:v>20250318000086</x:v>
      </x:c>
      <x:c r="N3416" t="n">
        <x:v>45734.624999988424</x:v>
      </x:c>
      <x:c r="O3416" s="54" t="n">
        <x:v>45657</x:v>
      </x:c>
      <x:c r="P3416" t="str">
        <x:v>False</x:v>
      </x:c>
      <x:c r="Q3416" t="str">
        <x:v>b0f3bf964c96ab4e0838151ad0e4945f1ede0900a7752e8995b7a1e29a574cd0</x:v>
      </x:c>
      <x:c r="R3416" t="str">
        <x:v>12c487df615f00a03228ed8aeac5159c4578a133c05d21fc20a213d87c4e4a7e</x:v>
      </x:c>
      <x:c r="S3416" t="n">
        <x:v>5</x:v>
      </x:c>
      <x:c r="T3416" t="str">
        <x:v>2018-12-31|2019-12-31|2020-12-31|2021-12-31|2022-12-31|2023-12-31|2024-12-31</x:v>
      </x:c>
      <x:c r="U3416" s="57" t="n">
        <x:v>11384.776464072384</x:v>
      </x:c>
      <x:c r="V3416" s="57" t="n">
        <x:v>-0.638003928010417</x:v>
      </x:c>
      <x:c r="W3416" t="n">
        <x:v>50</x:v>
      </x:c>
      <x:c r="X3416" t="n">
        <x:v>4</x:v>
      </x:c>
      <x:c r="Y3416" s="38" t="n">
        <x:v>0.6409090909090909</x:v>
      </x:c>
      <x:c r="Z3416" s="38" t="n">
        <x:v>0.5409169755441574</x:v>
      </x:c>
      <x:c r="AA3416"/>
    </x:row>
    <x:row r="3417">
      <x:c r="A3417" s="54" t="n">
        <x:v>45930</x:v>
      </x:c>
      <x:c r="B3417" t="n">
        <x:v>45930.624999988424</x:v>
      </x:c>
      <x:c r="C3417" t="str">
        <x:v>084110</x:v>
      </x:c>
      <x:c r="D3417" t="str">
        <x:v>휴온스글로벌</x:v>
      </x:c>
      <x:c r="E3417" t="str">
        <x:v>KOSDAQ</x:v>
      </x:c>
      <x:c r="F3417" t="str">
        <x:v>LARGE</x:v>
      </x:c>
      <x:c r="G3417" t="str">
        <x:v>ELIGIBLE</x:v>
      </x:c>
      <x:c r="H3417"/>
      <x:c r="I3417" s="54" t="n">
        <x:v>45930</x:v>
      </x:c>
      <x:c r="J3417" s="55" t="n">
        <x:v>45900</x:v>
      </x:c>
      <x:c r="K3417" s="55" t="n">
        <x:v>580030038000</x:v>
      </x:c>
      <x:c r="L3417" s="55" t="n">
        <x:v>12636820</x:v>
      </x:c>
      <x:c r="M3417" t="str">
        <x:v>20250320001575</x:v>
      </x:c>
      <x:c r="N3417" t="n">
        <x:v>45736.624999988424</x:v>
      </x:c>
      <x:c r="O3417" s="54" t="n">
        <x:v>45657</x:v>
      </x:c>
      <x:c r="P3417" t="str">
        <x:v>False</x:v>
      </x:c>
      <x:c r="Q3417" t="str">
        <x:v>d2ef7e702bbe00b1be5055d52e77fcb173caa3c16b1fca53833f2fee74aece2d</x:v>
      </x:c>
      <x:c r="R3417" t="str">
        <x:v>30f5793bb6a010da03074c610ac1a91edf54d4a19ab7cce790198f2bdcde6730</x:v>
      </x:c>
      <x:c r="S3417" t="n">
        <x:v>6</x:v>
      </x:c>
      <x:c r="T3417" t="str">
        <x:v>2018-12-31|2019-12-31|2020-12-31|2021-12-31|2022-12-31|2023-12-31|2024-12-31</x:v>
      </x:c>
      <x:c r="U3417" s="57" t="n">
        <x:v>83276.51534302453</x:v>
      </x:c>
      <x:c r="V3417" s="57" t="n">
        <x:v>0.8143031665146956</x:v>
      </x:c>
      <x:c r="W3417" t="n">
        <x:v>9</x:v>
      </x:c>
      <x:c r="X3417" t="n">
        <x:v>1</x:v>
      </x:c>
      <x:c r="Y3417" s="38" t="n">
        <x:v>0.6409090909090909</x:v>
      </x:c>
      <x:c r="Z3417" s="38" t="n">
        <x:v>0.771307681924768</x:v>
      </x:c>
      <x:c r="AA3417"/>
    </x:row>
    <x:row r="3418">
      <x:c r="A3418" s="54" t="n">
        <x:v>45930</x:v>
      </x:c>
      <x:c r="B3418" t="n">
        <x:v>45930.624999988424</x:v>
      </x:c>
      <x:c r="C3418" t="str">
        <x:v>206650</x:v>
      </x:c>
      <x:c r="D3418" t="str">
        <x:v>유바이오로직스</x:v>
      </x:c>
      <x:c r="E3418" t="str">
        <x:v>KOSDAQ</x:v>
      </x:c>
      <x:c r="F3418" t="str">
        <x:v>LARGE</x:v>
      </x:c>
      <x:c r="G3418" t="str">
        <x:v>ELIGIBLE</x:v>
      </x:c>
      <x:c r="H3418"/>
      <x:c r="I3418" s="54" t="n">
        <x:v>45930</x:v>
      </x:c>
      <x:c r="J3418" s="55" t="n">
        <x:v>12940</x:v>
      </x:c>
      <x:c r="K3418" s="55" t="n">
        <x:v>473917613840</x:v>
      </x:c>
      <x:c r="L3418" s="55" t="n">
        <x:v>36624236</x:v>
      </x:c>
      <x:c r="M3418" t="str">
        <x:v>20250318000779</x:v>
      </x:c>
      <x:c r="N3418" t="n">
        <x:v>45734.624999988424</x:v>
      </x:c>
      <x:c r="O3418" s="54" t="n">
        <x:v>45657</x:v>
      </x:c>
      <x:c r="P3418" t="str">
        <x:v>False</x:v>
      </x:c>
      <x:c r="Q3418" t="str">
        <x:v>7ed8b42069b2f1f00ed70e5b56578e1ef96bab66a862c835768cf4d7aa4c0b70</x:v>
      </x:c>
      <x:c r="R3418" t="str">
        <x:v>802123ad6811ed3e30d119adde1c42caac0aea14d6be7b06bc79edee41123ff9</x:v>
      </x:c>
      <x:c r="S3418" t="n">
        <x:v>4</x:v>
      </x:c>
      <x:c r="T3418" t="str">
        <x:v>2018-12-31|2019-12-31|2020-12-31|2021-12-31|2022-12-31|2023-12-31|2024-12-31</x:v>
      </x:c>
      <x:c r="U3418" s="57" t="n">
        <x:v>4911.063329036227</x:v>
      </x:c>
      <x:c r="V3418" s="57" t="n">
        <x:v>-0.620474240414511</x:v>
      </x:c>
      <x:c r="W3418" t="n">
        <x:v>49</x:v>
      </x:c>
      <x:c r="X3418" t="n">
        <x:v>4</x:v>
      </x:c>
      <x:c r="Y3418" s="38" t="n">
        <x:v>0.6409090909090909</x:v>
      </x:c>
      <x:c r="Z3418" s="38" t="n">
        <x:v>0.5469478377967314</x:v>
      </x:c>
      <x:c r="AA3418"/>
    </x:row>
    <x:row r="3419">
      <x:c r="A3419" s="54" t="n">
        <x:v>45930</x:v>
      </x:c>
      <x:c r="B3419" t="n">
        <x:v>45930.624999988424</x:v>
      </x:c>
      <x:c r="C3419" t="str">
        <x:v>365340</x:v>
      </x:c>
      <x:c r="D3419" t="str">
        <x:v>성일하이텍</x:v>
      </x:c>
      <x:c r="E3419" t="str">
        <x:v>KOSDAQ</x:v>
      </x:c>
      <x:c r="F3419" t="str">
        <x:v>LARGE</x:v>
      </x:c>
      <x:c r="G3419" t="str">
        <x:v>DCF_SCREENING_EXCLUSION</x:v>
      </x:c>
      <x:c r="H3419" t="str">
        <x:v>NON_POSITIVE_ENTERPRISE_VALUE|NON_POSITIVE_EQUITY_VALUE|NON_POSITIVE_TERMINAL_FCF</x:v>
      </x:c>
      <x:c r="I3419" s="54" t="n">
        <x:v>45930</x:v>
      </x:c>
      <x:c r="J3419" s="55" t="n">
        <x:v>35500</x:v>
      </x:c>
      <x:c r="K3419" s="55" t="n">
        <x:v>433928996000</x:v>
      </x:c>
      <x:c r="L3419" s="55" t="n">
        <x:v>12223352</x:v>
      </x:c>
      <x:c r="M3419" t="str">
        <x:v>20250327001024</x:v>
      </x:c>
      <x:c r="N3419" t="n">
        <x:v>45743.624999988424</x:v>
      </x:c>
      <x:c r="O3419" s="54" t="n">
        <x:v>45657</x:v>
      </x:c>
      <x:c r="P3419" t="str">
        <x:v>True</x:v>
      </x:c>
      <x:c r="Q3419" t="str">
        <x:v>c9b13b25f1b9c21edc562dbebf6215913214c722274a09bebe9193569f0386ad</x:v>
      </x:c>
      <x:c r="R3419" t="str">
        <x:v>25de11627cef9a72d64bd5f073e5547e4df7355ff669be6a41bc5255002ae658</x:v>
      </x:c>
      <x:c r="S3419" t="n">
        <x:v>7</x:v>
      </x:c>
      <x:c r="T3419" t="str">
        <x:v>2022-12-31|2023-12-31|2024-12-31</x:v>
      </x:c>
      <x:c r="U3419" s="57" t="n">
        <x:v>-35397.983076920405</x:v>
      </x:c>
      <x:c r="V3419" s="57" t="n">
        <x:v>-1.9971262838569128</x:v>
      </x:c>
      <x:c r="W3419"/>
      <x:c r="X3419"/>
      <x:c r="Y3419" s="38" t="n">
        <x:v>0.6409090909090909</x:v>
      </x:c>
      <x:c r="Z3419" s="38" t="n">
        <x:v>0.6351637731811425</x:v>
      </x:c>
      <x:c r="AA3419" t="str">
        <x:v>NON_POSITIVE_ENTERPRISE_VALUE|NON_POSITIVE_EQUITY_VALUE|NON_POSITIVE_TERMINAL_FCF</x:v>
      </x:c>
    </x:row>
    <x:row r="3420">
      <x:c r="A3420" s="54" t="n">
        <x:v>45930</x:v>
      </x:c>
      <x:c r="B3420" t="n">
        <x:v>45930.624999988424</x:v>
      </x:c>
      <x:c r="C3420" t="str">
        <x:v>030530</x:v>
      </x:c>
      <x:c r="D3420" t="str">
        <x:v>원익홀딩스</x:v>
      </x:c>
      <x:c r="E3420" t="str">
        <x:v>KOSDAQ</x:v>
      </x:c>
      <x:c r="F3420" t="str">
        <x:v>LARGE</x:v>
      </x:c>
      <x:c r="G3420" t="str">
        <x:v>EXCLUDED_ARCHETYPE</x:v>
      </x:c>
      <x:c r="H3420" t="str">
        <x:v>FCFF_NOT_COMPARABLE_FOR_FINANCE_OR_HOLDING_HINT</x:v>
      </x:c>
      <x:c r="I3420" s="54"/>
      <x:c r="J3420" s="55"/>
      <x:c r="K3420" s="55"/>
      <x:c r="L3420" s="55"/>
      <x:c r="M3420"/>
      <x:c r="N3420"/>
      <x:c r="O3420" s="54"/>
      <x:c r="P3420"/>
      <x:c r="Q3420"/>
      <x:c r="R3420"/>
      <x:c r="S3420"/>
      <x:c r="T3420"/>
      <x:c r="U3420" s="57"/>
      <x:c r="V3420" s="57"/>
      <x:c r="W3420"/>
      <x:c r="X3420"/>
      <x:c r="Y3420" s="38"/>
      <x:c r="Z3420" s="38"/>
      <x:c r="AA3420"/>
    </x:row>
    <x:row r="3421">
      <x:c r="A3421" s="54" t="n">
        <x:v>45930</x:v>
      </x:c>
      <x:c r="B3421" t="n">
        <x:v>45930.624999988424</x:v>
      </x:c>
      <x:c r="C3421" t="str">
        <x:v>220100</x:v>
      </x:c>
      <x:c r="D3421" t="str">
        <x:v>퓨쳐켐</x:v>
      </x:c>
      <x:c r="E3421" t="str">
        <x:v>KOSDAQ</x:v>
      </x:c>
      <x:c r="F3421" t="str">
        <x:v>LARGE</x:v>
      </x:c>
      <x:c r="G3421" t="str">
        <x:v>DCF_SCREENING_EXCLUSION</x:v>
      </x:c>
      <x:c r="H3421" t="str">
        <x:v>NON_POSITIVE_ENTERPRISE_VALUE|NON_POSITIVE_EQUITY_VALUE|NON_POSITIVE_TERMINAL_FCF</x:v>
      </x:c>
      <x:c r="I3421" s="54" t="n">
        <x:v>45930</x:v>
      </x:c>
      <x:c r="J3421" s="55" t="n">
        <x:v>18200</x:v>
      </x:c>
      <x:c r="K3421" s="55" t="n">
        <x:v>402259221000</x:v>
      </x:c>
      <x:c r="L3421" s="55" t="n">
        <x:v>22102155</x:v>
      </x:c>
      <x:c r="M3421" t="str">
        <x:v>20250314001135</x:v>
      </x:c>
      <x:c r="N3421" t="n">
        <x:v>45730.624999988424</x:v>
      </x:c>
      <x:c r="O3421" s="54" t="n">
        <x:v>45657</x:v>
      </x:c>
      <x:c r="P3421" t="str">
        <x:v>False</x:v>
      </x:c>
      <x:c r="Q3421" t="str">
        <x:v>9160d527e898f1ac5ff291b963a277612306fd7e3bea0732f5200d5b6472defb</x:v>
      </x:c>
      <x:c r="R3421" t="str">
        <x:v>d1ac13024fcc858849e34fc96549f736948e89b2614ed37866fd62664284fb7d</x:v>
      </x:c>
      <x:c r="S3421" t="n">
        <x:v>5</x:v>
      </x:c>
      <x:c r="T3421" t="str">
        <x:v>2018-12-31|2019-12-31|2020-12-31|2021-12-31|2022-12-31|2023-12-31|2024-12-31</x:v>
      </x:c>
      <x:c r="U3421" s="57" t="n">
        <x:v>-2621.3200697678176</x:v>
      </x:c>
      <x:c r="V3421" s="57" t="n">
        <x:v>-1.144028575261968</x:v>
      </x:c>
      <x:c r="W3421"/>
      <x:c r="X3421"/>
      <x:c r="Y3421" s="38" t="n">
        <x:v>0.6409090909090909</x:v>
      </x:c>
      <x:c r="Z3421" s="38" t="n">
        <x:v>0.7032586259402178</x:v>
      </x:c>
      <x:c r="AA3421" t="str">
        <x:v>NON_POSITIVE_ENTERPRISE_VALUE|NON_POSITIVE_EQUITY_VALUE|NON_POSITIVE_TERMINAL_FCF</x:v>
      </x:c>
    </x:row>
    <x:row r="3422">
      <x:c r="A3422" s="54" t="n">
        <x:v>45930</x:v>
      </x:c>
      <x:c r="B3422" t="n">
        <x:v>45930.624999988424</x:v>
      </x:c>
      <x:c r="C3422" t="str">
        <x:v>416180</x:v>
      </x:c>
      <x:c r="D3422" t="str">
        <x:v>신성에스티</x:v>
      </x:c>
      <x:c r="E3422" t="str">
        <x:v>KOSDAQ</x:v>
      </x:c>
      <x:c r="F3422" t="str">
        <x:v>LARGE</x:v>
      </x:c>
      <x:c r="G3422" t="str">
        <x:v>ELIGIBLE</x:v>
      </x:c>
      <x:c r="H3422"/>
      <x:c r="I3422" s="54" t="n">
        <x:v>45930</x:v>
      </x:c>
      <x:c r="J3422" s="55" t="n">
        <x:v>34450</x:v>
      </x:c>
      <x:c r="K3422" s="55" t="n">
        <x:v>311420352100</x:v>
      </x:c>
      <x:c r="L3422" s="55" t="n">
        <x:v>9039778</x:v>
      </x:c>
      <x:c r="M3422" t="str">
        <x:v>20240318000868</x:v>
      </x:c>
      <x:c r="N3422" t="n">
        <x:v>45369.624999988424</x:v>
      </x:c>
      <x:c r="O3422" s="54" t="n">
        <x:v>45291</x:v>
      </x:c>
      <x:c r="P3422" t="str">
        <x:v>True</x:v>
      </x:c>
      <x:c r="Q3422" t="str">
        <x:v>83365fda00f2859a3b0ddff8c98389930a65a5f3d9df38e420f7d88759a900f9</x:v>
      </x:c>
      <x:c r="R3422" t="str">
        <x:v>62eb0976f911e83b581cf67eda351f7a58d22f66167afead8dd2901cc6c187eb</x:v>
      </x:c>
      <x:c r="S3422" t="n">
        <x:v>6</x:v>
      </x:c>
      <x:c r="T3422" t="str">
        <x:v>2023-12-31</x:v>
      </x:c>
      <x:c r="U3422" s="57" t="n">
        <x:v>5107.11562013138</x:v>
      </x:c>
      <x:c r="V3422" s="57" t="n">
        <x:v>-0.8517528121877683</x:v>
      </x:c>
      <x:c r="W3422" t="n">
        <x:v>61</x:v>
      </x:c>
      <x:c r="X3422" t="n">
        <x:v>5</x:v>
      </x:c>
      <x:c r="Y3422" s="38" t="n">
        <x:v>0.6409090909090909</x:v>
      </x:c>
      <x:c r="Z3422" s="38" t="n">
        <x:v>0.7013426708992583</x:v>
      </x:c>
      <x:c r="AA3422"/>
    </x:row>
    <x:row r="3423">
      <x:c r="A3423" s="54" t="n">
        <x:v>45930</x:v>
      </x:c>
      <x:c r="B3423" t="n">
        <x:v>45930.624999988424</x:v>
      </x:c>
      <x:c r="C3423" t="str">
        <x:v>082800</x:v>
      </x:c>
      <x:c r="D3423" t="str">
        <x:v>비보존제약</x:v>
      </x:c>
      <x:c r="E3423" t="str">
        <x:v>KOSDAQ</x:v>
      </x:c>
      <x:c r="F3423" t="str">
        <x:v>LARGE</x:v>
      </x:c>
      <x:c r="G3423" t="str">
        <x:v>DCF_SCREENING_EXCLUSION</x:v>
      </x:c>
      <x:c r="H3423" t="str">
        <x:v>NON_POSITIVE_ENTERPRISE_VALUE|NON_POSITIVE_EQUITY_VALUE|NON_POSITIVE_TERMINAL_FCF</x:v>
      </x:c>
      <x:c r="I3423" s="54" t="n">
        <x:v>45930</x:v>
      </x:c>
      <x:c r="J3423" s="55" t="n">
        <x:v>6610</x:v>
      </x:c>
      <x:c r="K3423" s="55" t="n">
        <x:v>331191842260</x:v>
      </x:c>
      <x:c r="L3423" s="55" t="n">
        <x:v>50104666</x:v>
      </x:c>
      <x:c r="M3423" t="str">
        <x:v>20250320000978</x:v>
      </x:c>
      <x:c r="N3423" t="n">
        <x:v>45736.624999988424</x:v>
      </x:c>
      <x:c r="O3423" s="54" t="n">
        <x:v>45657</x:v>
      </x:c>
      <x:c r="P3423" t="str">
        <x:v>False</x:v>
      </x:c>
      <x:c r="Q3423" t="str">
        <x:v>980702fbc807af1df7f06c52957cd1642b4bbc0d57004bb8bd77d4b1dc51328c</x:v>
      </x:c>
      <x:c r="R3423" t="str">
        <x:v>e625a80c6da5c6eb9fa963d6d81681f5bf9f18eeb28117ee633882dcbe75d7db</x:v>
      </x:c>
      <x:c r="S3423" t="n">
        <x:v>7</x:v>
      </x:c>
      <x:c r="T3423" t="str">
        <x:v>2018-12-31|2019-12-31|2020-12-31|2021-12-31|2022-12-31|2023-12-31|2024-12-31</x:v>
      </x:c>
      <x:c r="U3423" s="57" t="n">
        <x:v>-7108.28328118157</x:v>
      </x:c>
      <x:c r="V3423" s="57" t="n">
        <x:v>-2.0753832498005402</x:v>
      </x:c>
      <x:c r="W3423"/>
      <x:c r="X3423"/>
      <x:c r="Y3423" s="38" t="n">
        <x:v>0.6409090909090909</x:v>
      </x:c>
      <x:c r="Z3423" s="38" t="n">
        <x:v>0.786860626943266</x:v>
      </x:c>
      <x:c r="AA3423" t="str">
        <x:v>NON_POSITIVE_ENTERPRISE_VALUE|NON_POSITIVE_EQUITY_VALUE|NON_POSITIVE_TERMINAL_FCF</x:v>
      </x:c>
    </x:row>
    <x:row r="3424">
      <x:c r="A3424" s="54" t="n">
        <x:v>45930</x:v>
      </x:c>
      <x:c r="B3424" t="n">
        <x:v>45930.624999988424</x:v>
      </x:c>
      <x:c r="C3424" t="str">
        <x:v>204620</x:v>
      </x:c>
      <x:c r="D3424" t="str">
        <x:v>글로벌텍스프리</x:v>
      </x:c>
      <x:c r="E3424" t="str">
        <x:v>KOSDAQ</x:v>
      </x:c>
      <x:c r="F3424" t="str">
        <x:v>LARGE</x:v>
      </x:c>
      <x:c r="G3424" t="str">
        <x:v>ELIGIBLE</x:v>
      </x:c>
      <x:c r="H3424"/>
      <x:c r="I3424" s="54" t="n">
        <x:v>45930</x:v>
      </x:c>
      <x:c r="J3424" s="55" t="n">
        <x:v>5930</x:v>
      </x:c>
      <x:c r="K3424" s="55" t="n">
        <x:v>416780146900</x:v>
      </x:c>
      <x:c r="L3424" s="55" t="n">
        <x:v>70283330</x:v>
      </x:c>
      <x:c r="M3424" t="str">
        <x:v>20250321001335</x:v>
      </x:c>
      <x:c r="N3424" t="n">
        <x:v>45737.624999988424</x:v>
      </x:c>
      <x:c r="O3424" s="54" t="n">
        <x:v>45657</x:v>
      </x:c>
      <x:c r="P3424" t="str">
        <x:v>False</x:v>
      </x:c>
      <x:c r="Q3424" t="str">
        <x:v>0e5d9e6d3c4ef309ebcb70e5a09fd9e49025023855ba79ec1b0e1e6b003a26d1</x:v>
      </x:c>
      <x:c r="R3424" t="str">
        <x:v>48a31cfd4b1465e52d88c2d5b1314e0e2cb8d4627b36f6772b14b1ce1044e949</x:v>
      </x:c>
      <x:c r="S3424" t="n">
        <x:v>7</x:v>
      </x:c>
      <x:c r="T3424" t="str">
        <x:v>2018-12-31|2019-12-31|2020-12-31|2021-12-31|2022-12-31|2023-12-31|2024-12-31</x:v>
      </x:c>
      <x:c r="U3424" s="57" t="n">
        <x:v>1519.356744276805</x:v>
      </x:c>
      <x:c r="V3424" s="57" t="n">
        <x:v>-0.7437846974238103</x:v>
      </x:c>
      <x:c r="W3424" t="n">
        <x:v>57</x:v>
      </x:c>
      <x:c r="X3424" t="n">
        <x:v>5</x:v>
      </x:c>
      <x:c r="Y3424" s="38" t="n">
        <x:v>0.6409090909090909</x:v>
      </x:c>
      <x:c r="Z3424" s="38" t="n">
        <x:v>0.02468295195308349</x:v>
      </x:c>
      <x:c r="AA3424"/>
    </x:row>
    <x:row r="3425">
      <x:c r="A3425" s="54" t="n">
        <x:v>45930</x:v>
      </x:c>
      <x:c r="B3425" t="n">
        <x:v>45930.624999988424</x:v>
      </x:c>
      <x:c r="C3425" t="str">
        <x:v>445090</x:v>
      </x:c>
      <x:c r="D3425" t="str">
        <x:v>에이직랜드</x:v>
      </x:c>
      <x:c r="E3425" t="str">
        <x:v>KOSDAQ</x:v>
      </x:c>
      <x:c r="F3425" t="str">
        <x:v>LARGE</x:v>
      </x:c>
      <x:c r="G3425" t="str">
        <x:v>DCF_SCREENING_EXCLUSION</x:v>
      </x:c>
      <x:c r="H3425" t="str">
        <x:v>NON_POSITIVE_ENTERPRISE_VALUE|NON_POSITIVE_EQUITY_VALUE|NON_POSITIVE_TERMINAL_FCF</x:v>
      </x:c>
      <x:c r="I3425" s="54" t="n">
        <x:v>45930</x:v>
      </x:c>
      <x:c r="J3425" s="55" t="n">
        <x:v>29600</x:v>
      </x:c>
      <x:c r="K3425" s="55" t="n">
        <x:v>321801136000</x:v>
      </x:c>
      <x:c r="L3425" s="55" t="n">
        <x:v>10871660</x:v>
      </x:c>
      <x:c r="M3425" t="str">
        <x:v>20250320001224</x:v>
      </x:c>
      <x:c r="N3425" t="n">
        <x:v>45736.624999988424</x:v>
      </x:c>
      <x:c r="O3425" s="54" t="n">
        <x:v>45657</x:v>
      </x:c>
      <x:c r="P3425" t="str">
        <x:v>False</x:v>
      </x:c>
      <x:c r="Q3425" t="str">
        <x:v>6311c5bbafe414c061a70e6cfe9da5601a7f52393ced872c9948ba03bb6734aa</x:v>
      </x:c>
      <x:c r="R3425" t="str">
        <x:v>ca4d78bb09441d0c7ea98be3b0ff43afee6b025abf66961a2ab6debe6fd71dbf</x:v>
      </x:c>
      <x:c r="S3425" t="n">
        <x:v>6</x:v>
      </x:c>
      <x:c r="T3425" t="str">
        <x:v>2023-12-31|2024-12-31</x:v>
      </x:c>
      <x:c r="U3425" s="57" t="n">
        <x:v>-13508.912025047946</x:v>
      </x:c>
      <x:c r="V3425" s="57" t="n">
        <x:v>-1.4563821630083766</x:v>
      </x:c>
      <x:c r="W3425"/>
      <x:c r="X3425"/>
      <x:c r="Y3425" s="38" t="n">
        <x:v>0.6409090909090909</x:v>
      </x:c>
      <x:c r="Z3425" s="38" t="n">
        <x:v>0.6285335813099816</x:v>
      </x:c>
      <x:c r="AA3425" t="str">
        <x:v>NON_POSITIVE_ENTERPRISE_VALUE|NON_POSITIVE_EQUITY_VALUE|NON_POSITIVE_TERMINAL_FCF</x:v>
      </x:c>
    </x:row>
    <x:row r="3426">
      <x:c r="A3426" s="54" t="n">
        <x:v>45930</x:v>
      </x:c>
      <x:c r="B3426" t="n">
        <x:v>45930.624999988424</x:v>
      </x:c>
      <x:c r="C3426" t="str">
        <x:v>115450</x:v>
      </x:c>
      <x:c r="D3426" t="str">
        <x:v>HLB테라퓨틱스</x:v>
      </x:c>
      <x:c r="E3426" t="str">
        <x:v>KOSDAQ</x:v>
      </x:c>
      <x:c r="F3426" t="str">
        <x:v>LARGE</x:v>
      </x:c>
      <x:c r="G3426" t="str">
        <x:v>DCF_SCREENING_EXCLUSION</x:v>
      </x:c>
      <x:c r="H3426" t="str">
        <x:v>NON_POSITIVE_ENTERPRISE_VALUE|NON_POSITIVE_EQUITY_VALUE|NON_POSITIVE_TERMINAL_FCF</x:v>
      </x:c>
      <x:c r="I3426" s="54" t="n">
        <x:v>45930</x:v>
      </x:c>
      <x:c r="J3426" s="55" t="n">
        <x:v>3015</x:v>
      </x:c>
      <x:c r="K3426" s="55" t="n">
        <x:v>254412522945</x:v>
      </x:c>
      <x:c r="L3426" s="55" t="n">
        <x:v>84382263</x:v>
      </x:c>
      <x:c r="M3426" t="str">
        <x:v>20250317000746</x:v>
      </x:c>
      <x:c r="N3426" t="n">
        <x:v>45733.624999988424</x:v>
      </x:c>
      <x:c r="O3426" s="54" t="n">
        <x:v>45657</x:v>
      </x:c>
      <x:c r="P3426" t="str">
        <x:v>False</x:v>
      </x:c>
      <x:c r="Q3426" t="str">
        <x:v>4a9834cf94263e883d962f28801d19d7cbd9c84e1ada844f9e111815c1047846</x:v>
      </x:c>
      <x:c r="R3426" t="str">
        <x:v>f6e580d88347f4ffbcfd72db926e5093d4e19fc399edff9710656873ff8ee354</x:v>
      </x:c>
      <x:c r="S3426" t="n">
        <x:v>6</x:v>
      </x:c>
      <x:c r="T3426" t="str">
        <x:v>2018-12-31|2019-12-31|2020-12-31|2021-12-31|2022-12-31|2023-12-31|2024-12-31</x:v>
      </x:c>
      <x:c r="U3426" s="57" t="n">
        <x:v>-1570.3218790442525</x:v>
      </x:c>
      <x:c r="V3426" s="57" t="n">
        <x:v>-1.520836444127447</x:v>
      </x:c>
      <x:c r="W3426"/>
      <x:c r="X3426"/>
      <x:c r="Y3426" s="38" t="n">
        <x:v>0.6409090909090909</x:v>
      </x:c>
      <x:c r="Z3426" s="38" t="n">
        <x:v>0.7184861005782028</x:v>
      </x:c>
      <x:c r="AA3426" t="str">
        <x:v>NON_POSITIVE_ENTERPRISE_VALUE|NON_POSITIVE_EQUITY_VALUE|NON_POSITIVE_TERMINAL_FCF</x:v>
      </x:c>
    </x:row>
    <x:row r="3427">
      <x:c r="A3427" s="54" t="n">
        <x:v>45930</x:v>
      </x:c>
      <x:c r="B3427" t="n">
        <x:v>45930.624999988424</x:v>
      </x:c>
      <x:c r="C3427" t="str">
        <x:v>035420</x:v>
      </x:c>
      <x:c r="D3427" t="str">
        <x:v>NAVER</x:v>
      </x:c>
      <x:c r="E3427" t="str">
        <x:v>KOSPI</x:v>
      </x:c>
      <x:c r="F3427" t="str">
        <x:v>LARGE</x:v>
      </x:c>
      <x:c r="G3427" t="str">
        <x:v>ELIGIBLE</x:v>
      </x:c>
      <x:c r="H3427"/>
      <x:c r="I3427" s="54" t="n">
        <x:v>45930</x:v>
      </x:c>
      <x:c r="J3427" s="55" t="n">
        <x:v>268500</x:v>
      </x:c>
      <x:c r="K3427" s="55" t="n">
        <x:v>42114933303000</x:v>
      </x:c>
      <x:c r="L3427" s="55" t="n">
        <x:v>156852638</x:v>
      </x:c>
      <x:c r="M3427" t="str">
        <x:v>20250318000645</x:v>
      </x:c>
      <x:c r="N3427" t="n">
        <x:v>45734.624999988424</x:v>
      </x:c>
      <x:c r="O3427" s="54" t="n">
        <x:v>45657</x:v>
      </x:c>
      <x:c r="P3427" t="str">
        <x:v>False</x:v>
      </x:c>
      <x:c r="Q3427" t="str">
        <x:v>a85826144ceacd19a02ef384c763d0459caf9668afced616a750f5ac3d18cb8c</x:v>
      </x:c>
      <x:c r="R3427" t="str">
        <x:v>e6e16d0634967c48ca4406a57fb344eb1b3dcf2a950de904e13eb2bf91ca6fd6</x:v>
      </x:c>
      <x:c r="S3427" t="n">
        <x:v>7</x:v>
      </x:c>
      <x:c r="T3427" t="str">
        <x:v>2018-12-31|2019-12-31|2020-12-31|2021-12-31|2022-12-31|2023-12-31|2024-12-31</x:v>
      </x:c>
      <x:c r="U3427" s="57" t="n">
        <x:v>106858.13847562722</x:v>
      </x:c>
      <x:c r="V3427" s="57" t="n">
        <x:v>-0.6020181062360253</x:v>
      </x:c>
      <x:c r="W3427" t="n">
        <x:v>47</x:v>
      </x:c>
      <x:c r="X3427" t="n">
        <x:v>4</x:v>
      </x:c>
      <x:c r="Y3427" s="38" t="n">
        <x:v>0.6409090909090909</x:v>
      </x:c>
      <x:c r="Z3427" s="38" t="n">
        <x:v>0.7001662832851766</x:v>
      </x:c>
      <x:c r="AA3427"/>
    </x:row>
    <x:row r="3428">
      <x:c r="A3428" s="54" t="n">
        <x:v>45930</x:v>
      </x:c>
      <x:c r="B3428" t="n">
        <x:v>45930.624999988424</x:v>
      </x:c>
      <x:c r="C3428" t="str">
        <x:v>030200</x:v>
      </x:c>
      <x:c r="D3428" t="str">
        <x:v>KT</x:v>
      </x:c>
      <x:c r="E3428" t="str">
        <x:v>KOSPI</x:v>
      </x:c>
      <x:c r="F3428" t="str">
        <x:v>LARGE</x:v>
      </x:c>
      <x:c r="G3428" t="str">
        <x:v>ELIGIBLE</x:v>
      </x:c>
      <x:c r="H3428"/>
      <x:c r="I3428" s="54" t="n">
        <x:v>45930</x:v>
      </x:c>
      <x:c r="J3428" s="55" t="n">
        <x:v>50500</x:v>
      </x:c>
      <x:c r="K3428" s="55" t="n">
        <x:v>12727095092500</x:v>
      </x:c>
      <x:c r="L3428" s="55" t="n">
        <x:v>252021685</x:v>
      </x:c>
      <x:c r="M3428" t="str">
        <x:v>20250321001834</x:v>
      </x:c>
      <x:c r="N3428" t="n">
        <x:v>45737.624999988424</x:v>
      </x:c>
      <x:c r="O3428" s="54" t="n">
        <x:v>45657</x:v>
      </x:c>
      <x:c r="P3428" t="str">
        <x:v>False</x:v>
      </x:c>
      <x:c r="Q3428" t="str">
        <x:v>2cd77c6d3ffcf35acaf991259fabd1c1426c31e69eeab4ed4170d57306f9a924</x:v>
      </x:c>
      <x:c r="R3428" t="str">
        <x:v>bca8d9e2cbcbf46206cafcc3a2afe60f36b55e170bda366fb9d5f222b68afeee</x:v>
      </x:c>
      <x:c r="S3428" t="n">
        <x:v>7</x:v>
      </x:c>
      <x:c r="T3428" t="str">
        <x:v>2018-12-31|2019-12-31|2020-12-31|2021-12-31|2022-12-31|2023-12-31|2024-12-31</x:v>
      </x:c>
      <x:c r="U3428" s="57" t="n">
        <x:v>172148.73250012912</x:v>
      </x:c>
      <x:c r="V3428" s="57" t="n">
        <x:v>2.4088857920817643</x:v>
      </x:c>
      <x:c r="W3428" t="n">
        <x:v>3</x:v>
      </x:c>
      <x:c r="X3428" t="n">
        <x:v>1</x:v>
      </x:c>
      <x:c r="Y3428" s="38" t="n">
        <x:v>0.6409090909090909</x:v>
      </x:c>
      <x:c r="Z3428" s="38" t="n">
        <x:v>0.7167453067916509</x:v>
      </x:c>
      <x:c r="AA3428"/>
    </x:row>
    <x:row r="3429">
      <x:c r="A3429" s="54" t="n">
        <x:v>45930</x:v>
      </x:c>
      <x:c r="B3429" t="n">
        <x:v>45930.624999988424</x:v>
      </x:c>
      <x:c r="C3429" t="str">
        <x:v>018260</x:v>
      </x:c>
      <x:c r="D3429" t="str">
        <x:v>삼성에스디에스</x:v>
      </x:c>
      <x:c r="E3429" t="str">
        <x:v>KOSPI</x:v>
      </x:c>
      <x:c r="F3429" t="str">
        <x:v>LARGE</x:v>
      </x:c>
      <x:c r="G3429" t="str">
        <x:v>ELIGIBLE</x:v>
      </x:c>
      <x:c r="H3429"/>
      <x:c r="I3429" s="54" t="n">
        <x:v>45930</x:v>
      </x:c>
      <x:c r="J3429" s="55" t="n">
        <x:v>164200</x:v>
      </x:c>
      <x:c r="K3429" s="55" t="n">
        <x:v>12705434760000</x:v>
      </x:c>
      <x:c r="L3429" s="55" t="n">
        <x:v>77377800</x:v>
      </x:c>
      <x:c r="M3429" t="str">
        <x:v>20250311001129</x:v>
      </x:c>
      <x:c r="N3429" t="n">
        <x:v>45727.624999988424</x:v>
      </x:c>
      <x:c r="O3429" s="54" t="n">
        <x:v>45657</x:v>
      </x:c>
      <x:c r="P3429" t="str">
        <x:v>False</x:v>
      </x:c>
      <x:c r="Q3429" t="str">
        <x:v>964f5d921b8bd95821c63a2537a38f6deaee5352f47d9d9400c853f660f7b5d3</x:v>
      </x:c>
      <x:c r="R3429" t="str">
        <x:v>e71c3c08c200d66bdb03c52076c8de700aa47c7ab032fb7bb1f50bbb5f43297b</x:v>
      </x:c>
      <x:c r="S3429" t="n">
        <x:v>7</x:v>
      </x:c>
      <x:c r="T3429" t="str">
        <x:v>2018-12-31|2019-12-31|2020-12-31|2021-12-31|2022-12-31|2023-12-31|2024-12-31</x:v>
      </x:c>
      <x:c r="U3429" s="57" t="n">
        <x:v>74311.71610337417</x:v>
      </x:c>
      <x:c r="V3429" s="57" t="n">
        <x:v>-0.5474316924276846</x:v>
      </x:c>
      <x:c r="W3429" t="n">
        <x:v>45</x:v>
      </x:c>
      <x:c r="X3429" t="n">
        <x:v>4</x:v>
      </x:c>
      <x:c r="Y3429" s="38" t="n">
        <x:v>0.6409090909090909</x:v>
      </x:c>
      <x:c r="Z3429" s="38" t="n">
        <x:v>0.7128653806949979</x:v>
      </x:c>
      <x:c r="AA3429"/>
    </x:row>
    <x:row r="3430">
      <x:c r="A3430" s="54" t="n">
        <x:v>45930</x:v>
      </x:c>
      <x:c r="B3430" t="n">
        <x:v>45930.624999988424</x:v>
      </x:c>
      <x:c r="C3430" t="str">
        <x:v>090430</x:v>
      </x:c>
      <x:c r="D3430" t="str">
        <x:v>아모레퍼시픽</x:v>
      </x:c>
      <x:c r="E3430" t="str">
        <x:v>KOSPI</x:v>
      </x:c>
      <x:c r="F3430" t="str">
        <x:v>LARGE</x:v>
      </x:c>
      <x:c r="G3430" t="str">
        <x:v>ELIGIBLE</x:v>
      </x:c>
      <x:c r="H3430"/>
      <x:c r="I3430" s="54" t="n">
        <x:v>45930</x:v>
      </x:c>
      <x:c r="J3430" s="55" t="n">
        <x:v>122300</x:v>
      </x:c>
      <x:c r="K3430" s="55" t="n">
        <x:v>7153664425700</x:v>
      </x:c>
      <x:c r="L3430" s="55" t="n">
        <x:v>58492759</x:v>
      </x:c>
      <x:c r="M3430" t="str">
        <x:v>20250317000429</x:v>
      </x:c>
      <x:c r="N3430" t="n">
        <x:v>45733.624999988424</x:v>
      </x:c>
      <x:c r="O3430" s="54" t="n">
        <x:v>45657</x:v>
      </x:c>
      <x:c r="P3430" t="str">
        <x:v>False</x:v>
      </x:c>
      <x:c r="Q3430" t="str">
        <x:v>5d3cfcde18449c3ab740528bb60555324e517a243671e3ad383bceaa22098b7f</x:v>
      </x:c>
      <x:c r="R3430" t="str">
        <x:v>7f92390547f264a95fbf5655fb46ece4de5b1972a66c501d67b8ea077592702c</x:v>
      </x:c>
      <x:c r="S3430" t="n">
        <x:v>7</x:v>
      </x:c>
      <x:c r="T3430" t="str">
        <x:v>2018-12-31|2019-12-31|2020-12-31|2021-12-31|2022-12-31|2023-12-31|2024-12-31</x:v>
      </x:c>
      <x:c r="U3430" s="57" t="n">
        <x:v>55725.71542506561</x:v>
      </x:c>
      <x:c r="V3430" s="57" t="n">
        <x:v>-0.544352285976569</x:v>
      </x:c>
      <x:c r="W3430" t="n">
        <x:v>44</x:v>
      </x:c>
      <x:c r="X3430" t="n">
        <x:v>4</x:v>
      </x:c>
      <x:c r="Y3430" s="38" t="n">
        <x:v>0.6409090909090909</x:v>
      </x:c>
      <x:c r="Z3430" s="38" t="n">
        <x:v>0.6751050756958316</x:v>
      </x:c>
      <x:c r="AA3430"/>
    </x:row>
    <x:row r="3431">
      <x:c r="A3431" s="54" t="n">
        <x:v>45930</x:v>
      </x:c>
      <x:c r="B3431" t="n">
        <x:v>45930.624999988424</x:v>
      </x:c>
      <x:c r="C3431" t="str">
        <x:v>278470</x:v>
      </x:c>
      <x:c r="D3431" t="str">
        <x:v>에이피알</x:v>
      </x:c>
      <x:c r="E3431" t="str">
        <x:v>KOSPI</x:v>
      </x:c>
      <x:c r="F3431" t="str">
        <x:v>LARGE</x:v>
      </x:c>
      <x:c r="G3431" t="str">
        <x:v>ELIGIBLE</x:v>
      </x:c>
      <x:c r="H3431"/>
      <x:c r="I3431" s="54" t="n">
        <x:v>45930</x:v>
      </x:c>
      <x:c r="J3431" s="55" t="n">
        <x:v>250000</x:v>
      </x:c>
      <x:c r="K3431" s="55" t="n">
        <x:v>9357663750000</x:v>
      </x:c>
      <x:c r="L3431" s="55" t="n">
        <x:v>37430655</x:v>
      </x:c>
      <x:c r="M3431" t="str">
        <x:v>20250321001576</x:v>
      </x:c>
      <x:c r="N3431" t="n">
        <x:v>45737.624999988424</x:v>
      </x:c>
      <x:c r="O3431" s="54" t="n">
        <x:v>45657</x:v>
      </x:c>
      <x:c r="P3431" t="str">
        <x:v>False</x:v>
      </x:c>
      <x:c r="Q3431" t="str">
        <x:v>f7609415bf5ce4b11e77eb1d00c4fc74b4eb78a4969bb64576bca9efb0ed1049</x:v>
      </x:c>
      <x:c r="R3431" t="str">
        <x:v>a122a65065319d8563a5b5c6657e626da8e30a57fe454ee441ed9747c4fa0c0c</x:v>
      </x:c>
      <x:c r="S3431" t="n">
        <x:v>7</x:v>
      </x:c>
      <x:c r="T3431" t="str">
        <x:v>2019-12-31|2020-12-31|2021-12-31|2022-12-31|2023-12-31|2024-12-31</x:v>
      </x:c>
      <x:c r="U3431" s="57" t="n">
        <x:v>19098.61003506131</x:v>
      </x:c>
      <x:c r="V3431" s="57" t="n">
        <x:v>-0.9236055598597548</x:v>
      </x:c>
      <x:c r="W3431" t="n">
        <x:v>65</x:v>
      </x:c>
      <x:c r="X3431" t="n">
        <x:v>5</x:v>
      </x:c>
      <x:c r="Y3431" s="38" t="n">
        <x:v>0.6409090909090909</x:v>
      </x:c>
      <x:c r="Z3431" s="38" t="n">
        <x:v>0.6171119873468349</x:v>
      </x:c>
      <x:c r="AA3431"/>
    </x:row>
    <x:row r="3432">
      <x:c r="A3432" s="54" t="n">
        <x:v>45930</x:v>
      </x:c>
      <x:c r="B3432" t="n">
        <x:v>45930.624999988424</x:v>
      </x:c>
      <x:c r="C3432" t="str">
        <x:v>006260</x:v>
      </x:c>
      <x:c r="D3432" t="str">
        <x:v>LS</x:v>
      </x:c>
      <x:c r="E3432" t="str">
        <x:v>KOSPI</x:v>
      </x:c>
      <x:c r="F3432" t="str">
        <x:v>LARGE</x:v>
      </x:c>
      <x:c r="G3432" t="str">
        <x:v>DCF_SCREENING_EXCLUSION</x:v>
      </x:c>
      <x:c r="H3432" t="str">
        <x:v>UNRELIABLE_TERMINAL_VALUE_SHARE</x:v>
      </x:c>
      <x:c r="I3432" s="54" t="n">
        <x:v>45930</x:v>
      </x:c>
      <x:c r="J3432" s="55" t="n">
        <x:v>167000</x:v>
      </x:c>
      <x:c r="K3432" s="55" t="n">
        <x:v>5293900000000</x:v>
      </x:c>
      <x:c r="L3432" s="55" t="n">
        <x:v>31700000</x:v>
      </x:c>
      <x:c r="M3432" t="str">
        <x:v>20250814002856</x:v>
      </x:c>
      <x:c r="N3432" t="n">
        <x:v>45883.624999988424</x:v>
      </x:c>
      <x:c r="O3432" s="54" t="n">
        <x:v>45657</x:v>
      </x:c>
      <x:c r="P3432" t="str">
        <x:v>True</x:v>
      </x:c>
      <x:c r="Q3432" t="str">
        <x:v>49ffb4f3729ecbbeb53a3ad22a3fcc4535e048da042b3c0ad9d6a133ee0776fa</x:v>
      </x:c>
      <x:c r="R3432" t="str">
        <x:v>03243f78d7dd8fcf69ed46b64c25d8ea334bbb37d7b29d61baec8e8105839d46</x:v>
      </x:c>
      <x:c r="S3432" t="n">
        <x:v>7</x:v>
      </x:c>
      <x:c r="T3432" t="str">
        <x:v>2017-12-31|2018-12-31|2019-12-31|2020-12-31|2021-12-31|2022-12-31|2023-12-31|2024-12-31</x:v>
      </x:c>
      <x:c r="U3432" s="57" t="n">
        <x:v>92343.21732714957</x:v>
      </x:c>
      <x:c r="V3432" s="57" t="n">
        <x:v>-0.4470466028314397</x:v>
      </x:c>
      <x:c r="W3432"/>
      <x:c r="X3432"/>
      <x:c r="Y3432" s="38" t="n">
        <x:v>0.6409090909090909</x:v>
      </x:c>
      <x:c r="Z3432" s="38" t="n">
        <x:v>2.196652180568711</x:v>
      </x:c>
      <x:c r="AA3432" t="str">
        <x:v>UNRELIABLE_TERMINAL_VALUE_SHARE</x:v>
      </x:c>
    </x:row>
    <x:row r="3433">
      <x:c r="A3433" s="54" t="n">
        <x:v>45930</x:v>
      </x:c>
      <x:c r="B3433" t="n">
        <x:v>45930.624999988424</x:v>
      </x:c>
      <x:c r="C3433" t="str">
        <x:v>454910</x:v>
      </x:c>
      <x:c r="D3433" t="str">
        <x:v>두산로보틱스</x:v>
      </x:c>
      <x:c r="E3433" t="str">
        <x:v>KOSPI</x:v>
      </x:c>
      <x:c r="F3433" t="str">
        <x:v>LARGE</x:v>
      </x:c>
      <x:c r="G3433" t="str">
        <x:v>DCF_SCREENING_EXCLUSION</x:v>
      </x:c>
      <x:c r="H3433" t="str">
        <x:v>NON_POSITIVE_ENTERPRISE_VALUE|NON_POSITIVE_TERMINAL_FCF</x:v>
      </x:c>
      <x:c r="I3433" s="54" t="n">
        <x:v>45930</x:v>
      </x:c>
      <x:c r="J3433" s="55" t="n">
        <x:v>65900</x:v>
      </x:c>
      <x:c r="K3433" s="55" t="n">
        <x:v>4271636682000</x:v>
      </x:c>
      <x:c r="L3433" s="55" t="n">
        <x:v>64819980</x:v>
      </x:c>
      <x:c r="M3433" t="str">
        <x:v>20250321001817</x:v>
      </x:c>
      <x:c r="N3433" t="n">
        <x:v>45737.624999988424</x:v>
      </x:c>
      <x:c r="O3433" s="54" t="n">
        <x:v>45657</x:v>
      </x:c>
      <x:c r="P3433" t="str">
        <x:v>False</x:v>
      </x:c>
      <x:c r="Q3433" t="str">
        <x:v>d135448b29a66178c61f4ddc3802970762ebb00ebe201b81843842ce6a2586f9</x:v>
      </x:c>
      <x:c r="R3433" t="str">
        <x:v>3d5ad658078dec7b1dcae6ff524ae197c61130b5742c691b8c038680e9fd4719</x:v>
      </x:c>
      <x:c r="S3433" t="n">
        <x:v>6</x:v>
      </x:c>
      <x:c r="T3433" t="str">
        <x:v>2023-12-31|2024-12-31</x:v>
      </x:c>
      <x:c r="U3433" s="57" t="n">
        <x:v>2608.7559516523133</x:v>
      </x:c>
      <x:c r="V3433" s="57" t="n">
        <x:v>-0.9604134149976887</x:v>
      </x:c>
      <x:c r="W3433"/>
      <x:c r="X3433"/>
      <x:c r="Y3433" s="38" t="n">
        <x:v>0.6409090909090909</x:v>
      </x:c>
      <x:c r="Z3433" s="38" t="n">
        <x:v>0.7138439567509429</x:v>
      </x:c>
      <x:c r="AA3433" t="str">
        <x:v>NON_POSITIVE_ENTERPRISE_VALUE|NON_POSITIVE_TERMINAL_FCF</x:v>
      </x:c>
    </x:row>
    <x:row r="3434">
      <x:c r="A3434" s="54" t="n">
        <x:v>45930</x:v>
      </x:c>
      <x:c r="B3434" t="n">
        <x:v>45930.624999988424</x:v>
      </x:c>
      <x:c r="C3434" t="str">
        <x:v>012750</x:v>
      </x:c>
      <x:c r="D3434" t="str">
        <x:v>에스원</x:v>
      </x:c>
      <x:c r="E3434" t="str">
        <x:v>KOSPI</x:v>
      </x:c>
      <x:c r="F3434" t="str">
        <x:v>LARGE</x:v>
      </x:c>
      <x:c r="G3434" t="str">
        <x:v>ELIGIBLE</x:v>
      </x:c>
      <x:c r="H3434"/>
      <x:c r="I3434" s="54" t="n">
        <x:v>45930</x:v>
      </x:c>
      <x:c r="J3434" s="55" t="n">
        <x:v>84100</x:v>
      </x:c>
      <x:c r="K3434" s="55" t="n">
        <x:v>3195730869800</x:v>
      </x:c>
      <x:c r="L3434" s="55" t="n">
        <x:v>37999178</x:v>
      </x:c>
      <x:c r="M3434" t="str">
        <x:v>20250312000984</x:v>
      </x:c>
      <x:c r="N3434" t="n">
        <x:v>45728.624999988424</x:v>
      </x:c>
      <x:c r="O3434" s="54" t="n">
        <x:v>45657</x:v>
      </x:c>
      <x:c r="P3434" t="str">
        <x:v>False</x:v>
      </x:c>
      <x:c r="Q3434" t="str">
        <x:v>d1cf5dfb618d09ffc1359f28ad1fdc885c2c3911cc2af33bdac89bd6a3bdca65</x:v>
      </x:c>
      <x:c r="R3434" t="str">
        <x:v>da34f2257201badec5be64f4d3247e9d82573fb11d0f62a37f9cf258ee7604c9</x:v>
      </x:c>
      <x:c r="S3434" t="n">
        <x:v>7</x:v>
      </x:c>
      <x:c r="T3434" t="str">
        <x:v>2018-12-31|2019-12-31|2020-12-31|2021-12-31|2022-12-31|2023-12-31|2024-12-31</x:v>
      </x:c>
      <x:c r="U3434" s="57" t="n">
        <x:v>69046.64547965034</x:v>
      </x:c>
      <x:c r="V3434" s="57" t="n">
        <x:v>-0.17899351391616722</x:v>
      </x:c>
      <x:c r="W3434" t="n">
        <x:v>27</x:v>
      </x:c>
      <x:c r="X3434" t="n">
        <x:v>2</x:v>
      </x:c>
      <x:c r="Y3434" s="38" t="n">
        <x:v>0.6409090909090909</x:v>
      </x:c>
      <x:c r="Z3434" s="38" t="n">
        <x:v>0.7174252575953354</x:v>
      </x:c>
      <x:c r="AA3434"/>
    </x:row>
    <x:row r="3435">
      <x:c r="A3435" s="54" t="n">
        <x:v>45930</x:v>
      </x:c>
      <x:c r="B3435" t="n">
        <x:v>45930.624999988424</x:v>
      </x:c>
      <x:c r="C3435" t="str">
        <x:v>081660</x:v>
      </x:c>
      <x:c r="D3435" t="str">
        <x:v>미스토홀딩스</x:v>
      </x:c>
      <x:c r="E3435" t="str">
        <x:v>KOSPI</x:v>
      </x:c>
      <x:c r="F3435" t="str">
        <x:v>LARGE</x:v>
      </x:c>
      <x:c r="G3435" t="str">
        <x:v>EXCLUDED_ARCHETYPE</x:v>
      </x:c>
      <x:c r="H3435" t="str">
        <x:v>FCFF_NOT_COMPARABLE_FOR_FINANCE_OR_HOLDING_HINT</x:v>
      </x:c>
      <x:c r="I3435" s="54"/>
      <x:c r="J3435" s="55"/>
      <x:c r="K3435" s="55"/>
      <x:c r="L3435" s="55"/>
      <x:c r="M3435"/>
      <x:c r="N3435"/>
      <x:c r="O3435" s="54"/>
      <x:c r="P3435"/>
      <x:c r="Q3435"/>
      <x:c r="R3435"/>
      <x:c r="S3435"/>
      <x:c r="T3435"/>
      <x:c r="U3435" s="57"/>
      <x:c r="V3435" s="57"/>
      <x:c r="W3435"/>
      <x:c r="X3435"/>
      <x:c r="Y3435" s="38"/>
      <x:c r="Z3435" s="38"/>
      <x:c r="AA3435"/>
    </x:row>
    <x:row r="3436">
      <x:c r="A3436" s="54" t="n">
        <x:v>45930</x:v>
      </x:c>
      <x:c r="B3436" t="n">
        <x:v>45930.624999988424</x:v>
      </x:c>
      <x:c r="C3436" t="str">
        <x:v>282330</x:v>
      </x:c>
      <x:c r="D3436" t="str">
        <x:v>BGF리테일</x:v>
      </x:c>
      <x:c r="E3436" t="str">
        <x:v>KOSPI</x:v>
      </x:c>
      <x:c r="F3436" t="str">
        <x:v>LARGE</x:v>
      </x:c>
      <x:c r="G3436" t="str">
        <x:v>ELIGIBLE</x:v>
      </x:c>
      <x:c r="H3436"/>
      <x:c r="I3436" s="54" t="n">
        <x:v>45930</x:v>
      </x:c>
      <x:c r="J3436" s="55" t="n">
        <x:v>108000</x:v>
      </x:c>
      <x:c r="K3436" s="55" t="n">
        <x:v>1866661848000</x:v>
      </x:c>
      <x:c r="L3436" s="55" t="n">
        <x:v>17283906</x:v>
      </x:c>
      <x:c r="M3436" t="str">
        <x:v>20250318000733</x:v>
      </x:c>
      <x:c r="N3436" t="n">
        <x:v>45734.624999988424</x:v>
      </x:c>
      <x:c r="O3436" s="54" t="n">
        <x:v>45657</x:v>
      </x:c>
      <x:c r="P3436" t="str">
        <x:v>False</x:v>
      </x:c>
      <x:c r="Q3436" t="str">
        <x:v>083efd2dee44b4a786970c0c389a46a610dc9a7977b06d3b9ad488970ad89861</x:v>
      </x:c>
      <x:c r="R3436" t="str">
        <x:v>56ffa1711ceebcefa7355b1524c61d7de5c48bb0a74b0d64a5a9c289e7378174</x:v>
      </x:c>
      <x:c r="S3436" t="n">
        <x:v>7</x:v>
      </x:c>
      <x:c r="T3436" t="str">
        <x:v>2018-12-31|2019-12-31|2020-12-31|2021-12-31|2022-12-31|2023-12-31|2024-12-31</x:v>
      </x:c>
      <x:c r="U3436" s="57" t="n">
        <x:v>97369.65699428694</x:v>
      </x:c>
      <x:c r="V3436" s="57" t="n">
        <x:v>-0.0984291019047506</x:v>
      </x:c>
      <x:c r="W3436" t="n">
        <x:v>23</x:v>
      </x:c>
      <x:c r="X3436" t="n">
        <x:v>2</x:v>
      </x:c>
      <x:c r="Y3436" s="38" t="n">
        <x:v>0.6409090909090909</x:v>
      </x:c>
      <x:c r="Z3436" s="38" t="n">
        <x:v>0.7160245016630836</x:v>
      </x:c>
      <x:c r="AA3436"/>
    </x:row>
    <x:row r="3437">
      <x:c r="A3437" s="54" t="n">
        <x:v>45930</x:v>
      </x:c>
      <x:c r="B3437" t="n">
        <x:v>45930.624999988424</x:v>
      </x:c>
      <x:c r="C3437" t="str">
        <x:v>023590</x:v>
      </x:c>
      <x:c r="D3437" t="str">
        <x:v>다우기술</x:v>
      </x:c>
      <x:c r="E3437" t="str">
        <x:v>KOSPI</x:v>
      </x:c>
      <x:c r="F3437" t="str">
        <x:v>LARGE</x:v>
      </x:c>
      <x:c r="G3437" t="str">
        <x:v>ELIGIBLE</x:v>
      </x:c>
      <x:c r="H3437"/>
      <x:c r="I3437" s="54" t="n">
        <x:v>45930</x:v>
      </x:c>
      <x:c r="J3437" s="55" t="n">
        <x:v>36700</x:v>
      </x:c>
      <x:c r="K3437" s="55" t="n">
        <x:v>1646604843900</x:v>
      </x:c>
      <x:c r="L3437" s="55" t="n">
        <x:v>44866617</x:v>
      </x:c>
      <x:c r="M3437" t="str">
        <x:v>20250318001202</x:v>
      </x:c>
      <x:c r="N3437" t="n">
        <x:v>45734.624999988424</x:v>
      </x:c>
      <x:c r="O3437" s="54" t="n">
        <x:v>45657</x:v>
      </x:c>
      <x:c r="P3437" t="str">
        <x:v>False</x:v>
      </x:c>
      <x:c r="Q3437" t="str">
        <x:v>259f89c3cf719530f4a45f36ebe82e9d42a2958b3a0bad4250982534efa965bf</x:v>
      </x:c>
      <x:c r="R3437" t="str">
        <x:v>f162e810ea5b1ec6181873739395cc55f53c015bda2f3eeeb43957d9146b406c</x:v>
      </x:c>
      <x:c r="S3437" t="n">
        <x:v>7</x:v>
      </x:c>
      <x:c r="T3437" t="str">
        <x:v>2015-12-31|2016-12-31|2017-12-31|2018-12-31|2019-12-31|2020-12-31|2021-12-31|2022-12-31|2023-12-31|2024-12-31</x:v>
      </x:c>
      <x:c r="U3437" s="57" t="n">
        <x:v>59589.212266086324</x:v>
      </x:c>
      <x:c r="V3437" s="57" t="n">
        <x:v>0.6236842579315075</x:v>
      </x:c>
      <x:c r="W3437" t="n">
        <x:v>12</x:v>
      </x:c>
      <x:c r="X3437" t="n">
        <x:v>1</x:v>
      </x:c>
      <x:c r="Y3437" s="38" t="n">
        <x:v>0.6409090909090909</x:v>
      </x:c>
      <x:c r="Z3437" s="38" t="n">
        <x:v>0.7691050447178945</x:v>
      </x:c>
      <x:c r="AA3437"/>
    </x:row>
    <x:row r="3438">
      <x:c r="A3438" s="54" t="n">
        <x:v>45930</x:v>
      </x:c>
      <x:c r="B3438" t="n">
        <x:v>45930.624999988424</x:v>
      </x:c>
      <x:c r="C3438" t="str">
        <x:v>300720</x:v>
      </x:c>
      <x:c r="D3438" t="str">
        <x:v>한일시멘트</x:v>
      </x:c>
      <x:c r="E3438" t="str">
        <x:v>KOSPI</x:v>
      </x:c>
      <x:c r="F3438" t="str">
        <x:v>LARGE</x:v>
      </x:c>
      <x:c r="G3438" t="str">
        <x:v>ELIGIBLE</x:v>
      </x:c>
      <x:c r="H3438"/>
      <x:c r="I3438" s="54" t="n">
        <x:v>45930</x:v>
      </x:c>
      <x:c r="J3438" s="55" t="n">
        <x:v>19150</x:v>
      </x:c>
      <x:c r="K3438" s="55" t="n">
        <x:v>1326358491000</x:v>
      </x:c>
      <x:c r="L3438" s="55" t="n">
        <x:v>69261540</x:v>
      </x:c>
      <x:c r="M3438" t="str">
        <x:v>20250317000951</x:v>
      </x:c>
      <x:c r="N3438" t="n">
        <x:v>45733.624999988424</x:v>
      </x:c>
      <x:c r="O3438" s="54" t="n">
        <x:v>45657</x:v>
      </x:c>
      <x:c r="P3438" t="str">
        <x:v>False</x:v>
      </x:c>
      <x:c r="Q3438" t="str">
        <x:v>30911143bec8cf6aff9f304bfd90906a82c9bec558d8c441b591e891325d0ae9</x:v>
      </x:c>
      <x:c r="R3438" t="str">
        <x:v>b37e74697d4529b317f1bdd4feab19c6cb7bf451a88dfded78cc6fe862b70595</x:v>
      </x:c>
      <x:c r="S3438" t="n">
        <x:v>7</x:v>
      </x:c>
      <x:c r="T3438" t="str">
        <x:v>2019-12-31|2020-12-31|2021-12-31|2022-12-31|2023-12-31|2024-12-31</x:v>
      </x:c>
      <x:c r="U3438" s="57" t="n">
        <x:v>25694.968065037032</x:v>
      </x:c>
      <x:c r="V3438" s="57" t="n">
        <x:v>0.341773789296973</x:v>
      </x:c>
      <x:c r="W3438" t="n">
        <x:v>17</x:v>
      </x:c>
      <x:c r="X3438" t="n">
        <x:v>2</x:v>
      </x:c>
      <x:c r="Y3438" s="38" t="n">
        <x:v>0.6409090909090909</x:v>
      </x:c>
      <x:c r="Z3438" s="38" t="n">
        <x:v>0.7202822282990681</x:v>
      </x:c>
      <x:c r="AA3438"/>
    </x:row>
    <x:row r="3439">
      <x:c r="A3439" s="54" t="n">
        <x:v>45930</x:v>
      </x:c>
      <x:c r="B3439" t="n">
        <x:v>45930.624999988424</x:v>
      </x:c>
      <x:c r="C3439" t="str">
        <x:v>007070</x:v>
      </x:c>
      <x:c r="D3439" t="str">
        <x:v>GS리테일</x:v>
      </x:c>
      <x:c r="E3439" t="str">
        <x:v>KOSPI</x:v>
      </x:c>
      <x:c r="F3439" t="str">
        <x:v>LARGE</x:v>
      </x:c>
      <x:c r="G3439" t="str">
        <x:v>DCF_SCREENING_EXCLUSION</x:v>
      </x:c>
      <x:c r="H3439" t="str">
        <x:v>NON_POSITIVE_EQUITY_VALUE</x:v>
      </x:c>
      <x:c r="I3439" s="54" t="n">
        <x:v>45930</x:v>
      </x:c>
      <x:c r="J3439" s="55" t="n">
        <x:v>16650</x:v>
      </x:c>
      <x:c r="K3439" s="55" t="n">
        <x:v>1392063459750</x:v>
      </x:c>
      <x:c r="L3439" s="55" t="n">
        <x:v>83607415</x:v>
      </x:c>
      <x:c r="M3439" t="str">
        <x:v>20250312000991</x:v>
      </x:c>
      <x:c r="N3439" t="n">
        <x:v>45728.624999988424</x:v>
      </x:c>
      <x:c r="O3439" s="54" t="n">
        <x:v>45657</x:v>
      </x:c>
      <x:c r="P3439" t="str">
        <x:v>False</x:v>
      </x:c>
      <x:c r="Q3439" t="str">
        <x:v>b39e4b05ee59ed223056a91ca94074746528599728a5aa52d8931551e3faec1a</x:v>
      </x:c>
      <x:c r="R3439" t="str">
        <x:v>e06b50f8e71b363b781c7cedcc96ea7badc3c3bf4eba389e440fb48179232105</x:v>
      </x:c>
      <x:c r="S3439" t="n">
        <x:v>7</x:v>
      </x:c>
      <x:c r="T3439" t="str">
        <x:v>2018-12-31|2019-12-31|2020-12-31|2021-12-31|2022-12-31|2023-12-31|2024-12-31</x:v>
      </x:c>
      <x:c r="U3439" s="57" t="n">
        <x:v>-212.79090083230065</x:v>
      </x:c>
      <x:c r="V3439" s="57" t="n">
        <x:v>-1.0127802342842223</x:v>
      </x:c>
      <x:c r="W3439"/>
      <x:c r="X3439"/>
      <x:c r="Y3439" s="38" t="n">
        <x:v>0.6409090909090909</x:v>
      </x:c>
      <x:c r="Z3439" s="38" t="n">
        <x:v>0.7064171070380114</x:v>
      </x:c>
      <x:c r="AA3439" t="str">
        <x:v>NON_POSITIVE_EQUITY_VALUE</x:v>
      </x:c>
    </x:row>
    <x:row r="3440">
      <x:c r="A3440" s="54" t="n">
        <x:v>45930</x:v>
      </x:c>
      <x:c r="B3440" t="n">
        <x:v>45930.624999988424</x:v>
      </x:c>
      <x:c r="C3440" t="str">
        <x:v>280360</x:v>
      </x:c>
      <x:c r="D3440" t="str">
        <x:v>롯데웰푸드</x:v>
      </x:c>
      <x:c r="E3440" t="str">
        <x:v>KOSPI</x:v>
      </x:c>
      <x:c r="F3440" t="str">
        <x:v>LARGE</x:v>
      </x:c>
      <x:c r="G3440" t="str">
        <x:v>DCF_SCREENING_EXCLUSION</x:v>
      </x:c>
      <x:c r="H3440" t="str">
        <x:v>NON_POSITIVE_ENTERPRISE_VALUE|NON_POSITIVE_EQUITY_VALUE|NON_POSITIVE_TERMINAL_FCF</x:v>
      </x:c>
      <x:c r="I3440" s="54" t="n">
        <x:v>45930</x:v>
      </x:c>
      <x:c r="J3440" s="55" t="n">
        <x:v>115100</x:v>
      </x:c>
      <x:c r="K3440" s="55" t="n">
        <x:v>1070956467400</x:v>
      </x:c>
      <x:c r="L3440" s="55" t="n">
        <x:v>9304574</x:v>
      </x:c>
      <x:c r="M3440" t="str">
        <x:v>20250617000244</x:v>
      </x:c>
      <x:c r="N3440" t="n">
        <x:v>45825.624999988424</x:v>
      </x:c>
      <x:c r="O3440" s="54" t="n">
        <x:v>45657</x:v>
      </x:c>
      <x:c r="P3440" t="str">
        <x:v>True</x:v>
      </x:c>
      <x:c r="Q3440" t="str">
        <x:v>bc26db389126a3d67af47a6042f8dcddbe9b03e7f612fa5fbee2737ab5d1314b</x:v>
      </x:c>
      <x:c r="R3440" t="str">
        <x:v>204cc2273410cde1208d198c10c0ed78ff7031156d92dab5a6f05ec307295b2e</x:v>
      </x:c>
      <x:c r="S3440" t="n">
        <x:v>7</x:v>
      </x:c>
      <x:c r="T3440" t="str">
        <x:v>2018-12-31|2019-12-31|2020-12-31|2021-12-31|2022-12-31|2023-12-31|2024-12-31</x:v>
      </x:c>
      <x:c r="U3440" s="57" t="n">
        <x:v>-22370.023721934747</x:v>
      </x:c>
      <x:c r="V3440" s="57" t="n">
        <x:v>-1.194352942849129</x:v>
      </x:c>
      <x:c r="W3440"/>
      <x:c r="X3440"/>
      <x:c r="Y3440" s="38" t="n">
        <x:v>0.6409090909090909</x:v>
      </x:c>
      <x:c r="Z3440" s="38" t="n">
        <x:v>0.13113410707304196</x:v>
      </x:c>
      <x:c r="AA3440" t="str">
        <x:v>NON_POSITIVE_ENTERPRISE_VALUE|NON_POSITIVE_EQUITY_VALUE|NON_POSITIVE_TERMINAL_FCF</x:v>
      </x:c>
    </x:row>
    <x:row r="3441">
      <x:c r="A3441" s="54" t="n">
        <x:v>45930</x:v>
      </x:c>
      <x:c r="B3441" t="n">
        <x:v>45930.624999988424</x:v>
      </x:c>
      <x:c r="C3441" t="str">
        <x:v>039130</x:v>
      </x:c>
      <x:c r="D3441" t="str">
        <x:v>하나투어</x:v>
      </x:c>
      <x:c r="E3441" t="str">
        <x:v>KOSPI</x:v>
      </x:c>
      <x:c r="F3441" t="str">
        <x:v>LARGE</x:v>
      </x:c>
      <x:c r="G3441" t="str">
        <x:v>DCF_SCREENING_EXCLUSION</x:v>
      </x:c>
      <x:c r="H3441" t="str">
        <x:v>NON_POSITIVE_ENTERPRISE_VALUE|NON_POSITIVE_EQUITY_VALUE|NON_POSITIVE_TERMINAL_FCF|UNRELIABLE_TERMINAL_VALUE_SHARE</x:v>
      </x:c>
      <x:c r="I3441" s="54" t="n">
        <x:v>45930</x:v>
      </x:c>
      <x:c r="J3441" s="55" t="n">
        <x:v>50200</x:v>
      </x:c>
      <x:c r="K3441" s="55" t="n">
        <x:v>777594586400</x:v>
      </x:c>
      <x:c r="L3441" s="55" t="n">
        <x:v>15489932</x:v>
      </x:c>
      <x:c r="M3441" t="str">
        <x:v>20250320001129</x:v>
      </x:c>
      <x:c r="N3441" t="n">
        <x:v>45736.624999988424</x:v>
      </x:c>
      <x:c r="O3441" s="54" t="n">
        <x:v>45657</x:v>
      </x:c>
      <x:c r="P3441" t="str">
        <x:v>False</x:v>
      </x:c>
      <x:c r="Q3441" t="str">
        <x:v>2ce285ed4b9f246b62f3b829f8c279ca2708a0b849dba277787845940694cb64</x:v>
      </x:c>
      <x:c r="R3441" t="str">
        <x:v>ba19a4b0051f53e52a8148c95f9e25c1fbfdd9b2d77734956f4b16f9117ce20c</x:v>
      </x:c>
      <x:c r="S3441" t="n">
        <x:v>5</x:v>
      </x:c>
      <x:c r="T3441" t="str">
        <x:v>2018-12-31|2019-12-31|2020-12-31|2021-12-31|2022-12-31|2023-12-31|2024-12-31</x:v>
      </x:c>
      <x:c r="U3441" s="57" t="n">
        <x:v>-70763.31591002898</x:v>
      </x:c>
      <x:c r="V3441" s="57" t="n">
        <x:v>-2.4096278069726886</x:v>
      </x:c>
      <x:c r="W3441"/>
      <x:c r="X3441"/>
      <x:c r="Y3441" s="38" t="n">
        <x:v>0.6409090909090909</x:v>
      </x:c>
      <x:c r="Z3441" s="38" t="n">
        <x:v>0.8912188126147009</x:v>
      </x:c>
      <x:c r="AA3441" t="str">
        <x:v>NON_POSITIVE_ENTERPRISE_VALUE|NON_POSITIVE_EQUITY_VALUE|NON_POSITIVE_TERMINAL_FCF|UNRELIABLE_TERMINAL_VALUE_SHARE</x:v>
      </x:c>
    </x:row>
    <x:row r="3442">
      <x:c r="A3442" s="54" t="n">
        <x:v>45930</x:v>
      </x:c>
      <x:c r="B3442" t="n">
        <x:v>45930.624999988424</x:v>
      </x:c>
      <x:c r="C3442" t="str">
        <x:v>005690</x:v>
      </x:c>
      <x:c r="D3442" t="str">
        <x:v>파미셀</x:v>
      </x:c>
      <x:c r="E3442" t="str">
        <x:v>KOSPI</x:v>
      </x:c>
      <x:c r="F3442" t="str">
        <x:v>LARGE</x:v>
      </x:c>
      <x:c r="G3442" t="str">
        <x:v>DCF_SCREENING_EXCLUSION</x:v>
      </x:c>
      <x:c r="H3442" t="str">
        <x:v>UNRELIABLE_TERMINAL_VALUE_SHARE</x:v>
      </x:c>
      <x:c r="I3442" s="54" t="n">
        <x:v>45930</x:v>
      </x:c>
      <x:c r="J3442" s="55" t="n">
        <x:v>11880</x:v>
      </x:c>
      <x:c r="K3442" s="55" t="n">
        <x:v>713001532320</x:v>
      </x:c>
      <x:c r="L3442" s="55" t="n">
        <x:v>60016964</x:v>
      </x:c>
      <x:c r="M3442" t="str">
        <x:v>20250813000184</x:v>
      </x:c>
      <x:c r="N3442" t="n">
        <x:v>45882.624999988424</x:v>
      </x:c>
      <x:c r="O3442" s="54" t="n">
        <x:v>45657</x:v>
      </x:c>
      <x:c r="P3442" t="str">
        <x:v>True</x:v>
      </x:c>
      <x:c r="Q3442" t="str">
        <x:v>dd754ef1095caece3ea319403b12a52f50accf3004c7f945d03d82884b847a22</x:v>
      </x:c>
      <x:c r="R3442" t="str">
        <x:v>66026f7c322c491f2305d11b4b65a6cead521acb2b98d7593a3851ffeb02b64a</x:v>
      </x:c>
      <x:c r="S3442" t="n">
        <x:v>6</x:v>
      </x:c>
      <x:c r="T3442" t="str">
        <x:v>2018-12-31|2019-12-31|2020-12-31|2021-12-31|2022-12-31|2023-12-31|2024-12-31</x:v>
      </x:c>
      <x:c r="U3442" s="57" t="n">
        <x:v>446.73762574244665</x:v>
      </x:c>
      <x:c r="V3442" s="57" t="n">
        <x:v>-0.9623958227489523</x:v>
      </x:c>
      <x:c r="W3442"/>
      <x:c r="X3442"/>
      <x:c r="Y3442" s="38" t="n">
        <x:v>0.6409090909090909</x:v>
      </x:c>
      <x:c r="Z3442" s="38" t="n">
        <x:v>0.9691769014163357</x:v>
      </x:c>
      <x:c r="AA3442" t="str">
        <x:v>UNRELIABLE_TERMINAL_VALUE_SHARE</x:v>
      </x:c>
    </x:row>
    <x:row r="3443">
      <x:c r="A3443" s="54" t="n">
        <x:v>45930</x:v>
      </x:c>
      <x:c r="B3443" t="n">
        <x:v>45930.624999988424</x:v>
      </x:c>
      <x:c r="C3443" t="str">
        <x:v>002030</x:v>
      </x:c>
      <x:c r="D3443" t="str">
        <x:v>아세아</x:v>
      </x:c>
      <x:c r="E3443" t="str">
        <x:v>KOSPI</x:v>
      </x:c>
      <x:c r="F3443" t="str">
        <x:v>LARGE</x:v>
      </x:c>
      <x:c r="G3443" t="str">
        <x:v>ELIGIBLE</x:v>
      </x:c>
      <x:c r="H3443"/>
      <x:c r="I3443" s="54" t="n">
        <x:v>45930</x:v>
      </x:c>
      <x:c r="J3443" s="55" t="n">
        <x:v>350500</x:v>
      </x:c>
      <x:c r="K3443" s="55" t="n">
        <x:v>730491070000</x:v>
      </x:c>
      <x:c r="L3443" s="55" t="n">
        <x:v>2084140</x:v>
      </x:c>
      <x:c r="M3443" t="str">
        <x:v>20250312000788</x:v>
      </x:c>
      <x:c r="N3443" t="n">
        <x:v>45728.624999988424</x:v>
      </x:c>
      <x:c r="O3443" s="54" t="n">
        <x:v>45657</x:v>
      </x:c>
      <x:c r="P3443" t="str">
        <x:v>False</x:v>
      </x:c>
      <x:c r="Q3443" t="str">
        <x:v>ea5f66da053d7b0f7058512e5d1ecb22d92df4af7e139ef4c7f13fee4d63099d</x:v>
      </x:c>
      <x:c r="R3443" t="str">
        <x:v>59ac1b52b451f2c299528bff970cce98f0bab8470a65b9cb2222276d3d445eca</x:v>
      </x:c>
      <x:c r="S3443" t="n">
        <x:v>6</x:v>
      </x:c>
      <x:c r="T3443" t="str">
        <x:v>2018-12-31|2019-12-31|2020-12-31|2021-12-31|2022-12-31|2023-12-31|2024-12-31</x:v>
      </x:c>
      <x:c r="U3443" s="57" t="n">
        <x:v>566610.7071043485</x:v>
      </x:c>
      <x:c r="V3443" s="57" t="n">
        <x:v>0.6165783369596247</x:v>
      </x:c>
      <x:c r="W3443" t="n">
        <x:v>13</x:v>
      </x:c>
      <x:c r="X3443" t="n">
        <x:v>1</x:v>
      </x:c>
      <x:c r="Y3443" s="38" t="n">
        <x:v>0.6409090909090909</x:v>
      </x:c>
      <x:c r="Z3443" s="38" t="n">
        <x:v>0.7385757163606029</x:v>
      </x:c>
      <x:c r="AA3443"/>
    </x:row>
    <x:row r="3444">
      <x:c r="A3444" s="54" t="n">
        <x:v>45930</x:v>
      </x:c>
      <x:c r="B3444" t="n">
        <x:v>45930.624999988424</x:v>
      </x:c>
      <x:c r="C3444" t="str">
        <x:v>009410</x:v>
      </x:c>
      <x:c r="D3444" t="str">
        <x:v>태영건설</x:v>
      </x:c>
      <x:c r="E3444" t="str">
        <x:v>KOSPI</x:v>
      </x:c>
      <x:c r="F3444" t="str">
        <x:v>LARGE</x:v>
      </x:c>
      <x:c r="G3444" t="str">
        <x:v>DCF_SCREENING_EXCLUSION</x:v>
      </x:c>
      <x:c r="H3444" t="str">
        <x:v>NON_POSITIVE_EQUITY_VALUE</x:v>
      </x:c>
      <x:c r="I3444" s="54" t="n">
        <x:v>45930</x:v>
      </x:c>
      <x:c r="J3444" s="55" t="n">
        <x:v>1572</x:v>
      </x:c>
      <x:c r="K3444" s="55" t="n">
        <x:v>467767041132</x:v>
      </x:c>
      <x:c r="L3444" s="55" t="n">
        <x:v>297561731</x:v>
      </x:c>
      <x:c r="M3444" t="str">
        <x:v>20250814003344</x:v>
      </x:c>
      <x:c r="N3444" t="n">
        <x:v>45883.624999988424</x:v>
      </x:c>
      <x:c r="O3444" s="54" t="n">
        <x:v>45657</x:v>
      </x:c>
      <x:c r="P3444" t="str">
        <x:v>True</x:v>
      </x:c>
      <x:c r="Q3444" t="str">
        <x:v>d36a237587ec78934d8d4f1747245d0fa6b9809a4aa3db6d6eee3f6c2cc3cc94</x:v>
      </x:c>
      <x:c r="R3444" t="str">
        <x:v>8152519c515711fd41d0491c770ec5de89889a5bf2cdc4de12a630a99881a59e</x:v>
      </x:c>
      <x:c r="S3444" t="n">
        <x:v>7</x:v>
      </x:c>
      <x:c r="T3444" t="str">
        <x:v>2018-12-31|2019-12-31|2020-12-31|2021-12-31|2022-12-31|2023-12-31|2024-12-31</x:v>
      </x:c>
      <x:c r="U3444" s="57" t="n">
        <x:v>-571.3057893269643</x:v>
      </x:c>
      <x:c r="V3444" s="57" t="n">
        <x:v>-1.3634260746354734</x:v>
      </x:c>
      <x:c r="W3444"/>
      <x:c r="X3444"/>
      <x:c r="Y3444" s="38" t="n">
        <x:v>0.6409090909090909</x:v>
      </x:c>
      <x:c r="Z3444" s="38" t="n">
        <x:v>0.8239185671113427</x:v>
      </x:c>
      <x:c r="AA3444" t="str">
        <x:v>NON_POSITIVE_EQUITY_VALUE</x:v>
      </x:c>
    </x:row>
    <x:row r="3445">
      <x:c r="A3445" s="54" t="n">
        <x:v>45930</x:v>
      </x:c>
      <x:c r="B3445" t="n">
        <x:v>45930.624999988424</x:v>
      </x:c>
      <x:c r="C3445" t="str">
        <x:v>010780</x:v>
      </x:c>
      <x:c r="D3445" t="str">
        <x:v>아이에스동서</x:v>
      </x:c>
      <x:c r="E3445" t="str">
        <x:v>KOSPI</x:v>
      </x:c>
      <x:c r="F3445" t="str">
        <x:v>LARGE</x:v>
      </x:c>
      <x:c r="G3445" t="str">
        <x:v>ELIGIBLE</x:v>
      </x:c>
      <x:c r="H3445"/>
      <x:c r="I3445" s="54" t="n">
        <x:v>45930</x:v>
      </x:c>
      <x:c r="J3445" s="55" t="n">
        <x:v>18220</x:v>
      </x:c>
      <x:c r="K3445" s="55" t="n">
        <x:v>550006702720</x:v>
      </x:c>
      <x:c r="L3445" s="55" t="n">
        <x:v>30186976</x:v>
      </x:c>
      <x:c r="M3445" t="str">
        <x:v>20250319001050</x:v>
      </x:c>
      <x:c r="N3445" t="n">
        <x:v>45735.624999988424</x:v>
      </x:c>
      <x:c r="O3445" s="54" t="n">
        <x:v>45657</x:v>
      </x:c>
      <x:c r="P3445" t="str">
        <x:v>False</x:v>
      </x:c>
      <x:c r="Q3445" t="str">
        <x:v>62e562302d3f77018b083978563c92264fa7f7698b9b0c4d599d79705442146f</x:v>
      </x:c>
      <x:c r="R3445" t="str">
        <x:v>86742e5429646e5c4be52e0c193aef44dc4ae24353f965dc1dee721ec0906729</x:v>
      </x:c>
      <x:c r="S3445" t="n">
        <x:v>7</x:v>
      </x:c>
      <x:c r="T3445" t="str">
        <x:v>2018-12-31|2019-12-31|2020-12-31|2021-12-31|2022-12-31|2023-12-31|2024-12-31</x:v>
      </x:c>
      <x:c r="U3445" s="57" t="n">
        <x:v>85297.6743389066</x:v>
      </x:c>
      <x:c r="V3445" s="57" t="n">
        <x:v>3.68154085284888</x:v>
      </x:c>
      <x:c r="W3445" t="n">
        <x:v>1</x:v>
      </x:c>
      <x:c r="X3445" t="n">
        <x:v>1</x:v>
      </x:c>
      <x:c r="Y3445" s="38" t="n">
        <x:v>0.6409090909090909</x:v>
      </x:c>
      <x:c r="Z3445" s="38" t="n">
        <x:v>0.7661732178613974</x:v>
      </x:c>
      <x:c r="AA3445"/>
    </x:row>
    <x:row r="3446">
      <x:c r="A3446" s="54" t="n">
        <x:v>45930</x:v>
      </x:c>
      <x:c r="B3446" t="n">
        <x:v>45930.624999988424</x:v>
      </x:c>
      <x:c r="C3446" t="str">
        <x:v>453340</x:v>
      </x:c>
      <x:c r="D3446" t="str">
        <x:v>현대그린푸드</x:v>
      </x:c>
      <x:c r="E3446" t="str">
        <x:v>KOSPI</x:v>
      </x:c>
      <x:c r="F3446" t="str">
        <x:v>LARGE</x:v>
      </x:c>
      <x:c r="G3446" t="str">
        <x:v>ELIGIBLE</x:v>
      </x:c>
      <x:c r="H3446"/>
      <x:c r="I3446" s="54" t="n">
        <x:v>45930</x:v>
      </x:c>
      <x:c r="J3446" s="55" t="n">
        <x:v>15170</x:v>
      </x:c>
      <x:c r="K3446" s="55" t="n">
        <x:v>497869478820</x:v>
      </x:c>
      <x:c r="L3446" s="55" t="n">
        <x:v>32819346</x:v>
      </x:c>
      <x:c r="M3446" t="str">
        <x:v>20250314000805</x:v>
      </x:c>
      <x:c r="N3446" t="n">
        <x:v>45730.624999988424</x:v>
      </x:c>
      <x:c r="O3446" s="54" t="n">
        <x:v>45657</x:v>
      </x:c>
      <x:c r="P3446" t="str">
        <x:v>False</x:v>
      </x:c>
      <x:c r="Q3446" t="str">
        <x:v>fbe3ca9d89bb15e710f3e0aca8fd1d56d5a9ceeba6889a66337454494774bd61</x:v>
      </x:c>
      <x:c r="R3446" t="str">
        <x:v>4b272bcdd24e4c4a3acef2a99e73f17c4a2922de23aac7db272de915f65e8e3e</x:v>
      </x:c>
      <x:c r="S3446" t="n">
        <x:v>7</x:v>
      </x:c>
      <x:c r="T3446" t="str">
        <x:v>2024-12-31</x:v>
      </x:c>
      <x:c r="U3446" s="57" t="n">
        <x:v>38004.80255940099</x:v>
      </x:c>
      <x:c r="V3446" s="57" t="n">
        <x:v>1.5052605510481867</x:v>
      </x:c>
      <x:c r="W3446" t="n">
        <x:v>4</x:v>
      </x:c>
      <x:c r="X3446" t="n">
        <x:v>1</x:v>
      </x:c>
      <x:c r="Y3446" s="38" t="n">
        <x:v>0.6409090909090909</x:v>
      </x:c>
      <x:c r="Z3446" s="38" t="n">
        <x:v>0.7013426708992583</x:v>
      </x:c>
      <x:c r="AA3446"/>
    </x:row>
    <x:row r="3447">
      <x:c r="A3447" s="54" t="n">
        <x:v>45930</x:v>
      </x:c>
      <x:c r="B3447" t="n">
        <x:v>45930.624999988424</x:v>
      </x:c>
      <x:c r="C3447" t="str">
        <x:v>006220</x:v>
      </x:c>
      <x:c r="D3447" t="str">
        <x:v>제주은행</x:v>
      </x:c>
      <x:c r="E3447" t="str">
        <x:v>KOSPI</x:v>
      </x:c>
      <x:c r="F3447" t="str">
        <x:v>LARGE</x:v>
      </x:c>
      <x:c r="G3447" t="str">
        <x:v>EXCLUDED_ARCHETYPE</x:v>
      </x:c>
      <x:c r="H3447" t="str">
        <x:v>FCFF_NOT_COMPARABLE_FOR_FINANCE_OR_HOLDING_HINT</x:v>
      </x:c>
      <x:c r="I3447" s="54"/>
      <x:c r="J3447" s="55"/>
      <x:c r="K3447" s="55"/>
      <x:c r="L3447" s="55"/>
      <x:c r="M3447"/>
      <x:c r="N3447"/>
      <x:c r="O3447" s="54"/>
      <x:c r="P3447"/>
      <x:c r="Q3447"/>
      <x:c r="R3447"/>
      <x:c r="S3447"/>
      <x:c r="T3447"/>
      <x:c r="U3447" s="57"/>
      <x:c r="V3447" s="57"/>
      <x:c r="W3447"/>
      <x:c r="X3447"/>
      <x:c r="Y3447" s="38"/>
      <x:c r="Z3447" s="38"/>
      <x:c r="AA3447"/>
    </x:row>
    <x:row r="3448">
      <x:c r="A3448" s="54" t="n">
        <x:v>45930</x:v>
      </x:c>
      <x:c r="B3448" t="n">
        <x:v>45930.624999988424</x:v>
      </x:c>
      <x:c r="C3448" t="str">
        <x:v>094800</x:v>
      </x:c>
      <x:c r="D3448" t="str">
        <x:v>맵스리얼티1</x:v>
      </x:c>
      <x:c r="E3448" t="str">
        <x:v>KOSPI</x:v>
      </x:c>
      <x:c r="F3448" t="str">
        <x:v>LARGE</x:v>
      </x:c>
      <x:c r="G3448" t="str">
        <x:v>NO_PIT_FINANCIALS</x:v>
      </x:c>
      <x:c r="H3448"/>
      <x:c r="I3448" s="54" t="n">
        <x:v>45930</x:v>
      </x:c>
      <x:c r="J3448" s="55" t="n">
        <x:v>5140</x:v>
      </x:c>
      <x:c r="K3448" s="55" t="n">
        <x:v>477168461340</x:v>
      </x:c>
      <x:c r="L3448" s="55" t="n">
        <x:v>92834331</x:v>
      </x:c>
      <x:c r="M3448"/>
      <x:c r="N3448"/>
      <x:c r="O3448" s="54"/>
      <x:c r="P3448"/>
      <x:c r="Q3448"/>
      <x:c r="R3448"/>
      <x:c r="S3448"/>
      <x:c r="T3448"/>
      <x:c r="U3448" s="57"/>
      <x:c r="V3448" s="57"/>
      <x:c r="W3448"/>
      <x:c r="X3448"/>
      <x:c r="Y3448" s="38"/>
      <x:c r="Z3448" s="38"/>
      <x:c r="AA3448"/>
    </x:row>
    <x:row r="3449">
      <x:c r="A3449" s="54" t="n">
        <x:v>45930</x:v>
      </x:c>
      <x:c r="B3449" t="n">
        <x:v>45930.624999988424</x:v>
      </x:c>
      <x:c r="C3449" t="str">
        <x:v>003160</x:v>
      </x:c>
      <x:c r="D3449" t="str">
        <x:v>디아이</x:v>
      </x:c>
      <x:c r="E3449" t="str">
        <x:v>KOSPI</x:v>
      </x:c>
      <x:c r="F3449" t="str">
        <x:v>LARGE</x:v>
      </x:c>
      <x:c r="G3449" t="str">
        <x:v>DCF_SCREENING_EXCLUSION</x:v>
      </x:c>
      <x:c r="H3449" t="str">
        <x:v>UNRELIABLE_TERMINAL_VALUE_SHARE</x:v>
      </x:c>
      <x:c r="I3449" s="54" t="n">
        <x:v>45930</x:v>
      </x:c>
      <x:c r="J3449" s="55" t="n">
        <x:v>15690</x:v>
      </x:c>
      <x:c r="K3449" s="55" t="n">
        <x:v>444027000000</x:v>
      </x:c>
      <x:c r="L3449" s="55" t="n">
        <x:v>28300000</x:v>
      </x:c>
      <x:c r="M3449" t="str">
        <x:v>20250313001050</x:v>
      </x:c>
      <x:c r="N3449" t="n">
        <x:v>45729.624999988424</x:v>
      </x:c>
      <x:c r="O3449" s="54" t="n">
        <x:v>45657</x:v>
      </x:c>
      <x:c r="P3449" t="str">
        <x:v>False</x:v>
      </x:c>
      <x:c r="Q3449" t="str">
        <x:v>91d1825c460d7d8f335099ca4043798440a5f26e8ff6eb24b51ef1a396a0230b</x:v>
      </x:c>
      <x:c r="R3449" t="str">
        <x:v>c9028f29495b2e3fb282e3fe3777fabd37bb53b56b66277b995b4614a0246cd1</x:v>
      </x:c>
      <x:c r="S3449" t="n">
        <x:v>6</x:v>
      </x:c>
      <x:c r="T3449" t="str">
        <x:v>2013-12-31|2014-12-31|2015-12-31|2016-12-31|2017-12-31|2018-12-31|2019-12-31|2020-12-31|2021-12-31|2022-12-31|2023-12-31|2024-12-31</x:v>
      </x:c>
      <x:c r="U3449" s="57" t="n">
        <x:v>832.3837869659055</x:v>
      </x:c>
      <x:c r="V3449" s="57" t="n">
        <x:v>-0.9469481333992412</x:v>
      </x:c>
      <x:c r="W3449"/>
      <x:c r="X3449"/>
      <x:c r="Y3449" s="38" t="n">
        <x:v>0.6409090909090909</x:v>
      </x:c>
      <x:c r="Z3449" s="38" t="n">
        <x:v>0.9136713076408913</x:v>
      </x:c>
      <x:c r="AA3449" t="str">
        <x:v>UNRELIABLE_TERMINAL_VALUE_SHARE</x:v>
      </x:c>
    </x:row>
    <x:row r="3450">
      <x:c r="A3450" s="54" t="n">
        <x:v>45930</x:v>
      </x:c>
      <x:c r="B3450" t="n">
        <x:v>45930.624999988424</x:v>
      </x:c>
      <x:c r="C3450" t="str">
        <x:v>001940</x:v>
      </x:c>
      <x:c r="D3450" t="str">
        <x:v>KISCO홀딩스</x:v>
      </x:c>
      <x:c r="E3450" t="str">
        <x:v>KOSPI</x:v>
      </x:c>
      <x:c r="F3450" t="str">
        <x:v>LARGE</x:v>
      </x:c>
      <x:c r="G3450" t="str">
        <x:v>EXCLUDED_ARCHETYPE</x:v>
      </x:c>
      <x:c r="H3450" t="str">
        <x:v>FCFF_NOT_COMPARABLE_FOR_FINANCE_OR_HOLDING_HINT</x:v>
      </x:c>
      <x:c r="I3450" s="54"/>
      <x:c r="J3450" s="55"/>
      <x:c r="K3450" s="55"/>
      <x:c r="L3450" s="55"/>
      <x:c r="M3450"/>
      <x:c r="N3450"/>
      <x:c r="O3450" s="54"/>
      <x:c r="P3450"/>
      <x:c r="Q3450"/>
      <x:c r="R3450"/>
      <x:c r="S3450"/>
      <x:c r="T3450"/>
      <x:c r="U3450" s="57"/>
      <x:c r="V3450" s="57"/>
      <x:c r="W3450"/>
      <x:c r="X3450"/>
      <x:c r="Y3450" s="38"/>
      <x:c r="Z3450" s="38"/>
      <x:c r="AA3450"/>
    </x:row>
    <x:row r="3451">
      <x:c r="A3451" s="54" t="n">
        <x:v>45930</x:v>
      </x:c>
      <x:c r="B3451" t="n">
        <x:v>45930.624999988424</x:v>
      </x:c>
      <x:c r="C3451" t="str">
        <x:v>009290</x:v>
      </x:c>
      <x:c r="D3451" t="str">
        <x:v>광동제약</x:v>
      </x:c>
      <x:c r="E3451" t="str">
        <x:v>KOSPI</x:v>
      </x:c>
      <x:c r="F3451" t="str">
        <x:v>LARGE</x:v>
      </x:c>
      <x:c r="G3451" t="str">
        <x:v>DCF_SCREENING_EXCLUSION</x:v>
      </x:c>
      <x:c r="H3451" t="str">
        <x:v>UNRELIABLE_TERMINAL_VALUE_SHARE</x:v>
      </x:c>
      <x:c r="I3451" s="54" t="n">
        <x:v>45930</x:v>
      </x:c>
      <x:c r="J3451" s="55" t="n">
        <x:v>5830</x:v>
      </x:c>
      <x:c r="K3451" s="55" t="n">
        <x:v>305613561330</x:v>
      </x:c>
      <x:c r="L3451" s="55" t="n">
        <x:v>52420851</x:v>
      </x:c>
      <x:c r="M3451" t="str">
        <x:v>20250325000803</x:v>
      </x:c>
      <x:c r="N3451" t="n">
        <x:v>45741.624999988424</x:v>
      </x:c>
      <x:c r="O3451" s="54" t="n">
        <x:v>45657</x:v>
      </x:c>
      <x:c r="P3451" t="str">
        <x:v>True</x:v>
      </x:c>
      <x:c r="Q3451" t="str">
        <x:v>84aab52ebef21452eb2d69ee9c9e84dce7390ceb539013762f3b4c3aa4ce1b99</x:v>
      </x:c>
      <x:c r="R3451" t="str">
        <x:v>b0e962f211fd428c8adc3db262d78ec70d91bdb30ab9708b22ac0208b97e7471</x:v>
      </x:c>
      <x:c r="S3451" t="n">
        <x:v>7</x:v>
      </x:c>
      <x:c r="T3451" t="str">
        <x:v>2018-12-31|2019-12-31|2020-12-31|2021-12-31|2022-12-31|2023-12-31|2024-12-31</x:v>
      </x:c>
      <x:c r="U3451" s="57" t="n">
        <x:v>205.89426200916276</x:v>
      </x:c>
      <x:c r="V3451" s="57" t="n">
        <x:v>-0.9646836600327336</x:v>
      </x:c>
      <x:c r="W3451"/>
      <x:c r="X3451"/>
      <x:c r="Y3451" s="38" t="n">
        <x:v>0.6409090909090909</x:v>
      </x:c>
      <x:c r="Z3451" s="38" t="n">
        <x:v>1.0678437497655486</x:v>
      </x:c>
      <x:c r="AA3451" t="str">
        <x:v>UNRELIABLE_TERMINAL_VALUE_SHARE</x:v>
      </x:c>
    </x:row>
  </x:sheetData>
  <x:pageMargins left="0.7" right="0.7" top="0.75" bottom="0.75" header="0.3" footer="0.3"/>
  <x:tableParts count="1">
    <x:tablePart xmlns:r="http://schemas.openxmlformats.org/officeDocument/2006/relationships" r:id="Ra8329c740b5b4b8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0" hidden="0" customWidth="1"/>
    <x:col min="3" max="3" width="18" hidden="0" customWidth="1"/>
    <x:col min="4" max="4" width="5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3" t="str">
        <x:v>Methodology, Validation Grades, and Known Biases</x:v>
      </x:c>
    </x:row>
    <x:row r="2" ht="32" customHeight="1"/>
    <x:row r="4">
      <x:c r="A4" s="18" t="str">
        <x:v>실험 계약</x:v>
      </x:c>
    </x:row>
    <x:row r="5">
      <x:c r="A5" s="61" t="str">
        <x:v>항목</x:v>
      </x:c>
      <x:c r="B5" s="62" t="str">
        <x:v>설정</x:v>
      </x:c>
      <x:c r="C5" s="62" t="str">
        <x:v>등급</x:v>
      </x:c>
      <x:c r="D5" s="63" t="str">
        <x:v>설명</x:v>
      </x:c>
      <x:c r="E5" s="64"/>
      <x:c r="F5" s="64"/>
      <x:c r="G5" s="64"/>
      <x:c r="H5" s="64"/>
    </x:row>
    <x:row r="6">
      <x:c r="A6" s="65" t="str">
        <x:v>기간</x:v>
      </x:c>
      <x:c r="B6" s="64" t="str">
        <x:v>2020-03-31 ~ 2025-09-30</x:v>
      </x:c>
      <x:c r="C6" s="64" t="str">
        <x:v>DATA_PIT_HISTORICAL</x:v>
      </x:c>
      <x:c r="D6" s="64" t="str">
        <x:v>23개 분기 신호, 각 77일 이벤트 수익률</x:v>
      </x:c>
      <x:c r="E6" s="64"/>
      <x:c r="F6" s="64"/>
      <x:c r="G6" s="64"/>
      <x:c r="H6" s="64"/>
    </x:row>
    <x:row r="7">
      <x:c r="A7" s="65" t="str">
        <x:v>유니버스</x:v>
      </x:c>
      <x:c r="B7" s="64" t="str">
        <x:v>2025-08-01 선정 150종목</x:v>
      </x:c>
      <x:c r="C7" s="64" t="str">
        <x:v>편향 있음</x:v>
      </x:c>
      <x:c r="D7" s="64" t="str">
        <x:v>2020년으로 소급하므로 생존·편입 편향</x:v>
      </x:c>
      <x:c r="E7" s="64"/>
      <x:c r="F7" s="64"/>
      <x:c r="G7" s="64"/>
      <x:c r="H7" s="64"/>
    </x:row>
    <x:row r="8">
      <x:c r="A8" s="65" t="str">
        <x:v>순위</x:v>
      </x:c>
      <x:c r="B8" s="64" t="str">
        <x:v>Cheap = Fair Value / Price - 1</x:v>
      </x:c>
      <x:c r="C8" s="64" t="str">
        <x:v>결정론적</x:v>
      </x:c>
      <x:c r="D8" s="64" t="str">
        <x:v>LLM은 순위를 변경할 수 없음</x:v>
      </x:c>
      <x:c r="E8" s="64"/>
      <x:c r="F8" s="64"/>
      <x:c r="G8" s="64"/>
      <x:c r="H8" s="64"/>
    </x:row>
    <x:row r="9">
      <x:c r="A9" s="65" t="str">
        <x:v>공시 PIT</x:v>
      </x:c>
      <x:c r="B9" s="64" t="str">
        <x:v>접수일 EOD KST</x:v>
      </x:c>
      <x:c r="C9" s="64" t="str">
        <x:v>엄격</x:v>
      </x:c>
      <x:c r="D9" s="64" t="str">
        <x:v>컷오프 이전 원본·정정본 중 기간별 최신 버전</x:v>
      </x:c>
      <x:c r="E9" s="64"/>
      <x:c r="F9" s="64"/>
      <x:c r="G9" s="64"/>
      <x:c r="H9" s="64"/>
    </x:row>
    <x:row r="10">
      <x:c r="A10" s="65" t="str">
        <x:v>수익률</x:v>
      </x:c>
      <x:c r="B10" s="64" t="str">
        <x:v>KRX 일별 ChangesRatio 복리</x:v>
      </x:c>
      <x:c r="C10" s="64" t="str">
        <x:v>가격수익률</x:v>
      </x:c>
      <x:c r="D10" s="64" t="str">
        <x:v>현금배당 제외; 신호 CSV 봉인 후 결합</x:v>
      </x:c>
      <x:c r="E10" s="64"/>
      <x:c r="F10" s="64"/>
      <x:c r="G10" s="64"/>
      <x:c r="H10" s="64"/>
    </x:row>
    <x:row r="11">
      <x:c r="A11" s="58"/>
    </x:row>
    <x:row r="12">
      <x:c r="A12" s="18" t="str">
        <x:v>LLM 오염 방지 게이트</x:v>
      </x:c>
    </x:row>
    <x:row r="13">
      <x:c r="A13" s="61" t="str">
        <x:v>게이트</x:v>
      </x:c>
      <x:c r="B13" s="62" t="str">
        <x:v>요구사항</x:v>
      </x:c>
      <x:c r="C13" s="62" t="str">
        <x:v>이번 실행</x:v>
      </x:c>
      <x:c r="D13" s="63" t="str">
        <x:v>판정</x:v>
      </x:c>
      <x:c r="E13" s="64"/>
      <x:c r="F13" s="64"/>
      <x:c r="G13" s="64"/>
      <x:c r="H13" s="64"/>
    </x:row>
    <x:row r="14">
      <x:c r="A14" s="65" t="str">
        <x:v>정확 인용</x:v>
      </x:c>
      <x:c r="B14" s="64" t="str">
        <x:v>source_id / available_at / exact span</x:v>
      </x:c>
      <x:c r="C14" s="64" t="str">
        <x:v>원본 텍스트 인덱스 생성</x:v>
      </x:c>
      <x:c r="D14" s="64" t="str">
        <x:v>인프라 완료</x:v>
      </x:c>
      <x:c r="E14" s="64"/>
      <x:c r="F14" s="64"/>
      <x:c r="G14" s="64"/>
      <x:c r="H14" s="64"/>
    </x:row>
    <x:row r="15">
      <x:c r="A15" s="65" t="str">
        <x:v>Entailment</x:v>
      </x:c>
      <x:c r="B15" s="64" t="str">
        <x:v>주장이 컷오프 증거에서 함의</x:v>
      </x:c>
      <x:c r="C15" s="64" t="str">
        <x:v>LLM 미실행</x:v>
      </x:c>
      <x:c r="D15" s="64" t="str">
        <x:v>미평가</x:v>
      </x:c>
      <x:c r="E15" s="64"/>
      <x:c r="F15" s="64"/>
      <x:c r="G15" s="64"/>
      <x:c r="H15" s="64"/>
    </x:row>
    <x:row r="16">
      <x:c r="A16" s="65" t="str">
        <x:v>Future trap</x:v>
      </x:c>
      <x:c r="B16" s="64" t="str">
        <x:v>미래 질문에는 UNKNOWN</x:v>
      </x:c>
      <x:c r="C16" s="64" t="str">
        <x:v>LLM 미실행</x:v>
      </x:c>
      <x:c r="D16" s="64" t="str">
        <x:v>미평가</x:v>
      </x:c>
      <x:c r="E16" s="64"/>
      <x:c r="F16" s="64"/>
      <x:c r="G16" s="64"/>
      <x:c r="H16" s="64"/>
    </x:row>
    <x:row r="17">
      <x:c r="A17" s="65" t="str">
        <x:v>익명화 안정성</x:v>
      </x:c>
      <x:c r="B17" s="64" t="str">
        <x:v>회사명 제거 전후 동일 분류</x:v>
      </x:c>
      <x:c r="C17" s="64" t="str">
        <x:v>LLM 미실행</x:v>
      </x:c>
      <x:c r="D17" s="64" t="str">
        <x:v>미평가</x:v>
      </x:c>
      <x:c r="E17" s="64"/>
      <x:c r="F17" s="64"/>
      <x:c r="G17" s="64"/>
      <x:c r="H17" s="64"/>
    </x:row>
    <x:row r="18">
      <x:c r="A18" s="65" t="str">
        <x:v>A/B ablation</x:v>
      </x:c>
      <x:c r="B18" s="64" t="str">
        <x:v>LLM overlay vs rules-only</x:v>
      </x:c>
      <x:c r="C18" s="64" t="str">
        <x:v>B만 완료</x:v>
      </x:c>
      <x:c r="D18" s="64" t="str">
        <x:v>A는 pseudo-OOS로도 미실행</x:v>
      </x:c>
      <x:c r="E18" s="64"/>
      <x:c r="F18" s="64"/>
      <x:c r="G18" s="64"/>
      <x:c r="H18" s="64"/>
    </x:row>
    <x:row r="19">
      <x:c r="A19" s="58"/>
    </x:row>
    <x:row r="20">
      <x:c r="A20" s="18" t="str">
        <x:v>코드/버전 경계</x:v>
      </x:c>
    </x:row>
    <x:row r="21">
      <x:c r="A21" s="58" t="str">
        <x:v>공통 library</x:v>
      </x:c>
      <x:c r="B21" t="str">
        <x:v>src/moatrader/ingestion, evidence, marketdata, financial, backtest, experiments</x:v>
      </x:c>
      <x:c r="C21"/>
      <x:c r="D21"/>
      <x:c r="E21"/>
      <x:c r="F21"/>
      <x:c r="G21"/>
      <x:c r="H21"/>
    </x:row>
    <x:row r="22">
      <x:c r="A22" s="58" t="str">
        <x:v>v6 보호</x:v>
      </x:c>
      <x:c r="B22" t="str">
        <x:v>frozen Git commit/tag + frozen-contract source hashes</x:v>
      </x:c>
      <x:c r="C22"/>
      <x:c r="D22"/>
      <x:c r="E22"/>
      <x:c r="F22"/>
      <x:c r="G22"/>
      <x:c r="H22"/>
    </x:row>
    <x:row r="23">
      <x:c r="A23" s="58" t="str">
        <x:v>v7 범위</x:v>
      </x:c>
      <x:c r="B23" t="str">
        <x:v>research orchestration, contract, data-lake experiment artifacts</x:v>
      </x:c>
      <x:c r="C23"/>
      <x:c r="D23"/>
      <x:c r="E23"/>
      <x:c r="F23"/>
      <x:c r="G23"/>
      <x:c r="H23"/>
    </x:row>
    <x:row r="24">
      <x:c r="A24" s="58" t="str">
        <x:v>금지</x:v>
      </x:c>
      <x:c r="B24" t="str">
        <x:v>src/moatrader/v7 소스 복제</x:v>
      </x:c>
      <x:c r="C24"/>
      <x:c r="D24"/>
      <x:c r="E24"/>
      <x:c r="F24"/>
      <x:c r="G24"/>
      <x:c r="H24"/>
    </x:row>
    <x:row r="25">
      <x:c r="A25" s="58" t="str">
        <x:v>검증</x:v>
      </x:c>
      <x:c r="B25" t="str">
        <x:v>v6 protected hashes unchanged during backtest</x:v>
      </x:c>
      <x:c r="C25"/>
      <x:c r="D25"/>
      <x:c r="E25"/>
      <x:c r="F25"/>
      <x:c r="G25"/>
      <x:c r="H25"/>
    </x:row>
  </x:sheetData>
  <x:mergeCells>
    <x:mergeCell ref="A1:H2"/>
    <x:mergeCell ref="A4:H4"/>
    <x:mergeCell ref="A12:H12"/>
    <x:mergeCell ref="A20:H2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20" hidden="0" customWidth="1"/>
    <x:col min="4" max="4" width="20" hidden="0" customWidth="1"/>
    <x:col min="5" max="5" width="58" hidden="0" customWidth="1"/>
    <x:col min="6" max="6" width="48" hidden="0" customWidth="1"/>
  </x:cols>
  <x:sheetData>
    <x:row r="1" ht="32" customHeight="1">
      <x:c r="A1" s="3" t="str">
        <x:v>Sources &amp; Audit Trail</x:v>
      </x:c>
    </x:row>
    <x:row r="2" ht="32" customHeight="1"/>
    <x:row r="4">
      <x:c r="A4" s="61" t="str">
        <x:v>Item</x:v>
      </x:c>
      <x:c r="B4" s="62" t="str">
        <x:v>Value / Hash</x:v>
      </x:c>
      <x:c r="C4" s="62" t="str">
        <x:v>Units</x:v>
      </x:c>
      <x:c r="D4" s="62" t="str">
        <x:v>Period / As-of</x:v>
      </x:c>
      <x:c r="E4" s="62" t="str">
        <x:v>Source</x:v>
      </x:c>
      <x:c r="F4" s="63" t="str">
        <x:v>Notes</x:v>
      </x:c>
    </x:row>
    <x:row r="5">
      <x:c r="A5" s="64" t="str">
        <x:v>Frozen universe</x:v>
      </x:c>
      <x:c r="B5" s="73" t="str">
        <x:v>f4a57e48b01e6911e6561f4d8038f62e15a083cd065c3771215bcbdef27a05d2</x:v>
      </x:c>
      <x:c r="C5" s="64" t="str">
        <x:v>SHA-256</x:v>
      </x:c>
      <x:c r="D5" s="64" t="str">
        <x:v>2025-08-01</x:v>
      </x:c>
      <x:c r="E5" s="74" t="str">
        <x:v>Local universe.csv</x:v>
      </x:c>
      <x:c r="F5" s="64" t="str">
        <x:v>150 stocks; fixed future-universe backcast</x:v>
      </x:c>
    </x:row>
    <x:row r="6">
      <x:c r="A6" s="64" t="str">
        <x:v>OpenDART originals</x:v>
      </x:c>
      <x:c r="B6" s="73" t="n">
        <x:v>1256</x:v>
      </x:c>
      <x:c r="C6" s="64" t="str">
        <x:v>filings</x:v>
      </x:c>
      <x:c r="D6" s="64" t="str">
        <x:v>2019-01-01 to 2025-12-31</x:v>
      </x:c>
      <x:c r="E6" s="74" t="str">
        <x:v>https://opendart.fss.or.kr/api/document.xml</x:v>
      </x:c>
      <x:c r="F6" s="64" t="str">
        <x:v>Primary evidence ZIP; 9 listed receipts returned 014 file missing</x:v>
      </x:c>
    </x:row>
    <x:row r="7">
      <x:c r="A7" s="64" t="str">
        <x:v>OpenDART XBRL</x:v>
      </x:c>
      <x:c r="B7" s="73" t="n">
        <x:v>1194</x:v>
      </x:c>
      <x:c r="C7" s="64" t="str">
        <x:v>archives</x:v>
      </x:c>
      <x:c r="D7" s="64" t="str">
        <x:v>2019-2025</x:v>
      </x:c>
      <x:c r="E7" s="74" t="str">
        <x:v>https://opendart.fss.or.kr/api/fnlttXbrl.xml</x:v>
      </x:c>
      <x:c r="F7" s="64" t="str">
        <x:v>62 XBRL archives unavailable</x:v>
      </x:c>
    </x:row>
    <x:row r="8">
      <x:c r="A8" s="64" t="str">
        <x:v>OpenDART list</x:v>
      </x:c>
      <x:c r="B8" s="73" t="n">
        <x:v>149</x:v>
      </x:c>
      <x:c r="C8" s="64" t="str">
        <x:v>tickers</x:v>
      </x:c>
      <x:c r="D8" s="64" t="str">
        <x:v>2019-2025</x:v>
      </x:c>
      <x:c r="E8" s="74" t="str">
        <x:v>https://opendart.fss.or.kr/api/list.json</x:v>
      </x:c>
      <x:c r="F8" s="64" t="str">
        <x:v>Original and amended receipts; final-only filter disabled</x:v>
      </x:c>
    </x:row>
    <x:row r="9">
      <x:c r="A9" s="64" t="str">
        <x:v>marcap prices</x:v>
      </x:c>
      <x:c r="B9" s="73" t="n">
        <x:v>208420</x:v>
      </x:c>
      <x:c r="C9" s="64" t="str">
        <x:v>daily rows</x:v>
      </x:c>
      <x:c r="D9" s="64" t="str">
        <x:v>2020-01-01 to 2025-12-31</x:v>
      </x:c>
      <x:c r="E9" s="74" t="str">
        <x:v>https://github.com/FinanceData/marcap</x:v>
      </x:c>
      <x:c r="F9" s="64" t="str">
        <x:v>Pinned commit 5e8e4e57f3fcb129a6ff20751f643f67d3592c82</x:v>
      </x:c>
    </x:row>
    <x:row r="10">
      <x:c r="A10" s="64" t="str">
        <x:v>Signals seal</x:v>
      </x:c>
      <x:c r="B10" s="73" t="str">
        <x:v>1c376bdfe3d849dab3424cba97407b5afaee46a3849bd5a10cc5a26d3ed0a4a8</x:v>
      </x:c>
      <x:c r="C10" s="64" t="str">
        <x:v>SHA-256</x:v>
      </x:c>
      <x:c r="D10" s="64" t="str">
        <x:v>23 signals</x:v>
      </x:c>
      <x:c r="E10" s="74" t="str">
        <x:v>D:\Programming\python_example\MoatRader\data-lake\experiments\historical-validation-v7-2020-2025\results-v7-quality-gated\signals-seal.json</x:v>
      </x:c>
      <x:c r="F10" s="64" t="str">
        <x:v>Returns accessed only after this seal</x:v>
      </x:c>
    </x:row>
    <x:row r="11">
      <x:c r="A11" s="64" t="str">
        <x:v>Event results</x:v>
      </x:c>
      <x:c r="B11" s="73" t="str">
        <x:v>9d72222f46d832387fe7a74e15e5ef230b4aa150c78e985c9ce3310eaa84483b</x:v>
      </x:c>
      <x:c r="C11" s="64" t="str">
        <x:v>SHA-256</x:v>
      </x:c>
      <x:c r="D11" s="64" t="str">
        <x:v>23 signals</x:v>
      </x:c>
      <x:c r="E11" s="74" t="str">
        <x:v>D:\Programming\python_example\MoatRader\data-lake\experiments\historical-validation-v7-2020-2025\results-v7-quality-gated\quarterly-event-results.csv</x:v>
      </x:c>
      <x:c r="F11" s="64" t="str">
        <x:v>77-day event results</x:v>
      </x:c>
    </x:row>
    <x:row r="12">
      <x:c r="A12" s="64" t="str">
        <x:v>Validation contract</x:v>
      </x:c>
      <x:c r="B12" s="73" t="str">
        <x:v>See contract file</x:v>
      </x:c>
      <x:c r="C12" s="64" t="str">
        <x:v>contract</x:v>
      </x:c>
      <x:c r="D12" s="64" t="str">
        <x:v>2020-2025</x:v>
      </x:c>
      <x:c r="E12" s="74" t="str">
        <x:v>D:\Programming\python_example\MoatRader\data-lake\experiments\historical-validation-v7-2020-2025\results-v7-quality-gated\historical-validation-contract.json</x:v>
      </x:c>
      <x:c r="F12" s="64" t="str">
        <x:v>Data-PIT / LLM-PIT / Live-OOS labels</x:v>
      </x:c>
    </x:row>
    <x:row r="13">
      <x:c r="A13" s="64" t="str">
        <x:v>V6 integrity</x:v>
      </x:c>
      <x:c r="B13" s="75" t="b">
        <x:v>1</x:v>
      </x:c>
      <x:c r="C13" s="64" t="str">
        <x:v>boolean</x:v>
      </x:c>
      <x:c r="D13" s="64" t="str">
        <x:v>build time</x:v>
      </x:c>
      <x:c r="E13" s="74" t="str">
        <x:v>D:\Programming\python_example\MoatRader\data-lake\experiments\historical-validation-v7-2020-2025\results-v7-quality-gated\v6-integrity.json</x:v>
      </x:c>
      <x:c r="F13" s="64" t="str">
        <x:v>45 protected files hashed</x:v>
      </x:c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9da8c305af9644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52" hidden="0" customWidth="1"/>
  </x:cols>
  <x:sheetData>
    <x:row r="1" ht="32" customHeight="1">
      <x:c r="A1" s="3" t="str">
        <x:v>Model Checks</x:v>
      </x:c>
    </x:row>
    <x:row r="2" ht="32" customHeight="1"/>
    <x:row r="4">
      <x:c r="A4" s="35" t="str">
        <x:v>Check</x:v>
      </x:c>
      <x:c r="B4" s="36" t="str">
        <x:v>Actual</x:v>
      </x:c>
      <x:c r="C4" s="36" t="str">
        <x:v>Expected</x:v>
      </x:c>
      <x:c r="D4" s="36" t="str">
        <x:v>Difference</x:v>
      </x:c>
      <x:c r="E4" s="36" t="str">
        <x:v>Tolerance</x:v>
      </x:c>
      <x:c r="F4" s="36" t="str">
        <x:v>Status</x:v>
      </x:c>
      <x:c r="G4" s="37" t="str">
        <x:v>Notes</x:v>
      </x:c>
    </x:row>
    <x:row r="5">
      <x:c r="A5" t="str">
        <x:v>Signal rows</x:v>
      </x:c>
      <x:c r="B5" t="n">
        <x:f>COUNTA(Signals!$A$2:$A$3451)</x:f>
        <x:v>3450</x:v>
      </x:c>
      <x:c r="C5" t="n">
        <x:v>3450</x:v>
      </x:c>
      <x:c r="D5" s="80" t="n">
        <x:f>B5-C5</x:f>
        <x:v>0</x:v>
      </x:c>
      <x:c r="E5" s="80" t="n">
        <x:v>0</x:v>
      </x:c>
      <x:c r="F5" t="str">
        <x:f>IF(ABS(D5)&lt;=E5,"OK","FAIL")</x:f>
        <x:v>OK</x:v>
      </x:c>
      <x:c r="G5" t="str">
        <x:v>150 stocks × 23 signal dates</x:v>
      </x:c>
    </x:row>
    <x:row r="6">
      <x:c r="A6" t="str">
        <x:v>Quarterly events</x:v>
      </x:c>
      <x:c r="B6" t="n">
        <x:f>COUNTA('Quarterly Results'!$A$5:$A$27)</x:f>
        <x:v>23</x:v>
      </x:c>
      <x:c r="C6" t="n">
        <x:v>23</x:v>
      </x:c>
      <x:c r="D6" s="80" t="n">
        <x:f>B6-C6</x:f>
        <x:v>0</x:v>
      </x:c>
      <x:c r="E6" s="80" t="n">
        <x:v>0</x:v>
      </x:c>
      <x:c r="F6" t="str">
        <x:f>IF(ABS(D6)&lt;=E6,"OK","FAIL")</x:f>
        <x:v>OK</x:v>
      </x:c>
      <x:c r="G6" t="str">
        <x:v>2020Q1 through 2025Q3</x:v>
      </x:c>
    </x:row>
    <x:row r="7">
      <x:c r="A7" t="str">
        <x:v>Universe per signal</x:v>
      </x:c>
      <x:c r="B7" t="n">
        <x:v>150</x:v>
      </x:c>
      <x:c r="C7" t="n">
        <x:v>150</x:v>
      </x:c>
      <x:c r="D7" s="80" t="n">
        <x:f>B7-C7</x:f>
        <x:v>0</x:v>
      </x:c>
      <x:c r="E7" s="80" t="n">
        <x:v>0</x:v>
      </x:c>
      <x:c r="F7" t="str">
        <x:f>IF(ABS(D7)&lt;=E7,"OK","FAIL")</x:f>
        <x:v>OK</x:v>
      </x:c>
      <x:c r="G7" t="str">
        <x:v>Frozen universe contract</x:v>
      </x:c>
    </x:row>
    <x:row r="8">
      <x:c r="A8" t="str">
        <x:v>Coverage total</x:v>
      </x:c>
      <x:c r="B8" t="n">
        <x:f>SUM(Coverage!$I$5:$I$27)</x:f>
        <x:v>3450</x:v>
      </x:c>
      <x:c r="C8" t="n">
        <x:v>3450</x:v>
      </x:c>
      <x:c r="D8" s="80" t="n">
        <x:f>B8-C8</x:f>
        <x:v>0</x:v>
      </x:c>
      <x:c r="E8" s="80" t="n">
        <x:v>0</x:v>
      </x:c>
      <x:c r="F8" t="str">
        <x:f>IF(ABS(D8)&lt;=E8,"OK","FAIL")</x:f>
        <x:v>OK</x:v>
      </x:c>
      <x:c r="G8" t="str">
        <x:v>All status buckets sum to all signal rows</x:v>
      </x:c>
    </x:row>
    <x:row r="9">
      <x:c r="A9" t="str">
        <x:v>V6 unchanged</x:v>
      </x:c>
      <x:c r="B9" t="n">
        <x:v>1</x:v>
      </x:c>
      <x:c r="C9" t="n">
        <x:v>1</x:v>
      </x:c>
      <x:c r="D9" s="80" t="n">
        <x:f>B9-C9</x:f>
        <x:v>0</x:v>
      </x:c>
      <x:c r="E9" s="80" t="n">
        <x:v>0</x:v>
      </x:c>
      <x:c r="F9" t="str">
        <x:f>IF(ABS(D9)&lt;=E9,"OK","FAIL")</x:f>
        <x:v>OK</x:v>
      </x:c>
      <x:c r="G9" t="str">
        <x:v>Protected source/artifact hashes unchanged during build</x:v>
      </x:c>
    </x:row>
    <x:row r="10">
      <x:c r="A10" t="str">
        <x:v>Top excess formula tie</x:v>
      </x:c>
      <x:c r="B10" t="n">
        <x:f>Summary!$E$6-AVERAGE('Quarterly Results'!$M$5:$M$27)</x:f>
        <x:v>8.239936510889834e-18</x:v>
      </x:c>
      <x:c r="C10" t="n">
        <x:v>0</x:v>
      </x:c>
      <x:c r="D10" s="80" t="n">
        <x:f>B10-C10</x:f>
        <x:v>8.239936510889834e-18</x:v>
      </x:c>
      <x:c r="E10" s="80" t="n">
        <x:v>1e-12</x:v>
      </x:c>
      <x:c r="F10" t="str">
        <x:f>IF(ABS(D10)&lt;=E10,"OK","FAIL")</x:f>
        <x:v>OK</x:v>
      </x:c>
      <x:c r="G10" t="str">
        <x:v>Summary excess equals quarterly excess average</x:v>
      </x:c>
    </x:row>
    <x:row r="11">
      <x:c r="A11" t="str">
        <x:v>OpenDART key persisted</x:v>
      </x:c>
      <x:c r="B11" t="n">
        <x:v>0</x:v>
      </x:c>
      <x:c r="C11" t="n">
        <x:v>0</x:v>
      </x:c>
      <x:c r="D11" s="80" t="n">
        <x:f>B11-C11</x:f>
        <x:v>0</x:v>
      </x:c>
      <x:c r="E11" s="80" t="n">
        <x:v>0</x:v>
      </x:c>
      <x:c r="F11" t="str">
        <x:f>IF(ABS(D11)&lt;=E11,"OK","FAIL")</x:f>
        <x:v>OK</x:v>
      </x:c>
      <x:c r="G11" t="str">
        <x:v>API key must never appear in persisted artifacts</x:v>
      </x:c>
    </x:row>
    <x:row r="13">
      <x:c r="A13" s="77" t="str">
        <x:v>Overall Model Status</x:v>
      </x:c>
      <x:c r="B13" s="78"/>
      <x:c r="C13" s="78"/>
      <x:c r="D13" s="78"/>
      <x:c r="E13" s="78"/>
      <x:c r="F13" s="79" t="str">
        <x:f>IF(COUNTIF(F5:F11,"FAIL")=0,"OK","FAIL")</x:f>
        <x:v>OK</x:v>
      </x:c>
    </x:row>
  </x:sheetData>
  <x:mergeCells>
    <x:mergeCell ref="A1:G2"/>
    <x:mergeCell ref="A13:E13"/>
  </x:mergeCells>
  <x:conditionalFormatting sqref="F5:F13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25c7af12e2db4ae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70" hidden="0" customWidth="1"/>
  </x:cols>
  <x:sheetData>
    <x:row r="1" ht="32" customHeight="1">
      <x:c r="A1" s="3" t="str">
        <x:v>A/B Ablation Status</x:v>
      </x:c>
    </x:row>
    <x:row r="2" ht="32" customHeight="1"/>
    <x:row r="4">
      <x:c r="A4" s="61" t="str">
        <x:v>track</x:v>
      </x:c>
      <x:c r="B4" s="62" t="str">
        <x:v>status</x:v>
      </x:c>
      <x:c r="C4" s="62" t="str">
        <x:v>validation_grade</x:v>
      </x:c>
      <x:c r="D4" s="62" t="str">
        <x:v>rank_control</x:v>
      </x:c>
      <x:c r="E4" s="63" t="str">
        <x:v>notes</x:v>
      </x:c>
    </x:row>
    <x:row r="5">
      <x:c r="A5" s="64" t="str">
        <x:v>B_DETERMINISTIC_CHEAP_ONLY</x:v>
      </x:c>
      <x:c r="B5" s="82" t="str">
        <x:v>COMPLETED</x:v>
      </x:c>
      <x:c r="C5" s="64" t="str">
        <x:v>DATA_PIT_HISTORICAL</x:v>
      </x:c>
      <x:c r="D5" s="64" t="str">
        <x:v>CHEAP_ONLY</x:v>
      </x:c>
      <x:c r="E5" s="64" t="str">
        <x:v>Official OpenDART cutoff filings plus pinned marcap PIT price/shares.</x:v>
      </x:c>
    </x:row>
    <x:row r="6">
      <x:c r="A6" s="64" t="str">
        <x:v>A_LLM_OVERLAY</x:v>
      </x:c>
      <x:c r="B6" s="84" t="str">
        <x:v>NOT_RUN</x:v>
      </x:c>
      <x:c r="C6" s="64" t="str">
        <x:v>LLM_PIT_PSEUDO_OOS</x:v>
      </x:c>
      <x:c r="D6" s="64" t="str">
        <x:v>FORBIDDEN</x:v>
      </x:c>
      <x:c r="E6" s="64" t="str">
        <x:v>Requires exact cutoff citations, entailment, future traps, and anonymization stability; no approved model run was made.</x:v>
      </x:c>
    </x:row>
  </x:sheetData>
  <x:mergeCells>
    <x:mergeCell ref="A1:E2"/>
  </x:mergeCells>
  <x:pageMargins left="0.7" right="0.7" top="0.75" bottom="0.75" header="0.3" footer="0.3"/>
  <x:tableParts count="1">
    <x:tablePart xmlns:r="http://schemas.openxmlformats.org/officeDocument/2006/relationships" r:id="R1dc96ef2d68b40f2"/>
  </x:tableParts>
</x:worksheet>
</file>